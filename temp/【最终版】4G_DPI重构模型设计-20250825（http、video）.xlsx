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never"/>
  <bookViews>
    <workbookView windowWidth="28800" windowHeight="12280" tabRatio="921"/>
  </bookViews>
  <sheets>
    <sheet name="导航" sheetId="3" r:id="rId1"/>
    <sheet name="1" sheetId="199" r:id="rId2"/>
    <sheet name="2" sheetId="459" r:id="rId3"/>
    <sheet name="3" sheetId="384" r:id="rId4"/>
    <sheet name="4" sheetId="461" r:id="rId5"/>
    <sheet name="5" sheetId="237" r:id="rId6"/>
    <sheet name="6" sheetId="376" r:id="rId7"/>
    <sheet name="7" sheetId="385" r:id="rId8"/>
    <sheet name="8" sheetId="240" r:id="rId9"/>
    <sheet name="9" sheetId="241" r:id="rId10"/>
    <sheet name="10" sheetId="386" r:id="rId11"/>
    <sheet name="11" sheetId="387" r:id="rId12"/>
    <sheet name="12" sheetId="388" r:id="rId13"/>
    <sheet name="13" sheetId="389" r:id="rId14"/>
    <sheet name="14" sheetId="414" r:id="rId15"/>
    <sheet name="15" sheetId="390" r:id="rId16"/>
    <sheet name="16" sheetId="392" r:id="rId17"/>
    <sheet name="17" sheetId="393" r:id="rId18"/>
    <sheet name="18" sheetId="415" r:id="rId19"/>
    <sheet name="19" sheetId="394" r:id="rId20"/>
    <sheet name="20" sheetId="395" r:id="rId21"/>
    <sheet name="21" sheetId="396" r:id="rId22"/>
    <sheet name="22" sheetId="416" r:id="rId23"/>
    <sheet name="23" sheetId="397" r:id="rId24"/>
    <sheet name="24" sheetId="400" r:id="rId25"/>
    <sheet name="25" sheetId="401" r:id="rId26"/>
    <sheet name="26" sheetId="417" r:id="rId27"/>
    <sheet name="27" sheetId="402" r:id="rId28"/>
    <sheet name="28" sheetId="403" r:id="rId29"/>
    <sheet name="29" sheetId="420" r:id="rId30"/>
    <sheet name="30" sheetId="405" r:id="rId31"/>
    <sheet name="31" sheetId="407" r:id="rId32"/>
    <sheet name="33" sheetId="410" r:id="rId33"/>
    <sheet name="34" sheetId="423" r:id="rId34"/>
    <sheet name="35" sheetId="413" r:id="rId35"/>
    <sheet name="36" sheetId="426" r:id="rId36"/>
    <sheet name="37" sheetId="427" r:id="rId37"/>
    <sheet name="38" sheetId="428" r:id="rId38"/>
    <sheet name="39" sheetId="430" r:id="rId39"/>
    <sheet name="40" sheetId="431" r:id="rId40"/>
    <sheet name="41" sheetId="432" r:id="rId41"/>
    <sheet name="42" sheetId="433" r:id="rId42"/>
    <sheet name="43" sheetId="435" r:id="rId43"/>
    <sheet name="44" sheetId="436" r:id="rId44"/>
    <sheet name="45" sheetId="437" r:id="rId45"/>
    <sheet name="46" sheetId="438" r:id="rId46"/>
    <sheet name="47" sheetId="439" r:id="rId47"/>
    <sheet name="48" sheetId="440" r:id="rId48"/>
    <sheet name="49" sheetId="442" r:id="rId49"/>
    <sheet name="50" sheetId="444" r:id="rId50"/>
    <sheet name="51" sheetId="445" r:id="rId51"/>
    <sheet name="52" sheetId="446" r:id="rId52"/>
    <sheet name="53" sheetId="449" r:id="rId53"/>
    <sheet name="54" sheetId="451" r:id="rId54"/>
    <sheet name="55" sheetId="452" r:id="rId55"/>
    <sheet name="56" sheetId="453" r:id="rId56"/>
    <sheet name="57" sheetId="455" r:id="rId57"/>
    <sheet name="58" sheetId="456" r:id="rId58"/>
    <sheet name="59" sheetId="457" r:id="rId59"/>
    <sheet name="60" sheetId="458" r:id="rId60"/>
    <sheet name="61" sheetId="462" r:id="rId61"/>
    <sheet name="62" sheetId="463" r:id="rId62"/>
    <sheet name="63" sheetId="464" r:id="rId63"/>
    <sheet name="64" sheetId="466" r:id="rId64"/>
    <sheet name="65" sheetId="467" r:id="rId65"/>
    <sheet name="66" sheetId="469" r:id="rId66"/>
    <sheet name="67" sheetId="470" r:id="rId67"/>
    <sheet name="68" sheetId="471" r:id="rId68"/>
    <sheet name="69" sheetId="473" r:id="rId69"/>
    <sheet name="70" sheetId="474" r:id="rId70"/>
    <sheet name="71" sheetId="475" r:id="rId71"/>
    <sheet name="72" sheetId="477" r:id="rId72"/>
    <sheet name="73" sheetId="479" r:id="rId73"/>
    <sheet name="74" sheetId="480" r:id="rId74"/>
    <sheet name="75" sheetId="481" r:id="rId75"/>
    <sheet name="76" sheetId="482" r:id="rId76"/>
    <sheet name="77" sheetId="483" r:id="rId77"/>
  </sheets>
  <definedNames>
    <definedName name="_xlnm._FilterDatabase" localSheetId="0" hidden="1">导航!$A$1:$U$79</definedName>
    <definedName name="_xlnm._FilterDatabase" localSheetId="2" hidden="1">'2'!$A$13:$Q$156</definedName>
    <definedName name="_xlnm._FilterDatabase" localSheetId="3" hidden="1">'3'!$A$13:$Q$154</definedName>
    <definedName name="_xlnm._FilterDatabase" localSheetId="4" hidden="1">'4'!$A$13:$Q$123</definedName>
    <definedName name="_xlnm._FilterDatabase" localSheetId="5" hidden="1">'5'!$A$13:$Q$137</definedName>
    <definedName name="_xlnm._FilterDatabase" localSheetId="6" hidden="1">'6'!$A$13:$Q$136</definedName>
    <definedName name="_xlnm._FilterDatabase" localSheetId="7" hidden="1">'7'!$A$13:$Q$134</definedName>
    <definedName name="_xlnm._FilterDatabase" localSheetId="8" hidden="1">'8'!$A$15:$Q$37</definedName>
    <definedName name="_xlnm._FilterDatabase" localSheetId="9" hidden="1">'9'!$A$13:$Q$133</definedName>
    <definedName name="_xlnm._FilterDatabase" localSheetId="10" hidden="1">'10'!$A$13:$Q$129</definedName>
    <definedName name="_xlnm._FilterDatabase" localSheetId="11" hidden="1">'11'!$A$13:$Q$127</definedName>
    <definedName name="_xlnm._FilterDatabase" localSheetId="12" hidden="1">'12'!$A$13:$Q$127</definedName>
    <definedName name="_xlnm._FilterDatabase" localSheetId="13" hidden="1">'13'!$A$13:$Q$125</definedName>
    <definedName name="_xlnm._FilterDatabase" localSheetId="14" hidden="1">'14'!$A$13:$Q$126</definedName>
    <definedName name="_xlnm._FilterDatabase" localSheetId="15" hidden="1">'15'!$A$13:$Q$125</definedName>
    <definedName name="_xlnm._FilterDatabase" localSheetId="16" hidden="1">'16'!$A$13:$Q$118</definedName>
    <definedName name="_xlnm._FilterDatabase" localSheetId="17" hidden="1">'17'!$A$13:$Q$116</definedName>
    <definedName name="_xlnm._FilterDatabase" localSheetId="18" hidden="1">'18'!$A$13:$Q$117</definedName>
    <definedName name="_xlnm._FilterDatabase" localSheetId="19" hidden="1">'19'!$A$13:$Q$116</definedName>
    <definedName name="_xlnm._FilterDatabase" localSheetId="20" hidden="1">'20'!$A$13:$Q$117</definedName>
    <definedName name="_xlnm._FilterDatabase" localSheetId="21" hidden="1">'21'!$A$13:$Q$115</definedName>
    <definedName name="_xlnm._FilterDatabase" localSheetId="22" hidden="1">'22'!$A$13:$Q$116</definedName>
    <definedName name="_xlnm._FilterDatabase" localSheetId="23" hidden="1">'23'!$A$13:$Q$115</definedName>
    <definedName name="_xlnm._FilterDatabase" localSheetId="24" hidden="1">'24'!$A$13:$Q$137</definedName>
    <definedName name="_xlnm._FilterDatabase" localSheetId="25" hidden="1">'25'!$A$13:$Q$128</definedName>
    <definedName name="_xlnm._FilterDatabase" localSheetId="26" hidden="1">'26'!$A$13:$Q$129</definedName>
    <definedName name="_xlnm._FilterDatabase" localSheetId="27" hidden="1">'27'!$A$13:$Q$127</definedName>
    <definedName name="_xlnm._FilterDatabase" localSheetId="28" hidden="1">'28'!$A$13:$Q$120</definedName>
    <definedName name="_xlnm._FilterDatabase" localSheetId="29" hidden="1">'29'!$A$13:$Q$120</definedName>
    <definedName name="_xlnm._FilterDatabase" localSheetId="30" hidden="1">'30'!$A$13:$Q$118</definedName>
    <definedName name="_xlnm._FilterDatabase" localSheetId="31" hidden="1">'31'!$A$14:$L$43</definedName>
    <definedName name="_xlnm._FilterDatabase" localSheetId="32" hidden="1">'33'!$A$13:$Q$118</definedName>
    <definedName name="_xlnm._FilterDatabase" localSheetId="33" hidden="1">'34'!$A$13:$Q$118</definedName>
    <definedName name="_xlnm._FilterDatabase" localSheetId="34" hidden="1">'35'!$A$13:$Q$117</definedName>
    <definedName name="_xlnm._FilterDatabase" localSheetId="35" hidden="1">'36'!$A$13:$Q$55</definedName>
    <definedName name="_xlnm._FilterDatabase" localSheetId="36" hidden="1">'37'!$A$13:$Q$40</definedName>
    <definedName name="_xlnm._FilterDatabase" localSheetId="37" hidden="1">'38'!$A$13:$Q$37</definedName>
    <definedName name="_xlnm._FilterDatabase" localSheetId="38" hidden="1">'39'!$A$13:$Q$50</definedName>
    <definedName name="_xlnm._FilterDatabase" localSheetId="39" hidden="1">'40'!$A$13:$Q$38</definedName>
    <definedName name="_xlnm._FilterDatabase" localSheetId="40" hidden="1">'41'!$A$13:$Q$36</definedName>
    <definedName name="_xlnm._FilterDatabase" localSheetId="41" hidden="1">'42'!$A$13:$Q$141</definedName>
    <definedName name="_xlnm._FilterDatabase" localSheetId="42" hidden="1">'43'!$A$13:$Q$136</definedName>
    <definedName name="_xlnm._FilterDatabase" localSheetId="43" hidden="1">'44'!$A$13:$Q$136</definedName>
    <definedName name="_xlnm._FilterDatabase" localSheetId="44" hidden="1">'45'!$A$13:$Q$124</definedName>
    <definedName name="_xlnm._FilterDatabase" localSheetId="45" hidden="1">'46'!$A$14:$Q$105</definedName>
    <definedName name="_xlnm._FilterDatabase" localSheetId="46" hidden="1">'47'!$A$15:$N$70</definedName>
    <definedName name="_xlnm._FilterDatabase" localSheetId="47" hidden="1">'48'!$A$14:$N$74</definedName>
    <definedName name="_xlnm._FilterDatabase" localSheetId="48" hidden="1">'49'!$A$13:$N$94</definedName>
    <definedName name="_xlnm._FilterDatabase" localSheetId="49" hidden="1">'50'!$A$12:$N$88</definedName>
    <definedName name="_xlnm._FilterDatabase" localSheetId="51" hidden="1">'52'!$A$13:$N$168</definedName>
    <definedName name="_xlnm._FilterDatabase" localSheetId="52" hidden="1">'53'!$A$13:$N$166</definedName>
    <definedName name="_xlnm._FilterDatabase" localSheetId="53" hidden="1">'54'!$A$13:$N$86</definedName>
    <definedName name="_xlnm._FilterDatabase" localSheetId="54" hidden="1">'55'!$A$13:$N$155</definedName>
    <definedName name="_xlnm._FilterDatabase" localSheetId="55" hidden="1">'56'!$A$15:$Q$37</definedName>
    <definedName name="_xlnm._FilterDatabase" localSheetId="56" hidden="1">'57'!$A$13:$N$154</definedName>
    <definedName name="_xlnm._FilterDatabase" localSheetId="57" hidden="1">'58'!$A$13:$N$152</definedName>
    <definedName name="_xlnm._FilterDatabase" localSheetId="58" hidden="1">'59'!$A$15:$Q$32</definedName>
    <definedName name="_xlnm._FilterDatabase" localSheetId="59" hidden="1">'60'!$A$13:$N$151</definedName>
    <definedName name="_xlnm._FilterDatabase" localSheetId="60" hidden="1">'61'!$A$13:$N$147</definedName>
    <definedName name="_xlnm._FilterDatabase" localSheetId="61" hidden="1">'62'!$A$13:$N$151</definedName>
    <definedName name="_xlnm._FilterDatabase" localSheetId="62" hidden="1">'63'!$A$13:$N$148</definedName>
    <definedName name="_xlnm._FilterDatabase" localSheetId="63" hidden="1">'64'!$A$13:$N$154</definedName>
    <definedName name="_xlnm._FilterDatabase" localSheetId="64" hidden="1">'65'!$A$13:$N$150</definedName>
    <definedName name="_xlnm._FilterDatabase" localSheetId="65" hidden="1">'66'!$A$13:$N$153</definedName>
    <definedName name="_xlnm._FilterDatabase" localSheetId="66" hidden="1">'67'!$A$13:$N$150</definedName>
    <definedName name="_xlnm._FilterDatabase" localSheetId="67" hidden="1">'68'!$A$13:$Q$56</definedName>
    <definedName name="_xlnm._FilterDatabase" localSheetId="68" hidden="1">'69'!$A$13:$Q$52</definedName>
    <definedName name="_xlnm._FilterDatabase" localSheetId="69" hidden="1">'70'!$A$13:$N$157</definedName>
    <definedName name="_xlnm._FilterDatabase" localSheetId="70" hidden="1">'71'!$A$14:$Q$104</definedName>
    <definedName name="_xlnm._FilterDatabase" localSheetId="71" hidden="1">'72'!$A$13:$Q$92</definedName>
    <definedName name="_xlnm._FilterDatabase" localSheetId="72" hidden="1">'73'!$A$12:$Q$86</definedName>
    <definedName name="_xlnm._FilterDatabase" localSheetId="1" hidden="1">'1'!$A$16:$O$146</definedName>
    <definedName name="_xlnm._FilterDatabase" localSheetId="50" hidden="1">'51'!$A$14:$O$120</definedName>
    <definedName name="_xlnm._FilterDatabase" localSheetId="73" hidden="1">'74'!#REF!</definedName>
    <definedName name="_xlnm._FilterDatabase" localSheetId="74" hidden="1">'75'!#REF!</definedName>
    <definedName name="_xlnm._FilterDatabase" localSheetId="75" hidden="1">'76'!#REF!</definedName>
    <definedName name="_xlnm._FilterDatabase" localSheetId="76" hidden="1">'77'!#REF!</definedName>
    <definedName name="DT.10" comment="主小区MR详细信息AGPS">#REF!</definedName>
    <definedName name="DT.11" comment="主小区MR详细信息全量室内外">#REF!</definedName>
    <definedName name="vlookup">#REF!</definedName>
    <definedName name="主小区MR详细信息AGPS" comment="主小区MR详细信息AGPS">#REF!</definedName>
    <definedName name="主小区MR详细信息全量室内外" comment="主小区MR详细信息全量室内外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<sst xmlns="http://schemas.openxmlformats.org/spreadsheetml/2006/main" count="63136" uniqueCount="2582">
  <si>
    <t>编号</t>
  </si>
  <si>
    <t>索引</t>
  </si>
  <si>
    <t>项目名称</t>
  </si>
  <si>
    <t>数据层级</t>
  </si>
  <si>
    <t>主题域</t>
  </si>
  <si>
    <t>表英文名</t>
  </si>
  <si>
    <t>表中文名</t>
  </si>
  <si>
    <t>数据描述</t>
  </si>
  <si>
    <t>汇聚维度</t>
  </si>
  <si>
    <t>数据时间粒度</t>
  </si>
  <si>
    <t>最小时间分区</t>
  </si>
  <si>
    <t>计算位置</t>
  </si>
  <si>
    <t>是否同步</t>
  </si>
  <si>
    <t>生命周期（存储周期单位：天）</t>
  </si>
  <si>
    <t>前向表</t>
  </si>
  <si>
    <t>支撑应用/系统</t>
  </si>
  <si>
    <r>
      <t xml:space="preserve">新建/升级
</t>
    </r>
    <r>
      <rPr>
        <b/>
        <sz val="9"/>
        <color rgb="FFFF0000"/>
        <rFont val="微软雅黑"/>
        <charset val="134"/>
      </rPr>
      <t>新建(升级)：表结构与字段沿用原表，表名称调整</t>
    </r>
  </si>
  <si>
    <t>备注</t>
  </si>
  <si>
    <t>同步数据库</t>
  </si>
  <si>
    <t>开发人员</t>
  </si>
  <si>
    <t>开发状态</t>
  </si>
  <si>
    <t>网络数据处理系统</t>
  </si>
  <si>
    <t>中间层</t>
  </si>
  <si>
    <t>质量稽核</t>
  </si>
  <si>
    <t>dq_ods_4gdpi_http_e2e_telecom_q</t>
  </si>
  <si>
    <t>4G_DPI_HTTP源数据接入质量稽核任务</t>
  </si>
  <si>
    <t>省</t>
  </si>
  <si>
    <t>天</t>
  </si>
  <si>
    <t>前置</t>
  </si>
  <si>
    <t>否</t>
  </si>
  <si>
    <t>ods_4gdpi_http_e2e_telecom_q</t>
  </si>
  <si>
    <t>升级</t>
  </si>
  <si>
    <t>整合层</t>
  </si>
  <si>
    <t>/</t>
  </si>
  <si>
    <t>fact_lte_dpi_http_q</t>
  </si>
  <si>
    <t>4G_DPI_http整合层15分钟表</t>
  </si>
  <si>
    <t>详单</t>
  </si>
  <si>
    <t>15分钟</t>
  </si>
  <si>
    <t>ods_4gdpi_http_e2e_telecom_q|lte_cm_projdata_refactor|cfg_topweb_first_screen_host_list|cfg_http_status_type</t>
  </si>
  <si>
    <t>新建</t>
  </si>
  <si>
    <t>数据感知</t>
  </si>
  <si>
    <t>aggr_lte_dpi_http_base_q</t>
  </si>
  <si>
    <t>4G_DPI_http基础维度15分钟表</t>
  </si>
  <si>
    <t>用户|小区|app|apn|源IP类型</t>
  </si>
  <si>
    <t>是</t>
  </si>
  <si>
    <t>前置:7；核心:14</t>
  </si>
  <si>
    <t>aggr_lte_dpi_http_base_h</t>
  </si>
  <si>
    <t>4G_DPI_http基础维度小时表</t>
  </si>
  <si>
    <t>小时</t>
  </si>
  <si>
    <t>核心</t>
  </si>
  <si>
    <t>aggr_lte_dpi_http_index_reduce_base_h</t>
  </si>
  <si>
    <t>4G_DPI_http基础维度指标裁剪小时表</t>
  </si>
  <si>
    <t>移动业务感知保障系统</t>
  </si>
  <si>
    <t>新建(升级)</t>
  </si>
  <si>
    <t>沿用共享移动业务感知保障系统表aggr_4gdpi_http_base_reduce_h表结构及字段名称</t>
  </si>
  <si>
    <t>aggr_lte_dpi_http_usrappcel_h</t>
  </si>
  <si>
    <t>4G_DPI_http用户小区app维度小时表</t>
  </si>
  <si>
    <t>用户|小区|app</t>
  </si>
  <si>
    <t>aggr_lte_dpi_http_usrapp_h</t>
  </si>
  <si>
    <t>4G_DPI_http用户app维度小时表</t>
  </si>
  <si>
    <t>用户|app</t>
  </si>
  <si>
    <t>aggr_lte_dpi_http_usrapp_d</t>
  </si>
  <si>
    <t>4G_DPI_http用户app维度天表</t>
  </si>
  <si>
    <t>aggr_lte_iov_http_usrappcel_refactor_h</t>
  </si>
  <si>
    <t>4G_DPI_http车联网用户小区app维度小时表</t>
  </si>
  <si>
    <t>aggr_lte_dpi_http_usrappcel_h|cfg_dpi_servicetype|cfg_iov_usr_list</t>
  </si>
  <si>
    <t>5G定制网</t>
  </si>
  <si>
    <t>沿用共享给5G定制网表aggr_lte_iov_http_usrappcel_h表结构及字段名称</t>
  </si>
  <si>
    <t>aggr_lte_dpi_http_appcel_h</t>
  </si>
  <si>
    <t>4G_DPI_http小区app维度小时表</t>
  </si>
  <si>
    <t>小区|app</t>
  </si>
  <si>
    <t>aggr_lte_dpi_http_appcel_d</t>
  </si>
  <si>
    <t>4G_DPI_http小区app维度天表</t>
  </si>
  <si>
    <t>aggr_lte_dpi_http_cel_d</t>
  </si>
  <si>
    <t>4G_DPI_http小区维度天表</t>
  </si>
  <si>
    <t>小区</t>
  </si>
  <si>
    <t>aggr_lte_dpi_web_appcel_h</t>
  </si>
  <si>
    <t>4G_DPI_web小区app维度小时表</t>
  </si>
  <si>
    <t>建维优</t>
  </si>
  <si>
    <t>aggr_lte_dpi_web_appcel_d</t>
  </si>
  <si>
    <t>4G_DPI_web小区app维度天表</t>
  </si>
  <si>
    <t>aggr_lte_dpi_web_cel_h</t>
  </si>
  <si>
    <t>4G_DPI_web小区维度小时表</t>
  </si>
  <si>
    <t>aggr_lte_dpi_web_cel_d</t>
  </si>
  <si>
    <t>4G_DPI_web小区维度天表</t>
  </si>
  <si>
    <t>保留下来的字段沿用表aggr_4g_web_cel_e2e_d字段名称</t>
  </si>
  <si>
    <t>aggr_lte_dpi_im_appcel_h</t>
  </si>
  <si>
    <t>4G_DPI_im小区app维度小时表</t>
  </si>
  <si>
    <t>aggr_lte_dpi_im_appcel_d</t>
  </si>
  <si>
    <t>4G_DPI_im小区app维度天表</t>
  </si>
  <si>
    <t>aggr_lte_dpi_im_cel_h</t>
  </si>
  <si>
    <t>4G_DPI_im小区维度小时表</t>
  </si>
  <si>
    <t>aggr_lte_dpi_im_cel_d</t>
  </si>
  <si>
    <t>4G_DPI_im小区维度天表</t>
  </si>
  <si>
    <t>保留下来的字段沿用表aggr_4g_im_cel_e2e_d字段名称</t>
  </si>
  <si>
    <t>aggr_lte_dpi_game_appcel_h</t>
  </si>
  <si>
    <t>4G_DPI_game小区app维度小时表</t>
  </si>
  <si>
    <t>aggr_lte_dpi_game_appcel_d</t>
  </si>
  <si>
    <t>4G_DPI_game小区app维度天表</t>
  </si>
  <si>
    <t>张玉同</t>
  </si>
  <si>
    <t>已开发</t>
  </si>
  <si>
    <t>aggr_lte_dpi_game_cel_h</t>
  </si>
  <si>
    <t>4G_DPI_game小区维度小时表</t>
  </si>
  <si>
    <t>aggr_lte_dpi_game_cel_d</t>
  </si>
  <si>
    <t>4G_DPI_game小区维度天表</t>
  </si>
  <si>
    <t>保留下来的字段沿用表aggr_4g_game_cel_e2e_d字段名称</t>
  </si>
  <si>
    <t>aggr_lte_dpi_http_apptype_usrcel_h</t>
  </si>
  <si>
    <t>4G_DPI_http协议app类型用户小区维度小时表</t>
  </si>
  <si>
    <t>用户|小区|app类型</t>
  </si>
  <si>
    <t>aggr_lte_dpi_web_usrcel_d</t>
  </si>
  <si>
    <t>4G_DPI_web用户小区维度天表</t>
  </si>
  <si>
    <t>用户|小区</t>
  </si>
  <si>
    <t>aggr_lte_dpi_web_usr_h</t>
  </si>
  <si>
    <t>aggr_lte_dpi_web_usr_d</t>
  </si>
  <si>
    <t>4G_DPI_web用户维度天表</t>
  </si>
  <si>
    <t>用户</t>
  </si>
  <si>
    <t>aggr_lte_dpi_im_usrcel_d</t>
  </si>
  <si>
    <t>4G_DPI_im用户小区维度天表</t>
  </si>
  <si>
    <t>aggr_lte_dpi_im_usr_h</t>
  </si>
  <si>
    <t>aggr_lte_dpi_im_usr_d</t>
  </si>
  <si>
    <t>4G_DPI_im用户维度天表</t>
  </si>
  <si>
    <t>aggr_lte_wechat_payment_usrcel_d</t>
  </si>
  <si>
    <t>4G微信支付用户小区天表</t>
  </si>
  <si>
    <t>沿用表aggr_lte_wechat_scan_code_payment_noc_usrcel_d表结构与字段名称</t>
  </si>
  <si>
    <t>aggr_lte_dpi_game_usrcel_d</t>
  </si>
  <si>
    <t>4G_DPI_game用户小区维度天表</t>
  </si>
  <si>
    <t>aggr_lte_dpi_game_usr_h</t>
  </si>
  <si>
    <t>aggr_lte_dpi_game_usr_d</t>
  </si>
  <si>
    <t>4G_DPI_game用户维度天表</t>
  </si>
  <si>
    <t>aggr_lte_dpi_web_index_reduce_cel_d</t>
  </si>
  <si>
    <t>4G_DPI_web小区维度指标裁剪天表</t>
  </si>
  <si>
    <t>核心系统(CEM感知)</t>
  </si>
  <si>
    <t>对应共享给核心系统的aggr_lteci_web_qoekqi_day，保留下来的字段按照现网名称设计</t>
  </si>
  <si>
    <t>aggr_lte_dpi_im_index_reduce_cel_d</t>
  </si>
  <si>
    <t>4G_DPI_im小区维度指标裁剪天表</t>
  </si>
  <si>
    <t>对应共享给核心系统的aggr_lteci_im_qoekqi_day，保留下来的字段按照现网名称设计</t>
  </si>
  <si>
    <t>aggr_lte_dpi_game_index_reduce_cel_d</t>
  </si>
  <si>
    <t>4G_DPI_game小区维度指标裁剪天表</t>
  </si>
  <si>
    <t>对应共享给核心系统的aggr_lteci_game_qoekqi_day，保留下来的字段按照现网名称设计</t>
  </si>
  <si>
    <t>aggr_lte_dpi_web_index_reduce_usr_d</t>
  </si>
  <si>
    <t>4G_DPI_web用户维度指标裁剪天表</t>
  </si>
  <si>
    <t>对应共享给核心系统的aggr_user_web_qoekqi_day，保留下来的字段按照现网名称设计</t>
  </si>
  <si>
    <t>aggr_lte_dpi_im_index_reduce_usr_d</t>
  </si>
  <si>
    <t>4G_DPI_im用户维度指标裁剪天表</t>
  </si>
  <si>
    <t>对应共享给核心系统的aggr_user_im_qoekqi_day，保留下来的字段按照现网名称设计</t>
  </si>
  <si>
    <t>aggr_lte_dpi_game_index_reduce_usr_d</t>
  </si>
  <si>
    <t>4G_DPI_game用户维度指标裁剪天表</t>
  </si>
  <si>
    <t>对应共享给核心系统的aggr_user_game_qoekqi_day，保留下来的字段按照现网名称设计</t>
  </si>
  <si>
    <t>aggr_lte_dpi_http_apptype_usrappcel_q</t>
  </si>
  <si>
    <t>4G_DPI_app类型用户小区app维度15分钟表</t>
  </si>
  <si>
    <t>aggr_lte_dpi_web_usrappcel_q</t>
  </si>
  <si>
    <t>4G_DPI_web类型用户小区app维度15分钟表</t>
  </si>
  <si>
    <t>aggr_lte_dpi_im_usrappcel_q</t>
  </si>
  <si>
    <t>4G_DPI_im类型用户小区app维度15分钟表</t>
  </si>
  <si>
    <t>aggr_lte_dpi_game_usrappcel_q</t>
  </si>
  <si>
    <t>4G_DPI_game类型用户小区app维度15分钟表</t>
  </si>
  <si>
    <t>aggr_lte_web_usrappcelarea_refactor_d</t>
  </si>
  <si>
    <t>4G_web类型用户小区区域app维度天表</t>
  </si>
  <si>
    <t>用户|小区|区域|app</t>
  </si>
  <si>
    <t>aggr_lte_usrareatime_cel_refactor_d|aggr_nr_dpi_web_usrappcel_q|aggr_lte_dpi_web_usrappcel_q</t>
  </si>
  <si>
    <r>
      <rPr>
        <sz val="9"/>
        <color rgb="FFFF0000"/>
        <rFont val="微软雅黑"/>
        <charset val="134"/>
      </rPr>
      <t>只上线用户级感知13省份，</t>
    </r>
    <r>
      <rPr>
        <sz val="9"/>
        <color theme="1"/>
        <rFont val="微软雅黑"/>
        <charset val="134"/>
      </rPr>
      <t>沿用表aggr_lte_usrarea_web_cel_d表结构与字段名称</t>
    </r>
  </si>
  <si>
    <t>aggr_lte_im_usrappcelarea_refactor_d</t>
  </si>
  <si>
    <t>4G_im类型用户小区区域app维度天表</t>
  </si>
  <si>
    <t>aggr_lte_usrareatime_cel_refactor_d|aggr_nr_dpi_im_usrappcel_q|aggr_lte_dpi_im_usrappcel_q</t>
  </si>
  <si>
    <r>
      <rPr>
        <sz val="9"/>
        <color rgb="FFFF0000"/>
        <rFont val="微软雅黑"/>
        <charset val="134"/>
      </rPr>
      <t>只上线用户级感知13省份，</t>
    </r>
    <r>
      <rPr>
        <sz val="9"/>
        <color theme="1"/>
        <rFont val="微软雅黑"/>
        <charset val="134"/>
      </rPr>
      <t>沿用表aggr_lte_usrarea_im_cel_d表结构与字段名称</t>
    </r>
  </si>
  <si>
    <t>aggr_lte_game_usrappcelarea_refactor_d</t>
  </si>
  <si>
    <t>4G_game类型用户小区区域app维度天表</t>
  </si>
  <si>
    <t>aggr_lte_usrareatime_cel_refactor_d|aggr_nr_dpi_game_usrappcel_q|aggr_lte_dpi_game_usrappcel_q</t>
  </si>
  <si>
    <r>
      <rPr>
        <sz val="9"/>
        <color rgb="FFFF0000"/>
        <rFont val="微软雅黑"/>
        <charset val="134"/>
      </rPr>
      <t>只上线用户级感知13省份，</t>
    </r>
    <r>
      <rPr>
        <sz val="9"/>
        <color theme="1"/>
        <rFont val="微软雅黑"/>
        <charset val="134"/>
      </rPr>
      <t>沿用表aggr_lte_usrarea_game_cel_d表结构与字段名称</t>
    </r>
  </si>
  <si>
    <t>高铁优化</t>
  </si>
  <si>
    <t>aggr_lte_web_highspeedrail_usrcel_h</t>
  </si>
  <si>
    <t>高铁4G web业务用户小区小时表</t>
  </si>
  <si>
    <t>aggr_highspeedrail_usrlist_d|aggr_lte_dpi_web_usrappcel_q</t>
  </si>
  <si>
    <t>沿用表aggr_lte_highspeedrail_web_base_h表结构与字段名称</t>
  </si>
  <si>
    <t>aggr_lte_web_highspeedrail_cel_d</t>
  </si>
  <si>
    <t>高铁4G web业务小区天表</t>
  </si>
  <si>
    <t>沿用表aggr_lte_highspeedrail_web_cel_d表结构与字段名称</t>
  </si>
  <si>
    <t>dq_ods_4gdpi_video_e2e_telecom_q</t>
  </si>
  <si>
    <t>4G_DPI_VIDEO源数据接入质量稽核任务</t>
  </si>
  <si>
    <t>ods_4gdpi_video_e2e_telecom_q</t>
  </si>
  <si>
    <t>fact_lte_dpi_video_q</t>
  </si>
  <si>
    <t>4G_DPI_video整合层15分钟表</t>
  </si>
  <si>
    <t>ods_4gdpi_video_e2e_telecom_q|lte_cm_projdata_refactor</t>
  </si>
  <si>
    <t>aggr_lte_dpi_video_base_q</t>
  </si>
  <si>
    <t>4G_DPI_video基础维度15分钟表</t>
  </si>
  <si>
    <t>aggr_lte_dpi_video_base_h</t>
  </si>
  <si>
    <t>4G_DPI_video基础维度小时表</t>
  </si>
  <si>
    <t>aggr_lte_dpi_video_index_reduce_base_h</t>
  </si>
  <si>
    <t>4G_DPI_video基础维度指标裁剪小时表</t>
  </si>
  <si>
    <t>沿用共享给移动业务感知保障系统的表aggr_4g_video_usrappcel_e2e_h字段名称，但表结构存在变化</t>
  </si>
  <si>
    <t>aggr_lte_dpi_video_usrappcel_h</t>
  </si>
  <si>
    <t>4G_DPI_video用户小区app维度小时表</t>
  </si>
  <si>
    <t>aggr_lte_iov_video_usrappcel_refactor_h</t>
  </si>
  <si>
    <t>4G_DPI_video车联网用户小区app维度小时表</t>
  </si>
  <si>
    <t>aggr_lte_dpi_video_usrappcel_h|cfg_dpi_servicetype|cfg_iov_usr_list</t>
  </si>
  <si>
    <t>沿用共享给5G定制网表aggr_lte_iov_video_usrappcel_h表结构及字段名称</t>
  </si>
  <si>
    <t>aggr_lte_dpi_video_usrapp_h</t>
  </si>
  <si>
    <t>4G_DPI_video用户app维度小时表</t>
  </si>
  <si>
    <t>aggr_lte_dpi_video_usrapp_d</t>
  </si>
  <si>
    <t>4G_DPI_video用户app维度天表</t>
  </si>
  <si>
    <t>aggr_lte_dpi_major_business_usrapp_d</t>
  </si>
  <si>
    <t>4G_DPI_四大业务用户app维度天表</t>
  </si>
  <si>
    <t>aggr_lte_dpi_http_usrapp_d|aggr_lte_dpi_video_usrapp_d|cfg_dpi_servicetype</t>
  </si>
  <si>
    <t>aggr_lte_dpi_video_appcel_h</t>
  </si>
  <si>
    <t>4G_DPI_video小区app维度小时表</t>
  </si>
  <si>
    <t>aggr_lte_dpi_video_appcel_d</t>
  </si>
  <si>
    <t>4G_DPI_video小区app维度天表</t>
  </si>
  <si>
    <t>aggr_lte_dpi_video_cel_h</t>
  </si>
  <si>
    <t>4G_DPI_video小区维度小时表</t>
  </si>
  <si>
    <t>aggr_lte_dpi_video_cel_d</t>
  </si>
  <si>
    <t>4G_DPI_video小区维度天表</t>
  </si>
  <si>
    <t>保留下来的字段沿用表aggr_4g_video_cel_e2e_d字段名称</t>
  </si>
  <si>
    <t>aggr_lte_dpi_video_usrcel_h</t>
  </si>
  <si>
    <t>4G_DPI_video用户小区维度小时表</t>
  </si>
  <si>
    <t>aggr_lte_dpi_video_usrcel_d</t>
  </si>
  <si>
    <t>4G_DPI_video用户小区维度天表</t>
  </si>
  <si>
    <t>aggr_lte_dpi_video_usr_h</t>
  </si>
  <si>
    <t>4G_DPI_video用户维度小时表</t>
  </si>
  <si>
    <t>aggr_lte_dpi_video_usr_d</t>
  </si>
  <si>
    <t>4G_DPI_video用户维度天表</t>
  </si>
  <si>
    <t>aggr_lte_dpi_video_index_reduce_cel_d</t>
  </si>
  <si>
    <t>4G_DPI_video小区维度指标裁剪天表</t>
  </si>
  <si>
    <t>对应共享给核心系统的aggr_lteci_video_qoekqi_day，保留下来的字段按照现网名称设计</t>
  </si>
  <si>
    <t>aggr_lte_dpi_video_index_reduce_usr_d</t>
  </si>
  <si>
    <t>4G_DPI_video用户维度指标裁剪天表</t>
  </si>
  <si>
    <t>对应共享给核心系统的aggr_user_video_qoekqi_day，保留下来的字段按照现网名称设计</t>
  </si>
  <si>
    <t>aggr_lte_dpi_video_usrappcel_q</t>
  </si>
  <si>
    <t>4G_DPI_video用户小区app维度15分钟表</t>
  </si>
  <si>
    <t>aggr_lte_video_usrappcelarea_refactor_d</t>
  </si>
  <si>
    <t>4G_video类型用户小区区域app维度天表</t>
  </si>
  <si>
    <t>aggr_lte_usrareatime_cel_refactor_d|aggr_nr_dpi_video_usrappcel_q|aggr_lte_dpi_video_usrappcel_q</t>
  </si>
  <si>
    <t>只上线用户级感知13省份，沿用表aggr_lte_usrarea_video_cel_d表结构与字段名称</t>
  </si>
  <si>
    <t>aggr_lte_video_highspeedrail_usrcel_h</t>
  </si>
  <si>
    <t>高铁4G video业务用户小区小时表</t>
  </si>
  <si>
    <t>aggr_highspeedrail_usrlist_d|aggr_lte_dpi_video_usrappcel_q</t>
  </si>
  <si>
    <t>沿用表aggr_lte_highspeedrail_video_base_h表结构与字段名称</t>
  </si>
  <si>
    <t>aggr_lte_video_highspeedrail_cel_d</t>
  </si>
  <si>
    <t>高铁4G video业务小区天表</t>
  </si>
  <si>
    <t>沿用表aggr_lte_highspeedrail_video_cel_d表结构与字段名称</t>
  </si>
  <si>
    <t>aggr_lte_dpi_mr_pm_cm_cel_d</t>
  </si>
  <si>
    <t>4G DPI/MR/CM/PM小区清单天表</t>
  </si>
  <si>
    <t>fact_pm_nr_lceldu_d|fact_nr_cm_projdata|aggr_nr_coverage_cel_refactor_d|aggr_nr_dpi_n1n2_cel_d|aggr_nr_dpi_http_cel_d|aggr_nr_dpi_https_cel_d|aggr_nr_dpi_video_cel_d|aggr_nr_dpi_dns_cel_d</t>
  </si>
  <si>
    <t>对应现网表dq_datasouce_4g_cell_check_list_d</t>
  </si>
  <si>
    <t>aggr_4g_core_cellnum_audit_d</t>
  </si>
  <si>
    <t>4G核心网数据小区数及小区上报率统计</t>
  </si>
  <si>
    <t>先不上线，待割接时直接升级</t>
  </si>
  <si>
    <t>aggr_4g_wireless_cellnum_audit_d</t>
  </si>
  <si>
    <t>4G各类无线数据小区数及小区上报率统计</t>
  </si>
  <si>
    <t>省|厂家</t>
  </si>
  <si>
    <t>dq_datasouce_4g_no_cell_list_d</t>
  </si>
  <si>
    <t>4G各类数据未上报小区清单</t>
  </si>
  <si>
    <t>目标表基本信息描述</t>
  </si>
  <si>
    <t>目标表英文名</t>
  </si>
  <si>
    <t>目标表中文名</t>
  </si>
  <si>
    <t>数据频度</t>
  </si>
  <si>
    <t>模型主键</t>
  </si>
  <si>
    <t>推送数据库</t>
  </si>
  <si>
    <t>quarter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</si>
  <si>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</si>
  <si>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</si>
  <si>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</si>
  <si>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</si>
  <si>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</si>
  <si>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</si>
  <si>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</si>
  <si>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4G_DPI_http贴源层详单表</t>
  </si>
  <si>
    <t>A</t>
  </si>
  <si>
    <t>lte_cm_projdata_refactor</t>
  </si>
  <si>
    <t>4G电联工参</t>
  </si>
  <si>
    <t>B</t>
  </si>
  <si>
    <t>A.cellkey=B.reportcellkey</t>
  </si>
  <si>
    <t>cfg_topweb_first_screen_host_list</t>
  </si>
  <si>
    <t>TOP网址首屏时延分析URL配置表</t>
  </si>
  <si>
    <t>C</t>
  </si>
  <si>
    <t>A.host=C.host</t>
  </si>
  <si>
    <t>cfg_http_status_type</t>
  </si>
  <si>
    <t>http-status状态码表</t>
  </si>
  <si>
    <t>D</t>
  </si>
  <si>
    <t>A.httpstatus=D.status_code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</si>
  <si>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</si>
  <si>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</si>
  <si>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</si>
  <si>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</si>
  <si>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</si>
  <si>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</si>
  <si>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</si>
  <si>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</si>
  <si>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</si>
  <si>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</si>
  <si>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</si>
  <si>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interface</t>
  </si>
  <si>
    <t>string</t>
  </si>
  <si>
    <t>接口类型：1、S1-U，4、S11，6、S5/S8，100、N3</t>
  </si>
  <si>
    <t>直取</t>
  </si>
  <si>
    <t>无</t>
  </si>
  <si>
    <t>imsi</t>
  </si>
  <si>
    <t>国际移动用户识别码</t>
  </si>
  <si>
    <t>msisdn</t>
  </si>
  <si>
    <t>用户号码</t>
  </si>
  <si>
    <t>regexp_replace(trim(msisdn),'^86','')</t>
  </si>
  <si>
    <t>imei</t>
  </si>
  <si>
    <t>国际移动设备识别码</t>
  </si>
  <si>
    <t>apn</t>
  </si>
  <si>
    <t>网络接入技术</t>
  </si>
  <si>
    <t>destinationip</t>
  </si>
  <si>
    <t>用户访问的目标 IPv4或IPv6 地址</t>
  </si>
  <si>
    <t>destinationport</t>
  </si>
  <si>
    <t>int</t>
  </si>
  <si>
    <t>用户访问的目标端口号</t>
  </si>
  <si>
    <t>sourceip</t>
  </si>
  <si>
    <t>用户访问外部网络时使用的 IPv4 或 IPv6 地址</t>
  </si>
  <si>
    <t>sourceport</t>
  </si>
  <si>
    <t>用户访问外部网络时使用的端口号</t>
  </si>
  <si>
    <t>sgwip</t>
  </si>
  <si>
    <t>SGW的IPv4或IPv6 地址</t>
  </si>
  <si>
    <t>mmeip</t>
  </si>
  <si>
    <t>MME的IPv4或IPv6地址</t>
  </si>
  <si>
    <t>pgwip</t>
  </si>
  <si>
    <t>PGW的IPv4或IPv6地址</t>
  </si>
  <si>
    <t>ecgi</t>
  </si>
  <si>
    <t>小区唯一标识</t>
  </si>
  <si>
    <t>ecgi：
460-11-4992624</t>
  </si>
  <si>
    <t>tai</t>
  </si>
  <si>
    <t>跟踪区标识</t>
  </si>
  <si>
    <t>tai：460-11-48502</t>
  </si>
  <si>
    <t>visitedplmnid</t>
  </si>
  <si>
    <t>拜访网络标识</t>
  </si>
  <si>
    <t>rattype</t>
  </si>
  <si>
    <t>无线接入类型</t>
  </si>
  <si>
    <t>protocolid</t>
  </si>
  <si>
    <t>协议类型</t>
  </si>
  <si>
    <t>servicetype</t>
  </si>
  <si>
    <t>业务应用分类ID</t>
  </si>
  <si>
    <t>case when destination_url  like '%short.pay.weixin.qq.com%' then 88888888 else servicetype end</t>
  </si>
  <si>
    <t>starttime</t>
  </si>
  <si>
    <t>格式为"yyyy-MM-dd HH:mm:sss"的日期时间</t>
  </si>
  <si>
    <t>endtime</t>
  </si>
  <si>
    <t>duration</t>
  </si>
  <si>
    <t>bigint</t>
  </si>
  <si>
    <t>业务时长</t>
  </si>
  <si>
    <t>inputoctets</t>
  </si>
  <si>
    <t>发给用户的业务字节数</t>
  </si>
  <si>
    <t>outputoctets</t>
  </si>
  <si>
    <t>用户发出的业务字节数</t>
  </si>
  <si>
    <t>inputpacket</t>
  </si>
  <si>
    <t>发给用户的业务数据包数量</t>
  </si>
  <si>
    <t>outputpacket</t>
  </si>
  <si>
    <t>用户发出的业务数据包数量</t>
  </si>
  <si>
    <t>pdnconnectionid</t>
  </si>
  <si>
    <t>PDN 连接的ID标识号</t>
  </si>
  <si>
    <t>bearerid</t>
  </si>
  <si>
    <t>承载标识号</t>
  </si>
  <si>
    <t>bearerqos</t>
  </si>
  <si>
    <t>承载QoS</t>
  </si>
  <si>
    <t>recordclosecause</t>
  </si>
  <si>
    <t>记录关闭原因。采集设备自动生成，数字编号（0： session 释放； 1：业务应用结束； 2：业务应用等待超时； 3：用户位置变化； 4：用户接入方式变化）</t>
  </si>
  <si>
    <t>enbip</t>
  </si>
  <si>
    <t>ENB的IPv4或IPv6地址</t>
  </si>
  <si>
    <t>sgwport</t>
  </si>
  <si>
    <t>对于S1-U口，填写SGW端口</t>
  </si>
  <si>
    <t>enbport</t>
  </si>
  <si>
    <t>ENODEB端口</t>
  </si>
  <si>
    <t>enbgtp_teid</t>
  </si>
  <si>
    <t>对于S1-U口，填写该业务对应承载的eNB侧GTP-TEID</t>
  </si>
  <si>
    <t>sgwgtp_teid</t>
  </si>
  <si>
    <t>对于S1-U口，填写该业务对应承载的SGW侧GTP-TEID</t>
  </si>
  <si>
    <t>pgwport</t>
  </si>
  <si>
    <t>PGW端口</t>
  </si>
  <si>
    <t>mme_ue_s1ap_id</t>
  </si>
  <si>
    <t>MME 分配的 S1AP ID</t>
  </si>
  <si>
    <t>enb_ue_s1ap_id</t>
  </si>
  <si>
    <t>ENodeB 分配的 S1AP ID</t>
  </si>
  <si>
    <t>mme_group_id</t>
  </si>
  <si>
    <t>MME组ID编号</t>
  </si>
  <si>
    <t>mme_code</t>
  </si>
  <si>
    <t>MME ID编号</t>
  </si>
  <si>
    <t>enbid</t>
  </si>
  <si>
    <t>基站ID</t>
  </si>
  <si>
    <t>home_province</t>
  </si>
  <si>
    <t>漫入用户的归属地省份</t>
  </si>
  <si>
    <t>userip</t>
  </si>
  <si>
    <t>终端用户的 IPv4 或 IPv6 地址，如无则填全 F</t>
  </si>
  <si>
    <t>userport</t>
  </si>
  <si>
    <t>用户的四层端口号</t>
  </si>
  <si>
    <t>l4protocol</t>
  </si>
  <si>
    <t>tinyint</t>
  </si>
  <si>
    <t>L4 协议类型：0： TCP；1： UDP</t>
  </si>
  <si>
    <t>l4protocal</t>
  </si>
  <si>
    <t>appserverip</t>
  </si>
  <si>
    <t>访问服务器的 IPv4 或 IPv6地址，如无则填全 F</t>
  </si>
  <si>
    <t>appserver_port</t>
  </si>
  <si>
    <t>访问的服务器的端口</t>
  </si>
  <si>
    <t>ultcpreorderingpacket</t>
  </si>
  <si>
    <t>上行 TCP 乱序报文数。L4 协议非 TCP 传输时，此字段填 0</t>
  </si>
  <si>
    <t>dltcpreorderingpacket</t>
  </si>
  <si>
    <t>下行 TCP 乱序报文数。L4 协议非 TCP 传输时，此字段填 0</t>
  </si>
  <si>
    <t>ultcp_retranspacket</t>
  </si>
  <si>
    <t>上行 TCP 重传报文数。非 TCP 传输时，此字段填 0</t>
  </si>
  <si>
    <t>dltcp_retranspacket</t>
  </si>
  <si>
    <t>下行 TCP 重传报文数。非 TCP 传输时，此字段填 0</t>
  </si>
  <si>
    <t>tcpsetupresponsedelay</t>
  </si>
  <si>
    <t>TCP 建链响应时延（ms）。非 TCP 传输时，此字段填 0</t>
  </si>
  <si>
    <t>serverfirsttcpwindow</t>
  </si>
  <si>
    <t>case when tcpsetupresponsedelay&gt;0 and tcpsetupresponsedelay&lt;50000  then tcpsetupresponsedelay else null  end</t>
  </si>
  <si>
    <t>ms</t>
  </si>
  <si>
    <t>(0,50000)</t>
  </si>
  <si>
    <t>tcpsetupackdelay</t>
  </si>
  <si>
    <t>TCP 建链确认时延（ms）。非 TCP 传输时，此字段填 0</t>
  </si>
  <si>
    <t>userlasttcpwindow</t>
  </si>
  <si>
    <t>case when tcpsetupackdelay&gt;0 and tcpsetupackdelay&lt;50000  then tcpsetupackdelay else null  end</t>
  </si>
  <si>
    <t>ulipfragpacks</t>
  </si>
  <si>
    <t>以内层 IP 包的分片为准</t>
  </si>
  <si>
    <t>dlipfragpacks</t>
  </si>
  <si>
    <t>delay_setup_firsttransaction</t>
  </si>
  <si>
    <t>TCP 建链成功到第一条事务请求的时延（ms）。没有事务的时候可以不填写，此时填 0</t>
  </si>
  <si>
    <t>servermintcpwindow</t>
  </si>
  <si>
    <t>case when delay_setup_firsttransaction&gt;0 and delay_setup_firsttransaction&lt;100000 then delay_setup_firsttransaction else null end</t>
  </si>
  <si>
    <t>(0,100000)</t>
  </si>
  <si>
    <t>delay_firsttransaction_firstrespackt</t>
  </si>
  <si>
    <t>第一条事务请求到其第一个响应包时延（ms）。没有事务的时候可以不填写，此时填 0</t>
  </si>
  <si>
    <t>usermaxtcpwindow</t>
  </si>
  <si>
    <t>case when delay_firsttransaction_firstrespackt&gt;0 and delay_firsttransaction_firstrespackt&lt;100000 then delay_firsttransaction_firstrespackt else null end</t>
  </si>
  <si>
    <t>windowsize</t>
  </si>
  <si>
    <t>窗口大小,TCP 建链协商后的窗口。非 TCP 传输时，此字段填 0</t>
  </si>
  <si>
    <t>msssize</t>
  </si>
  <si>
    <t>MSS 尺寸TCP 层的最大分段大小。非 TCP 传输时，此字段填 0</t>
  </si>
  <si>
    <t>tcpsynnumber</t>
  </si>
  <si>
    <t>TCP 建链尝试次数。TCP SYN 的次数，一次 TCP流多次 SYN 的数值。非 TCP 传输时，此字段填 0</t>
  </si>
  <si>
    <t>tcpconnectstate</t>
  </si>
  <si>
    <t>TCP 连接状态指示。0：成功；1：失败</t>
  </si>
  <si>
    <t>sessionstopflag</t>
  </si>
  <si>
    <t>会话是否结束标志。1：结束；2：未结束</t>
  </si>
  <si>
    <t>ue_ambr_ul</t>
  </si>
  <si>
    <t>上行UE AMBR</t>
  </si>
  <si>
    <t>ue_ambr_dl</t>
  </si>
  <si>
    <t>下行UE AMBR</t>
  </si>
  <si>
    <t>apn_ambr_ul</t>
  </si>
  <si>
    <t>上行APN AMBR，单位：Kbps</t>
  </si>
  <si>
    <t>apn_ambr_dl</t>
  </si>
  <si>
    <t>下行APN AMBR，单位：Kbps</t>
  </si>
  <si>
    <t>bearer_qci</t>
  </si>
  <si>
    <t>承载的QCI，取值范围从 1到 9</t>
  </si>
  <si>
    <t>useragent</t>
  </si>
  <si>
    <t>User-Agent，标注浏览器信息，通常指各个手机开发包的名称及版本信息</t>
  </si>
  <si>
    <t>destinationurl</t>
  </si>
  <si>
    <t>用户访问的目标网站的 URL。根据请求包 GET 字段提取</t>
  </si>
  <si>
    <t>domainname</t>
  </si>
  <si>
    <t>外部网站的域名。根据请求包 HOST 字段提取</t>
  </si>
  <si>
    <t>host</t>
  </si>
  <si>
    <t>访问域名</t>
  </si>
  <si>
    <t>contentlen</t>
  </si>
  <si>
    <t>内容大小Content-Length，协议标准字段</t>
  </si>
  <si>
    <t>contenttype</t>
  </si>
  <si>
    <t>内容类型</t>
  </si>
  <si>
    <t>iflink</t>
  </si>
  <si>
    <t>是否是链接访问， 0=否， 1=是</t>
  </si>
  <si>
    <t>referer</t>
  </si>
  <si>
    <t>链接源信息</t>
  </si>
  <si>
    <t>httpaction</t>
  </si>
  <si>
    <t>HTTP 操作类型（5:Post, 6:Get）</t>
  </si>
  <si>
    <t>httpstatus</t>
  </si>
  <si>
    <t>HTTP状态码</t>
  </si>
  <si>
    <t>respdelay</t>
  </si>
  <si>
    <t>响应时延，单位毫秒</t>
  </si>
  <si>
    <t>behaviortarget</t>
  </si>
  <si>
    <t>目标行为， 0：会话是用户主动点击的页面；1：站点目标而产生的页面。</t>
  </si>
  <si>
    <t>syntime</t>
  </si>
  <si>
    <t>SYN 时间戳，UTC 时间，从 1970/1/1 00:00:00 开始到当前的毫秒数。</t>
  </si>
  <si>
    <t>synacktime</t>
  </si>
  <si>
    <t>SYNACK 时间戳，UTC 时间，从 1970/1/1 00:00:00 开始到当前的毫秒数。</t>
  </si>
  <si>
    <t>acktime</t>
  </si>
  <si>
    <t>ACK 时间戳，UTC 时间，从 1970/1/1 00:00:00 开始到当前的毫秒数。</t>
  </si>
  <si>
    <t>actiontime</t>
  </si>
  <si>
    <t>首个 HTTP 请求的时间戳，UTC 时间，从 1970/1/1 00:00:00 开始到当前的毫秒数。</t>
  </si>
  <si>
    <t>firstpackettime</t>
  </si>
  <si>
    <t>第一个数据响应包的时间戳，UTC 时间，从 1970/1/1 00:00:00 开始到当前的毫秒数。</t>
  </si>
  <si>
    <t>pageopentime</t>
  </si>
  <si>
    <t>首页打开的时间戳，UTC 时间，从 1970/1/1 00:00:00 开始到当前的毫秒数。</t>
  </si>
  <si>
    <t>lastpacktime</t>
  </si>
  <si>
    <t>最后一个数据包时间戳，UTC 时间，从 1970/1/1 00:00:00 开始到当前的毫秒数。</t>
  </si>
  <si>
    <t>pagevolume</t>
  </si>
  <si>
    <t>首页数据大小，单位为 byte</t>
  </si>
  <si>
    <t>httpversion</t>
  </si>
  <si>
    <t>HTTP 版本。0x01----HTTP0.9；0x02----HTTP1.0；0x03----HTTP1.1；0x04----HTTP2.0；0x05----WAP1.0；0x06----WAP1.1；0x07----WAP1.2</t>
  </si>
  <si>
    <t>firstresptime</t>
  </si>
  <si>
    <t>第一个 HTTP 响应包时间戳，相对于于第一个 HTTP请求包（如 get 命令）的相应包的时间UTC 时间，从 1970/1/1 00:00:00 开始到当前的毫秒数</t>
  </si>
  <si>
    <t>lastacktime</t>
  </si>
  <si>
    <t>最后一个 ACK 确认包的时间戳，收到最后一个 HTTP 包的ACK 如果无 ACK，则按照最后一个数据包计算UTC 时间，从 1970/1/1 00:00:00 开始到当前的毫秒数。</t>
  </si>
  <si>
    <t>cookie</t>
  </si>
  <si>
    <t>协议中 Cookie 字段</t>
  </si>
  <si>
    <t>wtpfailtype</t>
  </si>
  <si>
    <t>Wtp 中断类型</t>
  </si>
  <si>
    <t>wtpfailcause</t>
  </si>
  <si>
    <t>wtp 中断原因</t>
  </si>
  <si>
    <t>title</t>
  </si>
  <si>
    <t>网站名称，在上网内容里解析</t>
  </si>
  <si>
    <t>key_word</t>
  </si>
  <si>
    <t>网站关键字，在上网内容里解析</t>
  </si>
  <si>
    <t>webbrowser</t>
  </si>
  <si>
    <t>浏览工具</t>
  </si>
  <si>
    <t>firstfinacktime</t>
  </si>
  <si>
    <t>第一个TCP FinAck包时间戳，UTC 时 间 ， 从 1970/1/1 00:00:00 开始到当前的毫秒数。</t>
  </si>
  <si>
    <t>dnsquerytime</t>
  </si>
  <si>
    <t>DNS关联流的请求时间，UTC 时 间 ， 从 1970/1/1 00:00:00 开始到当前的毫秒数。</t>
  </si>
  <si>
    <t>dnsresponsetime</t>
  </si>
  <si>
    <t>DNS关联流的应答时间戳。无关联流，此字段填写0。UTC 时 间 ， 从 1970/1/1 00:00:00 开始到当前的毫秒数</t>
  </si>
  <si>
    <t>dnsflowid</t>
  </si>
  <si>
    <t>HTTP流与DNS流的关联ID。无关联流，此字段填写0。UTC 时 间 ， 从 1970/1/1 00:00:00 开始到当前的毫秒数</t>
  </si>
  <si>
    <t>firstscreenfintime</t>
  </si>
  <si>
    <t>首屏完成时间戳，默认值0。算法见《中国电信2017年移动互联网业务感知质量评价细则》。UTC 时 间 ， 从 1970/1/1 00:00:00 开始到当前的毫秒数。</t>
  </si>
  <si>
    <t>httpresponse</t>
  </si>
  <si>
    <t>http响应</t>
  </si>
  <si>
    <t>transactions</t>
  </si>
  <si>
    <t>同一个流中的事务计数</t>
  </si>
  <si>
    <t>cellkey</t>
  </si>
  <si>
    <t>小区cellkey</t>
  </si>
  <si>
    <t>concat(floor(cast(split(ecgi, '-')[2] as int)/256),"_",cast(split(ecgi, '-')[2] as int)%256)</t>
  </si>
  <si>
    <t>citycode</t>
  </si>
  <si>
    <t>地市编码</t>
  </si>
  <si>
    <t>关联工参回填</t>
  </si>
  <si>
    <t>districtcode</t>
  </si>
  <si>
    <t>区县编码</t>
  </si>
  <si>
    <t>province</t>
  </si>
  <si>
    <t>省名称</t>
  </si>
  <si>
    <t>city</t>
  </si>
  <si>
    <t>地市名称</t>
  </si>
  <si>
    <t>district</t>
  </si>
  <si>
    <t>区县名称</t>
  </si>
  <si>
    <t>http_req_cnt</t>
  </si>
  <si>
    <t>http请求次数</t>
  </si>
  <si>
    <t>case when httpstatus is not null then 1 else 0 end</t>
  </si>
  <si>
    <t>1,0</t>
  </si>
  <si>
    <t>http_succ_cnt</t>
  </si>
  <si>
    <t>http请求成功次数</t>
  </si>
  <si>
    <t>case when httpstatus&gt;0 and httpstatus&lt;400  then 1 else 0 end</t>
  </si>
  <si>
    <t>http_complete_cnt</t>
  </si>
  <si>
    <t>http请求完成次数</t>
  </si>
  <si>
    <t>case when httpstatus&gt;0 and httpstatus&lt;400 and  lastpacktime&gt;0 then 1 else 0 end</t>
  </si>
  <si>
    <t>dnsresponse_delay</t>
  </si>
  <si>
    <t>DNS响应时延</t>
  </si>
  <si>
    <t>case when  dnsquerytime&gt;0 and dnsresponsetime&gt;dnsquerytime and dnsresponsetime - dnsquerytime &lt; 30000 then  dnsresponsetime - dnsquerytime else null end</t>
  </si>
  <si>
    <t>现网算法（无明显变更）：case when dnsquerytime&gt;0 and dnsresponsetime&gt;0 and (dnsresponsetime-dnsquerytime)&gt;=0 and (dnsresponsetime-dnsquerytime) &lt;30000 then dnsresponsetime-dnsquerytime else 0 end</t>
  </si>
  <si>
    <t>(0,30000)</t>
  </si>
  <si>
    <t>syntime_dnsresponse_delay</t>
  </si>
  <si>
    <t>DNS建立完成到TCP握手时延</t>
  </si>
  <si>
    <t>case when  dnsresponsetime&gt;0 and syntime&gt;dnsresponsetime and syntime-dnsresponse&lt;50000 then  syntime-dnsresponsetime else null end</t>
  </si>
  <si>
    <t>现网算法（算法存在变更）：null</t>
  </si>
  <si>
    <t>tcpsetupdelay</t>
  </si>
  <si>
    <t>TCP建立时延</t>
  </si>
  <si>
    <t>case when tcpsetupresponsedelay &gt;0  and tcpsetupackdelay &gt;0 and (tcpsetupresponsedelay+tcpsetupackdelay) &lt;50000 then  tcpsetupresponsedelay+tcpsetupackdelay else null end</t>
  </si>
  <si>
    <t>现网算法（无明显变更）：tcp_resp_delay+tcp_ack_delay</t>
  </si>
  <si>
    <t>httpwebrspdelay</t>
  </si>
  <si>
    <t>网页首包时延，也叫网页响应时延</t>
  </si>
  <si>
    <t>case when dnsquerytime&gt;0 and firstresptime&gt;dnsquerytime and firstresptime - dnsquerytime&lt;100000 then firstresptime - dnsquerytime when syntime&gt;0 and firstresptime&gt;syntime and (firstresptime - syntime) &lt;100000 then (firstresptime - syntime)   else null end</t>
  </si>
  <si>
    <t>现网算法（算法存在变更）：case when  DNSQueryTime &gt;0 and FirstPacketTime&gt;DNSQueryTime then FirstPacketTime-DNSQueryTime when SYNtime &gt;0 and FirstPacketTime&gt;SYNtime then FirstPacketTime-SYNtime   else null end as httpwebrspdelay</t>
  </si>
  <si>
    <t>(0,10000)</t>
  </si>
  <si>
    <t>httpwebdspdelay</t>
  </si>
  <si>
    <t>网页显示时延，也叫网页完整打开时延</t>
  </si>
  <si>
    <t>case when dnsquerytime&gt;0 and lastpacktime&gt;dnsquerytime and lastpacktime - dnsquerytime&lt;30000 then lastpacktime - dnsquerytime when syntime &gt; 0 and lastpacktime &gt; syntime and lastpacktime - syntime &lt; 30000 then  lastpacktime-syntime   else null end</t>
  </si>
  <si>
    <t>现网算法（无明显变更）：case when DNSQueryTime&gt;0 and Lastpacktime&gt;DNSQueryTime then Lastpacktime-DNSQueryTime when syntime&gt;0  and Lastpacktime&gt;SYNtime then Lastpacktime-SYNtime   else null end as httpwebdspdelay</t>
  </si>
  <si>
    <t>httpwebscreendelay</t>
  </si>
  <si>
    <t>网页首屏时延</t>
  </si>
  <si>
    <t>case when dnsquerytime&gt;0 and firstscreenfintime&gt;dnsquerytime and firstscreenfintime - dnsquerytime&lt;100000 then firstscreenfintime - dnsquerytime when syntime &gt;0  and firstscreenfintime&gt;syntime and firstscreenfintime-syntime&lt;100000 then firstscreenfintime-syntime   else null end</t>
  </si>
  <si>
    <t>现网算法（无明显变更）：case when  DNSQueryTime &gt;0  and FirstScreenFinTime&gt;DNSQueryTime then FirstScreenFinTime-DNSQueryTime when SYNtime&gt;0 and FirstScreenFinTime&gt;SYNtime then FirstScreenFinTime-SYNtime   else null end as httpwebscreendelay</t>
  </si>
  <si>
    <t>is_topweb_first_screen_host</t>
  </si>
  <si>
    <t>是否用于计算首屏时延的主流网址（1：是；0：否）</t>
  </si>
  <si>
    <t>通过host关联C表，能关联上则取1，否则取0</t>
  </si>
  <si>
    <t>sourceip_type</t>
  </si>
  <si>
    <t>用户访问外部网络时使用的IP类型（IPv4/IPv6）</t>
  </si>
  <si>
    <t>根据sourceip回填属于IPV6/IPV4</t>
  </si>
  <si>
    <t>case when sourceip regexp '^((25[0-5]|2[0-4]\\d|[01]?\\d\\d?)\\.){3}(25[0-5]|2[0-4]\\d|[01]?\\d\\d?)$' then 'ipv4' when sourceip regexp '^([\\da-fA-F]{1,4}:){7}[\\da-fA-F]{1,4}$' then 'ipv6' else '' end as sourceip_type</t>
  </si>
  <si>
    <t>ipv4,ipv6</t>
  </si>
  <si>
    <t>business_type</t>
  </si>
  <si>
    <t>业务类型（im、web、game、video、other）</t>
  </si>
  <si>
    <t>1、先将微信扫码业务置为88888888，再分类
case when ((servicetype&gt;=01000101 and servicetype&lt;01999901) 
        or (servicetype&gt;=04000100 and servicetype&lt;04999901)
        or (servicetype = 88888888)) 
       and (servicetype not in (01000212,01004600,01001300)) then 'im' 
     when ((servicetype&gt;=13000100 and servicetype&lt;13999901) 
        or (servicetype&gt;=16000100 and servicetype&lt;16999901) 
        or (servicetype&gt;=10000101 and servicetype&lt;10999901) 
        or (servicetype&gt;=07000100 and servicetype&lt;07999901) 
        or (servicetype&gt;=19000100 and servicetype&lt;19999901) 
        or (servicetype&gt;=09000101 and servicetype&lt;09999901) 
        or (servicetype&gt;=06000101 and servicetype&lt;06999901) 
        or (servicetype&gt;=08000101 and servicetype&lt;08999901) 
        or (servicetype&gt;=11000101 and servicetype&lt;11999901) 
        or (servicetype&gt;=14000101 and servicetype&lt;14999901) 
        or (servicetype&gt;=17000101 and servicetype&lt;17999901) 
        or (servicetype&gt;=18000101 and servicetype&lt;18999901)) 
        and (servicetyp not in (09000101,09000601,09000701,09000801,09001800,09001900,09002000,09001202,01000212,01001300,01004600,09000603)) then 'web' 
     when servicetype&gt;=05000100 and servicetype&lt;05999901 then 'game' 
     when (servicetype&gt;=02000101 and servicetype&lt;02999901) then 'video'
     else 'other' end</t>
  </si>
  <si>
    <t>im,web,game,video,other</t>
  </si>
  <si>
    <t>is_abnormal</t>
  </si>
  <si>
    <t>是否质差话单</t>
  </si>
  <si>
    <t>case when (tcpsetupresponsedelay&gt;= 110  and tcpsetupresponsedelay&lt;50000) or (tcpsetupackdelay&gt;=110  and tcpsetupackdelay&lt;50000)  or  ultcp_retranspacket/outputpacket&gt;=0.15 or dltcp_retranspacket/inputpacket&gt;=0.15 then 1 else 0 end</t>
  </si>
  <si>
    <t>is_core_delimit</t>
  </si>
  <si>
    <t>是否核心网问题</t>
  </si>
  <si>
    <t>case when (tcpsetupresponsedelay&gt;=110 and tcpsetupresponsedelay&lt;50000)  or ultcp_retranspacket/outputpacket&gt;0.15 then 1 else 0 end</t>
  </si>
  <si>
    <t>is_wireless_delimit</t>
  </si>
  <si>
    <t>是否无线网络问题</t>
  </si>
  <si>
    <t>case when (tcpsetupackdelay&gt;=110 and tcpsetupackdelay&lt;50000)  or dltcp_retranspacket/inputpacket&gt;0.15 then 1 else 0 end</t>
  </si>
  <si>
    <t>is_usr_delimit</t>
  </si>
  <si>
    <t>是否用户问题</t>
  </si>
  <si>
    <t>A表与D表关联，取D表problem_demarcation。
case when problem_demarcation='用户' then 1 else 0 end</t>
  </si>
  <si>
    <t>is_sp_delimit</t>
  </si>
  <si>
    <t>是否sp服务器问题</t>
  </si>
  <si>
    <t>A表与D表关联，取D表problem_demarcation。
case when problem_demarcation='SP服务商' then 1 else 0 end</t>
  </si>
  <si>
    <t>httpstatus_position</t>
  </si>
  <si>
    <t>http状态码原因定位</t>
  </si>
  <si>
    <t>problem_position</t>
  </si>
  <si>
    <t>p_provincecode</t>
  </si>
  <si>
    <t>省分区</t>
  </si>
  <si>
    <t>p_date</t>
  </si>
  <si>
    <t>天分区</t>
  </si>
  <si>
    <t>p_hour</t>
  </si>
  <si>
    <t>小时分区</t>
  </si>
  <si>
    <t>p_quarter</t>
  </si>
  <si>
    <t>15分钟分区</t>
  </si>
  <si>
    <t>day</t>
  </si>
  <si>
    <t>日期</t>
  </si>
  <si>
    <t>维度</t>
  </si>
  <si>
    <t>yyyy-mm-dd</t>
  </si>
  <si>
    <t>hour</t>
  </si>
  <si>
    <t>0~23</t>
  </si>
  <si>
    <t>0~3</t>
  </si>
  <si>
    <t>接口类型</t>
  </si>
  <si>
    <t>&lt;=101</t>
  </si>
  <si>
    <t>网络类型（4G：6；5G：10）</t>
  </si>
  <si>
    <t>6,10</t>
  </si>
  <si>
    <t>provincecode</t>
  </si>
  <si>
    <t>省编码</t>
  </si>
  <si>
    <t>6位数编码</t>
  </si>
  <si>
    <t>市编码</t>
  </si>
  <si>
    <t>区编码</t>
  </si>
  <si>
    <t>用户imsi</t>
  </si>
  <si>
    <t>用户终端</t>
  </si>
  <si>
    <t>SGW在GTP-U上的IP地址</t>
  </si>
  <si>
    <t>MME在GTP-C上的IP地址</t>
  </si>
  <si>
    <t>用户在GTP-U和PMIPv6会话时使用的PGW IP地址。如[RFC 2002]定义</t>
  </si>
  <si>
    <t>业务应用</t>
  </si>
  <si>
    <t>归属省份</t>
  </si>
  <si>
    <t>L4协议类型： 0：TCP；1：UDP</t>
  </si>
  <si>
    <t>0,1</t>
  </si>
  <si>
    <t>当前业务流所属承载的QCI。</t>
  </si>
  <si>
    <t>http状态码</t>
  </si>
  <si>
    <t>abnormal_cnt</t>
  </si>
  <si>
    <t>质差话单数量</t>
  </si>
  <si>
    <t xml:space="preserve">sum(is_abnormal) </t>
  </si>
  <si>
    <t>指标</t>
  </si>
  <si>
    <t>&gt;=0</t>
  </si>
  <si>
    <t>record_cnt</t>
  </si>
  <si>
    <t>记录数</t>
  </si>
  <si>
    <t xml:space="preserve">count(1) </t>
  </si>
  <si>
    <t>speedlimit_cnt</t>
  </si>
  <si>
    <t>限速记录数</t>
  </si>
  <si>
    <t>sum(case when (ue_ambr_ul&gt;0 and ue_ambr_ul&lt;5000) or (ue_ambr_dl&gt;0 and ue_ambr_dl&lt;5000) then 1 else 0 end)</t>
  </si>
  <si>
    <t>持续时间，单位毫秒</t>
  </si>
  <si>
    <t>sum(duration)</t>
  </si>
  <si>
    <t>上行流量(byte)</t>
  </si>
  <si>
    <t>sum(outputoctets)</t>
  </si>
  <si>
    <t>byte</t>
  </si>
  <si>
    <t>下行流量(byte)</t>
  </si>
  <si>
    <t>sum(inputoctets)</t>
  </si>
  <si>
    <t>outputoctets_above500</t>
  </si>
  <si>
    <t>上行大包业务流量(&gt;=500KB)</t>
  </si>
  <si>
    <t>sum(case when outputoctets&gt;=500*1024 then outputoctets else 0 end)</t>
  </si>
  <si>
    <t>outputoctets_above500_cnt</t>
  </si>
  <si>
    <t>上行大包条数(&gt;=500KB)</t>
  </si>
  <si>
    <t>sum(case when outputoctets&gt;=500*1024 then 1  else 0 end)</t>
  </si>
  <si>
    <t>outputoctets_above500_highdelay_cnt</t>
  </si>
  <si>
    <t>上行大包高时延条数（&gt;100ms）</t>
  </si>
  <si>
    <t>sum(case when outputoctets&gt;=500*1024 and  tcpsetupresponsedelay&gt;100  then 1  else 0 end)</t>
  </si>
  <si>
    <t>inputoctets_above500</t>
  </si>
  <si>
    <t>下行大包业务流量(&gt;=500KB)</t>
  </si>
  <si>
    <t>sum(case when inputoctets&gt;=500*1024 then inputoctets else 0 end)</t>
  </si>
  <si>
    <t>inputoctets_above500_cnt</t>
  </si>
  <si>
    <t>下行大包条数(&gt;=500KB)</t>
  </si>
  <si>
    <t>sum(case when inputoctets&gt;=500*1024 then 1  else 0 end)</t>
  </si>
  <si>
    <t>inputoctets_above500_highdelay_cnt</t>
  </si>
  <si>
    <t>下行大包高时延条数（&gt;100ms）</t>
  </si>
  <si>
    <t>sum(case when inputoctets&gt;=500*1024  and tcpsetupackdelay&gt;100   then 1  else 0 end)</t>
  </si>
  <si>
    <t>ul_flux_throughput</t>
  </si>
  <si>
    <t>double</t>
  </si>
  <si>
    <t>上传速率流量(kbps)</t>
  </si>
  <si>
    <t>sum(case when dnsquerytime &gt;0 and lastpacktime-dnsquerytime&gt;0 and outputoctets&gt;0 then outputoctets*8/1024 when syntime &gt;0 and lastpacktime-syntime&gt;0 and outputoctets&gt;0 then outputoctets*8/1024 else 0 end)</t>
  </si>
  <si>
    <t>kbps</t>
  </si>
  <si>
    <t>&gt;0</t>
  </si>
  <si>
    <t>ul_duration_throughput</t>
  </si>
  <si>
    <t>上传速率时长(s)</t>
  </si>
  <si>
    <t>sum(case when dnsquerytime &gt;0 and lastpacktime-dnsquerytime&gt;0 and outputoctets&gt;0 then (lastpacktime-dnsquerytime)/1000 when syntime &gt;0 and lastpacktime-syntime&gt;0 and outputoctets&gt;0 then (lastpacktime-syntime)/1000 else 0 end)</t>
  </si>
  <si>
    <t>s</t>
  </si>
  <si>
    <t>dl_flux_throughput</t>
  </si>
  <si>
    <t>下载速率流量(kbps)</t>
  </si>
  <si>
    <t>sum(case when dnsquerytime &gt;0 and lastpacktime-dnsquerytime&gt;0 and inputoctets&gt;0 then inputoctets*8/1024 when syntime &gt;0 and lastpacktime-syntime&gt;0 and inputoctets&gt;0 then inputoctets*8/1024 else 0 end)</t>
  </si>
  <si>
    <t>dl_duration_throughput</t>
  </si>
  <si>
    <t>下载速率时长(s)</t>
  </si>
  <si>
    <t>sum(case when dnsquerytime &gt;0 and lastpacktime-dnsquerytime&gt;0 and inputoctets&gt;0 then (lastpacktime-dnsquerytime)/1000 when syntime &gt;0 and lastpacktime-syntime&gt;0 and inputoctets&gt;0 then (lastpacktime-syntime)/1000 else 0 end)</t>
  </si>
  <si>
    <t>ul_flux_throughput_big500</t>
  </si>
  <si>
    <t>上传大包速率流量-500KB(kbps)</t>
  </si>
  <si>
    <t>sum(case when dnsquerytime &gt;0 and lastpacktime-dnsquerytime&gt;0 and outputoctets&gt;500*1024 then outputoctets*8/1024 when syntime &gt;0 and lastpacktime-syntime&gt;0 and outputoctets&gt;500*1024 then outputoctets*8/1024 else 0 end)</t>
  </si>
  <si>
    <t>ul_duration_throughput_big500</t>
  </si>
  <si>
    <t>上传大包速率时长-500KB(s)</t>
  </si>
  <si>
    <t>sum(case when dnsquerytime &gt;0 and lastpacktime-dnsquerytime&gt;0 and outputoctets&gt;500*1024 then (lastpacktime-dnsquerytime)/1000 when syntime &gt;0 and lastpacktime-syntime&gt;0 and outputoctets&gt;500*1024 then (lastpacktime-syntime)/1000 else 0 end)</t>
  </si>
  <si>
    <t>dl_flux_throughput_big500</t>
  </si>
  <si>
    <t>下载大包速率流量-500KB(kbps)</t>
  </si>
  <si>
    <t>sum(case when dnsquerytime &gt;0 and lastpacktime-dnsquerytime&gt;0 and inputoctets&gt;500*1024 then inputoctets*8/1024 when syntime &gt;0 and lastpacktime-syntime&gt;0 and inputoctets&gt;500*1024 then inputoctets*8/1024 else 0 end)</t>
  </si>
  <si>
    <t>dl_duration_throughput_big500</t>
  </si>
  <si>
    <t>下载大包速率时长-500KB(s)</t>
  </si>
  <si>
    <t>sum(case when dnsquerytime &gt;0 and lastpacktime-dnsquerytime&gt;0 and inputoctets&gt;500*1024 then (lastpacktime-dnsquerytime)/1000 when syntime &gt;0 and lastpacktime-syntime&gt;0 and inputoctets&gt;500*1024 then (lastpacktime-syntime)/1000 else 0 end)</t>
  </si>
  <si>
    <t>上行包数</t>
  </si>
  <si>
    <t>sum(outputpacket)</t>
  </si>
  <si>
    <t>下行包数</t>
  </si>
  <si>
    <t>sum(inputpacket)</t>
  </si>
  <si>
    <t>上行TCP乱序报文数，L4协议，非TCP传输时，此字段填0</t>
  </si>
  <si>
    <t>sum(ultcpreorderingpacket)</t>
  </si>
  <si>
    <t>下行TCP乱序报文数，非TCP传输时，此字段填0</t>
  </si>
  <si>
    <t>sum(dltcpreorderingpacket)</t>
  </si>
  <si>
    <t>ultcpretranspacket</t>
  </si>
  <si>
    <t>上行TCP重传报文数，非TCP传输时，此字段填0</t>
  </si>
  <si>
    <t>sum(ultcp_retranspacket)</t>
  </si>
  <si>
    <t>dltcpretranspacket</t>
  </si>
  <si>
    <t>下行TCP重传报文数，非TCP传输时，此字段填0</t>
  </si>
  <si>
    <t>sum(dltcp_retranspacket)</t>
  </si>
  <si>
    <t>tcpconnfail_cnt</t>
  </si>
  <si>
    <t>TCP连接失败次数</t>
  </si>
  <si>
    <t>sum(case when tcpconnectstate=1 then  1  else 0 end)</t>
  </si>
  <si>
    <t>tcpconnreq_cnt</t>
  </si>
  <si>
    <t>上行TCP建立请求次数</t>
  </si>
  <si>
    <t>sum(case when tcpsynnumber&gt;0 then 1 else 0 end)</t>
  </si>
  <si>
    <t>tcpconnulsuc_cnt</t>
  </si>
  <si>
    <t>上行TCP建立成功次数</t>
  </si>
  <si>
    <t>sum(case when tcpsetupresponsedelay&gt;0 then 1 else 0 end)</t>
  </si>
  <si>
    <t>tcpconndlsuc_cnt</t>
  </si>
  <si>
    <t>下行TCP建立成功次数</t>
  </si>
  <si>
    <t>sum(case when tcpsetupresponsedelay&gt;0 and tcpsetupackdelay&gt;0 then  1 else 0 end)</t>
  </si>
  <si>
    <t>上行IP分片包大小</t>
  </si>
  <si>
    <t>sum(ulipfragpacks)</t>
  </si>
  <si>
    <t>下行IP分片包大小</t>
  </si>
  <si>
    <t>sum(dlipfragpacks)</t>
  </si>
  <si>
    <t>Http请求次数</t>
  </si>
  <si>
    <t>sum(http_req_cnt)</t>
  </si>
  <si>
    <t>Http请求成功次数</t>
  </si>
  <si>
    <t>sum(http_succ_cnt)</t>
  </si>
  <si>
    <t>sum(http_complete_cnt)</t>
  </si>
  <si>
    <t>tcpsetupresponsedelay_cnt</t>
  </si>
  <si>
    <t>TCP建链响应次数</t>
  </si>
  <si>
    <t>tcpsetupresponsedelay_avg</t>
  </si>
  <si>
    <t>TCP建链响应时延_avg</t>
  </si>
  <si>
    <t>avg(tcpsetupresponsedelay)</t>
  </si>
  <si>
    <t>tcpsetupresponsedelay_cnt_0_50</t>
  </si>
  <si>
    <t>TCP建链响应时延在(0,50]的次数</t>
  </si>
  <si>
    <t>count(case when tcpsetupresponsedelay&gt;0 and tcpsetupresponsedelay&lt;=50 then 1 else null end)</t>
  </si>
  <si>
    <t>tcpsetupresponsedelay_cnt_50_100</t>
  </si>
  <si>
    <t>TCP建链响应时延在(50,100]的次数</t>
  </si>
  <si>
    <t>count(case when tcpsetupresponsedelay&gt;50 and tcpsetupresponsedelay&lt;=100 then 1 else null end)</t>
  </si>
  <si>
    <t>tcpsetupresponsedelay_cnt_100_150</t>
  </si>
  <si>
    <t>TCP建链响应时延在(100,150]的次数</t>
  </si>
  <si>
    <t>count(case when tcpsetupresponsedelay&gt;100 and tcpsetupresponsedelay&lt;=150 then 1 else null end)</t>
  </si>
  <si>
    <t>tcpsetupresponsedelay_cnt_150_200</t>
  </si>
  <si>
    <t>TCP建链响应时延在(150,200]的次数</t>
  </si>
  <si>
    <t>count(case when tcpsetupresponsedelay&gt;150 and tcpsetupresponsedelay&lt;=200 then 1 else null end)</t>
  </si>
  <si>
    <t>tcpsetupresponsedelay_cnt_greater_200</t>
  </si>
  <si>
    <t>TCP建链响应时延在(200,50000]的次数</t>
  </si>
  <si>
    <t>count(case when tcpsetupresponsedelay&gt;200 and tcpsetupresponsedelay&lt;=50000 then 1 else null end)</t>
  </si>
  <si>
    <t>tcpsetupackdelay_cnt</t>
  </si>
  <si>
    <t>TCP建链确认次数</t>
  </si>
  <si>
    <t>sum(case when tcpsetupackdelay&gt;0 then 1 else 0 end)</t>
  </si>
  <si>
    <t>tcpsetupackdelay_avg</t>
  </si>
  <si>
    <t>TCP建链确认时延_avg</t>
  </si>
  <si>
    <t>avg(tcpsetupackdelay)</t>
  </si>
  <si>
    <t>tcpsetupackdelay_cnt_0_50</t>
  </si>
  <si>
    <t>TCP建链确认时延在(0,50]的次数</t>
  </si>
  <si>
    <t>count(case when tcpsetupackdelay&gt;0 and tcpsetupackdelay&lt;=50 then 1 else null end)</t>
  </si>
  <si>
    <t>tcpsetupackdelay_cnt_50_100</t>
  </si>
  <si>
    <t>TCP建链确认时延在(50,100]的次数</t>
  </si>
  <si>
    <t>count(case when tcpsetupackdelay&gt;50 and tcpsetupackdelay&lt;=100 then 1 else null end)</t>
  </si>
  <si>
    <t>tcpsetupackdelay_cnt_100_150</t>
  </si>
  <si>
    <t>TCP建链确认时延在(100,150]的次数</t>
  </si>
  <si>
    <t>count(case when tcpsetupackdelay&gt;100 and tcpsetupackdelay&lt;=150 then 1 else null end)</t>
  </si>
  <si>
    <t>tcpsetupackdelay_cnt_150_200</t>
  </si>
  <si>
    <t>TCP建链确认时延在(150,200]的次数</t>
  </si>
  <si>
    <t>count(case when tcpsetupackdelay&gt;150 and tcpsetupackdelay&lt;=200 then 1 else null end)</t>
  </si>
  <si>
    <t>tcpsetupackdelay_cnt_greater_200</t>
  </si>
  <si>
    <t>TCP建链确认时延在(200,50000]的次数</t>
  </si>
  <si>
    <t>count(case when tcpsetupackdelay&gt;200 and tcpsetupackdelay&lt;=50000 then 1 else null end)</t>
  </si>
  <si>
    <t>tcpsetupdelay_cnt</t>
  </si>
  <si>
    <t>TCP建立次数</t>
  </si>
  <si>
    <t>sum(case when tcpsetupdelay&gt;0 then 1 else 0 end)</t>
  </si>
  <si>
    <t>tcpsetupdelay_avg</t>
  </si>
  <si>
    <t>TCP建立时延(ms)</t>
  </si>
  <si>
    <t>avg(tcpsetupdelay)</t>
  </si>
  <si>
    <t>tcpsetupdelay_cnt_0_50</t>
  </si>
  <si>
    <t>TCP建立时延在(0,50]的次数</t>
  </si>
  <si>
    <t>count(case when tcpsetupdelay&gt;0 and tcpsetupdelay&lt;=50 then 1 else null end)</t>
  </si>
  <si>
    <t>tcpsetupdelay_cnt_50_100</t>
  </si>
  <si>
    <t>TCP建立时延在(50,100]的次数</t>
  </si>
  <si>
    <t>count(case when tcpsetupdelay&gt;50 and tcpsetupdelay&lt;=100 then 1 else null end)</t>
  </si>
  <si>
    <t>tcpsetupdelay_cnt_100_150</t>
  </si>
  <si>
    <t>TCP建立时延在(100,150]的次数</t>
  </si>
  <si>
    <t>count(case when tcpsetupdelay&gt;100 and tcpsetupdelay&lt;=150 then 1 else null end)</t>
  </si>
  <si>
    <t>tcpsetupdelay_cnt_150_200</t>
  </si>
  <si>
    <t>TCP建立时延在(150,200]的次数</t>
  </si>
  <si>
    <t>count(case when tcpsetupdelay&gt;150 and tcpsetupdelay&lt;=200 then 1 else null end)</t>
  </si>
  <si>
    <t>tcpsetupdelay_cnt_greater_200</t>
  </si>
  <si>
    <t>TCP建立时延在(200,50000]的次数</t>
  </si>
  <si>
    <t>count(case when tcpsetupdelay&gt;200 and tcpsetupdelay&lt;=50000 then 1 else null end)</t>
  </si>
  <si>
    <t>TCP建链成功到第一条事务请求的时延（ms）</t>
  </si>
  <si>
    <t>avg(delay_setup_firsttransaction)</t>
  </si>
  <si>
    <t>delay_setup_firsttransaction_cnt</t>
  </si>
  <si>
    <t>TCP事务首次请求次数</t>
  </si>
  <si>
    <t>count(delay_setup_firsttransaction)</t>
  </si>
  <si>
    <t>第一条事务请求到其第一个响应包时延（ms）</t>
  </si>
  <si>
    <t>avg(delay_firsttransaction_firstrespackt)</t>
  </si>
  <si>
    <t>delay_firsttransaction_firstrespackt_cnt</t>
  </si>
  <si>
    <t>TCP事务首次响应次数</t>
  </si>
  <si>
    <t>count(delay_firsttransaction_firstrespackt)</t>
  </si>
  <si>
    <t>httpwebrspdelay_cnt</t>
  </si>
  <si>
    <t>网页响应时延次数</t>
  </si>
  <si>
    <t>count(httpwebrspdelay)</t>
  </si>
  <si>
    <t>次</t>
  </si>
  <si>
    <t>avg(httpwebrspdelay)</t>
  </si>
  <si>
    <t>httpwebrspdelay_seg_1</t>
  </si>
  <si>
    <t>网页响应(首包)时延_seg_1</t>
  </si>
  <si>
    <t>sum(case when httpwebrspdelay &gt; 500 and  httpwebrspdelay &lt;= 600 then 1 else 0 end)</t>
  </si>
  <si>
    <t>httpwebrspdelay_seg_2</t>
  </si>
  <si>
    <t>网页响应(首包)时延_seg_2</t>
  </si>
  <si>
    <t>sum(case when httpwebrspdelay &gt; 600 and  httpwebrspdelay &lt;= 700 then 1 else 0 end)</t>
  </si>
  <si>
    <t>httpwebrspdelay_seg_3</t>
  </si>
  <si>
    <t>网页响应(首包)时延_seg_3</t>
  </si>
  <si>
    <t>sum(case when httpwebrspdelay &gt; 700 and  httpwebrspdelay &lt;= 800 then 1 else 0 end)</t>
  </si>
  <si>
    <t>httpwebrspdelay_seg_4</t>
  </si>
  <si>
    <t>网页响应(首包)时延_seg_4</t>
  </si>
  <si>
    <t>sum(case when httpwebrspdelay &gt; 800 and  httpwebrspdelay &lt;= 900 then 1 else 0 end)</t>
  </si>
  <si>
    <t>httpwebrspdelay_seg_5</t>
  </si>
  <si>
    <t>网页响应(首包)时延_seg_5</t>
  </si>
  <si>
    <t>sum(case when httpwebrspdelay &gt; 900 and  httpwebrspdelay &lt;= 10000 then 1 else 0 end)</t>
  </si>
  <si>
    <t>httpwebdspdelay_cnt</t>
  </si>
  <si>
    <t>网页完整打开时延次数</t>
  </si>
  <si>
    <t>count(httpwebdspdelay)</t>
  </si>
  <si>
    <t>avg(httpwebdspdelay)</t>
  </si>
  <si>
    <t>httpwebdspdelay_seg_1</t>
  </si>
  <si>
    <t>网页显示(打开)时长_seg_1</t>
  </si>
  <si>
    <t>sum(case when httpwebdspdelay &gt; 1800 and  httpwebdspdelay &lt;= 1900 then 1 else 0 end)</t>
  </si>
  <si>
    <t>httpwebdspdelay_seg_2</t>
  </si>
  <si>
    <t>网页显示(打开)时长_seg_2</t>
  </si>
  <si>
    <t>sum(case when httpwebdspdelay &gt; 1900 and  httpwebdspdelay &lt;= 2000 then 1 else 0 end)</t>
  </si>
  <si>
    <t>httpwebdspdelay_seg_3</t>
  </si>
  <si>
    <t>网页显示(打开)时长_seg_3</t>
  </si>
  <si>
    <t>sum(case when httpwebdspdelay &gt; 2000 and  httpwebdspdelay &lt;= 2100 then 1 else 0 end)</t>
  </si>
  <si>
    <t>httpwebdspdelay_seg_4</t>
  </si>
  <si>
    <t>网页显示(打开)时长_seg_4</t>
  </si>
  <si>
    <t>sum(case when httpwebdspdelay &gt; 2100 and  httpwebdspdelay &lt;= 2200 then 1 else 0 end)</t>
  </si>
  <si>
    <t>httpwebdspdelay_seg_5</t>
  </si>
  <si>
    <t>网页显示(打开)时长_seg_5</t>
  </si>
  <si>
    <t>sum(case when httpwebdspdelay &gt; 2200 and  httpwebdspdelay &lt;= 10000 then 1 else 0 end)</t>
  </si>
  <si>
    <t>httpwebscreen_cnt</t>
  </si>
  <si>
    <t>网页首屏完成次数</t>
  </si>
  <si>
    <t>count(httpwebscreendelay)</t>
  </si>
  <si>
    <t>网页首屏时延(ms)</t>
  </si>
  <si>
    <t>avg(httpwebscreendelay)</t>
  </si>
  <si>
    <t>httpwebscreendelay_seg_1</t>
  </si>
  <si>
    <t>网页首屏时延_seg_1</t>
  </si>
  <si>
    <t>sum(case when httpwebscreendelay &gt; 1500 and  httpwebscreendelay &lt;= 1600 then 1 else 0 end)</t>
  </si>
  <si>
    <t>httpwebscreendelay_seg_2</t>
  </si>
  <si>
    <t>网页首屏时延_seg_2</t>
  </si>
  <si>
    <t>sum(case when httpwebscreendelay &gt; 1600 and  httpwebscreendelay &lt;= 1700 then 1 else 0 end)</t>
  </si>
  <si>
    <t>httpwebscreendelay_seg_3</t>
  </si>
  <si>
    <t>网页首屏时延_seg_3</t>
  </si>
  <si>
    <t>sum(case when httpwebscreendelay &gt; 1700 and  httpwebscreendelay &lt;= 1800 then 1 else 0 end)</t>
  </si>
  <si>
    <t>httpwebscreendelay_seg_4</t>
  </si>
  <si>
    <t>网页首屏时延_seg_4</t>
  </si>
  <si>
    <t>sum(case when httpwebscreendelay &gt; 1800 and  httpwebscreendelay &lt;= 2200 then 1 else 0 end)</t>
  </si>
  <si>
    <t>httpwebscreendelay_seg_5</t>
  </si>
  <si>
    <t>网页首屏时延_seg_5</t>
  </si>
  <si>
    <t>sum(case when httpwebscreendelay &gt; 2200 and  httpwebscreendelay &lt;= 10000 then 1 else 0 end)</t>
  </si>
  <si>
    <t>top_httpwebscreen_cnt</t>
  </si>
  <si>
    <t>TOP网址网页首屏完成次数</t>
  </si>
  <si>
    <t>sum(case when is_topweb_first_screen_host=1 and httpwebscreendelay&gt;0 then 1 else 0 end)</t>
  </si>
  <si>
    <t>top_httpwebscreendelay</t>
  </si>
  <si>
    <t>TOP网址网页首屏时延</t>
  </si>
  <si>
    <t>avg(case when is_topweb_first_screen_host=1 and httpwebscreendelay&gt;0 then httpwebscreendelay else null end)</t>
  </si>
  <si>
    <t>响应时延</t>
  </si>
  <si>
    <t>avg(case when httpstatus&lt;400 and httpstatus&gt;0 then  respdelay else null end)</t>
  </si>
  <si>
    <t>avg(dnsresponse_delay)</t>
  </si>
  <si>
    <t>dnsresponse_cnt</t>
  </si>
  <si>
    <t>DNS响应次数</t>
  </si>
  <si>
    <t>count(dnsresponse_delay)</t>
  </si>
  <si>
    <t>dnsquery_cnt</t>
  </si>
  <si>
    <t>DNS请求次数</t>
  </si>
  <si>
    <t>sum(case when dnsquerytime&gt;0 then 1 else 0 end)</t>
  </si>
  <si>
    <t>avg(syntime_dnsresponse_delay)</t>
  </si>
  <si>
    <t>syntime_dnsresponse_cnt</t>
  </si>
  <si>
    <t>DNS建立完成到TCP握手次数</t>
  </si>
  <si>
    <t>count(syntime_dnsresponse_delay)</t>
  </si>
  <si>
    <t>http_throughput_under500_duartion</t>
  </si>
  <si>
    <t>小页面显示总时长（内容&lt;500KB）</t>
  </si>
  <si>
    <t>sum(case when  inputoctets&lt;500*1024 and httpwebdspdelay&lt;3600000  then httpwebdspdelay else 0 end)</t>
  </si>
  <si>
    <t>http_throughput_under500_suc_cnt</t>
  </si>
  <si>
    <t>小页面显示成功次数（内容&lt;500KB）</t>
  </si>
  <si>
    <t>sum(case when InputOctets&lt;500*1024 and httpwebdspdelay&lt;3600000 then 1 else 0 end)</t>
  </si>
  <si>
    <t>http_throughput_above500_duartion</t>
  </si>
  <si>
    <t>HTTP下载时长（ms）（内容&gt;=500KB）</t>
  </si>
  <si>
    <t>sum(case when inputoctets&gt;=500*1024 then  httpwebdspdelay else 0 end)</t>
  </si>
  <si>
    <t>xdr_suc_cnt_sum</t>
  </si>
  <si>
    <t>xdr成功条数</t>
  </si>
  <si>
    <t>sum(case when tcpconnectstate=0 or sessionstopflag=1 then 1 else 0 end)</t>
  </si>
  <si>
    <t>excellentrspdelay_cnt</t>
  </si>
  <si>
    <t>首屏时延优秀次数</t>
  </si>
  <si>
    <t>sum(case when httpwebscreendelay&gt;0 and httpwebscreendelay&lt;=1000 then 1 else 0 end)</t>
  </si>
  <si>
    <t>inferiorrspdelay_cnt</t>
  </si>
  <si>
    <t>首屏时延质差次数</t>
  </si>
  <si>
    <t>sum(case when httpwebscreendelay&gt;3000 then 1 else 0 end)</t>
  </si>
  <si>
    <t>wellrspdelay_cnt</t>
  </si>
  <si>
    <t>首屏时延良好次数</t>
  </si>
  <si>
    <t>sum(case when httpwebscreendelay&gt;1000 and httpwebscreendelay&lt;=3000 then 1 else 0 end)</t>
  </si>
  <si>
    <t>topweb_excellentrspdelay_cnt</t>
  </si>
  <si>
    <t>TOP网址首屏时延优秀次数</t>
  </si>
  <si>
    <t>sum(case when is_topweb_first_screen_host=1 and httpwebscreendelay&gt;0 and httpwebscreendelay&lt;=1000 then 1 else 0 end)</t>
  </si>
  <si>
    <t>topweb_inferiorrspdelay_cnt</t>
  </si>
  <si>
    <t>TOP网址首屏时延质差次数</t>
  </si>
  <si>
    <t>sum(case when is_topweb_first_screen_host=1 and httpwebscreendelay&gt;3000 then 1 else 0 end)</t>
  </si>
  <si>
    <t>topweb_wellrspdelay_cnt</t>
  </si>
  <si>
    <t>TOP网址首屏时延良好次数</t>
  </si>
  <si>
    <t>sum(case when is_topweb_first_screen_host=1 and httpwebscreendelay&gt;1000 and httpwebscreendelay&lt;=3000 then 1 else 0 end)</t>
  </si>
  <si>
    <t>excellentcmpltdelay_cnt</t>
  </si>
  <si>
    <t>打开时延优秀次数</t>
  </si>
  <si>
    <t>sum(case when httpwebdspdelay&gt;0 and httpwebdspdelay&lt;=500 then 1 else 0 end)</t>
  </si>
  <si>
    <t>inferiorcmpltdelay_cnt</t>
  </si>
  <si>
    <t>打开时延质差次数</t>
  </si>
  <si>
    <t>sum(case when httpwebdspdelay&gt;1200 then 1 else 0 end)</t>
  </si>
  <si>
    <t>wellcmpltdelay_cnt</t>
  </si>
  <si>
    <t>打开时延良好次数</t>
  </si>
  <si>
    <t>sum(case when httpwebdspdelay&gt;500 and httpwebdspdelay&lt;=1200 then 1 else 0 end)</t>
  </si>
  <si>
    <t>excellentgamedelay_cnt</t>
  </si>
  <si>
    <t>游戏交互时延优秀次数</t>
  </si>
  <si>
    <t>sum(case when tcpsetupdelay&gt;0 and tcpsetupdelay&lt;=100 then 1 else 0 end)</t>
  </si>
  <si>
    <t>inferiorgamedelay_cnt</t>
  </si>
  <si>
    <t>游戏交互时延劣质次数</t>
  </si>
  <si>
    <t>sum(case when tcpsetupdelay&gt;120 then 1 else 0 end)</t>
  </si>
  <si>
    <t>wellgamedelay_cnt</t>
  </si>
  <si>
    <t>游戏交互时延良好次数</t>
  </si>
  <si>
    <t>sum(case when tcpsetupdelay&gt;100 and tcpsetupdelay&lt;=120 then 1 else 0 end)</t>
  </si>
  <si>
    <t>min_starttime</t>
  </si>
  <si>
    <t>最小开始时间</t>
  </si>
  <si>
    <t>min(starttime)</t>
  </si>
  <si>
    <t>max_endtime</t>
  </si>
  <si>
    <t>最大结束时间</t>
  </si>
  <si>
    <t>max(endtime)</t>
  </si>
  <si>
    <t/>
  </si>
  <si>
    <t>sum(abnormal_cnt)</t>
  </si>
  <si>
    <t>sum(record_cnt)</t>
  </si>
  <si>
    <t>sum(speedlimit_cnt)</t>
  </si>
  <si>
    <t>sum(outputoctets_above500)</t>
  </si>
  <si>
    <t>sum(outputoctets_above500_cnt)</t>
  </si>
  <si>
    <t>sum(outputoctets_above500_highdelay_cnt)</t>
  </si>
  <si>
    <t>sum(inputoctets_above500)</t>
  </si>
  <si>
    <t>sum(inputoctets_above500_cnt)</t>
  </si>
  <si>
    <t>sum(inputoctets_above500_highdelay_cnt)</t>
  </si>
  <si>
    <t>sum(ul_flux_throughput)</t>
  </si>
  <si>
    <t>sum(ul_duration_throughput)</t>
  </si>
  <si>
    <t>sum(dl_flux_throughput)</t>
  </si>
  <si>
    <t>sum(dl_duration_throughput)</t>
  </si>
  <si>
    <t>sum(ul_flux_throughput_big500)</t>
  </si>
  <si>
    <t>sum(ul_duration_throughput_big500)</t>
  </si>
  <si>
    <t>sum(dl_flux_throughput_big500)</t>
  </si>
  <si>
    <t>sum(dl_duration_throughput_big500)</t>
  </si>
  <si>
    <t>sum(ultcpretranspacket)</t>
  </si>
  <si>
    <t>sum(dltcpretranspacket)</t>
  </si>
  <si>
    <t>sum(tcpconnfail_cnt)</t>
  </si>
  <si>
    <t>sum(tcpconnreq_cnt)</t>
  </si>
  <si>
    <t>sum(tcpconnulsuc_cnt)</t>
  </si>
  <si>
    <t>sum(tcpconndlsuc_cnt)</t>
  </si>
  <si>
    <t>sum(tcpsetupresponsedelay_cnt)</t>
  </si>
  <si>
    <t>sum(tcpsetupresponsedelay_avg*tcpsetupresponsedelay_cnt)/sum(tcpsetupresponsedelay_cnt)</t>
  </si>
  <si>
    <t>sum(tcpsetupresponsedelay_cnt_0_50)</t>
  </si>
  <si>
    <t>sum(tcpsetupresponsedelay_cnt_50_100)</t>
  </si>
  <si>
    <t>sum(tcpsetupresponsedelay_cnt_100_150)</t>
  </si>
  <si>
    <t>sum(tcpsetupresponsedelay_cnt_150_200)</t>
  </si>
  <si>
    <t>sum(tcpsetupresponsedelay_cnt_greater_200)</t>
  </si>
  <si>
    <t>sum(tcpsetupackdelay_cnt)</t>
  </si>
  <si>
    <t>sum(tcpsetupackdelay_avg*tcpsetupackdelay_cnt)/sum(tcpsetupackdelay_cnt)</t>
  </si>
  <si>
    <t>sum(tcpsetupackdelay_cnt_0_50)</t>
  </si>
  <si>
    <t>sum(tcpsetupackdelay_cnt_50_100)</t>
  </si>
  <si>
    <t>sum(tcpsetupackdelay_cnt_100_150)</t>
  </si>
  <si>
    <t>sum(tcpsetupackdelay_cnt_150_200)</t>
  </si>
  <si>
    <t>sum(tcpsetupackdelay_cnt_greater_200)</t>
  </si>
  <si>
    <t>sum(tcpsetupdelay_cnt)</t>
  </si>
  <si>
    <t>sum(tcpsetupdelay_avg*tcpsetupdelay_cnt)/sum(tcpsetupdelay_cnt)</t>
  </si>
  <si>
    <t>sum(tcpsetupdelay_cnt_0_50)</t>
  </si>
  <si>
    <t>sum(tcpsetupdelay_cnt_50_100)</t>
  </si>
  <si>
    <t>sum(tcpsetupdelay_cnt_100_150)</t>
  </si>
  <si>
    <t>sum(tcpsetupdelay_cnt_150_200)</t>
  </si>
  <si>
    <t>sum(tcpsetupdelay_cnt_greater_200)</t>
  </si>
  <si>
    <t>sum(delay_setup_firsttransaction*delay_setup_firsttransaction_cnt)/sum(delay_setup_firsttransaction_cnt)</t>
  </si>
  <si>
    <t>sum(delay_setup_firsttransaction_cnt)</t>
  </si>
  <si>
    <t>sum(delay_firsttransaction_firstrespackt*delay_firsttransaction_firstrespackt_cnt)/sum(delay_firsttransaction_firstrespackt_cnt)</t>
  </si>
  <si>
    <t>sum(delay_firsttransaction_firstrespackt_cnt)</t>
  </si>
  <si>
    <t>sum(httpwebrspdelay_cnt)</t>
  </si>
  <si>
    <t>sum(httpwebrspdelay*httpwebrspdelay_cnt)/sum(httpwebrspdelay_cnt)</t>
  </si>
  <si>
    <t>sum(httpwebrspdelay_seg_1)</t>
  </si>
  <si>
    <t>sum(httpwebrspdelay_seg_2)</t>
  </si>
  <si>
    <t>sum(httpwebrspdelay_seg_3)</t>
  </si>
  <si>
    <t>sum(httpwebrspdelay_seg_4)</t>
  </si>
  <si>
    <t>sum(httpwebrspdelay_seg_5)</t>
  </si>
  <si>
    <t>sum(httpwebdspdelay_cnt)</t>
  </si>
  <si>
    <t>sum(httpwebdspdelay*httpwebdspdelay_cnt)/sum(httpwebdspdelay_cnt)</t>
  </si>
  <si>
    <t>sum(httpwebdspdelay_seg_1)</t>
  </si>
  <si>
    <t>sum(httpwebdspdelay_seg_2)</t>
  </si>
  <si>
    <t>sum(httpwebdspdelay_seg_3)</t>
  </si>
  <si>
    <t>sum(httpwebdspdelay_seg_4)</t>
  </si>
  <si>
    <t>sum(httpwebdspdelay_seg_5)</t>
  </si>
  <si>
    <t>sum(httpwebscreen_cnt)</t>
  </si>
  <si>
    <t>sum(httpwebscreendelay*httpwebscreen_cnt)/sum(httpwebscreen_cnt)</t>
  </si>
  <si>
    <t>sum(httpwebscreendelay_seg_1)</t>
  </si>
  <si>
    <t>sum(httpwebscreendelay_seg_2)</t>
  </si>
  <si>
    <t>sum(httpwebscreendelay_seg_3)</t>
  </si>
  <si>
    <t>sum(httpwebscreendelay_seg_4)</t>
  </si>
  <si>
    <t>sum(httpwebscreendelay_seg_5)</t>
  </si>
  <si>
    <t>sum(top_httpwebscreen_cnt)</t>
  </si>
  <si>
    <t>sum(top_httpwebscreendelay*top_httpwebscreen_cnt)/sum(top_httpwebscreen_cnt)</t>
  </si>
  <si>
    <t>sum(respdelay*http_succ_cnt)/sum(http_succ_cnt)</t>
  </si>
  <si>
    <t>sum(dnsresponse_delay*dnsresponse_cnt)/sum(dnsresponse_cnt)</t>
  </si>
  <si>
    <t>sum(dnsresponse_cnt)</t>
  </si>
  <si>
    <t>sum(dnsquery_cnt)</t>
  </si>
  <si>
    <t>sum(syntime_dnsresponse_delay*syntime_dnsresponse_cnt)/sum(syntime_dnsresponse_cnt)</t>
  </si>
  <si>
    <t>sum(syntime_dnsresponse_cnt)</t>
  </si>
  <si>
    <t>sum(http_throughput_under500_duartion)</t>
  </si>
  <si>
    <t>sum(http_throughput_under500_suc_cnt)</t>
  </si>
  <si>
    <t>sum(http_throughput_above500_duartion)</t>
  </si>
  <si>
    <t>sum(xdr_suc_cnt_sum)</t>
  </si>
  <si>
    <t>sum(excellentrspdelay_cnt)</t>
  </si>
  <si>
    <t>sum(inferiorrspdelay_cnt)</t>
  </si>
  <si>
    <t>sum(wellrspdelay_cnt)</t>
  </si>
  <si>
    <t>sum(topweb_excellentrspdelay_cnt)</t>
  </si>
  <si>
    <t>sum(topweb_inferiorrspdelay_cnt)</t>
  </si>
  <si>
    <t>sum(topweb_wellrspdelay_cnt)</t>
  </si>
  <si>
    <t>sum(excellentcmpltdelay_cnt)</t>
  </si>
  <si>
    <t>sum(inferiorcmpltdelay_cnt)</t>
  </si>
  <si>
    <t>sum(wellcmpltdelay_cnt)</t>
  </si>
  <si>
    <t>sum(excellentgamedelay_cnt)</t>
  </si>
  <si>
    <t>sum(inferiorgamedelay_cnt)</t>
  </si>
  <si>
    <t>sum(wellgamedelay_cnt)</t>
  </si>
  <si>
    <t>min(min_starttime)</t>
  </si>
  <si>
    <t>max(max_endtime)</t>
  </si>
  <si>
    <t>上报时间，具体到天</t>
  </si>
  <si>
    <t>记录所在的小时</t>
  </si>
  <si>
    <t>拜访地省份</t>
  </si>
  <si>
    <t>拜访地地市</t>
  </si>
  <si>
    <t>接口类型1：s1-u；6、S5/S8；7：s2a</t>
  </si>
  <si>
    <t>enodebid</t>
  </si>
  <si>
    <t>4G eNodeBID/5G gNBID</t>
  </si>
  <si>
    <t>split(cellkey,"_")[0]</t>
  </si>
  <si>
    <t>cellid</t>
  </si>
  <si>
    <t>小区ID</t>
  </si>
  <si>
    <t>split(cellkey,"_")[1]</t>
  </si>
  <si>
    <t>永久用户标识，永久用户标识。4G 填写用户IMSI。</t>
  </si>
  <si>
    <t>MS International PSTN/ISDN Number (ISDN)</t>
  </si>
  <si>
    <t>终端imei</t>
  </si>
  <si>
    <t>SGWIP</t>
  </si>
  <si>
    <t>网络接入标识</t>
  </si>
  <si>
    <t>outputoctets_sum</t>
  </si>
  <si>
    <t>inputoctets_sum</t>
  </si>
  <si>
    <t>outputoctets_above500_sum</t>
  </si>
  <si>
    <t>上行流量(byte)-大于500KB</t>
  </si>
  <si>
    <t>outputoctets_above500_cnt_sum</t>
  </si>
  <si>
    <t>outputoctets_above500_highdelay_sum</t>
  </si>
  <si>
    <t>inputoctets_above500_sum</t>
  </si>
  <si>
    <t>下行流量(byte)-大于500KB</t>
  </si>
  <si>
    <t>inputoctets_above500_cnt_sum</t>
  </si>
  <si>
    <t>inputoctets_above500_highdelay_sum</t>
  </si>
  <si>
    <t>inputpacket_sum</t>
  </si>
  <si>
    <t>outputpacket_sum</t>
  </si>
  <si>
    <t>ultcpreorderingpacket_sum</t>
  </si>
  <si>
    <t>dltcpreorderingpacket_sum</t>
  </si>
  <si>
    <t>ultcpretranspacket_sum</t>
  </si>
  <si>
    <t>dltcpretranspacket_sum</t>
  </si>
  <si>
    <t>tcpconnfail_sum</t>
  </si>
  <si>
    <t>tcpconnreq_sum</t>
  </si>
  <si>
    <t>tcpconnulsuc_sum</t>
  </si>
  <si>
    <t>tcpconndlsuc_sum</t>
  </si>
  <si>
    <t>ulipfragpacks_sum</t>
  </si>
  <si>
    <t>UL_IP_FRAG_PACKETS</t>
  </si>
  <si>
    <t>dlipfragpacks_sum</t>
  </si>
  <si>
    <t>DL_IP_FRAG_PACKETS</t>
  </si>
  <si>
    <t>httpwebreqcount_sum</t>
  </si>
  <si>
    <t>httpwebrspcount_sum</t>
  </si>
  <si>
    <t>http_no_response_cnt_sum</t>
  </si>
  <si>
    <t>http无响应次数</t>
  </si>
  <si>
    <t>sum(case when httpstatus=-1 or  httpstatus=-2 then http_req_cnt else 0 end)</t>
  </si>
  <si>
    <t>httpstatus_1xx_sum</t>
  </si>
  <si>
    <t>Http状态1xx次数</t>
  </si>
  <si>
    <t>sum(case when httpstatus&gt;=100 and httpstatus&lt;200 then http_req_cnt else 0 end)</t>
  </si>
  <si>
    <t>httpstatus_2xx_sum</t>
  </si>
  <si>
    <t>Http状态2xx次数</t>
  </si>
  <si>
    <t>sum(case when httpstatus&gt;=200 and httpstatus&lt;300 then http_req_cnt  else 0 end)</t>
  </si>
  <si>
    <t>httpstatus_3xx_sum</t>
  </si>
  <si>
    <t>Http状态3xx次数</t>
  </si>
  <si>
    <t>sum(case when httpstatus&gt;=300 and httpstatus&lt;400 then http_req_cnt  else 0 end)</t>
  </si>
  <si>
    <t>httpstatus_4xx_sum</t>
  </si>
  <si>
    <t>Http状态4xx次数</t>
  </si>
  <si>
    <t>sum(case when httpstatus&gt;=400 and httpstatus&lt;500 then http_req_cnt  else 0 end)</t>
  </si>
  <si>
    <t>httpstatus_5xx_sum</t>
  </si>
  <si>
    <t>Http状态5xx次数</t>
  </si>
  <si>
    <t>sum(case when httpstatus&gt;=500  then http_req_cnt  else 0 end)</t>
  </si>
  <si>
    <t>tcpsetupresponsedelay_sum</t>
  </si>
  <si>
    <t>TCP建链响应时延_sum</t>
  </si>
  <si>
    <t>sum(tcpsetupresponsedelay_avg*tcpsetupresponsedelay_cnt)</t>
  </si>
  <si>
    <t>tcpsetupresponsedelay_seg_1</t>
  </si>
  <si>
    <t>TCP建链响应时延_seg_1</t>
  </si>
  <si>
    <t>tcpsetupresponsedelay_seg_2</t>
  </si>
  <si>
    <t>TCP建链响应时延_seg_2</t>
  </si>
  <si>
    <t>tcpsetupresponsedelay_seg_3</t>
  </si>
  <si>
    <t>TCP建链响应时延_seg_3</t>
  </si>
  <si>
    <t>tcpsetupresponsedelay_seg_4</t>
  </si>
  <si>
    <t>TCP建链响应时延_seg_4</t>
  </si>
  <si>
    <t>tcpsetupresponsedelay_seg_5</t>
  </si>
  <si>
    <t>TCP建链响应时延_seg_5</t>
  </si>
  <si>
    <t>tcpsetupackdelay_sum</t>
  </si>
  <si>
    <t>TCP建链确认时延_sum</t>
  </si>
  <si>
    <t>sum(tcpsetupackdelay_avg*tcpsetupackdelay_cnt)</t>
  </si>
  <si>
    <t>tcpsetupackdelay_seg_1</t>
  </si>
  <si>
    <t>TCP建链确认时延_seg_1</t>
  </si>
  <si>
    <t>tcpsetupackdelay_seg_2</t>
  </si>
  <si>
    <t>TCP建链确认时延_seg_2</t>
  </si>
  <si>
    <t>tcpsetupackdelay_seg_3</t>
  </si>
  <si>
    <t>TCP建链确认时延_seg_3</t>
  </si>
  <si>
    <t>tcpsetupackdelay_seg_4</t>
  </si>
  <si>
    <t>TCP建链确认时延_seg_4</t>
  </si>
  <si>
    <t>tcpsetupackdelay_seg_5</t>
  </si>
  <si>
    <t>TCP建链确认时延_seg_5</t>
  </si>
  <si>
    <t>tcpsetupdelay_sum</t>
  </si>
  <si>
    <t>TCP建立时延(ms)_sum</t>
  </si>
  <si>
    <t>sum(tcpsetupdelay_avg*tcpsetupdelay_cnt)</t>
  </si>
  <si>
    <t>tcpsetupresponsedelay_cnt_sum</t>
  </si>
  <si>
    <t>tcpsetupackdelay_cnt_sum</t>
  </si>
  <si>
    <t>delay_setup_firsttransaction_sum</t>
  </si>
  <si>
    <t>TCP建链成功到第一条事务请求的时延_sum（ms）</t>
  </si>
  <si>
    <t>sum(delay_setup_firsttransaction*delay_setup_firsttransaction_cnt)</t>
  </si>
  <si>
    <t>delay_setup_firsttransaction_cnt_sum</t>
  </si>
  <si>
    <t>delay_firsttransaction_firstrespackt_sum</t>
  </si>
  <si>
    <t>第一条事务请求到其第一个响应包时延_sum（ms）</t>
  </si>
  <si>
    <t>sum(delay_firsttransaction_firstrespackt*delay_firsttransaction_firstrespackt_cnt)</t>
  </si>
  <si>
    <t>delay_firsttransaction_firstrespackt_cnt_sum</t>
  </si>
  <si>
    <t>httpwebscreencnt_sum</t>
  </si>
  <si>
    <t>网页首屏完成次数_sum</t>
  </si>
  <si>
    <t>httpwebscreendelay_sum</t>
  </si>
  <si>
    <t>网页首屏时延_sum(ms)</t>
  </si>
  <si>
    <t>sum(httpwebscreendelay*httpwebscreen_cnt)</t>
  </si>
  <si>
    <t>respdelay_sum</t>
  </si>
  <si>
    <t>响应时延_sum</t>
  </si>
  <si>
    <t>sum(respdelay*http_succ_cnt)</t>
  </si>
  <si>
    <t>http_throughput_under500_duartion_sum</t>
  </si>
  <si>
    <t>http_throughput_under500_suc_cnt_sum</t>
  </si>
  <si>
    <t>http_throughput_above500_duartion_sum</t>
  </si>
  <si>
    <t>HTTP下载时长（s）（内容&gt;=500KB）</t>
  </si>
  <si>
    <t>http_400_cnt</t>
  </si>
  <si>
    <t>HTTP结果为400次数</t>
  </si>
  <si>
    <t>sum(case when httpstatus = 400 then http_req_cnt else 0 end)</t>
  </si>
  <si>
    <t>http_401_cnt</t>
  </si>
  <si>
    <t>HTTP结果为401次数</t>
  </si>
  <si>
    <t>sum(case when httpstatus = 401 then http_req_cnt else 0 end)</t>
  </si>
  <si>
    <t>http_402_cnt</t>
  </si>
  <si>
    <t>HTTP结果为402次数</t>
  </si>
  <si>
    <t>sum(case when httpstatus = 402 then http_req_cnt else 0 end)</t>
  </si>
  <si>
    <t>http_403_cnt</t>
  </si>
  <si>
    <t>HTTP结果为403次数</t>
  </si>
  <si>
    <t>sum(case when httpstatus = 403 then http_req_cnt else 0 end)</t>
  </si>
  <si>
    <t>http_404_cnt</t>
  </si>
  <si>
    <t>HTTP结果为404次数</t>
  </si>
  <si>
    <t>sum(case when httpstatus = 404 then http_req_cnt else 0 end)</t>
  </si>
  <si>
    <t>http_405_cnt</t>
  </si>
  <si>
    <t>HTTP结果为405次数</t>
  </si>
  <si>
    <t>sum(case when httpstatus = 405 then http_req_cnt else 0 end)</t>
  </si>
  <si>
    <t>http_406_cnt</t>
  </si>
  <si>
    <t>HTTP结果为406次数</t>
  </si>
  <si>
    <t>sum(case when httpstatus = 406 then http_req_cnt else 0 end)</t>
  </si>
  <si>
    <t>http_407_cnt</t>
  </si>
  <si>
    <t>HTTP结果为407次数</t>
  </si>
  <si>
    <t>sum(case when httpstatus = 407 then http_req_cnt else 0 end)</t>
  </si>
  <si>
    <t>http_408_cnt</t>
  </si>
  <si>
    <t>HTTP结果为408次数</t>
  </si>
  <si>
    <t>sum(case when httpstatus = 408 then http_req_cnt else 0 end)</t>
  </si>
  <si>
    <t>http_409_cnt</t>
  </si>
  <si>
    <t>HTTP结果为409次数</t>
  </si>
  <si>
    <t>sum(case when httpstatus = 409 then http_req_cnt else 0 end)</t>
  </si>
  <si>
    <t>http_410_cnt</t>
  </si>
  <si>
    <t>HTTP结果为410次数</t>
  </si>
  <si>
    <t>sum(case when httpstatus = 410 then http_req_cnt else 0 end)</t>
  </si>
  <si>
    <t>http_411_cnt</t>
  </si>
  <si>
    <t>HTTP结果为411次数</t>
  </si>
  <si>
    <t>sum(case when httpstatus = 411 then http_req_cnt else 0 end)</t>
  </si>
  <si>
    <t>http_412_cnt</t>
  </si>
  <si>
    <t>HTTP结果为412次数</t>
  </si>
  <si>
    <t>sum(case when httpstatus = 412 then http_req_cnt else 0 end)</t>
  </si>
  <si>
    <t>http_413_cnt</t>
  </si>
  <si>
    <t>HTTP结果为413次数</t>
  </si>
  <si>
    <t>sum(case when httpstatus = 413 then http_req_cnt else 0 end)</t>
  </si>
  <si>
    <t>http_414_cnt</t>
  </si>
  <si>
    <t>HTTP结果为414次数</t>
  </si>
  <si>
    <t>sum(case when httpstatus = 414 then http_req_cnt else 0 end)</t>
  </si>
  <si>
    <t>http_415_cnt</t>
  </si>
  <si>
    <t>HTTP结果为415次数</t>
  </si>
  <si>
    <t>sum(case when httpstatus = 415 then http_req_cnt else 0 end)</t>
  </si>
  <si>
    <t>http_416_cnt</t>
  </si>
  <si>
    <t>HTTP结果为416次数</t>
  </si>
  <si>
    <t>sum(case when httpstatus = 416 then http_req_cnt else 0 end)</t>
  </si>
  <si>
    <t>http_417_cnt</t>
  </si>
  <si>
    <t>HTTP结果为417次数</t>
  </si>
  <si>
    <t>sum(case when httpstatus = 417 then http_req_cnt else 0 end)</t>
  </si>
  <si>
    <t>http_421_cnt</t>
  </si>
  <si>
    <t>HTTP结果为421次数</t>
  </si>
  <si>
    <t>sum(case when httpstatus = 421 then http_req_cnt else 0 end)</t>
  </si>
  <si>
    <t>http_422_cnt</t>
  </si>
  <si>
    <t>HTTP结果为422次数</t>
  </si>
  <si>
    <t>sum(case when httpstatus = 422 then http_req_cnt else 0 end)</t>
  </si>
  <si>
    <t>http_423_cnt</t>
  </si>
  <si>
    <t>HTTP结果为423次数</t>
  </si>
  <si>
    <t>sum(case when httpstatus = 423 then http_req_cnt else 0 end)</t>
  </si>
  <si>
    <t>http_424_cnt</t>
  </si>
  <si>
    <t>HTTP结果为424次数</t>
  </si>
  <si>
    <t>sum(case when httpstatus = 424 then http_req_cnt else 0 end)</t>
  </si>
  <si>
    <t>http_425_cnt</t>
  </si>
  <si>
    <t>HTTP结果为425次数</t>
  </si>
  <si>
    <t>sum(case when httpstatus = 425 then http_req_cnt else 0 end)</t>
  </si>
  <si>
    <t>http_426_cnt</t>
  </si>
  <si>
    <t>HTTP结果为426次数</t>
  </si>
  <si>
    <t>sum(case when httpstatus = 426 then http_req_cnt else 0 end)</t>
  </si>
  <si>
    <t>http_449_cnt</t>
  </si>
  <si>
    <t>HTTP结果为449次数</t>
  </si>
  <si>
    <t>sum(case when httpstatus = 449 then http_req_cnt else 0 end)</t>
  </si>
  <si>
    <t>http_500_cnt</t>
  </si>
  <si>
    <t>HTTP结果为500次数</t>
  </si>
  <si>
    <t>sum(case when httpstatus = 500 then http_req_cnt else 0 end)</t>
  </si>
  <si>
    <t>http_501_cnt</t>
  </si>
  <si>
    <t>HTTP结果为501次数</t>
  </si>
  <si>
    <t>sum(case when httpstatus = 501 then http_req_cnt else 0 end)</t>
  </si>
  <si>
    <t>http_502_cnt</t>
  </si>
  <si>
    <t>HTTP结果为502次数</t>
  </si>
  <si>
    <t>sum(case when httpstatus = 502 then http_req_cnt else 0 end)</t>
  </si>
  <si>
    <t>http_503_cnt</t>
  </si>
  <si>
    <t>HTTP结果为503次数</t>
  </si>
  <si>
    <t>sum(case when httpstatus = 503 then http_req_cnt else 0 end)</t>
  </si>
  <si>
    <t>http_504_cnt</t>
  </si>
  <si>
    <t>HTTP结果为504次数</t>
  </si>
  <si>
    <t>sum(case when httpstatus = 504 then http_req_cnt else 0 end)</t>
  </si>
  <si>
    <t>http_505_cnt</t>
  </si>
  <si>
    <t>HTTP结果为505次数</t>
  </si>
  <si>
    <t>sum(case when httpstatus = 505 then http_req_cnt else 0 end)</t>
  </si>
  <si>
    <t>http_506_cnt</t>
  </si>
  <si>
    <t>HTTP结果为506次数</t>
  </si>
  <si>
    <t>sum(case when httpstatus = 506 then http_req_cnt else 0 end)</t>
  </si>
  <si>
    <t>http_507_cnt</t>
  </si>
  <si>
    <t>HTTP结果为507次数</t>
  </si>
  <si>
    <t>sum(case when httpstatus = 507 then http_req_cnt else 0 end)</t>
  </si>
  <si>
    <t>http_509_cnt</t>
  </si>
  <si>
    <t>HTTP结果为509次数</t>
  </si>
  <si>
    <t>sum(case when httpstatus = 509 then http_req_cnt else 0 end)</t>
  </si>
  <si>
    <t>http_510_cnt</t>
  </si>
  <si>
    <t>HTTP结果为510次数</t>
  </si>
  <si>
    <t>sum(case when httpstatus = 510 then http_req_cnt else 0 end)</t>
  </si>
  <si>
    <t>cfg_dpi_servicetype</t>
  </si>
  <si>
    <t>DPI业务码表</t>
  </si>
  <si>
    <t>A left join B，关联条件：A.servicetype = B.servicetype</t>
  </si>
  <si>
    <t>cfg_iov_usr_list</t>
  </si>
  <si>
    <t>车联网用户清单配置表</t>
  </si>
  <si>
    <t>A inner join C，关联条件：A.msisdn = C.msisdn</t>
  </si>
  <si>
    <t>小区唯一标识："小区基站号"_"小区编号"</t>
  </si>
  <si>
    <t>终端识别码</t>
  </si>
  <si>
    <t>app_type</t>
  </si>
  <si>
    <t>业务应用大类</t>
  </si>
  <si>
    <t>substr(servicetype,1,2)</t>
  </si>
  <si>
    <t>app_name</t>
  </si>
  <si>
    <t>业务名称</t>
  </si>
  <si>
    <t>servicetype_name</t>
  </si>
  <si>
    <t>total_cnt</t>
  </si>
  <si>
    <t>总话单数</t>
  </si>
  <si>
    <t>总质差话单数</t>
  </si>
  <si>
    <t>abnormal_rate</t>
  </si>
  <si>
    <t>总质差话单占比</t>
  </si>
  <si>
    <t>sum(abnormal_cnt)/sum(record_cnt)</t>
  </si>
  <si>
    <t>[0,1]</t>
  </si>
  <si>
    <t>业务时长(ms)</t>
  </si>
  <si>
    <t>flux</t>
  </si>
  <si>
    <t>业务流量(byte)</t>
  </si>
  <si>
    <t>sum(nvl(outputoctets,0)+nvl(inputoctets,0))</t>
  </si>
  <si>
    <t>过滤条件：business_type='web'</t>
  </si>
  <si>
    <t>abnormal_cnt_max</t>
  </si>
  <si>
    <t>异常话单最大小时对应异常话单数量</t>
  </si>
  <si>
    <t>max(abnormal_cnt)</t>
  </si>
  <si>
    <t>duration_sum</t>
  </si>
  <si>
    <t>ultcp_retranspacket_sum</t>
  </si>
  <si>
    <t>dltcp_retranspacket_sum</t>
  </si>
  <si>
    <t>httpwebreqcount</t>
  </si>
  <si>
    <t>httpwebrspcount</t>
  </si>
  <si>
    <t>httpwebdspcount</t>
  </si>
  <si>
    <t>tcpsetupdelay_seg_1</t>
  </si>
  <si>
    <t>tcpsetupdelay_seg_2</t>
  </si>
  <si>
    <t>tcpsetupdelay_seg_3</t>
  </si>
  <si>
    <t>tcpsetupdelay_seg_4</t>
  </si>
  <si>
    <t>tcpsetupdelay_seg_5</t>
  </si>
  <si>
    <t>delay_setup_firsttransaction_avg</t>
  </si>
  <si>
    <t>delay_firsttransaction_firstrespackt_avg</t>
  </si>
  <si>
    <t>httpwebrspdelay_avg</t>
  </si>
  <si>
    <t>httpwebdspdelay_avg</t>
  </si>
  <si>
    <t>httpwebscreendelay_avg</t>
  </si>
  <si>
    <t>top_httpwebscreendelay_avg</t>
  </si>
  <si>
    <t>dnsquerytime_avg</t>
  </si>
  <si>
    <t>dnsqueryrspcount</t>
  </si>
  <si>
    <t>dnsqueryreqcount</t>
  </si>
  <si>
    <t>delay_syntime_dnsresponsetime_avg</t>
  </si>
  <si>
    <t>times_excellentrspdelay</t>
  </si>
  <si>
    <t>times_inferiorrspdelay</t>
  </si>
  <si>
    <t>times_wellrspdelay</t>
  </si>
  <si>
    <t>times_excellentcmpltdelay</t>
  </si>
  <si>
    <t>times_inferiorcmpltdelay</t>
  </si>
  <si>
    <t>times_wellcmpltdelay</t>
  </si>
  <si>
    <t>过滤条件：business_type='im'</t>
  </si>
  <si>
    <t>过滤条件：business_type='game'</t>
  </si>
  <si>
    <t>times_excellentgamedelay</t>
  </si>
  <si>
    <t>times_inferiorgamedelay</t>
  </si>
  <si>
    <t>times_wellgamedelay</t>
  </si>
  <si>
    <t>is_wechat_payment</t>
  </si>
  <si>
    <t>是否微信支付</t>
  </si>
  <si>
    <t>case when servicetype='88888888' then 1 else 0 end</t>
  </si>
  <si>
    <t>4G_DPI_web用户维度小时表</t>
  </si>
  <si>
    <t>过滤条件：business_type='im' or is_wechat_payment=1</t>
  </si>
  <si>
    <t>过滤条件：is_wechat_payment = 1</t>
  </si>
  <si>
    <t>B1</t>
  </si>
  <si>
    <t>按照reportcellkey去重</t>
  </si>
  <si>
    <t>基站标识</t>
  </si>
  <si>
    <t>cellname</t>
  </si>
  <si>
    <t>小区名称</t>
  </si>
  <si>
    <t>省ID</t>
  </si>
  <si>
    <t>地市ID</t>
  </si>
  <si>
    <t>区县ID</t>
  </si>
  <si>
    <t>scan_code_num</t>
  </si>
  <si>
    <t>微信支付扫码次数</t>
  </si>
  <si>
    <t xml:space="preserve">sum(record_cnt) </t>
  </si>
  <si>
    <t>总时延（ms）</t>
  </si>
  <si>
    <t>sum(duration_sum)</t>
  </si>
  <si>
    <t>duration_avg</t>
  </si>
  <si>
    <t>平均时延（ms）</t>
  </si>
  <si>
    <t>sum(duration_sum)/sum(record_cnt)</t>
  </si>
  <si>
    <t>TCP二三次握手总时延（ms）</t>
  </si>
  <si>
    <t>TCP二三次握手时延（ms）</t>
  </si>
  <si>
    <t>上行TCP重传报文数</t>
  </si>
  <si>
    <t>sum(ultcp_retranspacket_sum)</t>
  </si>
  <si>
    <t>下行TCP重传报文数</t>
  </si>
  <si>
    <t>sum(dltcp_retranspacket_sum)</t>
  </si>
  <si>
    <t>上行TCP乱序报文数</t>
  </si>
  <si>
    <t>sum(ultcpreorderingpacket_sum)</t>
  </si>
  <si>
    <t>下行TCP乱序报文数</t>
  </si>
  <si>
    <t>sum(dltcpreorderingpacket_sum)</t>
  </si>
  <si>
    <t>sum(outputpacket_sum)</t>
  </si>
  <si>
    <t>sum(inputpacket_sum)</t>
  </si>
  <si>
    <t>ultcp_retrans_rate</t>
  </si>
  <si>
    <t>上行重传率</t>
  </si>
  <si>
    <t>sum(ultcp_retranspacket_sum)/sum(outputpacket_sum)</t>
  </si>
  <si>
    <t>dltcp_retrans_rate</t>
  </si>
  <si>
    <t>下行重传率</t>
  </si>
  <si>
    <t>sum(dltcp_retranspacket_sum)/sum(inputpacket_sum)</t>
  </si>
  <si>
    <t>ultcpreordering_rate</t>
  </si>
  <si>
    <t>上行乱序率</t>
  </si>
  <si>
    <t>sum(ultcpreorderingpacket_sum)/sum(outputpacket_sum)</t>
  </si>
  <si>
    <t>dltcpreordering_rate</t>
  </si>
  <si>
    <t>下行乱序率</t>
  </si>
  <si>
    <t>sum(dltcpreorderingpacket_sum)/sum(inputpacket_sum)</t>
  </si>
  <si>
    <t>clttime</t>
  </si>
  <si>
    <t>timestamp</t>
  </si>
  <si>
    <t>上报时间</t>
  </si>
  <si>
    <t>rat</t>
  </si>
  <si>
    <t>市</t>
  </si>
  <si>
    <t>area</t>
  </si>
  <si>
    <t>拜访地区县</t>
  </si>
  <si>
    <t>qoe_httpweb</t>
  </si>
  <si>
    <t>Web浏览业务的qoe</t>
  </si>
  <si>
    <t>10000 - 10000*(sum(nvl(abnormal_cnt,0))/sum(nvl(record_cnt,0)))</t>
  </si>
  <si>
    <t>[0,10000]</t>
  </si>
  <si>
    <t>times</t>
  </si>
  <si>
    <t>业务次数</t>
  </si>
  <si>
    <t>uplink_flux</t>
  </si>
  <si>
    <t>上行流量</t>
  </si>
  <si>
    <t>sum(outputoctets_sum/1024)</t>
  </si>
  <si>
    <t>KB</t>
  </si>
  <si>
    <t>downlink_flux</t>
  </si>
  <si>
    <t>下行流量</t>
  </si>
  <si>
    <t>sum(inputoctets_sum/1024)</t>
  </si>
  <si>
    <t>utimeusage</t>
  </si>
  <si>
    <t>实际产生上行流量的时长</t>
  </si>
  <si>
    <t>sum(duration_sum/1000)</t>
  </si>
  <si>
    <t>dtimeusage</t>
  </si>
  <si>
    <t>实际产生下行流量的时长</t>
  </si>
  <si>
    <t>uplink_kbps</t>
  </si>
  <si>
    <t>上行流速</t>
  </si>
  <si>
    <t>sum(ul_flux_throughput)/sum(ul_duration_throughput)</t>
  </si>
  <si>
    <t>downlink_kbps</t>
  </si>
  <si>
    <t>下行流速</t>
  </si>
  <si>
    <t>sum(dl_flux_throughput)/sum(dl_duration_throughput)</t>
  </si>
  <si>
    <t>kqi_httpwebrsprate</t>
  </si>
  <si>
    <t>网页响应成功率</t>
  </si>
  <si>
    <t>1000*sum(nvl(httpwebrspcount,0))/sum(nvl(httpwebreqcount,0))</t>
  </si>
  <si>
    <t>[0,1000]</t>
  </si>
  <si>
    <t>kqi_httpwebrspdelay</t>
  </si>
  <si>
    <t>网页响应时延</t>
  </si>
  <si>
    <t>sum(httpwebrspdelay_avg*httpwebrspdelay_cnt)/sum(httpwebrspdelay_cnt)</t>
  </si>
  <si>
    <t>kqi_httpwebcmpltrate</t>
  </si>
  <si>
    <t>网页显示成功率</t>
  </si>
  <si>
    <t>1000*sum(nvl(httpwebdspcount,0))/sum(nvl(httpwebreqcount,0))</t>
  </si>
  <si>
    <t>kqi_httpwebcmpltdelay</t>
  </si>
  <si>
    <t>网页显示时长</t>
  </si>
  <si>
    <t>sum(httpwebdspdelay_avg*httpwebdspdelay_cnt)/sum(httpwebdspdelay_cnt)</t>
  </si>
  <si>
    <t>kqi_httpwebdthrput</t>
  </si>
  <si>
    <t>网页下载速率</t>
  </si>
  <si>
    <t>times_topwebsite</t>
  </si>
  <si>
    <t>uplink_flux_topwebsite</t>
  </si>
  <si>
    <t>上行流量，KB</t>
  </si>
  <si>
    <t>downlink_flux_topwebsite</t>
  </si>
  <si>
    <t>下行流量，KB</t>
  </si>
  <si>
    <t>duration_topwebsite</t>
  </si>
  <si>
    <t>uplink_kbps_topwebsite</t>
  </si>
  <si>
    <t>上行速率，Kbps</t>
  </si>
  <si>
    <t>downlink_kbps_topwebsite</t>
  </si>
  <si>
    <t>下行速率，Kbps</t>
  </si>
  <si>
    <t>kqi_httpwebrsprate_topwebsite</t>
  </si>
  <si>
    <t>网页响应成功率(%)</t>
  </si>
  <si>
    <t>kqi_httpwebrspdelay_topwebsite</t>
  </si>
  <si>
    <t>页面首包时延(ms)</t>
  </si>
  <si>
    <t>kqi_httpwebcmpltrate_topwebsite</t>
  </si>
  <si>
    <t>网页显示成功率(%)</t>
  </si>
  <si>
    <t>kqi_httpwebcmpltdelay_topwebsite</t>
  </si>
  <si>
    <t>页面打开时延(ms)</t>
  </si>
  <si>
    <t>kqi_httpwebdthrput_topwebsite</t>
  </si>
  <si>
    <t>网页下载速率(kbps)</t>
  </si>
  <si>
    <t>sum(inputoctets_sum*8/1024)/sum(duration_sum/1000)</t>
  </si>
  <si>
    <t>abnormals_web</t>
  </si>
  <si>
    <t>异常次数</t>
  </si>
  <si>
    <t>denisity</t>
  </si>
  <si>
    <t>异常密度</t>
  </si>
  <si>
    <t>sum(abnormal_cnt_max)</t>
  </si>
  <si>
    <t>sum(times_excellentrspdelay)</t>
  </si>
  <si>
    <t>sum(times_inferiorrspdelay)</t>
  </si>
  <si>
    <t>sum(times_wellrspdelay)</t>
  </si>
  <si>
    <t>sum(times_excellentcmpltdelay)</t>
  </si>
  <si>
    <t>sum(times_inferiorcmpltdelay)</t>
  </si>
  <si>
    <t>sum(times_wellcmpltdelay)</t>
  </si>
  <si>
    <t>接入类型</t>
  </si>
  <si>
    <t>市名称</t>
  </si>
  <si>
    <t>qoe_im</t>
  </si>
  <si>
    <t>im业务的qoe</t>
  </si>
  <si>
    <t>持续时长</t>
  </si>
  <si>
    <t>kqi_imsentrate</t>
  </si>
  <si>
    <t>消息发送成功率</t>
  </si>
  <si>
    <t>kqi_imsentdelay</t>
  </si>
  <si>
    <t>消息发送时延</t>
  </si>
  <si>
    <t>kqi_imrecvrate</t>
  </si>
  <si>
    <t>消息接收成功率</t>
  </si>
  <si>
    <t>kqi_imrecvdelay</t>
  </si>
  <si>
    <t>消息接收时延</t>
  </si>
  <si>
    <t>abnormals_im</t>
  </si>
  <si>
    <t>times_excellentsentrate</t>
  </si>
  <si>
    <t>消息发送成功率优秀次数</t>
  </si>
  <si>
    <t>sum(httpwebrspcount)</t>
  </si>
  <si>
    <t>times_inferiorsentrate</t>
  </si>
  <si>
    <t>消息发送成功率劣质次数</t>
  </si>
  <si>
    <t>sum(nvl(httpwebreqcount,0)-nvl(httpwebrspcount,0))</t>
  </si>
  <si>
    <t>times_wellsentrate</t>
  </si>
  <si>
    <t>消息发送成功率良好次数</t>
  </si>
  <si>
    <t>置0</t>
  </si>
  <si>
    <t>qoe_game</t>
  </si>
  <si>
    <t>游戏的qoe</t>
  </si>
  <si>
    <t>gamereq</t>
  </si>
  <si>
    <t>游戏请求次数</t>
  </si>
  <si>
    <t>gamedelay</t>
  </si>
  <si>
    <t>游戏交互时延(多次业务的交互时延之和)</t>
  </si>
  <si>
    <t>times_abnormals</t>
  </si>
  <si>
    <t>异常话单次数</t>
  </si>
  <si>
    <t>tacid</t>
  </si>
  <si>
    <t>终端类型标识</t>
  </si>
  <si>
    <t>substr(imei,1,8)</t>
  </si>
  <si>
    <t>uflux</t>
  </si>
  <si>
    <t>sum(outputoctets_sum)</t>
  </si>
  <si>
    <t>dflux</t>
  </si>
  <si>
    <t>sum(inputoctets_sum)</t>
  </si>
  <si>
    <t>timeusage</t>
  </si>
  <si>
    <t>过滤条件：business_type in ('web','im','game')</t>
  </si>
  <si>
    <t>过滤条件：business_type = 'web'</t>
  </si>
  <si>
    <t>过滤条件：business_type = 'im'</t>
  </si>
  <si>
    <t>B表处理：duration as duration_sum</t>
  </si>
  <si>
    <t>B表处理：outputoctets as outputoctets_sum</t>
  </si>
  <si>
    <t>B表处理：tcpsetupresponsedelay_cnt_0_50 as tcpsetupresponsedelay_seg_1</t>
  </si>
  <si>
    <t>过滤条件：business_type = 'game'</t>
  </si>
  <si>
    <t>4G_web类型用户小区区域app维度天</t>
  </si>
  <si>
    <t>aggr_lte_usrareatime_cel_refactor_d</t>
  </si>
  <si>
    <t>5G_MR用户聚区结果天表</t>
  </si>
  <si>
    <r>
      <rPr>
        <sz val="9"/>
        <color theme="1"/>
        <rFont val="微软雅黑"/>
        <charset val="134"/>
      </rPr>
      <t xml:space="preserve">参考现网任务 </t>
    </r>
    <r>
      <rPr>
        <sz val="9"/>
        <color rgb="FFFF0000"/>
        <rFont val="微软雅黑"/>
        <charset val="134"/>
      </rPr>
      <t xml:space="preserve">aggr_lte_web_usrappcelarea_d  </t>
    </r>
    <r>
      <rPr>
        <sz val="9"/>
        <color theme="1"/>
        <rFont val="微软雅黑"/>
        <charset val="134"/>
      </rPr>
      <t>。先将B与B1进行union ALL，再进行A LEFT JOIN B。关联条件：B.cellkey=A.cellkey and B.imsi=A.imsi and B.hour=A.hour and B.quarter=A.quarter</t>
    </r>
  </si>
  <si>
    <t>aggr_nr_dpi_web_usrappcel_q</t>
  </si>
  <si>
    <t>5G_DPI_web类型用户小区app维度15分钟表</t>
  </si>
  <si>
    <t>interface=1</t>
  </si>
  <si>
    <t>area_id</t>
  </si>
  <si>
    <t>区域ID</t>
  </si>
  <si>
    <t>area_regionid</t>
  </si>
  <si>
    <t>区域栅格ID</t>
  </si>
  <si>
    <t>area_x_offset_20</t>
  </si>
  <si>
    <t>区域栅格坐标x轴偏移</t>
  </si>
  <si>
    <t>area_y_offset_20</t>
  </si>
  <si>
    <t>区域栅格坐标y轴偏移</t>
  </si>
  <si>
    <t>area_lon</t>
  </si>
  <si>
    <t>区域经度</t>
  </si>
  <si>
    <t>area_lat</t>
  </si>
  <si>
    <t>区域纬度</t>
  </si>
  <si>
    <t>B|B1</t>
  </si>
  <si>
    <t>sum(duration_sum                 ) duration_sum</t>
  </si>
  <si>
    <t>B1表处理：duration as duration_sum</t>
  </si>
  <si>
    <t>sum(outputoctets_sum             ) outputoctets_sum</t>
  </si>
  <si>
    <t>B1表处理：outputoctets as outputoctets_sum</t>
  </si>
  <si>
    <t>sum(inputoctets_sum              ) inputoctets_sum</t>
  </si>
  <si>
    <t>B1表处理：inputoctets as inputoctets_sum</t>
  </si>
  <si>
    <t>sum(tcpsetupresponsedelay_sum    ) tcpsetupresponsedelay_sum</t>
  </si>
  <si>
    <t>B1表处理：tcpsetupresponsedelay_avg*tcpsetupresponsedelay_cnt as tcpsetupresponsedelay_sum</t>
  </si>
  <si>
    <t>sum(tcpsetupackdelay_sum         ) tcpsetupackdelay_sum</t>
  </si>
  <si>
    <t>B1表处理：tcpsetupackdelay_avg*tcpsetupackdelay_cnt as tcpsetupackdelay_sum</t>
  </si>
  <si>
    <t>TCP建立时延_sum</t>
  </si>
  <si>
    <t>sum(tcpsetupdelay_sum            ) tcpsetupdelay_sum</t>
  </si>
  <si>
    <t>B1表处理：tcpsetupdelay_avg*tcpsetupdelay_cnt as tcpsetupdelay_sum</t>
  </si>
  <si>
    <t>sum(httpwebreqcount              ) httpwebreqcount</t>
  </si>
  <si>
    <t>B1表处理：http_req_cnt as httpwebreqcount</t>
  </si>
  <si>
    <t>http响应次数</t>
  </si>
  <si>
    <t>sum(httpwebrspcount              ) httpwebrspcount</t>
  </si>
  <si>
    <t>B1表处理：http_succ_cnt as httpwebrspcount</t>
  </si>
  <si>
    <t>http完整打开次数</t>
  </si>
  <si>
    <t>sum(httpwebdspcount              ) httpwebdspcount</t>
  </si>
  <si>
    <t>B1表处理：http_complete_cnt as httpwebdspcount</t>
  </si>
  <si>
    <t>httpwebrspdelay_sum</t>
  </si>
  <si>
    <t>sum(httpwebrspdelay_sum          ) httpwebrspdelay_sum</t>
  </si>
  <si>
    <t>B1表处理：httpwebrspdelay*httpwebrspdelay_cnt as httpwebrspdelay_sum</t>
  </si>
  <si>
    <t>httpwebdspdelay_sum</t>
  </si>
  <si>
    <t>sum(httpwebdspdelay_sum          ) httpwebdspdelay_sum</t>
  </si>
  <si>
    <t>B1表处理：httpwebdspdelay*httpwebdspdelay_cnt as httpwebdspdelay_sum</t>
  </si>
  <si>
    <t>sum(httpwebscreendelay_sum       ) httpwebscreendelay_sum</t>
  </si>
  <si>
    <t>B1表处理：httpwebscreendelay*httpwebscreen_cnt as httpwebscreendelay_sum</t>
  </si>
  <si>
    <t>httpwebrsprate</t>
  </si>
  <si>
    <t>http响应成功率</t>
  </si>
  <si>
    <t>case when sum(httpwebreqcount) !=0 then 10000*sum(httpwebrspcount)/sum(httpwebreqcount) else 0 end  as httpwebrsprate</t>
  </si>
  <si>
    <t>httpwebcmpltrate</t>
  </si>
  <si>
    <t>http完整打开成功率</t>
  </si>
  <si>
    <t>case when sum(httpwebdspcount) !=0 then 10000*sum(httpwebrspcount)/sum(httpwebreqcount) else 0 end as httpwebcmpltrate</t>
  </si>
  <si>
    <t>sum(times_excellentrspdelay) as times_excellentrspdelay</t>
  </si>
  <si>
    <t>B1表处理：excellentrspdelay_cnt as times_excellentrspdelay</t>
  </si>
  <si>
    <t>sum(times_inferiorrspdelay) as times_inferiorrspdelay</t>
  </si>
  <si>
    <t>B1表处理：inferiorrspdelay_cnt as times_inferiorrspdelay</t>
  </si>
  <si>
    <t>sum(times_wellrspdelay) as times_wellrspdelay</t>
  </si>
  <si>
    <t>B1表处理：wellrspdelay_cnt as times_wellrspdelay</t>
  </si>
  <si>
    <t>sum(times_excellentcmpltdelay) as times_excellentcmpltdelay</t>
  </si>
  <si>
    <t>B1表处理：excellentcmpltdelay_cnt as times_excellentcmpltdelay</t>
  </si>
  <si>
    <t>sum(times_inferiorcmpltdelay) as times_inferiorcmpltdelay</t>
  </si>
  <si>
    <t>B1表处理：inferiorcmpltdelay_cnt as times_inferiorcmpltdelay</t>
  </si>
  <si>
    <t>sum(times_wellcmpltdelay) as times_wellcmpltdelay</t>
  </si>
  <si>
    <t>B1表处理：wellcmpltdelay_cnt as times_wellcmpltdelay</t>
  </si>
  <si>
    <t>sum(dnsqueryreqcount) as dnsqueryreqcount</t>
  </si>
  <si>
    <t>B1表处理：dnsquery_cnt as dnsqueryreqcount</t>
  </si>
  <si>
    <t>sum(dnsqueryrspcount) as dnsqueryrspcount</t>
  </si>
  <si>
    <t>B1表处理：dnsresponse_cnt as dnsqueryrspcount</t>
  </si>
  <si>
    <t>dnsquerytime_sum</t>
  </si>
  <si>
    <t>DNS请求时延_sum</t>
  </si>
  <si>
    <t>sum(dnsquerytime_sum) as dnsquerytime_sum</t>
  </si>
  <si>
    <t>B1表处理：dnsresponse_delay*dnsresponse_cnt as dnsquerytime_sum</t>
  </si>
  <si>
    <t>dnsquerydelay_avg</t>
  </si>
  <si>
    <t>DNS请求时延_avg</t>
  </si>
  <si>
    <t>avg(dnsquerydelay_avg)  dnsquerydelay_avg</t>
  </si>
  <si>
    <t>B1表处理：dnsresponse_delay as dnsquerydelay_avg</t>
  </si>
  <si>
    <t>dnsquerydelay_seg_1</t>
  </si>
  <si>
    <t>DNS请求时延_seg_1</t>
  </si>
  <si>
    <t>sum(dnsquerydelay_seg_1) as dnsquerydelay_seg_1</t>
  </si>
  <si>
    <t>B1表处理：置0</t>
  </si>
  <si>
    <t>dnsquerydelay_seg_2</t>
  </si>
  <si>
    <t>DNS请求时延_seg_2</t>
  </si>
  <si>
    <t>sum(dnsquerydelay_seg_2) as dnsquerydelay_seg_2</t>
  </si>
  <si>
    <t>dnsquerydelay_seg_3</t>
  </si>
  <si>
    <t>DNS请求时延_seg_3</t>
  </si>
  <si>
    <t>sum(dnsquerydelay_seg_3) as dnsquerydelay_seg_3</t>
  </si>
  <si>
    <t>dnsquerydelay_seg_4</t>
  </si>
  <si>
    <t>DNS请求时延_seg_4</t>
  </si>
  <si>
    <t>sum(dnsquerydelay_seg_4) as dnsquerydelay_seg_4</t>
  </si>
  <si>
    <t>dnsquerydelay_seg_5</t>
  </si>
  <si>
    <t>DNS请求时延_seg_5</t>
  </si>
  <si>
    <t>sum(dnsquerydelay_seg_5) as dnsquerydelay_seg_5</t>
  </si>
  <si>
    <t>case when sum(httpwebreqcount) !=0 then sum(TCPSetupResponseDelay_sum)/sum(httpwebreqcount) else 0 end as tcpsetupresponsedelay_avg</t>
  </si>
  <si>
    <t>sum(TCPSetupResponseDelay_seg_1) as tcpsetupresponsedelay_seg_1</t>
  </si>
  <si>
    <t>B1表处理：tcpsetupresponsedelay_cnt_0_50 as tcpsetupresponsedelay_seg_1</t>
  </si>
  <si>
    <t>sum(TCPSetupResponseDelay_seg_2) as tcpsetupresponsedelay_seg_2</t>
  </si>
  <si>
    <t>B1表处理：tcpsetupresponsedelay_cnt_50_100 as tcpsetupresponsedelay_seg_2</t>
  </si>
  <si>
    <t>sum(TCPSetupResponseDelay_seg_3) as tcpsetupresponsedelay_seg_3</t>
  </si>
  <si>
    <t>B1表处理：tcpsetupresponsedelay_cnt_100_150 as tcpsetupresponsedelay_seg_3</t>
  </si>
  <si>
    <t>sum(TCPSetupResponseDelay_seg_4) as tcpsetupresponsedelay_seg_4</t>
  </si>
  <si>
    <t>B1表处理：tcpsetupresponsedelay_cnt_150_200 as tcpsetupresponsedelay_seg_4</t>
  </si>
  <si>
    <t>sum(TCPSetupResponseDelay_seg_5) as tcpsetupresponsedelay_seg_5</t>
  </si>
  <si>
    <t>B1表处理：tcpsetupresponsedelay_cnt_greater_200 as tcpsetupresponsedelay_seg_5</t>
  </si>
  <si>
    <t>case when sum(httpwebreqcount) !=0 then sum(TCPSetupACKDelay_sum)/sum(httpwebreqcount) else 0 end as tcpsetupackdelay_avg</t>
  </si>
  <si>
    <t>sum(TCPSetupACKDelay_seg_1) as tcpsetupackdelay_seg_1</t>
  </si>
  <si>
    <t>B1表处理：tcpsetupackdelay_cnt_0_50 as tcpsetupackdelay_seg_1</t>
  </si>
  <si>
    <t>sum(TCPSetupACKDelay_seg_2) as tcpsetupackdelay_seg_2</t>
  </si>
  <si>
    <t>B1表处理：tcpsetupackdelay_cnt_50_100 as tcpsetupackdelay_seg_2</t>
  </si>
  <si>
    <t>sum(TCPSetupACKDelay_seg_3) as tcpsetupackdelay_seg_3</t>
  </si>
  <si>
    <t>B1表处理：tcpsetupackdelay_cnt_100_150 as tcpsetupackdelay_seg_3</t>
  </si>
  <si>
    <t>sum(TCPSetupACKDelay_seg_4) as tcpsetupackdelay_seg_4</t>
  </si>
  <si>
    <t>B1表处理：tcpsetupackdelay_cnt_150_200 as tcpsetupackdelay_seg_4</t>
  </si>
  <si>
    <t>sum(TCPSetupACKDelay_seg_5) as tcpsetupackdelay_seg_5</t>
  </si>
  <si>
    <t>B1表处理：tcpsetupackdelay_cnt_greater_200 as tcpsetupackdelay_seg_5</t>
  </si>
  <si>
    <t>case when sum(httpwebreqcount) !=0 then sum(tcpsetupdelay_sum)/sum(httpwebreqcount) else 0 end as tcpsetupdelay_avg</t>
  </si>
  <si>
    <t>TCP建立时延_seg_1</t>
  </si>
  <si>
    <t>sum(tcpsetupdelay_seg_1) as tcpsetupdelay_seg_1</t>
  </si>
  <si>
    <t>B1表处理：tcpsetupdelay_cnt_0_50 as tcpsetupdelay_seg_1</t>
  </si>
  <si>
    <t>TCP建立时延_seg_2</t>
  </si>
  <si>
    <t>sum(tcpsetupdelay_seg_2) as tcpsetupdelay_seg_2</t>
  </si>
  <si>
    <t>B1表处理：tcpsetupdelay_cnt_50_100 as tcpsetupdelay_seg_2</t>
  </si>
  <si>
    <t>TCP建立时延_seg_3</t>
  </si>
  <si>
    <t>sum(tcpsetupdelay_seg_3) as tcpsetupdelay_seg_3</t>
  </si>
  <si>
    <t>B1表处理：tcpsetupdelay_cnt_100_150 as tcpsetupdelay_seg_3</t>
  </si>
  <si>
    <t>TCP建立时延_seg_4</t>
  </si>
  <si>
    <t>sum(tcpsetupdelay_seg_4) as tcpsetupdelay_seg_4</t>
  </si>
  <si>
    <t>B1表处理：tcpsetupdelay_cnt_150_200 as tcpsetupdelay_seg_4</t>
  </si>
  <si>
    <t>TCP建立时延_seg_5</t>
  </si>
  <si>
    <t>sum(tcpsetupdelay_seg_5) as tcpsetupdelay_seg_5</t>
  </si>
  <si>
    <t>B1表处理：tcpsetupdelay_cnt_greater_200 as tcpsetupdelay_seg_5</t>
  </si>
  <si>
    <t>网页响应(首包)时延</t>
  </si>
  <si>
    <t>case when sum(httpwebrspcount) !=0 then sum(httpwebrspdelay_sum)/sum(httpwebrspcount) else 0 end as httpwebrspdelay_avg</t>
  </si>
  <si>
    <t>sum(httpwebrspdelay_seg_1) as httpwebrspdelay_seg_1</t>
  </si>
  <si>
    <t>B1表处理：httpwebrspdelay_seg_1 as httpwebrspdelay_seg_1</t>
  </si>
  <si>
    <t>sum(httpwebrspdelay_seg_2) as httpwebrspdelay_seg_2</t>
  </si>
  <si>
    <t>B1表处理：httpwebrspdelay_seg_2 as httpwebrspdelay_seg_2</t>
  </si>
  <si>
    <t>sum(httpwebrspdelay_seg_3) as httpwebrspdelay_seg_3</t>
  </si>
  <si>
    <t>B1表处理：httpwebrspdelay_seg_3 as httpwebrspdelay_seg_3</t>
  </si>
  <si>
    <t>sum(httpwebrspdelay_seg_4) as httpwebrspdelay_seg_4</t>
  </si>
  <si>
    <t>B1表处理：httpwebrspdelay_seg_4 as httpwebrspdelay_seg_4</t>
  </si>
  <si>
    <t>sum(httpwebrspdelay_seg_5) as httpwebrspdelay_seg_5</t>
  </si>
  <si>
    <t>B1表处理：httpwebrspdelay_seg_5 as httpwebrspdelay_seg_5</t>
  </si>
  <si>
    <t>网页显示(打开)时长</t>
  </si>
  <si>
    <t>case when sum(httpwebrspcount) !=0 then sum(httpwebdspdelay_sum)/sum(httpwebrspcount) else 0 end as httpwebdspdelay_avg</t>
  </si>
  <si>
    <t>sum(httpwebdspdelay_seg_1) as httpwebdspdelay_seg_1</t>
  </si>
  <si>
    <t>B1表处理：httpwebdspdelay_seg_1 as httpwebdspdelay_seg_1</t>
  </si>
  <si>
    <t>sum(httpwebdspdelay_seg_2) as httpwebdspdelay_seg_2</t>
  </si>
  <si>
    <t>B1表处理：httpwebdspdelay_seg_2 as httpwebdspdelay_seg_2</t>
  </si>
  <si>
    <t>sum(httpwebdspdelay_seg_3) as httpwebdspdelay_seg_3</t>
  </si>
  <si>
    <t>B1表处理：httpwebdspdelay_seg_3 as httpwebdspdelay_seg_3</t>
  </si>
  <si>
    <t>sum(httpwebdspdelay_seg_4) as httpwebdspdelay_seg_4</t>
  </si>
  <si>
    <t>B1表处理：httpwebdspdelay_seg_4 as httpwebdspdelay_seg_4</t>
  </si>
  <si>
    <t>sum(httpwebdspdelay_seg_5) as httpwebdspdelay_seg_5</t>
  </si>
  <si>
    <t>B1表处理：httpwebdspdelay_seg_5 as httpwebdspdelay_seg_5</t>
  </si>
  <si>
    <t>case when sum(httpwebrspcount) !=0 then sum(httpwebscreendelay_sum)/sum(httpwebrspcount) else 0 end as httpwebscreendelay_avg</t>
  </si>
  <si>
    <t>sum(httpwebscreendelay_seg_1) as httpwebscreendelay_seg_1</t>
  </si>
  <si>
    <t>B1表处理：httpwebscreendelay_seg_1 as httpwebscreendelay_seg_1</t>
  </si>
  <si>
    <t>sum(httpwebscreendelay_seg_2) as httpwebscreendelay_seg_2</t>
  </si>
  <si>
    <t>B1表处理：httpwebscreendelay_seg_2 as httpwebscreendelay_seg_2</t>
  </si>
  <si>
    <t>sum(httpwebscreendelay_seg_3) as httpwebscreendelay_seg_3</t>
  </si>
  <si>
    <t>B1表处理：httpwebscreendelay_seg_3 as httpwebscreendelay_seg_3</t>
  </si>
  <si>
    <t>sum(httpwebscreendelay_seg_4) as httpwebscreendelay_seg_4</t>
  </si>
  <si>
    <t>B1表处理：httpwebscreendelay_seg_4 as httpwebscreendelay_seg_4</t>
  </si>
  <si>
    <t>sum(httpwebscreendelay_seg_5) as httpwebscreendelay_seg_5</t>
  </si>
  <si>
    <t>B1表处理：httpwebscreendelay_seg_5 as httpwebscreendelay_seg_5</t>
  </si>
  <si>
    <t>setuprsrp_avg</t>
  </si>
  <si>
    <t>平均RSRP</t>
  </si>
  <si>
    <t>avg(avg_srsrp)  setuprsrp_avg</t>
  </si>
  <si>
    <t>B1表处理：置NULL</t>
  </si>
  <si>
    <t>setuprsrp_count</t>
  </si>
  <si>
    <t>RSRP次数</t>
  </si>
  <si>
    <t>sum(srsrp_seg_1+srsrp_seg_2+srsrp_seg_3+srsrp_seg_4+srsrp_seg_5+srsrp_seg_6+srsrp_seg_7+srsrp_seg_8+srsrp_seg_9+srsrp_seg_10)       setuprsrp_count</t>
  </si>
  <si>
    <t>setuprsrp_seg_1</t>
  </si>
  <si>
    <t>setuprsrp_seg_1次数</t>
  </si>
  <si>
    <t>sum(srsrp_seg_1)        setuprsrp_seg_1</t>
  </si>
  <si>
    <t>B1表处理：赋值0</t>
  </si>
  <si>
    <t>setuprsrp_seg_2</t>
  </si>
  <si>
    <t>setuprsrp_seg_2次数</t>
  </si>
  <si>
    <t>sum(srsrp_seg_2)        setuprsrp_seg_2</t>
  </si>
  <si>
    <t>setuprsrp_seg_3</t>
  </si>
  <si>
    <t>setuprsrp_seg_3次数</t>
  </si>
  <si>
    <t>sum(srsrp_seg_3)        setuprsrp_seg_3</t>
  </si>
  <si>
    <t>setuprsrp_seg_4</t>
  </si>
  <si>
    <t>setuprsrp_seg_4次数</t>
  </si>
  <si>
    <t>sum(srsrp_seg_4)        setuprsrp_seg_4</t>
  </si>
  <si>
    <t>setuprsrp_seg_5</t>
  </si>
  <si>
    <t>setuprsrp_seg_5次数</t>
  </si>
  <si>
    <t>sum(srsrp_seg_5)        setuprsrp_seg_5</t>
  </si>
  <si>
    <t>setuprsrp_seg_6</t>
  </si>
  <si>
    <t>setuprsrp_seg_6次数</t>
  </si>
  <si>
    <t>sum(srsrp_seg_6)        setuprsrp_seg_6</t>
  </si>
  <si>
    <t>setuprsrp_seg_7</t>
  </si>
  <si>
    <t>setuprsrp_seg_7次数</t>
  </si>
  <si>
    <t>sum(srsrp_seg_7)        setuprsrp_seg_7</t>
  </si>
  <si>
    <t>setuprsrp_seg_8</t>
  </si>
  <si>
    <t>setuprsrp_seg_8次数</t>
  </si>
  <si>
    <t>sum(srsrp_seg_8)        setuprsrp_seg_8</t>
  </si>
  <si>
    <t>setuprsrp_seg_9</t>
  </si>
  <si>
    <t>setuprsrp_seg_9次数</t>
  </si>
  <si>
    <t>sum(srsrp_seg_9)        setuprsrp_seg_9</t>
  </si>
  <si>
    <t>setuprsrp_seg_10</t>
  </si>
  <si>
    <t>setuprsrp_seg_10次数</t>
  </si>
  <si>
    <t>sum(srsrp_seg_10)       setuprsrp_seg_10</t>
  </si>
  <si>
    <t>4G_im类型用户小区区域app维度天</t>
  </si>
  <si>
    <r>
      <rPr>
        <sz val="9"/>
        <color theme="1"/>
        <rFont val="微软雅黑"/>
        <charset val="134"/>
      </rPr>
      <t>参考现网任务</t>
    </r>
    <r>
      <rPr>
        <sz val="9"/>
        <color rgb="FFFF0000"/>
        <rFont val="微软雅黑"/>
        <charset val="134"/>
      </rPr>
      <t>aggr_lte_im_usrappcelarea_d</t>
    </r>
    <r>
      <rPr>
        <sz val="9"/>
        <color theme="1"/>
        <rFont val="微软雅黑"/>
        <charset val="134"/>
      </rPr>
      <t>。先将B与B1进行union ALL，再进行A LEFT JOIN B。关联条件：B.cellkey=A.cellkey and B.imsi=A.imsi and B.hour=A.hour and B.quarter=A.quarter</t>
    </r>
  </si>
  <si>
    <t>aggr_nr_dpi_im_usrappcel_q</t>
  </si>
  <si>
    <t>5G_DPI_im类型用户小区app维度15分钟表</t>
  </si>
  <si>
    <t>sum(duration_sum) duration_sum</t>
  </si>
  <si>
    <t>sum(outputoctets_sum) outputoctets_sum</t>
  </si>
  <si>
    <t>sum(inputoctets_sum) inputoctets_sum</t>
  </si>
  <si>
    <t>sum(tcpsetupresponsedelay_sum) tcpsetupresponsedelay_sum</t>
  </si>
  <si>
    <t>sum(tcpsetupackdelay_sum) tcpsetupackdelay_sum</t>
  </si>
  <si>
    <t>sum(tcpsetupdelay_sum) tcpsetupdelay_sum</t>
  </si>
  <si>
    <t>ul_text_cnt</t>
  </si>
  <si>
    <t>上行次数</t>
  </si>
  <si>
    <t>sum(ul_text_cnt) ul_text_cnt</t>
  </si>
  <si>
    <t>B1表处理：http_req_cnt as ul_text_cnt</t>
  </si>
  <si>
    <t>ul_text_succ_cnt</t>
  </si>
  <si>
    <t>上行成功次数</t>
  </si>
  <si>
    <t>sum(ul_text_succ_cnt) ul_text_succ_cnt</t>
  </si>
  <si>
    <t>B1表处理：http_succ_cnt as ul_text_succ_cnt</t>
  </si>
  <si>
    <t>dl_text_cnt</t>
  </si>
  <si>
    <t>下行次数</t>
  </si>
  <si>
    <t>sum(dl_text_cnt) dl_text_cnt</t>
  </si>
  <si>
    <t>B1表处理：http_req_cnt as dl_text_cnt</t>
  </si>
  <si>
    <t>dl_text_succ_cnt</t>
  </si>
  <si>
    <t>下行成功次数</t>
  </si>
  <si>
    <t>sum(dl_text_succ_cnt) dl_text_succ_cnt</t>
  </si>
  <si>
    <t>B1表处理：http_succ_cnt as dl_text_succ_cnt</t>
  </si>
  <si>
    <t>消息发送优秀次数</t>
  </si>
  <si>
    <t>sum(times_excellentsentrate) times_excellentsentrate</t>
  </si>
  <si>
    <t>B1表处理：http_succ_cnt as times_excellentsentrate</t>
  </si>
  <si>
    <t>消息发送质差次数</t>
  </si>
  <si>
    <t>sum(times_inferiorsentrate) times_inferiorsentrate</t>
  </si>
  <si>
    <t>B1表处理：nvl(http_req_cnt,0) - nvl(http_succ_cnt,0) as times_inferiorsentrate</t>
  </si>
  <si>
    <t>消息发送良好次数</t>
  </si>
  <si>
    <t>sum(times_wellsentrate) times_wellsentrate</t>
  </si>
  <si>
    <t>B1表处理：0 as times_wellsentrate</t>
  </si>
  <si>
    <t>sum(httpwebreqcount)  httpwebreqcount</t>
  </si>
  <si>
    <t>sum(dnsqueryreqcount) dnsqueryreqcount</t>
  </si>
  <si>
    <t>sum(dnsqueryrspcount) dnsqueryrspcount</t>
  </si>
  <si>
    <t>sum(dnsquerytime_sum) dnsquerytime_sum</t>
  </si>
  <si>
    <t>avg(dnsquerydelay_avg) dnsquerydelay_avg</t>
  </si>
  <si>
    <t>sum(dnsquerydelay_seg_1) dnsquerydelay_seg_1</t>
  </si>
  <si>
    <t>sum(dnsquerydelay_seg_2) dnsquerydelay_seg_2</t>
  </si>
  <si>
    <t>sum(dnsquerydelay_seg_3) dnsquerydelay_seg_3</t>
  </si>
  <si>
    <t>sum(dnsquerydelay_seg_4) dnsquerydelay_seg_4</t>
  </si>
  <si>
    <t>sum(dnsquerydelay_seg_5) dnsquerydelay_seg_5</t>
  </si>
  <si>
    <t>case when sum(httpwebreqcount)  !=0 then sum(tcpsetupresponsedelay_sum)/sum(httpwebreqcount) else 0 end as tcpsetupresponsedelay_avg</t>
  </si>
  <si>
    <t>sum(tcpsetupresponsedelay_seg_1) tcpsetupresponsedelay_seg_1</t>
  </si>
  <si>
    <t>sum(tcpsetupresponsedelay_seg_2) tcpsetupresponsedelay_seg_2</t>
  </si>
  <si>
    <t>sum(tcpsetupresponsedelay_seg_3) tcpsetupresponsedelay_seg_3</t>
  </si>
  <si>
    <t>sum(tcpsetupresponsedelay_seg_4) tcpsetupresponsedelay_seg_4</t>
  </si>
  <si>
    <t>sum(tcpsetupresponsedelay_seg_5) tcpsetupresponsedelay_seg_5</t>
  </si>
  <si>
    <t>case when sum(httpwebreqcount) !=0 then sum(tcpsetupackdelay_sum)/sum(httpwebreqcount) else 0 end as tcpsetupackdelay_avg</t>
  </si>
  <si>
    <t>sum(tcpsetupackdelay_seg_1) tcpsetupackdelay_seg_1</t>
  </si>
  <si>
    <t>sum(tcpsetupackdelay_seg_2) tcpsetupackdelay_seg_2</t>
  </si>
  <si>
    <t>sum(tcpsetupackdelay_seg_3) tcpsetupackdelay_seg_3</t>
  </si>
  <si>
    <t>sum(tcpsetupackdelay_seg_4) tcpsetupackdelay_seg_4</t>
  </si>
  <si>
    <t>sum(tcpsetupackdelay_seg_5) tcpsetupackdelay_seg_5</t>
  </si>
  <si>
    <t>case when sum(httpwebreqcount)  !=0 then sum(tcpsetupdelay_sum)/sum(httpwebreqcount) else 0 end as tcpsetupdelay_avg</t>
  </si>
  <si>
    <t>sum(tcpsetupdelay_seg_1) tcpsetupdelay_seg_1</t>
  </si>
  <si>
    <t>sum(tcpsetupdelay_seg_2) tcpsetupdelay_seg_2</t>
  </si>
  <si>
    <t>sum(tcpsetupdelay_seg_3) tcpsetupdelay_seg_3</t>
  </si>
  <si>
    <t>sum(tcpsetupdelay_seg_4) tcpsetupdelay_seg_4</t>
  </si>
  <si>
    <t>sum(tcpsetupdelay_seg_5) tcpsetupdelay_seg_5</t>
  </si>
  <si>
    <t>4G_game类型用户小区区域app维度天</t>
  </si>
  <si>
    <t>4G_MR用户聚区结果天表</t>
  </si>
  <si>
    <r>
      <rPr>
        <sz val="9"/>
        <color theme="1"/>
        <rFont val="微软雅黑"/>
        <charset val="134"/>
      </rPr>
      <t xml:space="preserve">参考现网任务 </t>
    </r>
    <r>
      <rPr>
        <sz val="9"/>
        <color rgb="FFFF0000"/>
        <rFont val="微软雅黑"/>
        <charset val="134"/>
      </rPr>
      <t>aggr_lte_game_usrappcelarea_d</t>
    </r>
    <r>
      <rPr>
        <sz val="9"/>
        <color theme="1"/>
        <rFont val="微软雅黑"/>
        <charset val="134"/>
      </rPr>
      <t>。先将B与B1进行union ALL，再进行A LEFT JOIN B。关联条件：B.cellkey=A.cellkey and B.imsi=A.imsi and B.hour=A.hour and B.quarter=A.quarter</t>
    </r>
  </si>
  <si>
    <t>aggr_nr_dpi_game_usrappcel_q</t>
  </si>
  <si>
    <t>5G_DPI_game类型用户小区app维度15分钟表</t>
  </si>
  <si>
    <t>gameinteractdelay_sum</t>
  </si>
  <si>
    <t>游戏交互时延_sum</t>
  </si>
  <si>
    <t>sum(gameinteractdelay_sum) gameinteractdelay_sum</t>
  </si>
  <si>
    <t>B1表处理：tcpsetupdelay_avg*tcpsetupdelay_cnt as gameinteractdelay_sum</t>
  </si>
  <si>
    <t>sum(times_excellentgamedelay) times_excellentgamedelay</t>
  </si>
  <si>
    <t>B1表处理：excellentgamedelay_cnt as times_excellentgamedelay</t>
  </si>
  <si>
    <t>游戏交互时延质差次数</t>
  </si>
  <si>
    <t>sum(times_inferiorgamedelay) times_inferiorgamedelay</t>
  </si>
  <si>
    <t>B1表处理：inferiorgamedelay_cnt as times_inferiorgamedelay</t>
  </si>
  <si>
    <t>sum(times_wellgamedelay) times_wellgamedelay</t>
  </si>
  <si>
    <t>B1表处理：wellgamedelay_cnt as times_wellgamedelay</t>
  </si>
  <si>
    <t>sum(httpwebreqcount) httpwebreqcount</t>
  </si>
  <si>
    <t>sum(httpwebrspcount) httpwebrspcount</t>
  </si>
  <si>
    <t>sum(httpwebdspcount) httpwebdspcount</t>
  </si>
  <si>
    <t>case when sum(httpwebreqcount) !=0 then sum(tcpsetupresponsedelay_sum)/sum(httpwebreqcount) else 0 end as tcpsetupresponsedelay_avg</t>
  </si>
  <si>
    <t>gameinteractdelay_avg</t>
  </si>
  <si>
    <t>游戏交互时延_avg</t>
  </si>
  <si>
    <t>case when sum(httpwebreqcount) !=0 then sum(gameinteractdelay_sum)/sum(httpwebreqcount) else 0 end as gameinteractdelay_avg</t>
  </si>
  <si>
    <t>gameinteractdelay_seg_1</t>
  </si>
  <si>
    <t>游戏交互时延_seg_1</t>
  </si>
  <si>
    <t>sum(gameinteractdelay_seg_1) gameinteractdelay_seg_1</t>
  </si>
  <si>
    <t>B1表处理：tcpsetupdelay_cnt_0_50 as gameinteractdelay_seg_1</t>
  </si>
  <si>
    <t>gameinteractdelay_seg_2</t>
  </si>
  <si>
    <t>游戏交互时延_seg_2</t>
  </si>
  <si>
    <t>sum(gameinteractdelay_seg_2) gameinteractdelay_seg_2</t>
  </si>
  <si>
    <t>B1表处理：tcpsetupdelay_cnt_50_100 as gameinteractdelay_seg_2</t>
  </si>
  <si>
    <t>gameinteractdelay_seg_3</t>
  </si>
  <si>
    <t>游戏交互时延_seg_3</t>
  </si>
  <si>
    <t>sum(gameinteractdelay_seg_3) gameinteractdelay_seg_3</t>
  </si>
  <si>
    <t>B1表处理：tcpsetupdelay_cnt_100_150 as gameinteractdelay_seg_3</t>
  </si>
  <si>
    <t>gameinteractdelay_seg_4</t>
  </si>
  <si>
    <t>游戏交互时延_seg_4</t>
  </si>
  <si>
    <t>sum(gameinteractdelay_seg_4) gameinteractdelay_seg_4</t>
  </si>
  <si>
    <t>B1表处理：tcpsetupdelay_cnt_150_200 as gameinteractdelay_seg_4</t>
  </si>
  <si>
    <t>gameinteractdelay_seg_5</t>
  </si>
  <si>
    <t>游戏交互时延_seg_5</t>
  </si>
  <si>
    <t>sum(gameinteractdelay_seg_5) gameinteractdelay_seg_5</t>
  </si>
  <si>
    <t>B1表处理：tcpsetupdelay_cnt_greater_200 as gameinteractdelay_seg_5</t>
  </si>
  <si>
    <t>aggr_highspeedrail_usrlist_d</t>
  </si>
  <si>
    <t>高铁用户清单结果表</t>
  </si>
  <si>
    <r>
      <rPr>
        <sz val="9"/>
        <color theme="1"/>
        <rFont val="微软雅黑"/>
        <charset val="134"/>
      </rPr>
      <t xml:space="preserve">参考现网任务 </t>
    </r>
    <r>
      <rPr>
        <sz val="9"/>
        <color rgb="FFFF0000"/>
        <rFont val="微软雅黑"/>
        <charset val="134"/>
      </rPr>
      <t>aggr_nr_highspeedrail_web_base_h</t>
    </r>
    <r>
      <rPr>
        <sz val="9"/>
        <color theme="1"/>
        <rFont val="微软雅黑"/>
        <charset val="134"/>
      </rPr>
      <t xml:space="preserve">
A inner join B。关联条件：a.imsi=b.imsi and a.p_date=b.p_date and a.hour=b.hour and a.quarter=b.quarter</t>
    </r>
  </si>
  <si>
    <t>接口</t>
  </si>
  <si>
    <t>网络类型</t>
  </si>
  <si>
    <t>城市编码</t>
  </si>
  <si>
    <t>城市名称</t>
  </si>
  <si>
    <t>lineid</t>
  </si>
  <si>
    <t>高铁线路id</t>
  </si>
  <si>
    <t>line_id</t>
  </si>
  <si>
    <t>line_name</t>
  </si>
  <si>
    <t>高铁线路名称</t>
  </si>
  <si>
    <t>tacid号</t>
  </si>
  <si>
    <t>持续时间，单位毫秒，根据业务流开始和结束统计得出的时间</t>
  </si>
  <si>
    <t>TCP建链响应时延</t>
  </si>
  <si>
    <t>TCP建链确认时延</t>
  </si>
  <si>
    <t>TCP建立时延(ms)_求和</t>
  </si>
  <si>
    <t>Http请求完成次数</t>
  </si>
  <si>
    <t>网页响应(首包)时延_求和(ms)</t>
  </si>
  <si>
    <t>sum(httpwebrspdelay*httpwebrspdelay_cnt)</t>
  </si>
  <si>
    <t>网页显示(打开)时长_求和(ms)</t>
  </si>
  <si>
    <t>sum(httpwebdspdelay*httpwebdspdelay_cnt)</t>
  </si>
  <si>
    <t>网页首屏时延_求和(ms)</t>
  </si>
  <si>
    <t>sum(http_succ_cnt)/sum(http_req_cnt)</t>
  </si>
  <si>
    <t>网页完整打开成功率(%)</t>
  </si>
  <si>
    <t>sum(http_complete_cnt)/sum(http_req_cnt)</t>
  </si>
  <si>
    <t>TCP建立时延(ms)_avg</t>
  </si>
  <si>
    <t>TCP建立时延(ms)_seg_1</t>
  </si>
  <si>
    <t>TCP建立时延(ms)_seg_2</t>
  </si>
  <si>
    <t>TCP建立时延(ms)_seg_3</t>
  </si>
  <si>
    <t>TCP建立时延(ms)_seg_4</t>
  </si>
  <si>
    <t>TCP建立时延(ms)_seg_5</t>
  </si>
  <si>
    <t>网页响应(首包)时延_avg(ms)</t>
  </si>
  <si>
    <t>网页显示(打开)时长_avg(ms)</t>
  </si>
  <si>
    <t>网页首屏时延_avg(ms)</t>
  </si>
  <si>
    <t>sum(ultcpretranspacket_sum)</t>
  </si>
  <si>
    <t>sum(dltcpretranspacket_sum)</t>
  </si>
  <si>
    <t>sum(tcpsetupresponsedelay_sum)</t>
  </si>
  <si>
    <t>sum(tcpsetupackdelay_sum)</t>
  </si>
  <si>
    <t>sum(tcpsetupdelay_sum)</t>
  </si>
  <si>
    <t>sum(httpwebreqcount)</t>
  </si>
  <si>
    <t>sum(httpwebdspcount)</t>
  </si>
  <si>
    <t>sum(httpwebrspdelay_sum)</t>
  </si>
  <si>
    <t>sum(httpwebdspdelay_sum)</t>
  </si>
  <si>
    <t>sum(httpwebscreendelay_sum)</t>
  </si>
  <si>
    <t>sum(httpwebrspcount)/sum(httpwebreqcount)</t>
  </si>
  <si>
    <t>sum(httpwebdspcount)/sum(httpwebreqcount)</t>
  </si>
  <si>
    <t>sum(tcpsetupresponsedelay_avg*httpwebrspcount)/sum(httpwebrspcount)</t>
  </si>
  <si>
    <t>sum(tcpsetupresponsedelay_seg_1)</t>
  </si>
  <si>
    <t>sum(tcpsetupresponsedelay_seg_2)</t>
  </si>
  <si>
    <t>sum(tcpsetupresponsedelay_seg_3)</t>
  </si>
  <si>
    <t>sum(tcpsetupresponsedelay_seg_4)</t>
  </si>
  <si>
    <t>sum(tcpsetupresponsedelay_seg_5)</t>
  </si>
  <si>
    <t>sum(tcpsetupackdelay_avg*httpwebrspcount)/sum(httpwebrspcount)</t>
  </si>
  <si>
    <t>sum(tcpsetupackdelay_seg_1)</t>
  </si>
  <si>
    <t>sum(tcpsetupackdelay_seg_2)</t>
  </si>
  <si>
    <t>sum(tcpsetupackdelay_seg_3)</t>
  </si>
  <si>
    <t>sum(tcpsetupackdelay_seg_4)</t>
  </si>
  <si>
    <t>sum(tcpsetupackdelay_seg_5)</t>
  </si>
  <si>
    <t>sum(tcpsetupdelay_avg*httpwebrspcount)/sum(httpwebrspcount)</t>
  </si>
  <si>
    <t>sum(tcpsetupdelay_seg_1)</t>
  </si>
  <si>
    <t>sum(tcpsetupdelay_seg_2)</t>
  </si>
  <si>
    <t>sum(tcpsetupdelay_seg_3)</t>
  </si>
  <si>
    <t>sum(tcpsetupdelay_seg_4)</t>
  </si>
  <si>
    <t>sum(tcpsetupdelay_seg_5)</t>
  </si>
  <si>
    <t>sum(httpwebrspdelay_avg*httpwebrspcount)/sum(httpwebrspcount)</t>
  </si>
  <si>
    <t>sum(httpwebdspdelay_avg*httpwebrspcount)/sum(httpwebrspcount)</t>
  </si>
  <si>
    <t>sum(httpwebscreendelay_avg*httpwebrspcount)/sum(httpwebrspcount)</t>
  </si>
  <si>
    <t>4G_DPI_video贴源层详单表</t>
  </si>
  <si>
    <t>videoplaysuccess</t>
  </si>
  <si>
    <t>视频成功播放的标识。点击视频播放按钮，直到视频开始播放的过程中，用户没有主动放弃观看视频，则认为视频播放成功。</t>
  </si>
  <si>
    <t>videoplaywaittime</t>
  </si>
  <si>
    <t>视频播放等待时长。从点击视频播放按钮，到视频开始播放的时长，单位ms</t>
  </si>
  <si>
    <t>videoplayhaltcount</t>
  </si>
  <si>
    <t>视频播放卡顿次数</t>
  </si>
  <si>
    <t>videorecovertime</t>
  </si>
  <si>
    <t>视频卡顿时长</t>
  </si>
  <si>
    <t>firstdatapkgtime</t>
  </si>
  <si>
    <t>视频下行第一个有效数据包时间戳</t>
  </si>
  <si>
    <t>lastdatapkgtime</t>
  </si>
  <si>
    <t>视频下行最后一个有效数据包时间戳</t>
  </si>
  <si>
    <t>videoapp</t>
  </si>
  <si>
    <t>视频网站名称</t>
  </si>
  <si>
    <t>videosize</t>
  </si>
  <si>
    <t>视频文件大小该值为从媒体文件头中解析出的文件大小。单位：字节。</t>
  </si>
  <si>
    <t>videothroughput</t>
  </si>
  <si>
    <t>视频下载速率</t>
  </si>
  <si>
    <t>videotype</t>
  </si>
  <si>
    <t>视频文件的格式：NULL=0,RTSP=1,FLV=2,WMAWMV=3,MMS=4,MP2TTS=5,MP43GP=6,OGG=7,UNKNOWN=8</t>
  </si>
  <si>
    <t>videobitrate</t>
  </si>
  <si>
    <t>视频质量，即视频平均码率，单位Kbps</t>
  </si>
  <si>
    <t>videocachethroughput</t>
  </si>
  <si>
    <t>视频缓冲段下载速率。算法见《中国电信移动互联网业务感知质量评价细则》</t>
  </si>
  <si>
    <t>cachedvideosize</t>
  </si>
  <si>
    <t>缓冲段视频大小</t>
  </si>
  <si>
    <t>cachedvideoduration</t>
  </si>
  <si>
    <t>缓冲段视频时长</t>
  </si>
  <si>
    <t>根据sourceip字段结果识别
case when sourceip regexp '^((25[0-5]|2[0-4]\\d|[01]?\\d\\d?)\\.){3}(25[0-5]|2[0-4]\\d|[01]?\\d\\d?)$' then 'ipv4' when sourceIP regexp '^([\\da-fA-F]{1,4}:){7}[\\da-fA-F]{1,4}$' then 'ipv6' else '' end as sourceip_type</t>
  </si>
  <si>
    <t>现网算法（无明显变更）：case when tcpsetupresponsedelay&lt;50000 and tcpsetupackdelay&lt;50000 then (tcpsetupresponsedelay+tcpsetupackdelay) else null end</t>
  </si>
  <si>
    <t>videothroughput_custom</t>
  </si>
  <si>
    <t>自定义视频下载速率(剔除video_size&lt;500KB)</t>
  </si>
  <si>
    <t>case when videoplaysuccess = 1 and videothroughput&gt;0 and videothroughput&lt;=307200 and videosize&gt;=512000 and  and  then videothroughput else null end</t>
  </si>
  <si>
    <t>videocachethroughput_custom</t>
  </si>
  <si>
    <t>自定义视频缓冲段下载速率(剔除video_size&lt;500KB)</t>
  </si>
  <si>
    <t>case when videoplaysuccess = 1 and videocachethroughput&gt;0 and videocachethroughput&lt;=307200 and videosize&gt;=512000 then videocachethroughput else null end</t>
  </si>
  <si>
    <t>videoplayhaltcount_custom</t>
  </si>
  <si>
    <t>自定义视频播放卡顿次数(剔除video_size&lt;500KB)(计算视频卡顿频次)</t>
  </si>
  <si>
    <t>case when videoplaysuccess = 1 and videothroughput&gt;0 and videothroughput&lt;=307200 and videosize&gt;=512000 and videobitrate&gt;0 and (videoplayhaltcount)/(inputoctets*8/(videobitrate*1000)/60)&lt;=10 then videoplayhaltcount else 0 end</t>
  </si>
  <si>
    <t>video_play_duration_custom</t>
  </si>
  <si>
    <t>自定义视频播放时长(剔除video_size&lt;500KB)-分钟(计算视频卡顿频次)</t>
  </si>
  <si>
    <t>case when videoplaysuccess = 1 and videothroughput&gt;0 and videothroughput&lt;=1024000 and videosize&gt;=512000 and videobitrate&gt;0 and (videoplayhaltcount)/(inputoctets*8/(videobitrate*1000)/60)&lt;=10 then (inputoctets*8/(videobitrate*1000)/60) else 0 end</t>
  </si>
  <si>
    <t>分钟</t>
  </si>
  <si>
    <t>videoplayhaltcountpermin_custom</t>
  </si>
  <si>
    <t>自定义视频播放卡顿频次(次/分钟)</t>
  </si>
  <si>
    <t>case when videoplaysuccess = 1 and videothroughput&gt;0 and videothroughput&lt;=307200 and videosize&gt;=512000 and videobitrate&gt;0 and (videoplayhaltcount)/(inputoctets*8/(videobitrate*1000)/60)&lt;=10 then (videoplayhaltcount)/(inputoctets*8/(videobitrate*1000)/60) else 0 end</t>
  </si>
  <si>
    <t>次/分钟</t>
  </si>
  <si>
    <t>video_play_duration</t>
  </si>
  <si>
    <t>视频播放时长-分钟(计算视频卡顿频次)</t>
  </si>
  <si>
    <t>case when videoplaysuccess = 1 and videothroughput&gt;0 and videothroughput&lt;=307200 and videobitrate&gt;0 and videoplayhaltcount/(inputoctets*8/(videobitrate*1000)/60)&lt;=10 then (inputoctets*8/(videobitrate*1000)/60) else 0 end</t>
  </si>
  <si>
    <t>videoplayhaltcountpermin</t>
  </si>
  <si>
    <t>视频播放卡顿频次(次/分钟)</t>
  </si>
  <si>
    <t>case when videoplaysuccess = 1 and videothroughput&gt;0 and videothroughput&lt;=307200 and videobitrate&gt;0 and videoplayhaltcount/(inputoctets*8/(videobitrate*1000)/60)&lt;=10 then videoplayhaltcount/(inputoctets*8/(videobitrate*1000)/60) else 0 end</t>
  </si>
  <si>
    <t>videothroughput_cnt</t>
  </si>
  <si>
    <t>视频下载速率次数</t>
  </si>
  <si>
    <t>case when videoplaysuccess = 1 and videothroughput&gt;0 and videothroughput&lt;=307200 then 1 else 0 end</t>
  </si>
  <si>
    <t>videocachethroughput_cnt</t>
  </si>
  <si>
    <t>视频缓冲段下载速率次数</t>
  </si>
  <si>
    <t>case when videoplaysuccess = 1 and videocachethroughput&gt;0 and videocachethroughput&lt;=307200 then 1 else 0 end</t>
  </si>
  <si>
    <t>视频文件的格式</t>
  </si>
  <si>
    <t>videoplayrequest_cnt</t>
  </si>
  <si>
    <t>视频播放请求次数</t>
  </si>
  <si>
    <t>count(1)</t>
  </si>
  <si>
    <t>videoplaysuccess_cnt</t>
  </si>
  <si>
    <t>视频播放成功次数</t>
  </si>
  <si>
    <t>sum(case when videoplaysuccess = 1 then 1 else 0 end)</t>
  </si>
  <si>
    <t>cachedvideoduration_sum</t>
  </si>
  <si>
    <t>初始缓存总时长</t>
  </si>
  <si>
    <t>sum(cachedvideoduration)</t>
  </si>
  <si>
    <t>cachedvideo_req_cnt</t>
  </si>
  <si>
    <t>初始缓冲请求次数</t>
  </si>
  <si>
    <t>sum(case when cachedvideoduration&gt;0 then  1  else 0 end)</t>
  </si>
  <si>
    <t>cachedvideo_suc_cnt</t>
  </si>
  <si>
    <t>初始缓冲成功次数</t>
  </si>
  <si>
    <t>sum(case when cachedvideoduration&gt;0 and videoplaysuccess=1 then  1 end)</t>
  </si>
  <si>
    <t>videoplayhaltservcount</t>
  </si>
  <si>
    <t>发生卡顿业务次数（内容&gt;=500KB）</t>
  </si>
  <si>
    <t>sum(case when videoplaysuccess = 1 and videothroughput&gt;0 and videothroughput&lt;=307200 and videosize&gt;=512000 and videoplayhaltcount&gt;0 and videobitrate&gt;0 and (videoplayhaltcount)/(inputoctets*8/(videobitrate*1000)/60)&lt;=10 then 1 else 0 end)</t>
  </si>
  <si>
    <t>videoservcount</t>
  </si>
  <si>
    <t>具备卡顿业务次数（内容&gt;=500KB）</t>
  </si>
  <si>
    <t>sum(case when videoplaysuccess = 1 and videothroughput&gt;0 and videothroughput&lt;=307200 and videosize&gt;=512000 and videoplayhaltcount&gt;=0 and (cachedvideoduration&gt;0 or cachedvideoduration is null) and videobitrate&gt;0 and (videoplayhaltcount)/(inputoctets*8/(videobitrate*1000)/60)&lt;=10 then 1 else 0 end)</t>
  </si>
  <si>
    <t>videosize_above500</t>
  </si>
  <si>
    <t>视频文件大小（内容&gt;=500KB）</t>
  </si>
  <si>
    <t>sum(case when videoplaysuccess = 1 and videothroughput&gt;0 and videothroughput&lt;=307200 and videosize&gt;=512000 and videoplayhaltcount&gt;=0 and videobitrate&gt;0 and (videoplayhaltcount)/(inputoctets*8/(videobitrate*1000)/60)&lt;=10 then videosize else 0 end)</t>
  </si>
  <si>
    <t>videoduration_above500</t>
  </si>
  <si>
    <t>视频下载时长(ms)（内容&gt;=500KB）</t>
  </si>
  <si>
    <t>sum(case when videoplaysuccess = 1 and videothroughput&gt;0 and videothroughput&lt;=307200 and videosize&gt;=512000 and videoplayhaltcount&gt;=0 and videobitrate&gt;0 and (videoplayhaltcount)/(inputoctets*8/(videobitrate*1000)/60)&lt;=10 and lastdatapkgtime&gt;firstdatapkgtime and  firstdatapkgtime&gt;0 then (lastdatapkgtime-firstdatapkgtime) else 0 end)</t>
  </si>
  <si>
    <t>视频文件大小</t>
  </si>
  <si>
    <t>sum(videosize)</t>
  </si>
  <si>
    <t>videoplaywaittime_sum</t>
  </si>
  <si>
    <t>视频播放等待时长_sum，单位毫秒</t>
  </si>
  <si>
    <t>sum(videoplaywaittime)</t>
  </si>
  <si>
    <t>videorecovertime_sum</t>
  </si>
  <si>
    <t>视频卡顿时长_sum，单位毫秒</t>
  </si>
  <si>
    <t>sum(videorecovertime)</t>
  </si>
  <si>
    <t>count(case when tcpsetupresponsedelay&gt;=0 and tcpsetupresponsedelay&lt;50 then 1 else null end)</t>
  </si>
  <si>
    <t>count(case when tcpsetupresponsedelay&gt;=50 and tcpsetupresponsedelay&lt;100 then 1 else null end)</t>
  </si>
  <si>
    <t>count(case when tcpsetupresponsedelay&gt;=100 and tcpsetupresponsedelay&lt;150 then 1 else null end)</t>
  </si>
  <si>
    <t>count(case when tcpsetupresponsedelay&gt;=150 and tcpsetupresponsedelay&lt;200 then 1 else null end)</t>
  </si>
  <si>
    <t>count(case when tcpsetupresponsedelay&gt;=200 and tcpsetupresponsedelay&lt;50000 then 1 else null end)</t>
  </si>
  <si>
    <t>count(case when tcpsetupackdelay&gt;=0 and tcpsetupackdelay&lt;50 then 1 else null end)</t>
  </si>
  <si>
    <t>count(case when tcpsetupackdelay&gt;=50 and tcpsetupackdelay&lt;100 then 1 else null end)</t>
  </si>
  <si>
    <t>count(case when tcpsetupackdelay&gt;=100 and tcpsetupackdelay&lt;150 then 1 else null end)</t>
  </si>
  <si>
    <t>count(case when tcpsetupackdelay&gt;=150 and tcpsetupackdelay&lt;200 then 1 else null end)</t>
  </si>
  <si>
    <t>count(case when tcpsetupackdelay&gt;=200 and tcpsetupackdelay&lt;50000 then 1 else null end)</t>
  </si>
  <si>
    <t>count(case when tcpsetupdelay&gt;=0 and tcpsetupdelay&lt;50 then 1 else null end)</t>
  </si>
  <si>
    <t>count(case when tcpsetupdelay&gt;=50 and tcpsetupdelay&lt;100 then 1 else null end)</t>
  </si>
  <si>
    <t>count(case when tcpsetupdelay&gt;=100 and tcpsetupdelay&lt;150 then 1 else null end)</t>
  </si>
  <si>
    <t>count(case when tcpsetupdelay&gt;=150 and tcpsetupdelay&lt;200 then 1 else null end)</t>
  </si>
  <si>
    <t>count(case when tcpsetupdelay&gt;=200 and tcpsetupdelay&lt;50000 then 1 else null end)</t>
  </si>
  <si>
    <t>sum(videoplayhaltcount)</t>
  </si>
  <si>
    <t>sum(video_play_duration)</t>
  </si>
  <si>
    <t>videoplaytime_to_videobitrate</t>
  </si>
  <si>
    <t>视频播放时长-分钟(全量话单)</t>
  </si>
  <si>
    <t>sum(((inputoctets*8/1000)/videobitrate)/60)</t>
  </si>
  <si>
    <t>sum(videoplayhaltcount)/sum(video_play_duration)</t>
  </si>
  <si>
    <t>自定义视频播放卡顿次数(剔除video_size&lt;500KB)</t>
  </si>
  <si>
    <t>sum(videoplayhaltcount_custom)</t>
  </si>
  <si>
    <t>sum(video_play_duration_custom)</t>
  </si>
  <si>
    <t>sum(videoplayhaltcount_custom)/sum(video_play_duration_custom)</t>
  </si>
  <si>
    <t>videobitrate_sum</t>
  </si>
  <si>
    <t>视频码率</t>
  </si>
  <si>
    <t>sum(videobitrate)</t>
  </si>
  <si>
    <t>videobitrate_cnt</t>
  </si>
  <si>
    <t>视频码率次数</t>
  </si>
  <si>
    <t>sum(case when videobitrate&gt;0 then 1 else 0 end)</t>
  </si>
  <si>
    <t>videobit_code_good_cnt</t>
  </si>
  <si>
    <t>速率码率比优良次数</t>
  </si>
  <si>
    <t>sum(case when videocachethroughput/videobitrate&gt;1.4 and videocachethroughput&gt;0 and videocachethroughput&lt;307200 and videobitrate&gt;0 then 1 else 0 end)</t>
  </si>
  <si>
    <t>videobit_code_cnt</t>
  </si>
  <si>
    <t>速率码率总次数</t>
  </si>
  <si>
    <t>sum(case when videocachethroughput&gt;0 and videocachethroughput &lt; 307200 and videobitrate&gt;0 then 1 else 0 end)</t>
  </si>
  <si>
    <t>videobit_code_good_rate</t>
  </si>
  <si>
    <t>速率码率优良率</t>
  </si>
  <si>
    <t>sum(case when videocachethroughput/videobitrate&gt;1.4 and videocachethroughput&gt;0 and videocachethroughput&lt;307200 and videobitrate&gt;0 then 1 else 0 end) / sum(case when videocachethroughput&gt;0 and videocachethroughput &lt; 307200 and videobitrate&gt;0 then 1 else 0 end)</t>
  </si>
  <si>
    <t>videobitrate_sum_custom</t>
  </si>
  <si>
    <t>自定义视频码率(大于500KB)</t>
  </si>
  <si>
    <t>sum(case when videoplaysuccess = 1 and videothroughput&gt;0 and videothroughput&lt;=307200 and videosize&gt;=512000 and videoplayhaltcount&gt;=0 and videobitrate&gt;0 and (videoplayhaltcount)/(inputoctets*8/(videobitrate*1000)/60)&lt;=10 then videobitrate else 0 end)</t>
  </si>
  <si>
    <t>videobitrate_cnt_custom</t>
  </si>
  <si>
    <t>自定义视频码率次数(大于500KB)</t>
  </si>
  <si>
    <t>sum(case when videoplaysuccess = 1 and videothroughput&gt;0 and videothroughput&lt;=307200 and videosize&gt;=512000 and videoplayhaltcount&gt;=0 and videobitrate&gt;0 and (videoplayhaltcount)/(inputoctets*8/(videobitrate*1000)/60)&lt;=10 then 1 else 0 end)</t>
  </si>
  <si>
    <t>videobit_code_good_cnt_custom</t>
  </si>
  <si>
    <t>自定义速率码率比优良次数(大于500KB)</t>
  </si>
  <si>
    <t>sum(case when videothroughput/videobitrate&gt;1.4 and videoplaysuccess = 1 and videothroughput&gt;0 and videothroughput&lt;=307200 and videosize&gt;=512000 and videoplayhaltcount&gt;=0 and videobitrate&gt;0 and (videoplayhaltcount)/(inputoctets*8/(videobitrate*1000)/60)&lt;=10 then 1 else 0 end)</t>
  </si>
  <si>
    <t>videobit_code_cnt_custom</t>
  </si>
  <si>
    <t>自定义速率码率总次数(大于500KB)</t>
  </si>
  <si>
    <t>video_throughput_custom_sum</t>
  </si>
  <si>
    <t>sum(videothroughput_custom)</t>
  </si>
  <si>
    <t>video_throughput_custom_cnt</t>
  </si>
  <si>
    <t>自定义视频下载速率次数(剔除video_size&lt;500KB)</t>
  </si>
  <si>
    <t>sum(case when videothroughput_custom&gt;0 then 1 else 0 end)</t>
  </si>
  <si>
    <t>video_cache_throughput_custom_sum</t>
  </si>
  <si>
    <t>sum(videocachethroughput_custom)</t>
  </si>
  <si>
    <t>video_cache_throughput_custom_cnt</t>
  </si>
  <si>
    <t>自定义视频缓冲段下载速率次数(剔除video_size&lt;500KB)</t>
  </si>
  <si>
    <t>sum(case when videocachethroughput_custom&gt;0 then 1 else 0 end)</t>
  </si>
  <si>
    <t>times_excellentdownlink</t>
  </si>
  <si>
    <t>视频下载速率优秀次数</t>
  </si>
  <si>
    <t>sum(case when videothroughput&gt;5000 then 1 else 0 end)</t>
  </si>
  <si>
    <t>times_inferiordownlink</t>
  </si>
  <si>
    <t>视频下载速率劣质次数</t>
  </si>
  <si>
    <t>sum(case when videothroughput&lt;=2000 then 1 else 0 end)</t>
  </si>
  <si>
    <t>times_welldownlink</t>
  </si>
  <si>
    <t>视频下载速率良好次数</t>
  </si>
  <si>
    <t>sum(case when videothroughput&gt;2000 and videothroughput&lt;=5000 then 1 else 0 end)</t>
  </si>
  <si>
    <t>times_excellentstallfrequ</t>
  </si>
  <si>
    <t>卡顿频次优秀次数</t>
  </si>
  <si>
    <t>sum(case when videoplayhaltcountpermin_custom/10000&lt;=0.1 then 1 else 0 end)</t>
  </si>
  <si>
    <t>times_inferiorstallfrequ</t>
  </si>
  <si>
    <t>卡顿频次质差次数</t>
  </si>
  <si>
    <t>sum(case when videoplayhaltcountpermin_custom/10000&gt;0.5 then 1 else 0 end)</t>
  </si>
  <si>
    <t>times_wellstallfrequ</t>
  </si>
  <si>
    <t>卡顿频次良好次数</t>
  </si>
  <si>
    <t>sum(case when videoplayhaltcountpermin_custom/10000&gt;0.1 and videoplayhaltcountpermin_custom/10000&lt;=0.5 then 1 else 0 end)</t>
  </si>
  <si>
    <t>videoplayhaltcount_avg</t>
  </si>
  <si>
    <t>视频播放卡顿次数_avg</t>
  </si>
  <si>
    <t>avg(videoplayhaltcount)</t>
  </si>
  <si>
    <t>videoplayhaltcount_seg_1</t>
  </si>
  <si>
    <t>视频播放卡顿次数_seg_1</t>
  </si>
  <si>
    <t>count( case when videoplayhaltcount&gt;0 and videoplayhaltcount&lt;=1 then 1 else null end)</t>
  </si>
  <si>
    <t>videoplayhaltcount_seg_2</t>
  </si>
  <si>
    <t>视频播放卡顿次数_seg_2</t>
  </si>
  <si>
    <t>count( case when videoplayhaltcount&gt;1 and videoplayhaltcount&lt;=3 then 1 else null end)</t>
  </si>
  <si>
    <t>videoplayhaltcount_seg_3</t>
  </si>
  <si>
    <t>视频播放卡顿次数_seg_3</t>
  </si>
  <si>
    <t>count( case when videoplayhaltcount&gt;3 and videoplayhaltcount&lt;=5 then 1 else null end)</t>
  </si>
  <si>
    <t>videoplayhaltcount_seg_4</t>
  </si>
  <si>
    <t>视频播放卡顿次数_seg_4</t>
  </si>
  <si>
    <t>count( case when videoplayhaltcount&gt;5 and videoplayhaltcount&lt;=7 then 1 else null end)</t>
  </si>
  <si>
    <t>videoplayhaltcount_seg_5</t>
  </si>
  <si>
    <t>视频播放卡顿次数_seg_5</t>
  </si>
  <si>
    <t>count( case when videoplayhaltcount&gt;7 and videoplayhaltcount&lt;=1000 then 1 else null end)</t>
  </si>
  <si>
    <t>videoplaywaittime_avg</t>
  </si>
  <si>
    <t>视频播放等待时长_avg，单位毫秒</t>
  </si>
  <si>
    <t>avg(videoplaywaittime)</t>
  </si>
  <si>
    <t>videoplaywaittime_seg_1</t>
  </si>
  <si>
    <t>视频播放等待时长_seg_1</t>
  </si>
  <si>
    <t>count( case when videoplaywaittime&gt;0 and videoplaywaittime&lt;=1000 then 1 else null end)</t>
  </si>
  <si>
    <t>videoplaywaittime_seg_2</t>
  </si>
  <si>
    <t>视频播放等待时长_seg_2</t>
  </si>
  <si>
    <t>count( case when videoplaywaittime&gt;1000 and videoplaywaittime&lt;=2000 then 1 else null end)</t>
  </si>
  <si>
    <t>videoplaywaittime_seg_3</t>
  </si>
  <si>
    <t>视频播放等待时长_seg_3</t>
  </si>
  <si>
    <t>count( case when videoplaywaittime&gt;2000 and videoplaywaittime&lt;=3000 then 1 else null end)</t>
  </si>
  <si>
    <t>videoplaywaittime_seg_4</t>
  </si>
  <si>
    <t>视频播放等待时长_seg_4</t>
  </si>
  <si>
    <t>count( case when videoplaywaittime&gt;3000 and videoplaywaittime&lt;=5000 then 1 else null end)</t>
  </si>
  <si>
    <t>videoplaywaittime_seg_5</t>
  </si>
  <si>
    <t>视频播放等待时长_seg_5</t>
  </si>
  <si>
    <t>count( case when videoplaywaittime&gt;5000 and videoplaywaittime&lt;=5000000 then 1 else null end)</t>
  </si>
  <si>
    <t>videorecovertime_avg</t>
  </si>
  <si>
    <t>视频卡顿时长_avg，单位毫秒</t>
  </si>
  <si>
    <t>avg(videorecovertime)</t>
  </si>
  <si>
    <t>videorecovertime_seg_1</t>
  </si>
  <si>
    <t>视频卡顿时长_seg_1</t>
  </si>
  <si>
    <t>count( case when videorecovertime&gt;0 and videorecovertime&lt;=2000 then 1 else null end)</t>
  </si>
  <si>
    <t>videorecovertime_seg_2</t>
  </si>
  <si>
    <t>视频卡顿时长_seg_2</t>
  </si>
  <si>
    <t>count( case when videorecovertime&gt;2000 and videorecovertime&lt;=4000 then 1 else null end)</t>
  </si>
  <si>
    <t>videorecovertime_seg_3</t>
  </si>
  <si>
    <t>视频卡顿时长_seg_3</t>
  </si>
  <si>
    <t>count( case when videorecovertime&gt;4000 and videorecovertime&lt;=6000 then 1 else null end)</t>
  </si>
  <si>
    <t>videorecovertime_seg_4</t>
  </si>
  <si>
    <t>视频卡顿时长_seg_4</t>
  </si>
  <si>
    <t>count( case when videorecovertime&gt;6000 and videorecovertime&lt;=8000 then 1 else null end)</t>
  </si>
  <si>
    <t>videorecovertime_seg_5</t>
  </si>
  <si>
    <t>视频卡顿时长_seg_5</t>
  </si>
  <si>
    <t>count( case when videorecovertime&gt;8000 and videorecovertime&lt;=1000000 then 1 else null end)</t>
  </si>
  <si>
    <t>videothroughput_sum</t>
  </si>
  <si>
    <t>视频下载速率求和</t>
  </si>
  <si>
    <t>sum(videothroughput)</t>
  </si>
  <si>
    <t>视频下载次数</t>
  </si>
  <si>
    <t>sum(videothroughput_cnt)</t>
  </si>
  <si>
    <t>videothroughput_avg</t>
  </si>
  <si>
    <t>视频下载速率_avg</t>
  </si>
  <si>
    <t>avg(videothroughput)</t>
  </si>
  <si>
    <t>videothroughput_seg_1</t>
  </si>
  <si>
    <t>视频下载速率_seg_1</t>
  </si>
  <si>
    <t>count( case when videothroughput&gt;0 and videothroughput&lt;=1000 then 1 else null end)</t>
  </si>
  <si>
    <t>videothroughput_seg_2</t>
  </si>
  <si>
    <t>视频下载速率_seg_2</t>
  </si>
  <si>
    <t>count( case when videothroughput&gt;1000 and videothroughput&lt;=2000 then 1 else null end)</t>
  </si>
  <si>
    <t>videothroughput_seg_3</t>
  </si>
  <si>
    <t>视频下载速率_seg_3</t>
  </si>
  <si>
    <t>count( case when videothroughput&gt;2000 and videothroughput&lt;=3000 then 1 else null end)</t>
  </si>
  <si>
    <t>videothroughput_seg_4</t>
  </si>
  <si>
    <t>视频下载速率_seg_4</t>
  </si>
  <si>
    <t>count( case when videothroughput&gt;3000 and videothroughput&lt;=5000 then 1 else null end)</t>
  </si>
  <si>
    <t>videothroughput_seg_5</t>
  </si>
  <si>
    <t>视频下载速率_seg_5</t>
  </si>
  <si>
    <t>count( case when videothroughput&gt;5000 and videothroughput&lt;=5000000 then 1 else null end)</t>
  </si>
  <si>
    <t>videocachethroughput_sum</t>
  </si>
  <si>
    <t>视频缓存下载速率求和</t>
  </si>
  <si>
    <t>sum(videocachethroughput)</t>
  </si>
  <si>
    <t>视频缓存下载次数</t>
  </si>
  <si>
    <t>sum(videocachethroughput_cnt)</t>
  </si>
  <si>
    <t>videocachethroughput_avg</t>
  </si>
  <si>
    <t>视频缓冲段下载速率_avg</t>
  </si>
  <si>
    <t>avg(videocachethroughput)</t>
  </si>
  <si>
    <t>videocachethroughput_seg_1</t>
  </si>
  <si>
    <t>视频缓冲段下载速率_根据IP报文统计_seg_1</t>
  </si>
  <si>
    <t>count( case when videocachethroughput&gt;0 and videocachethroughput&lt;=1000 then 1 else null end)</t>
  </si>
  <si>
    <t>videocachethroughput_seg_2</t>
  </si>
  <si>
    <t>视频缓冲段下载速率_根据IP报文统计_seg_2</t>
  </si>
  <si>
    <t>count( case when videocachethroughput&gt;1000 and videocachethroughput&lt;=2000 then 1 else null end)</t>
  </si>
  <si>
    <t>videocachethroughput_seg_3</t>
  </si>
  <si>
    <t>视频缓冲段下载速率_根据IP报文统计_seg_3</t>
  </si>
  <si>
    <t>count( case when videocachethroughput&gt;2000 and videocachethroughput&lt;=3000 then 1 else null end)</t>
  </si>
  <si>
    <t>videocachethroughput_seg_4</t>
  </si>
  <si>
    <t>视频缓冲段下载速率_根据IP报文统计_seg_4</t>
  </si>
  <si>
    <t>count( case when videocachethroughput&gt;3000 and videocachethroughput&lt;=5000 then 1 else null end)</t>
  </si>
  <si>
    <t>videocachethroughput_seg_5</t>
  </si>
  <si>
    <t>视频缓冲段下载速率_根据IP报文统计_seg_5</t>
  </si>
  <si>
    <t>count( case when videocachethroughput&gt;5000 and videocachethroughput&lt;=5000000 then 1 else null end)</t>
  </si>
  <si>
    <t>videocachethroughput_above500_cnt</t>
  </si>
  <si>
    <t>视频下载速率条数(videosize&gt;=500KB)</t>
  </si>
  <si>
    <t>sum(case when cast(videosize as bigint)&gt;=500*1024  and (videoplayhaltcount is not null or videoplayhaltcount&lt;&gt;'') and play_success=1 and cast(videocachethroughput as double)&gt;=0 and cast(videocachethroughput as double)&lt;300*1024 and cast(videobitrate as double)&gt;0 then 1 else 0 end)</t>
  </si>
  <si>
    <t>videocachethroughput_above500_sum</t>
  </si>
  <si>
    <t>视频下载总速率(Kbps)(videosize&gt;=500KB)</t>
  </si>
  <si>
    <t>sum(case when cast(videosize as bigint)&gt;=500*1024  and (videoplayhaltcount is not null or videoplayhaltcount&lt;&gt;'') and play_success=1 and cast(videocachethroughput as double)&gt;=0 and cast(videocachethroughput as double)&lt;300*1024 and cast(videobitrate as double)&gt;0 then videocachethroughput else 0 end)</t>
  </si>
  <si>
    <t>sum(videoplayrequest_cnt)</t>
  </si>
  <si>
    <t>sum(videoplaysuccess_cnt)</t>
  </si>
  <si>
    <t>sum(cachedvideoduration_sum)</t>
  </si>
  <si>
    <t>sum(cachedvideo_req_cnt)</t>
  </si>
  <si>
    <t>sum(cachedvideo_suc_cnt)</t>
  </si>
  <si>
    <t>sum(videoplayhaltservcount)</t>
  </si>
  <si>
    <t>sum(videoservcount)</t>
  </si>
  <si>
    <t>sum(videosize_above500)</t>
  </si>
  <si>
    <t>sum(videoduration_above500)</t>
  </si>
  <si>
    <t>sum(videoplaywaittime_sum)</t>
  </si>
  <si>
    <t>sum(videorecovertime_sum)</t>
  </si>
  <si>
    <t>sum(videoplaytime_to_videobitrate)</t>
  </si>
  <si>
    <t>sum(videobitrate_sum)</t>
  </si>
  <si>
    <t>sum(videobitrate_cnt)</t>
  </si>
  <si>
    <t>sum(videobit_code_good_cnt)</t>
  </si>
  <si>
    <t>sum(videobit_code_cnt)</t>
  </si>
  <si>
    <t>sum(videobit_code_good_cnt)/sum(videobit_code_cnt)</t>
  </si>
  <si>
    <t>sum(videobitrate_sum_custom)</t>
  </si>
  <si>
    <t>sum(videobitrate_cnt_custom)</t>
  </si>
  <si>
    <t>sum(videobit_code_good_cnt_custom)</t>
  </si>
  <si>
    <t>sum(videobit_code_cnt_custom)</t>
  </si>
  <si>
    <t>sum(video_throughput_custom_sum)</t>
  </si>
  <si>
    <t>sum(video_throughput_custom_cnt)</t>
  </si>
  <si>
    <t>sum(video_cache_throughput_custom_sum)</t>
  </si>
  <si>
    <t>sum(video_cache_throughput_custom_cnt)</t>
  </si>
  <si>
    <t>sum(times_excellentdownlink)</t>
  </si>
  <si>
    <t>sum(times_inferiordownlink)</t>
  </si>
  <si>
    <t>sum(times_welldownlink)</t>
  </si>
  <si>
    <t>sum(times_excellentstallfrequ)</t>
  </si>
  <si>
    <t>sum(times_inferiorstallfrequ)</t>
  </si>
  <si>
    <t>sum(times_wellstallfrequ)</t>
  </si>
  <si>
    <t>sum(videoplayhaltcount_avg*videoplaysuccess_cnt)/sum(videoplaysuccess_cnt)</t>
  </si>
  <si>
    <t>sum(videoplayhaltcount_seg_1)</t>
  </si>
  <si>
    <t>sum(videoplayhaltcount_seg_2)</t>
  </si>
  <si>
    <t>sum(videoplayhaltcount_seg_3)</t>
  </si>
  <si>
    <t>sum(videoplayhaltcount_seg_4)</t>
  </si>
  <si>
    <t>sum(videoplayhaltcount_seg_5)</t>
  </si>
  <si>
    <t>sum(videoplaywaittime_avg*videoplaysuccess_cnt)/sum(videoplaysuccess_cnt)</t>
  </si>
  <si>
    <t>sum(videoplaywaittime_seg_1)</t>
  </si>
  <si>
    <t>sum(videoplaywaittime_seg_2)</t>
  </si>
  <si>
    <t>sum(videoplaywaittime_seg_3)</t>
  </si>
  <si>
    <t>sum(videoplaywaittime_seg_4)</t>
  </si>
  <si>
    <t>sum(videoplaywaittime_seg_5)</t>
  </si>
  <si>
    <t>sum(videorecovertime_avg*videoplaysuccess_cnt)/sum(videoplaysuccess_cnt)</t>
  </si>
  <si>
    <t>sum(videorecovertime_seg_1)</t>
  </si>
  <si>
    <t>sum(videorecovertime_seg_2)</t>
  </si>
  <si>
    <t>sum(videorecovertime_seg_3)</t>
  </si>
  <si>
    <t>sum(videorecovertime_seg_4)</t>
  </si>
  <si>
    <t>sum(videorecovertime_seg_5)</t>
  </si>
  <si>
    <t>sum(videothroughput_sum)</t>
  </si>
  <si>
    <t>sum(videothroughput_sum)/sum(videothroughput_cnt)</t>
  </si>
  <si>
    <t>sum(videothroughput_seg_1)</t>
  </si>
  <si>
    <t>sum(videothroughput_seg_2)</t>
  </si>
  <si>
    <t>sum(videothroughput_seg_3)</t>
  </si>
  <si>
    <t>sum(videothroughput_seg_4)</t>
  </si>
  <si>
    <t>sum(videothroughput_seg_5)</t>
  </si>
  <si>
    <t>sum(videocachethroughput_sum)</t>
  </si>
  <si>
    <t>sum(videocachethroughput_sum)/sum(videocachethroughput_cnt)</t>
  </si>
  <si>
    <t>sum(videocachethroughput_seg_1)</t>
  </si>
  <si>
    <t>sum(videocachethroughput_seg_2)</t>
  </si>
  <si>
    <t>sum(videocachethroughput_seg_3)</t>
  </si>
  <si>
    <t>sum(videocachethroughput_seg_4)</t>
  </si>
  <si>
    <t>sum(videocachethroughput_seg_5)</t>
  </si>
  <si>
    <t>sum(videocachethroughput_above500_cnt)</t>
  </si>
  <si>
    <t>sum(videocachethroughput_above500_sum)</t>
  </si>
  <si>
    <t>nodebid</t>
  </si>
  <si>
    <t>imsi_supi</t>
  </si>
  <si>
    <t>videoplayrequestcount</t>
  </si>
  <si>
    <t>videoplaysuccesscount</t>
  </si>
  <si>
    <t>videosize_sum</t>
  </si>
  <si>
    <t>用户号码去重</t>
  </si>
  <si>
    <t>sum(abnormal_cnt)/sum(videoplayrequest_cnt)</t>
  </si>
  <si>
    <t>业务app码表</t>
  </si>
  <si>
    <t>A|B</t>
  </si>
  <si>
    <t>data_source</t>
  </si>
  <si>
    <t>业务类型</t>
  </si>
  <si>
    <t>A表：business_type
B表：赋值video</t>
  </si>
  <si>
    <t>web','im','game','video'</t>
  </si>
  <si>
    <t>业务应用名称</t>
  </si>
  <si>
    <t>通过servicetype关联servicetype_name</t>
  </si>
  <si>
    <t>flux_sum</t>
  </si>
  <si>
    <t>总流量(byte)</t>
  </si>
  <si>
    <t>qoe_video</t>
  </si>
  <si>
    <t>video得分</t>
  </si>
  <si>
    <t>10000 - 10000*(sum(nvl(abnormal_cnt,0))/sum(nvl(videoplayrequestcount,0)))</t>
  </si>
  <si>
    <t>sum(videoplayrequestcount)</t>
  </si>
  <si>
    <t>sum(outputoctets_sum*8/1024)/sum(duration_sum/1000)</t>
  </si>
  <si>
    <t>kqi_initdelay</t>
  </si>
  <si>
    <t>视频播放等待时长</t>
  </si>
  <si>
    <t>sum(videoplaywaittime_sum)/sum(videoplaysuccesscount)</t>
  </si>
  <si>
    <t>kqi_stoptimes</t>
  </si>
  <si>
    <t>视频播放卡顿次数占比</t>
  </si>
  <si>
    <t>sum(videoplayhaltcount)/sum(videoplaysuccesscount)*100</t>
  </si>
  <si>
    <t>[0,100]</t>
  </si>
  <si>
    <t>kqi_recoverdelay</t>
  </si>
  <si>
    <t>sum(videorecovertime_sum)/sum(videoplaysuccesscount)</t>
  </si>
  <si>
    <t>kqi_thrput</t>
  </si>
  <si>
    <t>sum(videocachethroughput_avg*videocachethroughput_cnt)/sum(videocachethroughput_cnt)</t>
  </si>
  <si>
    <t>kqi_initdelay_topwebsite</t>
  </si>
  <si>
    <t>kqi_stoptimes_topwebsite</t>
  </si>
  <si>
    <t>每兆流量视频播放卡顿次数</t>
  </si>
  <si>
    <t>kqi_recoverdelay_topwebsite</t>
  </si>
  <si>
    <t>视频停顿恢复时延</t>
  </si>
  <si>
    <t>kqi_thrput_topwebsite</t>
  </si>
  <si>
    <t>流媒体下载速率</t>
  </si>
  <si>
    <t>kqi_stallfrequ</t>
  </si>
  <si>
    <t>视频播放卡顿频次</t>
  </si>
  <si>
    <t>kqi_stallprop</t>
  </si>
  <si>
    <t>视频播放卡顿时长占比</t>
  </si>
  <si>
    <t>sum(videorecovertime_sum)/sum(duration_sum)</t>
  </si>
  <si>
    <t>kqi_videoquality</t>
  </si>
  <si>
    <t>视频质量</t>
  </si>
  <si>
    <t>sum(videobitrate_sum)/sum(videobitrate_cnt)</t>
  </si>
  <si>
    <t>abnormals_video</t>
  </si>
  <si>
    <t>sum(abnormal_cnt）</t>
  </si>
  <si>
    <t>视频播放卡顿占比</t>
  </si>
  <si>
    <t>kqi_videomos</t>
  </si>
  <si>
    <t>视频vMOS</t>
  </si>
  <si>
    <r>
      <rPr>
        <sz val="9"/>
        <color theme="1"/>
        <rFont val="微软雅黑"/>
        <charset val="134"/>
      </rPr>
      <t>参考现网任务</t>
    </r>
    <r>
      <rPr>
        <sz val="9"/>
        <color rgb="FFFF0000"/>
        <rFont val="微软雅黑"/>
        <charset val="134"/>
      </rPr>
      <t>aggr_lte_video_usrappcelarea_d</t>
    </r>
    <r>
      <rPr>
        <sz val="9"/>
        <color theme="1"/>
        <rFont val="微软雅黑"/>
        <charset val="134"/>
      </rPr>
      <t>。先将B与B1进行union ALL，再进行A LEFT JOIN B。关联条件：B.cellkey=A.cellkey and B.imsi=A.imsi and B.hour=A.hour and B.quarter=A.quarter</t>
    </r>
  </si>
  <si>
    <t>aggr_nr_dpi_video_usrappcel_q</t>
  </si>
  <si>
    <t>5G_DPI_video类型用户小区app维度15分钟表</t>
  </si>
  <si>
    <t>4G_DPI_video类型用户小区app维度15分钟表</t>
  </si>
  <si>
    <t>sum(tcpsetupresponsedelay_sum)  tcpsetupresponsedelay_sum</t>
  </si>
  <si>
    <t>sum(videoplayrequestcount) videoplayrequestcount</t>
  </si>
  <si>
    <t>B1表处理：videoplayrequest_cnt as videoplayrequestcount</t>
  </si>
  <si>
    <t>sum(videoplaysuccesscount) videoplaysuccesscount</t>
  </si>
  <si>
    <t>B1表处理：videoplaysuccess_cnt as videoplaysuccesscount</t>
  </si>
  <si>
    <t>videoplayfailurecount</t>
  </si>
  <si>
    <t>视频播放失败次数</t>
  </si>
  <si>
    <t>sum(videoplayfailurecount) videoplayfailurecount</t>
  </si>
  <si>
    <t>B1表处理：nvl(videoplayrequest_cnt,0)-nvl(videoplaysuccess_cnt,0) as videoplayfailurecount</t>
  </si>
  <si>
    <t>sum(videoplayhaltcount) videoplayhaltcount</t>
  </si>
  <si>
    <t>B1表处理：videoplayhaltcount as videoplayhaltcount</t>
  </si>
  <si>
    <t>videoplaytime_sum</t>
  </si>
  <si>
    <t>视频播放时长</t>
  </si>
  <si>
    <t>sum(videoplaytime_sum) videoplaytime_sum</t>
  </si>
  <si>
    <t>B1表处理：duration as videoplaytime_sum</t>
  </si>
  <si>
    <t>videoplaytime_without_halt_sum</t>
  </si>
  <si>
    <t>视频播放时长，不含卡顿时长</t>
  </si>
  <si>
    <t>sum(videoplaytime_without_halt_sum) videoplaytime_without_halt_sum</t>
  </si>
  <si>
    <t>B1表处理：duration-videorecovertime_sum as videoplaytime_without_halt_sum</t>
  </si>
  <si>
    <t>sum(videoplaywaittime_sum) videoplaywaittime_sum</t>
  </si>
  <si>
    <t>B1表处理：videoplaywaittime_sum as videoplaywaittime_sum</t>
  </si>
  <si>
    <t>视频播放卡顿时长</t>
  </si>
  <si>
    <t>sum(videorecovertime_sum) videorecovertime_sum</t>
  </si>
  <si>
    <t>B1表处理：videorecovertime_sum as videorecovertime_sum</t>
  </si>
  <si>
    <t>case when sum(videoplaytime_sum)  !=0 then sum(totalvideosize)*8000/(sum(videoplaytime_sum)*1024) else 0 end as videothroughput</t>
  </si>
  <si>
    <t>totalvideosize</t>
  </si>
  <si>
    <t>sum(totalvideosize) totalvideosize</t>
  </si>
  <si>
    <t>B1表处理：videosize as totalvideosize</t>
  </si>
  <si>
    <t>缓存视频时长</t>
  </si>
  <si>
    <t>sum(cachedvideoduration_sum) cachedvideoduration_sum</t>
  </si>
  <si>
    <t>B1表处理：cachedvideoduration_sum as  cachedvideoduration_sum</t>
  </si>
  <si>
    <t>videoplaysuccessratio</t>
  </si>
  <si>
    <t>视频播放成功率</t>
  </si>
  <si>
    <t>case when sum(videoplayrequestcount) != 0 then sum(videoplaysuccesscount)*10000/sum(videoplayrequestcount) else 0 end as videoplaysuccessratio</t>
  </si>
  <si>
    <t>kqi_videoplayhaltcountpermin</t>
  </si>
  <si>
    <t>视频卡顿频次(次/分钟)</t>
  </si>
  <si>
    <t>case when sum(videoplaytime_without_halt_sum) !=0 then sum(videoplayhaltcount)*60000/sum(videoplaytime_without_halt_sum) else 0 end  as kqi_videoplayhaltcountpermin</t>
  </si>
  <si>
    <t>kqi_videorecovertimeratio</t>
  </si>
  <si>
    <t>视频卡顿时长占比</t>
  </si>
  <si>
    <t>case when sum(videoplaysuccesscount) !=0 then 10000*sum(videorecovertime_sum)/sum(videoplaytime_sum) else 0 end  as kqi_videorecovertimeratio</t>
  </si>
  <si>
    <t>videoplaywaittimeratio</t>
  </si>
  <si>
    <t>视频播放等待时长占比</t>
  </si>
  <si>
    <t>case when sum(videoplaysuccesscount) !=0 then 10000*sum(videoplaywaittime_sum)/sum(videoplaytime_sum) else 0 end  as videoplaywaittimeratio</t>
  </si>
  <si>
    <t>cachedvideodurationratio</t>
  </si>
  <si>
    <t>视频缓存时长占比</t>
  </si>
  <si>
    <t>case when sum(videoplaysuccesscount) !=0 then 10000*sum(cachedvideoduration_sum)/sum(videoplaytime_sum) else 0 end  as cachedvideodurationratio</t>
  </si>
  <si>
    <t>sum(times_excellentdownlink) times_excellentdownlink</t>
  </si>
  <si>
    <t>B1表处理：times_excellentdownlink as times_excellentdownlink</t>
  </si>
  <si>
    <t>sum(times_inferiordownlink) times_inferiordownlink</t>
  </si>
  <si>
    <t>B1表处理：times_inferiordownlink as times_inferiordownlink</t>
  </si>
  <si>
    <t>sum(times_welldownlink) times_welldownlink</t>
  </si>
  <si>
    <t>B1表处理：times_welldownlink as times_welldownlink</t>
  </si>
  <si>
    <t>sum(times_excellentstallfrequ) times_excellentstallfrequ</t>
  </si>
  <si>
    <t>B1表处理：times_excellentstallfrequ as times_excellentstallfrequ</t>
  </si>
  <si>
    <t>sum(times_inferiorstallfrequ) times_inferiorstallfrequ</t>
  </si>
  <si>
    <t>B1表处理：times_inferiorstallfrequ as times_inferiorstallfrequ</t>
  </si>
  <si>
    <t>sum(times_wellstallfrequ) times_wellstallfrequ</t>
  </si>
  <si>
    <t>B1表处理：times_wellstallfrequ as times_wellstallfrequ</t>
  </si>
  <si>
    <t>case when sum(videoplayrequestcount) !=0 then sum(tcpsetupresponsedelay_sum)/sum(videoplayrequestcount) else 0 end as tcpsetupresponsedelay_avg</t>
  </si>
  <si>
    <t>case when sum(videoplayrequestcount) !=0 then sum(tcpsetupackdelay_sum)/sum(videoplayrequestcount) else 0 end as tcpsetupackdelay_avg</t>
  </si>
  <si>
    <t>case when sum(videoplayrequestcount) !=0 then sum(tcpsetupdelay_sum)/sum(videoplayrequestcount) else 0 end as tcpsetupdelay_avg</t>
  </si>
  <si>
    <t>case when sum(videoplayrequestcount) !=0 then sum(videoplayhaltcount)/sum(videoplayrequestcount) else 0 end as videoplayhaltcount_avg</t>
  </si>
  <si>
    <t>sum(videoplayhaltcount_seg_1) videoplayhaltcount_seg_1</t>
  </si>
  <si>
    <t>B1表处理：videoplayhaltcount_seg_1 as videoplayhaltcount_seg_1</t>
  </si>
  <si>
    <t>sum(videoplayhaltcount_seg_2) videoplayhaltcount_seg_2</t>
  </si>
  <si>
    <t>B1表处理：videoplayhaltcount_seg_2 as videoplayhaltcount_seg_2</t>
  </si>
  <si>
    <t>sum(videoplayhaltcount_seg_3) videoplayhaltcount_seg_3</t>
  </si>
  <si>
    <t>B1表处理：videoplayhaltcount_seg_3 as videoplayhaltcount_seg_3</t>
  </si>
  <si>
    <t>sum(videoplayhaltcount_seg_4) videoplayhaltcount_seg_4</t>
  </si>
  <si>
    <t>B1表处理：videoplayhaltcount_seg_4 as videoplayhaltcount_seg_4</t>
  </si>
  <si>
    <t>sum(videoplayhaltcount_seg_5) videoplayhaltcount_seg_5</t>
  </si>
  <si>
    <t>B1表处理：videoplayhaltcount_seg_5 as videoplayhaltcount_seg_5</t>
  </si>
  <si>
    <t>case when sum(videoplayrequestcount) !=0 then sum(videoplaywaittime_sum)/sum(videoplayrequestcount) else 0 end as videoplaywaittime_avg</t>
  </si>
  <si>
    <t>sum(videoplaywaittime_seg_1) videoplaywaittime_seg_1</t>
  </si>
  <si>
    <t>B1表处理：videoplaywaittime_seg_1 as videoplaywaittime_seg_1</t>
  </si>
  <si>
    <t>sum(videoplaywaittime_seg_2) videoplaywaittime_seg_2</t>
  </si>
  <si>
    <t>B1表处理：videoplaywaittime_seg_2 as videoplaywaittime_seg_2</t>
  </si>
  <si>
    <t>sum(videoplaywaittime_seg_3) videoplaywaittime_seg_3</t>
  </si>
  <si>
    <t>B1表处理：videoplaywaittime_seg_3 as videoplaywaittime_seg_3</t>
  </si>
  <si>
    <t>sum(videoplaywaittime_seg_4) videoplaywaittime_seg_4</t>
  </si>
  <si>
    <t>B1表处理：videoplaywaittime_seg_4 as videoplaywaittime_seg_4</t>
  </si>
  <si>
    <t>sum(videoplaywaittime_seg_5) videoplaywaittime_seg_5</t>
  </si>
  <si>
    <t>B1表处理：videoplaywaittime_seg_5 as videoplaywaittime_seg_5</t>
  </si>
  <si>
    <t>case when sum(videoplayrequestcount) !=0 then sum(videorecovertime_sum)/sum(videoplayrequestcount) else 0 end as videorecovertime_avg</t>
  </si>
  <si>
    <t>sum(videorecovertime_seg_1) videorecovertime_seg_1</t>
  </si>
  <si>
    <t>B1表处理：videorecovertime_seg_1 as videorecovertime_seg_1</t>
  </si>
  <si>
    <t>sum(videorecovertime_seg_2) videorecovertime_seg_2</t>
  </si>
  <si>
    <t>B1表处理：videorecovertime_seg_2 as videorecovertime_seg_2</t>
  </si>
  <si>
    <t>sum(videorecovertime_seg_3) videorecovertime_seg_3</t>
  </si>
  <si>
    <t>B1表处理：videorecovertime_seg_3 as videorecovertime_seg_3</t>
  </si>
  <si>
    <t>sum(videorecovertime_seg_4) videorecovertime_seg_4</t>
  </si>
  <si>
    <t>B1表处理：videorecovertime_seg_4 as videorecovertime_seg_4</t>
  </si>
  <si>
    <t>sum(videorecovertime_seg_5) videorecovertime_seg_5</t>
  </si>
  <si>
    <t>B1表处理：videorecovertime_seg_5 as videorecovertime_seg_5</t>
  </si>
  <si>
    <t>case when sum(videoplayrequestcount) !=0 then sum(videothroughput)/sum(videoplayrequestcount) else 0 end as videothroughput_avg</t>
  </si>
  <si>
    <t>B1表处理：videothroughput_sum as videothroughput</t>
  </si>
  <si>
    <t>视频下载速率_根据IP报文统计_seg_1</t>
  </si>
  <si>
    <t>sum(videothroughput_seg_1) videothroughput_seg_1</t>
  </si>
  <si>
    <t>B1表处理：videothroughput_seg_1 as videothroughput_seg_1</t>
  </si>
  <si>
    <t>视频下载速率_根据IP报文统计_seg_2</t>
  </si>
  <si>
    <t>sum(videothroughput_seg_2) videothroughput_seg_2</t>
  </si>
  <si>
    <t>B1表处理：videothroughput_seg_2 as videothroughput_seg_2</t>
  </si>
  <si>
    <t>视频下载速率_根据IP报文统计_seg_3</t>
  </si>
  <si>
    <t>sum(videothroughput_seg_3) videothroughput_seg_3</t>
  </si>
  <si>
    <t>B1表处理：videothroughput_seg_3 as videothroughput_seg_3</t>
  </si>
  <si>
    <t>视频下载速率_根据IP报文统计_seg_4</t>
  </si>
  <si>
    <t>sum(videothroughput_seg_4) videothroughput_seg_4</t>
  </si>
  <si>
    <t>B1表处理：videothroughput_seg_4 as videothroughput_seg_4</t>
  </si>
  <si>
    <t>视频下载速率_根据IP报文统计_seg_5</t>
  </si>
  <si>
    <t>sum(videothroughput_seg_5) videothroughput_seg_5</t>
  </si>
  <si>
    <t>B1表处理：videothroughput_seg_5 as videothroughput_seg_5</t>
  </si>
  <si>
    <t>sum(videocachethroughput_avg*videoplaysuccesscount)/sum(videoplaysuccesscount) as videocachethroughput_avg</t>
  </si>
  <si>
    <t>sum(videocachethroughput_seg_1) as videocachethroughput_seg_1</t>
  </si>
  <si>
    <t>B1表处理：videocachethroughput_seg_1 as videocachethroughput_seg_1</t>
  </si>
  <si>
    <t>sum(videocachethroughput_seg_2) as videocachethroughput_seg_2</t>
  </si>
  <si>
    <t>B1表处理：videocachethroughput_seg_2 as videocachethroughput_seg_2</t>
  </si>
  <si>
    <t>sum(videocachethroughput_seg_3) as videocachethroughput_seg_3</t>
  </si>
  <si>
    <t>B1表处理：videocachethroughput_seg_3 as videocachethroughput_seg_3</t>
  </si>
  <si>
    <t>sum(videocachethroughput_seg_4) as videocachethroughput_seg_4</t>
  </si>
  <si>
    <t>B1表处理：videocachethroughput_seg_4 as videocachethroughput_seg_4</t>
  </si>
  <si>
    <t>sum(videocachethroughput_seg_5) as videocachethroughput_seg_5</t>
  </si>
  <si>
    <t>B1表处理：videocachethroughput_seg_5 as videocachethroughput_seg_5</t>
  </si>
  <si>
    <r>
      <rPr>
        <sz val="9"/>
        <color theme="1"/>
        <rFont val="微软雅黑"/>
        <charset val="134"/>
      </rPr>
      <t>参考现网任务</t>
    </r>
    <r>
      <rPr>
        <sz val="9"/>
        <color rgb="FFFF0000"/>
        <rFont val="微软雅黑"/>
        <charset val="134"/>
      </rPr>
      <t>aggr_nr_highspeedrail_video_base_h</t>
    </r>
    <r>
      <rPr>
        <sz val="9"/>
        <color theme="1"/>
        <rFont val="微软雅黑"/>
        <charset val="134"/>
      </rPr>
      <t xml:space="preserve">
A inner join B。关联条件：a.imsi=b.imsi and a.p_date=b.p_date and a.hour=b.hour and a.quarter=b.quarter</t>
    </r>
  </si>
  <si>
    <t>1~101</t>
  </si>
  <si>
    <t>8位数</t>
  </si>
  <si>
    <t>包数</t>
  </si>
  <si>
    <t>TCP建链响应时延_求和</t>
  </si>
  <si>
    <t>TCP建链确认时延_求和</t>
  </si>
  <si>
    <t>sum(nvl(videoplayrequest_cnt,0)-nvl(videoplaysuccess_cnt,0))</t>
  </si>
  <si>
    <t>videoplaynohaltcount</t>
  </si>
  <si>
    <t>视频播放0卡顿的次数</t>
  </si>
  <si>
    <t>置空</t>
  </si>
  <si>
    <t>空</t>
  </si>
  <si>
    <t>videoplayhaltcountpermin_avg</t>
  </si>
  <si>
    <t>视频播放卡顿频次_avg</t>
  </si>
  <si>
    <t>videoplayhaltcountpermin_seg_1</t>
  </si>
  <si>
    <t>视频播放卡顿频次_seg_1</t>
  </si>
  <si>
    <t>videoplayhaltcountpermin_seg_2</t>
  </si>
  <si>
    <t>视频播放卡顿频次_seg_2</t>
  </si>
  <si>
    <t>videoplayhaltcountpermin_seg_3</t>
  </si>
  <si>
    <t>视频播放卡顿频次_seg_3</t>
  </si>
  <si>
    <t>videoplayhaltcountpermin_seg_4</t>
  </si>
  <si>
    <t>视频播放卡顿频次_seg_4</t>
  </si>
  <si>
    <t>videoplayhaltcountpermin_seg_5</t>
  </si>
  <si>
    <t>视频播放卡顿频次_seg_5</t>
  </si>
  <si>
    <t>sum(videoplaysuccesscount)</t>
  </si>
  <si>
    <t>sum(videoplayfailurecount)</t>
  </si>
  <si>
    <t>sum(videoplaynohaltcount)</t>
  </si>
  <si>
    <t>sum(videothroughput*videoplayrequestcount)/sum(videoplayrequestcount)</t>
  </si>
  <si>
    <t>sum(tcpsetupresponsedelay_avg*videoplayrequestcount)/sum(videoplayrequestcount)</t>
  </si>
  <si>
    <t>sum(tcpsetupackdelay_avg*videoplayrequestcount)/sum(videoplayrequestcount)</t>
  </si>
  <si>
    <t>sum(tcpsetupdelay_avg*videoplayrequestcount)/sum(videoplayrequestcount)</t>
  </si>
  <si>
    <t>sum(videoplayhaltcount_avg*videoplayrequestcount)/sum(videoplayrequestcount)</t>
  </si>
  <si>
    <t>sum(videothroughput_avg*videoplayrequestcount)/sum(videoplayrequestcount)</t>
  </si>
  <si>
    <t>sum(videoplayhaltcountpermin_avg*videoplayrequestcount)/sum(videoplayrequestcount)</t>
  </si>
  <si>
    <t>sum(videoplayhaltcountpermin_seg_1)</t>
  </si>
  <si>
    <t>sum(videoplayhaltcountpermin_seg_2)</t>
  </si>
  <si>
    <t>sum(videoplayhaltcountpermin_seg_3)</t>
  </si>
  <si>
    <t>sum(videoplayhaltcountpermin_seg_4)</t>
  </si>
  <si>
    <t>sum(videoplayhaltcountpermin_seg_5)</t>
  </si>
  <si>
    <t>信令感知</t>
  </si>
  <si>
    <t>itg_pm_lte_cel_h_cel_d</t>
  </si>
  <si>
    <t>4G_PM小区小时表</t>
  </si>
  <si>
    <t>对AB两表处理参照现网dq_datasouce_4g_cell_check_list_d代码。
A inner join B表，取AB均有的小区为主表；关联条件：concat(A.related_enb_id, '_', A.cel_id) = B.reportcellkey
再使用left join关联其他表</t>
  </si>
  <si>
    <t>lte_cm_projdata</t>
  </si>
  <si>
    <t>4G电信工参</t>
  </si>
  <si>
    <t>aggr_lte_coverage_cel_refactor_d</t>
  </si>
  <si>
    <t>4G MR小区覆盖指标天表</t>
  </si>
  <si>
    <t>aggr_lte_coverageagps_cel_d</t>
  </si>
  <si>
    <t>4G AGPS MR小区覆盖指标天表</t>
  </si>
  <si>
    <t>E</t>
  </si>
  <si>
    <t>aggr_lte_dpi_s1mme_cel_d</t>
  </si>
  <si>
    <t>4G_DPI_S1MME小区维度天表</t>
  </si>
  <si>
    <t>F</t>
  </si>
  <si>
    <t>G</t>
  </si>
  <si>
    <t>aggr_lte_dpi_dns_cel_d</t>
  </si>
  <si>
    <t>4G_DPI_dns小区维度天表</t>
  </si>
  <si>
    <t>H</t>
  </si>
  <si>
    <t>province_code</t>
  </si>
  <si>
    <t>province_name</t>
  </si>
  <si>
    <t>vendor</t>
  </si>
  <si>
    <t>厂家</t>
  </si>
  <si>
    <t>city_name</t>
  </si>
  <si>
    <t>city_code</t>
  </si>
  <si>
    <t>cell_key</t>
  </si>
  <si>
    <t>concat(related_enb_id, '_', cel_id)</t>
  </si>
  <si>
    <t>cell_name</t>
  </si>
  <si>
    <t>is_cm_cell</t>
  </si>
  <si>
    <t>是否CM小区</t>
  </si>
  <si>
    <t>直接赋值：1</t>
  </si>
  <si>
    <t>is_pm_cell</t>
  </si>
  <si>
    <t>是否PM小区</t>
  </si>
  <si>
    <t>is_pm_flux_cell</t>
  </si>
  <si>
    <t>是否PM非零流量小区</t>
  </si>
  <si>
    <t>case when sum(nvl(pdcp_sduoctul, 0) + nvl(pdcp_sduoctdl, 0))&gt;0 then 1 else 0 end</t>
  </si>
  <si>
    <t>is_pm_noflux_cell</t>
  </si>
  <si>
    <t>是否PM零流量小区</t>
  </si>
  <si>
    <t>case when sum(nvl(pdcp_sduoctul, 0) + nvl(pdcp_sduoctdl, 0))=0 then 1 else 0 end</t>
  </si>
  <si>
    <t>is_mr_cell</t>
  </si>
  <si>
    <t>是否MR小区</t>
  </si>
  <si>
    <t xml:space="preserve">关联上则为1,否则为0 </t>
  </si>
  <si>
    <t>is_mr_agps_cell</t>
  </si>
  <si>
    <t>是否AGPS_MR小区</t>
  </si>
  <si>
    <t>is_cdr_cell</t>
  </si>
  <si>
    <t>是否CDR小区</t>
  </si>
  <si>
    <t>is_s1mme_cell</t>
  </si>
  <si>
    <t>是否S1MME小区</t>
  </si>
  <si>
    <t>is_s1u_dns_cell</t>
  </si>
  <si>
    <t>是否DNS小区</t>
  </si>
  <si>
    <t>is_s1u_http_cell</t>
  </si>
  <si>
    <t>是否HTTP小区</t>
  </si>
  <si>
    <t>is_s1u_video_cell</t>
  </si>
  <si>
    <t>是否VIDEO小区</t>
  </si>
  <si>
    <t>is_s1u_https_cell</t>
  </si>
  <si>
    <t>是否HTTPS小区</t>
  </si>
  <si>
    <t>bandclass</t>
  </si>
  <si>
    <t>频段</t>
  </si>
  <si>
    <t>流量(MB)</t>
  </si>
  <si>
    <t>sum(nvl(pdcp_sduoctul, 0) + nvl(pdcp_sduoctdl, 0))</t>
  </si>
  <si>
    <t>MB</t>
  </si>
  <si>
    <t>参照现网逻辑，将输入表由dq_datasouce_4g_cell_check_list_d调整为aggr_lte_dpi_mr_pm_cm_cel_d</t>
  </si>
  <si>
    <t>cm_cell_num</t>
  </si>
  <si>
    <t>CM小区数量</t>
  </si>
  <si>
    <t>sum(if(is_cm_cell=1,1,0))</t>
  </si>
  <si>
    <t>pm_cell_num</t>
  </si>
  <si>
    <t>PM小区数量</t>
  </si>
  <si>
    <t>sum(if(is_pm_cell=1,1,0))</t>
  </si>
  <si>
    <t>pm_flux_cell_num</t>
  </si>
  <si>
    <t>PM非零流量小区数量</t>
  </si>
  <si>
    <t>sum(if(is_pm_flux_cell=1,1,0))</t>
  </si>
  <si>
    <t>pm_noflux_cell_num</t>
  </si>
  <si>
    <t>PM零流量小区数量</t>
  </si>
  <si>
    <t>sum(if(is_pm_noflux_cell=1,1,0))</t>
  </si>
  <si>
    <t>s1mme_cell_num</t>
  </si>
  <si>
    <t>S1MME小区数</t>
  </si>
  <si>
    <t>sum(if(is_s1mme_cell=1,1,0))</t>
  </si>
  <si>
    <t>s1udns_cell_num</t>
  </si>
  <si>
    <t>DNS小区数</t>
  </si>
  <si>
    <t>sum(if(is_s1u_dns_cell=1,1,0))</t>
  </si>
  <si>
    <t>s1uhttp_cell_num</t>
  </si>
  <si>
    <t>HTTP小区数</t>
  </si>
  <si>
    <t>sum(if(is_s1u_http_cell=1,1,0))</t>
  </si>
  <si>
    <t>s1uvideo_cell_num</t>
  </si>
  <si>
    <t>VIDEO小区数</t>
  </si>
  <si>
    <t>sum(if(is_s1u_video_cell=1,1,0))</t>
  </si>
  <si>
    <t>s1uhttps_cell_num</t>
  </si>
  <si>
    <t>HTTPS小区数</t>
  </si>
  <si>
    <t>sum(if(is_s1u_https_cell=1,1,0))</t>
  </si>
  <si>
    <t>flux_pm_cell_rate</t>
  </si>
  <si>
    <t>PM非零流量小区占比</t>
  </si>
  <si>
    <t>round(pm_flux_cell_num/pm_cell_num*100,4)</t>
  </si>
  <si>
    <t>s1mme_cell_rate</t>
  </si>
  <si>
    <t>S1MME小区占比</t>
  </si>
  <si>
    <t>round(s1mme_cell_num/pm_flux_cell_num*100,4)</t>
  </si>
  <si>
    <t>s1udns_cell_rate</t>
  </si>
  <si>
    <t>DNS小区占比</t>
  </si>
  <si>
    <t>round(s1udns_cell_num/pm_flux_cell_num*100,4)</t>
  </si>
  <si>
    <t>s1uhttp_cell_rate</t>
  </si>
  <si>
    <t>HTTP小区占比</t>
  </si>
  <si>
    <t>round(s1uhttp_cell_num/pm_flux_cell_num*100,4)</t>
  </si>
  <si>
    <t>s1uvideo_cell_rate</t>
  </si>
  <si>
    <t>VIDEO小区占比</t>
  </si>
  <si>
    <t>round(s1uvideo_cell_num/pm_flux_cell_num*100,4)</t>
  </si>
  <si>
    <t>s1uhttps_cell_rate</t>
  </si>
  <si>
    <t>HTTPS小区占比</t>
  </si>
  <si>
    <t>round(s1uhttps_cell_num/pm_flux_cell_num*100,4)</t>
  </si>
  <si>
    <t>mr_cell_num</t>
  </si>
  <si>
    <t>MR小区数</t>
  </si>
  <si>
    <t>sum(if(is_mr_cell=1,1,0))</t>
  </si>
  <si>
    <t>agps_cell_num</t>
  </si>
  <si>
    <t>AGPS_MR小区数</t>
  </si>
  <si>
    <t>sum(if(is_mr_agps_cell=1,1,0))</t>
  </si>
  <si>
    <t>cdr_cell_num</t>
  </si>
  <si>
    <t>CDR小区数</t>
  </si>
  <si>
    <t>sum(if(is_cdr_cell=1,1,0))</t>
  </si>
  <si>
    <t>mr_cell_rate</t>
  </si>
  <si>
    <t>MR小区占比</t>
  </si>
  <si>
    <t>round(mr_cell_num/pm_flux_cell_num*100,4)</t>
  </si>
  <si>
    <t>agps_cell_rate</t>
  </si>
  <si>
    <t>AGPS_MR小区占比</t>
  </si>
  <si>
    <t>round(agps_cell_num/pm_flux_cell_num*100,4)</t>
  </si>
  <si>
    <t>cdr_cell_rate</t>
  </si>
  <si>
    <t>CDR小区占比</t>
  </si>
  <si>
    <t>round(cdr_cell_num/pm_flux_cell_num*100,4)</t>
  </si>
  <si>
    <t>过滤条件：is_pm_flux_cell = 1 and (is_mr_cell = 0  or is_mr_agps_cell = 0  or is_cdr_cell = 0  or is_s1mme_cell = 0  or is_s1u_dns_cell = 0  or is_s1u_http_cell = 0  or is_s1u_video_cell = 0</t>
  </si>
  <si>
    <t>使用前一天的数据</t>
  </si>
  <si>
    <t>mr_start_date</t>
  </si>
  <si>
    <t>MR开始缺失日期</t>
  </si>
  <si>
    <t>AB</t>
  </si>
  <si>
    <t>if(A.is_mr_cell != 0, null, if(isnull(B.mr_start_date), p_date, B.mr_start_date))</t>
  </si>
  <si>
    <t>mr_consecutive_days_cnt</t>
  </si>
  <si>
    <t>MR连续缺失天数</t>
  </si>
  <si>
    <t>if(A.is_mr_cell != 0, null, datediff(p_date, if(isnull(B.mr_start_date), p_date, B.mr_start_date)) + 1)</t>
  </si>
  <si>
    <t>&gt;=1 or null</t>
  </si>
  <si>
    <t>cdr_start_date</t>
  </si>
  <si>
    <t>CDR开始缺失日期</t>
  </si>
  <si>
    <t>if(A.is_cdr_cell != 0, null, if(isnull(B.cdr_start_date), p_date, B.cdr_start_date))</t>
  </si>
  <si>
    <t>cdr_consecutive_days_cnt</t>
  </si>
  <si>
    <t>CDR连续缺失天数</t>
  </si>
  <si>
    <t>if(A.is_cdr_cell != 0, null, datediff(p_date, if(isnull(B.cdr_start_date), p_date, B.cdr_start_date)) + 1)</t>
  </si>
  <si>
    <t>s1mme_start_date</t>
  </si>
  <si>
    <t>S1MME开始缺失日期</t>
  </si>
  <si>
    <t>if(A.is_s1mme_cell != 0, null, if(isnull(B.s1mme_start_date), p_date, B.s1mme_start_date))</t>
  </si>
  <si>
    <t>s1mme_consecutive_days_cnt</t>
  </si>
  <si>
    <t>S1MME连续缺失天数</t>
  </si>
  <si>
    <t>if(A.is_s1mme_cell != 0, null, datediff(p_date, if(isnull(B.s1mme_start_date), p_date, B.s1mme_start_date)) + 1)</t>
  </si>
  <si>
    <t>dns_start_date</t>
  </si>
  <si>
    <t>DNS开始缺失日期</t>
  </si>
  <si>
    <t>if(A.is_s1u_dns_cell != 0, null, if(isnull(B.dns_start_date), p_date, B.dns_start_date))</t>
  </si>
  <si>
    <t>dns_consecutive_days_cnt</t>
  </si>
  <si>
    <t>DNS连续缺失天数</t>
  </si>
  <si>
    <t>if(A.is_s1u_dns_cell != 0, null, datediff(p_date, if(isnull(B.dns_start_date), p_date, B.dns_start_date)) + 1)</t>
  </si>
  <si>
    <t>http_start_date</t>
  </si>
  <si>
    <t>HTTP开始缺失日期</t>
  </si>
  <si>
    <t>if(A.is_s1u_http_cell != 0, null, if(isnull(B.http_start_date), p_date, B.http_start_date))</t>
  </si>
  <si>
    <t>http_consecutive_days_cnt</t>
  </si>
  <si>
    <t>HTTP连续缺失天数</t>
  </si>
  <si>
    <t>if(A.is_s1u_http_cell != 0, null, datediff(p_date, if(isnull(B.http_start_date), p_date, B.http_start_date)) + 1)</t>
  </si>
  <si>
    <t>video_start_date</t>
  </si>
  <si>
    <t>VIDEO开始缺失日期</t>
  </si>
  <si>
    <t>if(A.is_s1u_video_cell != 0, null, if(isnull(B.video_start_date), p_date, B.video_start_date))</t>
  </si>
  <si>
    <t>video_consecutive_days_cnt</t>
  </si>
  <si>
    <t>VIDEO连续缺失天数</t>
  </si>
  <si>
    <t>if(A.is_s1u_video_cell != 0, null, datediff(p_date, if(isnull(B.video_start_date), p_date, B.video_start_date)) + 1)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</si>
</sst>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_ \¥* #,##0.00_ ;_ \¥* \-#,##0.00_ ;_ \¥* &quot;-&quot;??_ ;_ @_ "/>
    <numFmt numFmtId="178" formatCode="[$-F800]dddd\,\ mmmm\ dd\,\ yyyy"/>
    <numFmt numFmtId="179" formatCode="[$-F400]h:mm:ss\ AM/PM"/>
    <numFmt numFmtId="180" formatCode="0_);[Red]\(0\)"/>
  </numFmts>
  <fonts count="4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9"/>
      <color rgb="FF0000FF"/>
      <name val="微软雅黑"/>
      <charset val="134"/>
    </font>
    <font>
      <sz val="9"/>
      <name val="微软雅黑"/>
      <charset val="134"/>
    </font>
    <font>
      <b/>
      <i/>
      <sz val="9"/>
      <name val="微软雅黑"/>
      <charset val="134"/>
    </font>
    <font>
      <b/>
      <sz val="9"/>
      <name val="微软雅黑"/>
      <charset val="134"/>
    </font>
    <font>
      <sz val="9"/>
      <color rgb="FFFF0000"/>
      <name val="微软雅黑"/>
      <charset val="134"/>
    </font>
    <font>
      <u/>
      <sz val="9"/>
      <color rgb="FF800080"/>
      <name val="微软雅黑"/>
      <charset val="134"/>
    </font>
    <font>
      <sz val="9"/>
      <color rgb="FF000000"/>
      <name val="微软雅黑"/>
      <charset val="134"/>
    </font>
    <font>
      <sz val="9"/>
      <color indexed="8"/>
      <name val="微软雅黑"/>
      <charset val="134"/>
    </font>
    <font>
      <u/>
      <sz val="9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theme="10"/>
      <name val="宋体"/>
      <charset val="134"/>
    </font>
    <font>
      <u/>
      <sz val="12"/>
      <color theme="10"/>
      <name val="宋体"/>
      <charset val="134"/>
    </font>
    <font>
      <sz val="11"/>
      <color rgb="FF9C5700"/>
      <name val="等线"/>
      <charset val="134"/>
      <scheme val="minor"/>
    </font>
    <font>
      <b/>
      <sz val="9"/>
      <color rgb="FFFF0000"/>
      <name val="微软雅黑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0.39991454817346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0" borderId="0">
      <alignment vertical="center"/>
    </xf>
    <xf numFmtId="0" fontId="32" fillId="0" borderId="0"/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43" fontId="31" fillId="0" borderId="0"/>
    <xf numFmtId="41" fontId="31" fillId="0" borderId="0"/>
    <xf numFmtId="44" fontId="31" fillId="0" borderId="0"/>
    <xf numFmtId="42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178" fontId="34" fillId="0" borderId="0"/>
    <xf numFmtId="0" fontId="0" fillId="0" borderId="0"/>
    <xf numFmtId="0" fontId="34" fillId="0" borderId="0">
      <alignment vertical="center"/>
    </xf>
    <xf numFmtId="0" fontId="33" fillId="0" borderId="0">
      <alignment vertical="center"/>
    </xf>
    <xf numFmtId="0" fontId="35" fillId="0" borderId="0"/>
    <xf numFmtId="179" fontId="34" fillId="0" borderId="0">
      <alignment vertical="center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38" fillId="0" borderId="0" applyNumberFormat="0" applyFill="0" applyBorder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16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</cellStyleXfs>
  <cellXfs count="108">
    <xf numFmtId="0" fontId="0" fillId="0" borderId="0" xfId="0"/>
    <xf numFmtId="0" fontId="1" fillId="0" borderId="0" xfId="77" applyFont="1" applyAlignment="1">
      <alignment vertical="center"/>
    </xf>
    <xf numFmtId="0" fontId="1" fillId="2" borderId="0" xfId="75" applyFont="1" applyFill="1">
      <alignment vertical="center"/>
    </xf>
    <xf numFmtId="0" fontId="1" fillId="0" borderId="0" xfId="75" applyFont="1" applyAlignment="1">
      <alignment horizontal="center" vertical="center"/>
    </xf>
    <xf numFmtId="0" fontId="1" fillId="0" borderId="0" xfId="75" applyFont="1">
      <alignment vertical="center"/>
    </xf>
    <xf numFmtId="0" fontId="2" fillId="3" borderId="0" xfId="6" applyNumberFormat="1" applyFont="1" applyFill="1" applyBorder="1" applyAlignment="1" applyProtection="1">
      <alignment horizontal="center" vertical="center"/>
    </xf>
    <xf numFmtId="0" fontId="3" fillId="4" borderId="1" xfId="75" applyFont="1" applyFill="1" applyBorder="1" applyAlignment="1">
      <alignment horizontal="center" vertical="center" wrapText="1"/>
    </xf>
    <xf numFmtId="0" fontId="4" fillId="5" borderId="1" xfId="75" applyFont="1" applyFill="1" applyBorder="1" applyAlignment="1">
      <alignment horizontal="center" vertical="center" wrapText="1"/>
    </xf>
    <xf numFmtId="0" fontId="5" fillId="6" borderId="1" xfId="75" applyFont="1" applyFill="1" applyBorder="1" applyAlignment="1">
      <alignment horizontal="center" vertical="center" wrapText="1"/>
    </xf>
    <xf numFmtId="0" fontId="3" fillId="0" borderId="1" xfId="75" applyFont="1" applyBorder="1" applyAlignment="1">
      <alignment horizontal="center" vertical="center" wrapText="1"/>
    </xf>
    <xf numFmtId="0" fontId="1" fillId="0" borderId="1" xfId="75" applyFont="1" applyBorder="1" applyAlignment="1">
      <alignment horizontal="left" vertical="center"/>
    </xf>
    <xf numFmtId="0" fontId="3" fillId="0" borderId="1" xfId="75" applyFont="1" applyBorder="1" applyAlignment="1">
      <alignment horizontal="left" vertical="center"/>
    </xf>
    <xf numFmtId="0" fontId="5" fillId="6" borderId="1" xfId="75" applyFont="1" applyFill="1" applyBorder="1" applyAlignment="1">
      <alignment horizontal="center" vertical="center"/>
    </xf>
    <xf numFmtId="0" fontId="1" fillId="0" borderId="1" xfId="75" applyFont="1" applyBorder="1" applyAlignment="1">
      <alignment horizontal="center" vertical="center"/>
    </xf>
    <xf numFmtId="0" fontId="3" fillId="7" borderId="1" xfId="75" applyFont="1" applyFill="1" applyBorder="1" applyAlignment="1">
      <alignment horizontal="left" vertical="center"/>
    </xf>
    <xf numFmtId="0" fontId="1" fillId="0" borderId="1" xfId="77" applyFont="1" applyBorder="1" applyAlignment="1">
      <alignment vertical="center"/>
    </xf>
    <xf numFmtId="0" fontId="1" fillId="0" borderId="2" xfId="77" applyFont="1" applyBorder="1" applyAlignment="1">
      <alignment vertical="center"/>
    </xf>
    <xf numFmtId="0" fontId="1" fillId="2" borderId="1" xfId="75" applyFont="1" applyFill="1" applyBorder="1" applyAlignment="1">
      <alignment vertical="center" wrapText="1"/>
    </xf>
    <xf numFmtId="0" fontId="1" fillId="2" borderId="2" xfId="75" applyFont="1" applyFill="1" applyBorder="1" applyAlignment="1">
      <alignment vertical="center" wrapText="1"/>
    </xf>
    <xf numFmtId="0" fontId="1" fillId="2" borderId="1" xfId="75" applyFont="1" applyFill="1" applyBorder="1" applyAlignment="1">
      <alignment horizontal="left" vertical="center"/>
    </xf>
    <xf numFmtId="0" fontId="3" fillId="7" borderId="1" xfId="75" applyFont="1" applyFill="1" applyBorder="1" applyAlignment="1">
      <alignment horizontal="center" vertical="center"/>
    </xf>
    <xf numFmtId="0" fontId="3" fillId="4" borderId="1" xfId="75" applyFont="1" applyFill="1" applyBorder="1" applyAlignment="1">
      <alignment horizontal="center" vertical="center"/>
    </xf>
    <xf numFmtId="0" fontId="6" fillId="0" borderId="1" xfId="75" applyFont="1" applyBorder="1" applyAlignment="1">
      <alignment vertical="center" wrapText="1"/>
    </xf>
    <xf numFmtId="0" fontId="3" fillId="7" borderId="3" xfId="80" applyFont="1" applyFill="1" applyBorder="1" applyAlignment="1">
      <alignment horizontal="center" vertical="center"/>
    </xf>
    <xf numFmtId="0" fontId="1" fillId="0" borderId="1" xfId="75" applyFont="1" applyBorder="1" applyAlignment="1">
      <alignment vertical="center" wrapText="1"/>
    </xf>
    <xf numFmtId="0" fontId="3" fillId="7" borderId="1" xfId="77" applyFont="1" applyFill="1" applyBorder="1" applyAlignment="1">
      <alignment horizontal="center" vertical="center" wrapText="1"/>
    </xf>
    <xf numFmtId="0" fontId="1" fillId="0" borderId="1" xfId="75" applyFont="1" applyBorder="1">
      <alignment vertical="center"/>
    </xf>
    <xf numFmtId="0" fontId="3" fillId="7" borderId="1" xfId="77" applyFont="1" applyFill="1" applyBorder="1" applyAlignment="1">
      <alignment vertical="center" wrapText="1"/>
    </xf>
    <xf numFmtId="0" fontId="1" fillId="2" borderId="1" xfId="75" applyFont="1" applyFill="1" applyBorder="1">
      <alignment vertical="center"/>
    </xf>
    <xf numFmtId="0" fontId="1" fillId="0" borderId="0" xfId="75" applyFont="1" applyAlignment="1">
      <alignment horizontal="center" vertical="center" wrapText="1"/>
    </xf>
    <xf numFmtId="0" fontId="1" fillId="0" borderId="1" xfId="77" applyFont="1" applyBorder="1" applyAlignment="1">
      <alignment horizontal="center" vertical="center"/>
    </xf>
    <xf numFmtId="0" fontId="1" fillId="2" borderId="1" xfId="75" applyFont="1" applyFill="1" applyBorder="1" applyAlignment="1">
      <alignment horizontal="center" vertical="center" wrapText="1"/>
    </xf>
    <xf numFmtId="0" fontId="1" fillId="0" borderId="1" xfId="75" applyFont="1" applyBorder="1" applyAlignment="1">
      <alignment horizontal="center" vertical="center" wrapText="1"/>
    </xf>
    <xf numFmtId="0" fontId="1" fillId="0" borderId="0" xfId="77" applyFont="1" applyAlignment="1">
      <alignment horizontal="center" vertical="center"/>
    </xf>
    <xf numFmtId="0" fontId="1" fillId="0" borderId="2" xfId="75" applyFont="1" applyBorder="1" applyAlignment="1">
      <alignment horizontal="center" vertical="center" wrapText="1"/>
    </xf>
    <xf numFmtId="0" fontId="1" fillId="0" borderId="1" xfId="75" applyFont="1" applyBorder="1" applyAlignment="1">
      <alignment horizontal="left" vertical="center" wrapText="1"/>
    </xf>
    <xf numFmtId="0" fontId="1" fillId="0" borderId="1" xfId="77" applyFont="1" applyBorder="1" applyAlignment="1">
      <alignment vertical="center" wrapText="1"/>
    </xf>
    <xf numFmtId="0" fontId="3" fillId="7" borderId="1" xfId="77" applyFont="1" applyFill="1" applyBorder="1" applyAlignment="1">
      <alignment vertical="center"/>
    </xf>
    <xf numFmtId="0" fontId="6" fillId="0" borderId="0" xfId="75" applyFont="1">
      <alignment vertical="center"/>
    </xf>
    <xf numFmtId="0" fontId="6" fillId="0" borderId="0" xfId="75" applyFont="1" applyAlignment="1">
      <alignment horizontal="center" vertical="center"/>
    </xf>
    <xf numFmtId="0" fontId="6" fillId="0" borderId="1" xfId="75" applyFont="1" applyBorder="1" applyAlignment="1">
      <alignment horizontal="center" vertical="center"/>
    </xf>
    <xf numFmtId="0" fontId="6" fillId="0" borderId="1" xfId="75" applyFont="1" applyBorder="1" applyAlignment="1">
      <alignment horizontal="left" vertical="center"/>
    </xf>
    <xf numFmtId="0" fontId="1" fillId="0" borderId="4" xfId="75" applyFont="1" applyBorder="1" applyAlignment="1">
      <alignment horizontal="left" vertical="center" wrapText="1"/>
    </xf>
    <xf numFmtId="0" fontId="3" fillId="7" borderId="1" xfId="80" applyFont="1" applyFill="1" applyBorder="1" applyAlignment="1">
      <alignment horizontal="center" vertical="center"/>
    </xf>
    <xf numFmtId="0" fontId="1" fillId="0" borderId="5" xfId="75" applyFont="1" applyBorder="1" applyAlignment="1">
      <alignment horizontal="left" vertical="center" wrapText="1"/>
    </xf>
    <xf numFmtId="0" fontId="1" fillId="0" borderId="6" xfId="75" applyFont="1" applyBorder="1" applyAlignment="1">
      <alignment horizontal="left" vertical="center" wrapText="1"/>
    </xf>
    <xf numFmtId="0" fontId="1" fillId="0" borderId="2" xfId="77" applyFont="1" applyBorder="1" applyAlignment="1">
      <alignment horizontal="left" vertical="center"/>
    </xf>
    <xf numFmtId="0" fontId="1" fillId="0" borderId="2" xfId="77" applyFont="1" applyBorder="1" applyAlignment="1">
      <alignment horizontal="left" vertical="center" wrapText="1"/>
    </xf>
    <xf numFmtId="0" fontId="3" fillId="7" borderId="2" xfId="77" applyFont="1" applyFill="1" applyBorder="1" applyAlignment="1">
      <alignment horizontal="left" vertical="center"/>
    </xf>
    <xf numFmtId="0" fontId="1" fillId="0" borderId="3" xfId="77" applyFont="1" applyBorder="1" applyAlignment="1">
      <alignment horizontal="left" vertical="center"/>
    </xf>
    <xf numFmtId="0" fontId="3" fillId="7" borderId="3" xfId="77" applyFont="1" applyFill="1" applyBorder="1" applyAlignment="1">
      <alignment horizontal="left" vertical="center"/>
    </xf>
    <xf numFmtId="0" fontId="1" fillId="0" borderId="1" xfId="76" applyFont="1" applyBorder="1" applyAlignment="1">
      <alignment horizontal="left" vertical="center"/>
    </xf>
    <xf numFmtId="0" fontId="1" fillId="0" borderId="1" xfId="79" applyFont="1" applyBorder="1" applyAlignment="1">
      <alignment horizontal="center" vertical="center"/>
    </xf>
    <xf numFmtId="49" fontId="1" fillId="0" borderId="1" xfId="77" applyNumberFormat="1" applyFont="1" applyBorder="1" applyAlignment="1">
      <alignment horizontal="center" vertical="center"/>
    </xf>
    <xf numFmtId="0" fontId="1" fillId="0" borderId="1" xfId="79" applyFont="1" applyBorder="1" applyAlignment="1">
      <alignment horizontal="left" vertical="center"/>
    </xf>
    <xf numFmtId="0" fontId="6" fillId="0" borderId="1" xfId="75" applyFont="1" applyBorder="1">
      <alignment vertical="center"/>
    </xf>
    <xf numFmtId="180" fontId="1" fillId="0" borderId="1" xfId="75" applyNumberFormat="1" applyFont="1" applyBorder="1">
      <alignment vertical="center"/>
    </xf>
    <xf numFmtId="0" fontId="1" fillId="0" borderId="2" xfId="75" applyFont="1" applyBorder="1" applyAlignment="1">
      <alignment horizontal="center" vertical="center"/>
    </xf>
    <xf numFmtId="0" fontId="1" fillId="0" borderId="1" xfId="77" applyFont="1" applyBorder="1" applyAlignment="1">
      <alignment horizontal="left" vertical="center"/>
    </xf>
    <xf numFmtId="0" fontId="1" fillId="0" borderId="0" xfId="79" applyFont="1" applyAlignment="1">
      <alignment vertical="center"/>
    </xf>
    <xf numFmtId="0" fontId="1" fillId="0" borderId="0" xfId="79" applyFont="1" applyAlignment="1">
      <alignment horizontal="center" vertical="center"/>
    </xf>
    <xf numFmtId="0" fontId="1" fillId="0" borderId="1" xfId="79" applyFont="1" applyBorder="1" applyAlignment="1">
      <alignment horizontal="center" vertical="center" wrapText="1"/>
    </xf>
    <xf numFmtId="0" fontId="3" fillId="0" borderId="1" xfId="77" applyFont="1" applyBorder="1" applyAlignment="1">
      <alignment vertical="center" wrapText="1"/>
    </xf>
    <xf numFmtId="0" fontId="1" fillId="0" borderId="1" xfId="79" applyFont="1" applyBorder="1" applyAlignment="1">
      <alignment vertical="center"/>
    </xf>
    <xf numFmtId="0" fontId="6" fillId="0" borderId="1" xfId="77" applyFont="1" applyBorder="1" applyAlignment="1">
      <alignment vertical="center"/>
    </xf>
    <xf numFmtId="49" fontId="1" fillId="0" borderId="1" xfId="77" applyNumberFormat="1" applyFont="1" applyBorder="1" applyAlignment="1">
      <alignment horizontal="center" vertical="center" wrapText="1"/>
    </xf>
    <xf numFmtId="0" fontId="3" fillId="0" borderId="1" xfId="77" applyFont="1" applyBorder="1" applyAlignment="1">
      <alignment horizontal="center" vertical="center" wrapText="1"/>
    </xf>
    <xf numFmtId="0" fontId="7" fillId="3" borderId="0" xfId="6" applyNumberFormat="1" applyFont="1" applyFill="1" applyBorder="1" applyAlignment="1" applyProtection="1">
      <alignment horizontal="center" vertical="center"/>
    </xf>
    <xf numFmtId="0" fontId="1" fillId="0" borderId="4" xfId="75" applyFont="1" applyBorder="1" applyAlignment="1">
      <alignment horizontal="center" vertical="center" wrapText="1"/>
    </xf>
    <xf numFmtId="0" fontId="1" fillId="0" borderId="5" xfId="75" applyFont="1" applyBorder="1" applyAlignment="1">
      <alignment horizontal="center" vertical="center" wrapText="1"/>
    </xf>
    <xf numFmtId="0" fontId="1" fillId="0" borderId="6" xfId="75" applyFont="1" applyBorder="1" applyAlignment="1">
      <alignment horizontal="center" vertical="center" wrapText="1"/>
    </xf>
    <xf numFmtId="0" fontId="1" fillId="0" borderId="0" xfId="75" applyFont="1" applyAlignment="1">
      <alignment horizontal="left" vertical="center"/>
    </xf>
    <xf numFmtId="0" fontId="3" fillId="0" borderId="0" xfId="75" applyFont="1" applyAlignment="1">
      <alignment horizontal="left" vertical="center"/>
    </xf>
    <xf numFmtId="0" fontId="3" fillId="7" borderId="2" xfId="77" applyFont="1" applyFill="1" applyBorder="1" applyAlignment="1">
      <alignment horizontal="left" vertical="center" wrapText="1"/>
    </xf>
    <xf numFmtId="0" fontId="3" fillId="7" borderId="3" xfId="77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7" borderId="1" xfId="77" applyFont="1" applyFill="1" applyBorder="1" applyAlignment="1">
      <alignment horizontal="left" vertical="center" wrapText="1"/>
    </xf>
    <xf numFmtId="0" fontId="8" fillId="0" borderId="1" xfId="81" applyFont="1" applyBorder="1">
      <alignment vertical="center"/>
    </xf>
    <xf numFmtId="0" fontId="9" fillId="0" borderId="1" xfId="81" applyFont="1" applyBorder="1">
      <alignment vertical="center"/>
    </xf>
    <xf numFmtId="0" fontId="1" fillId="0" borderId="0" xfId="76" applyFont="1" applyAlignment="1">
      <alignment horizontal="center" vertical="center"/>
    </xf>
    <xf numFmtId="0" fontId="1" fillId="3" borderId="0" xfId="76" applyFont="1" applyFill="1" applyAlignment="1">
      <alignment horizontal="left" vertical="center"/>
    </xf>
    <xf numFmtId="0" fontId="3" fillId="0" borderId="0" xfId="76" applyFont="1" applyAlignment="1">
      <alignment horizontal="left" vertical="center"/>
    </xf>
    <xf numFmtId="0" fontId="1" fillId="0" borderId="0" xfId="76" applyFont="1" applyAlignment="1">
      <alignment horizontal="left" vertical="center"/>
    </xf>
    <xf numFmtId="0" fontId="1" fillId="0" borderId="0" xfId="76" applyFont="1" applyAlignment="1">
      <alignment horizontal="left" vertical="center" wrapText="1"/>
    </xf>
    <xf numFmtId="0" fontId="5" fillId="8" borderId="1" xfId="82" applyFont="1" applyFill="1" applyBorder="1" applyAlignment="1">
      <alignment horizontal="center" vertical="center" wrapText="1"/>
    </xf>
    <xf numFmtId="0" fontId="1" fillId="3" borderId="1" xfId="75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1" fillId="3" borderId="1" xfId="75" applyFont="1" applyFill="1" applyBorder="1" applyAlignment="1">
      <alignment horizontal="left" vertical="center"/>
    </xf>
    <xf numFmtId="0" fontId="7" fillId="0" borderId="1" xfId="6" applyFont="1" applyFill="1" applyBorder="1" applyAlignment="1">
      <alignment horizontal="center" vertical="center"/>
    </xf>
    <xf numFmtId="0" fontId="3" fillId="0" borderId="1" xfId="75" applyFont="1" applyBorder="1" applyAlignment="1">
      <alignment horizontal="center" vertical="center"/>
    </xf>
    <xf numFmtId="0" fontId="10" fillId="0" borderId="1" xfId="6" applyFont="1" applyFill="1" applyBorder="1" applyAlignment="1">
      <alignment horizontal="center" vertical="center"/>
    </xf>
    <xf numFmtId="0" fontId="5" fillId="8" borderId="1" xfId="82" applyFont="1" applyFill="1" applyBorder="1" applyAlignment="1">
      <alignment horizontal="center" vertical="center"/>
    </xf>
    <xf numFmtId="0" fontId="8" fillId="3" borderId="1" xfId="81" applyFont="1" applyFill="1" applyBorder="1">
      <alignment vertical="center"/>
    </xf>
    <xf numFmtId="0" fontId="9" fillId="3" borderId="1" xfId="81" applyFont="1" applyFill="1" applyBorder="1">
      <alignment vertical="center"/>
    </xf>
    <xf numFmtId="0" fontId="5" fillId="8" borderId="1" xfId="82" applyFont="1" applyFill="1" applyBorder="1" applyAlignment="1">
      <alignment horizontal="left" vertical="center" wrapText="1"/>
    </xf>
    <xf numFmtId="0" fontId="5" fillId="3" borderId="1" xfId="82" applyFont="1" applyFill="1" applyBorder="1" applyAlignment="1">
      <alignment horizontal="center" vertical="center" wrapText="1"/>
    </xf>
    <xf numFmtId="0" fontId="1" fillId="3" borderId="1" xfId="76" applyFont="1" applyFill="1" applyBorder="1" applyAlignment="1">
      <alignment horizontal="left" vertical="center"/>
    </xf>
    <xf numFmtId="0" fontId="3" fillId="0" borderId="1" xfId="76" applyFont="1" applyBorder="1" applyAlignment="1">
      <alignment horizontal="left" vertical="center"/>
    </xf>
    <xf numFmtId="0" fontId="1" fillId="3" borderId="1" xfId="76" applyFont="1" applyFill="1" applyBorder="1" applyAlignment="1">
      <alignment horizontal="center" vertical="center"/>
    </xf>
    <xf numFmtId="0" fontId="1" fillId="0" borderId="1" xfId="76" applyFont="1" applyBorder="1" applyAlignment="1">
      <alignment horizontal="center" vertical="center"/>
    </xf>
    <xf numFmtId="0" fontId="3" fillId="0" borderId="1" xfId="76" applyFont="1" applyBorder="1" applyAlignment="1">
      <alignment horizontal="center" vertical="center"/>
    </xf>
    <xf numFmtId="0" fontId="11" fillId="0" borderId="1" xfId="76" applyFont="1" applyBorder="1" applyAlignment="1">
      <alignment horizontal="center" vertical="center"/>
    </xf>
    <xf numFmtId="0" fontId="1" fillId="3" borderId="1" xfId="76" applyFont="1" applyFill="1" applyBorder="1" applyAlignment="1">
      <alignment horizontal="left" vertical="center" wrapText="1"/>
    </xf>
    <xf numFmtId="0" fontId="1" fillId="0" borderId="1" xfId="76" applyFont="1" applyBorder="1" applyAlignment="1">
      <alignment horizontal="left" vertical="center" wrapText="1"/>
    </xf>
    <xf numFmtId="0" fontId="1" fillId="9" borderId="1" xfId="76" applyFont="1" applyFill="1" applyBorder="1" applyAlignment="1">
      <alignment horizontal="left" vertical="center"/>
    </xf>
    <xf numFmtId="0" fontId="3" fillId="0" borderId="1" xfId="76" applyFont="1" applyBorder="1" applyAlignment="1">
      <alignment horizontal="left" vertical="center" wrapText="1"/>
    </xf>
    <xf numFmtId="0" fontId="3" fillId="3" borderId="1" xfId="75" applyFont="1" applyFill="1" applyBorder="1" applyAlignment="1">
      <alignment horizontal="left" vertical="center"/>
    </xf>
    <xf numFmtId="0" fontId="1" fillId="0" borderId="1" xfId="77" applyFont="1" applyBorder="1" applyAlignment="1" quotePrefix="1">
      <alignment vertical="center"/>
    </xf>
  </cellXfs>
  <cellStyles count="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_x0007_LÓ_x0018_ÄþÍN^NuNVþˆHÁ_x0001__x0018_(n 7" xfId="49"/>
    <cellStyle name="0,0_x000d__x000a_NA_x000d__x000a_ 2" xfId="50"/>
    <cellStyle name="60% - 着色 1 2" xfId="51"/>
    <cellStyle name="60% - 着色 1 2 2" xfId="52"/>
    <cellStyle name="60% - 着色 2 2" xfId="53"/>
    <cellStyle name="60% - 着色 2 2 2" xfId="54"/>
    <cellStyle name="60% - 着色 3 2" xfId="55"/>
    <cellStyle name="60% - 着色 3 2 2" xfId="56"/>
    <cellStyle name="60% - 着色 4 2" xfId="57"/>
    <cellStyle name="60% - 着色 4 2 2" xfId="58"/>
    <cellStyle name="60% - 着色 5 2" xfId="59"/>
    <cellStyle name="60% - 着色 5 2 2" xfId="60"/>
    <cellStyle name="60% - 着色 6 2" xfId="61"/>
    <cellStyle name="60% - 着色 6 2 2" xfId="62"/>
    <cellStyle name="Comma" xfId="63"/>
    <cellStyle name="Comma [0]" xfId="64"/>
    <cellStyle name="Currency" xfId="65"/>
    <cellStyle name="Currency [0]" xfId="66"/>
    <cellStyle name="Currency [0] 2" xfId="67"/>
    <cellStyle name="Currency 2" xfId="68"/>
    <cellStyle name="Percent" xfId="69"/>
    <cellStyle name="百分比 2" xfId="70"/>
    <cellStyle name="百分比 2 2" xfId="71"/>
    <cellStyle name="常规 12" xfId="72"/>
    <cellStyle name="常规 12 10" xfId="73"/>
    <cellStyle name="常规 13" xfId="74"/>
    <cellStyle name="常规 18 4" xfId="75"/>
    <cellStyle name="常规 2" xfId="76"/>
    <cellStyle name="常规 2 2" xfId="77"/>
    <cellStyle name="常规 2 2 4" xfId="78"/>
    <cellStyle name="常规 2 2 6" xfId="79"/>
    <cellStyle name="常规 2 4" xfId="80"/>
    <cellStyle name="常规 2 5" xfId="81"/>
    <cellStyle name="常规 2 7" xfId="82"/>
    <cellStyle name="常规 7" xfId="83"/>
    <cellStyle name="超链接 10 2" xfId="84"/>
    <cellStyle name="超链接 12" xfId="85"/>
    <cellStyle name="超链接 2 2" xfId="86"/>
    <cellStyle name="超链接 2 2 2" xfId="87"/>
    <cellStyle name="超链接 3" xfId="88"/>
    <cellStyle name="超链接 3 2" xfId="89"/>
    <cellStyle name="超链接 6 3" xfId="90"/>
    <cellStyle name="适中 2" xfId="91"/>
    <cellStyle name="注释 2" xfId="9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0" Type="http://schemas.openxmlformats.org/officeDocument/2006/relationships/styles" Target="styles.xml"/><Relationship Id="rId8" Type="http://schemas.openxmlformats.org/officeDocument/2006/relationships/worksheet" Target="worksheets/sheet8.xml"/><Relationship Id="rId79" Type="http://schemas.openxmlformats.org/officeDocument/2006/relationships/sharedStrings" Target="sharedStrings.xml"/><Relationship Id="rId78" Type="http://schemas.openxmlformats.org/officeDocument/2006/relationships/theme" Target="theme/theme1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56"/>
  <dimension ref="A1:U79"/>
  <sheetViews>
    <sheetView tabSelected="1" zoomScale="85" zoomScaleNormal="85" workbookViewId="0">
      <pane ySplit="1" topLeftCell="A15" activePane="bottomLeft" state="frozen"/>
      <selection/>
      <selection pane="bottomLeft" activeCell="A22" sqref="$A22:$XFD22"/>
    </sheetView>
  </sheetViews>
  <sheetFormatPr defaultColWidth="9" defaultRowHeight="13"/>
  <cols>
    <col min="1" max="1" width="8.21666666666667" style="80" customWidth="1"/>
    <col min="2" max="2" width="6.775" style="80" customWidth="1"/>
    <col min="3" max="4" width="8.21666666666667" style="83" customWidth="1"/>
    <col min="5" max="5" width="11.8833333333333" style="83" customWidth="1"/>
    <col min="6" max="6" width="35.6666666666667" style="83" customWidth="1"/>
    <col min="7" max="7" width="33.2166666666667" style="83" customWidth="1"/>
    <col min="8" max="8" width="9.44166666666667" style="83" customWidth="1"/>
    <col min="9" max="11" width="8.21666666666667" style="83" customWidth="1"/>
    <col min="12" max="12" width="8.33333333333333" style="83" customWidth="1"/>
    <col min="13" max="13" width="8.21666666666667" style="83" customWidth="1"/>
    <col min="14" max="14" width="14" style="80" customWidth="1"/>
    <col min="15" max="15" width="27.775" style="83" customWidth="1"/>
    <col min="16" max="16" width="8.88333333333333" style="83" customWidth="1"/>
    <col min="17" max="17" width="19.6666666666667" style="80" customWidth="1"/>
    <col min="18" max="18" width="28.325" style="84" customWidth="1"/>
    <col min="19" max="19" width="7.44166666666667" style="83" customWidth="1"/>
    <col min="20" max="16384" width="9" style="83"/>
  </cols>
  <sheetData>
    <row r="1" s="80" customFormat="1" ht="40.5" spans="1:21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92" t="s">
        <v>5</v>
      </c>
      <c r="G1" s="92" t="s">
        <v>6</v>
      </c>
      <c r="H1" s="85" t="s">
        <v>7</v>
      </c>
      <c r="I1" s="95" t="s">
        <v>8</v>
      </c>
      <c r="J1" s="96" t="s">
        <v>9</v>
      </c>
      <c r="K1" s="96" t="s">
        <v>10</v>
      </c>
      <c r="L1" s="85" t="s">
        <v>11</v>
      </c>
      <c r="M1" s="96" t="s">
        <v>12</v>
      </c>
      <c r="N1" s="85" t="s">
        <v>13</v>
      </c>
      <c r="O1" s="85" t="s">
        <v>14</v>
      </c>
      <c r="P1" s="85" t="s">
        <v>15</v>
      </c>
      <c r="Q1" s="96" t="s">
        <v>16</v>
      </c>
      <c r="R1" s="85" t="s">
        <v>17</v>
      </c>
      <c r="S1" s="85" t="s">
        <v>18</v>
      </c>
      <c r="T1" s="102" t="s">
        <v>19</v>
      </c>
      <c r="U1" s="102" t="s">
        <v>20</v>
      </c>
    </row>
    <row r="2" s="81" customFormat="1" ht="51" hidden="1" customHeight="1" spans="1:21">
      <c r="A2" s="86">
        <v>0.1</v>
      </c>
      <c r="B2" s="87">
        <f t="shared" ref="B2:B3" si="0">HYPERLINK("#"&amp;A2&amp;"!A1",A2)</f>
        <v>0.1</v>
      </c>
      <c r="C2" s="88" t="s">
        <v>21</v>
      </c>
      <c r="D2" s="88" t="s">
        <v>22</v>
      </c>
      <c r="E2" s="86" t="s">
        <v>23</v>
      </c>
      <c r="F2" s="93" t="s">
        <v>24</v>
      </c>
      <c r="G2" s="94" t="s">
        <v>25</v>
      </c>
      <c r="H2" s="94" t="s">
        <v>25</v>
      </c>
      <c r="I2" s="97" t="s">
        <v>26</v>
      </c>
      <c r="J2" s="97" t="s">
        <v>27</v>
      </c>
      <c r="K2" s="97" t="s">
        <v>27</v>
      </c>
      <c r="L2" s="97" t="s">
        <v>28</v>
      </c>
      <c r="M2" s="88" t="s">
        <v>29</v>
      </c>
      <c r="N2" s="99">
        <v>30</v>
      </c>
      <c r="O2" s="97" t="s">
        <v>30</v>
      </c>
      <c r="P2" s="97"/>
      <c r="Q2" s="99" t="s">
        <v>31</v>
      </c>
      <c r="R2" s="103"/>
      <c r="S2" s="97"/>
      <c r="T2" s="97"/>
      <c r="U2" s="97"/>
    </row>
    <row r="3" ht="51" hidden="1" customHeight="1" spans="1:21">
      <c r="A3" s="13">
        <v>1</v>
      </c>
      <c r="B3" s="89">
        <f t="shared" si="0"/>
        <v>1</v>
      </c>
      <c r="C3" s="10" t="s">
        <v>21</v>
      </c>
      <c r="D3" s="10" t="s">
        <v>32</v>
      </c>
      <c r="E3" s="13" t="s">
        <v>33</v>
      </c>
      <c r="F3" s="51" t="s">
        <v>34</v>
      </c>
      <c r="G3" s="10" t="s">
        <v>35</v>
      </c>
      <c r="H3" s="10" t="str">
        <f>G3</f>
        <v>4G_DPI_http整合层15分钟表</v>
      </c>
      <c r="I3" s="51" t="s">
        <v>36</v>
      </c>
      <c r="J3" s="51" t="s">
        <v>36</v>
      </c>
      <c r="K3" s="51" t="s">
        <v>37</v>
      </c>
      <c r="L3" s="51" t="s">
        <v>28</v>
      </c>
      <c r="M3" s="10" t="s">
        <v>29</v>
      </c>
      <c r="N3" s="100">
        <v>3</v>
      </c>
      <c r="O3" s="51" t="s">
        <v>38</v>
      </c>
      <c r="P3" s="51"/>
      <c r="Q3" s="100" t="s">
        <v>39</v>
      </c>
      <c r="R3" s="104"/>
      <c r="S3" s="51"/>
      <c r="T3" s="51"/>
      <c r="U3" s="51"/>
    </row>
    <row r="4" ht="51" hidden="1" customHeight="1" spans="1:21">
      <c r="A4" s="13">
        <v>2</v>
      </c>
      <c r="B4" s="89">
        <f t="shared" ref="B4" si="1">HYPERLINK("#"&amp;A4&amp;"!A1",A4)</f>
        <v>2</v>
      </c>
      <c r="C4" s="10" t="s">
        <v>21</v>
      </c>
      <c r="D4" s="10" t="s">
        <v>22</v>
      </c>
      <c r="E4" s="13" t="s">
        <v>40</v>
      </c>
      <c r="F4" s="51" t="s">
        <v>41</v>
      </c>
      <c r="G4" s="10" t="s">
        <v>42</v>
      </c>
      <c r="H4" s="10" t="str">
        <f t="shared" ref="H4:H66" si="2">G4</f>
        <v>4G_DPI_http基础维度15分钟表</v>
      </c>
      <c r="I4" s="10" t="s">
        <v>43</v>
      </c>
      <c r="J4" s="51" t="s">
        <v>37</v>
      </c>
      <c r="K4" s="51" t="s">
        <v>37</v>
      </c>
      <c r="L4" s="51" t="s">
        <v>28</v>
      </c>
      <c r="M4" s="10" t="s">
        <v>44</v>
      </c>
      <c r="N4" s="100" t="s">
        <v>45</v>
      </c>
      <c r="O4" s="51" t="s">
        <v>34</v>
      </c>
      <c r="P4" s="51"/>
      <c r="Q4" s="100" t="s">
        <v>39</v>
      </c>
      <c r="R4" s="104"/>
      <c r="S4" s="51"/>
      <c r="T4" s="51"/>
      <c r="U4" s="51"/>
    </row>
    <row r="5" ht="51" customHeight="1" spans="1:21">
      <c r="A5" s="13">
        <v>3</v>
      </c>
      <c r="B5" s="89">
        <f t="shared" ref="B5" si="3">HYPERLINK("#"&amp;A5&amp;"!A1",A5)</f>
        <v>3</v>
      </c>
      <c r="C5" s="10" t="s">
        <v>21</v>
      </c>
      <c r="D5" s="10" t="s">
        <v>22</v>
      </c>
      <c r="E5" s="13" t="s">
        <v>40</v>
      </c>
      <c r="F5" s="51" t="s">
        <v>46</v>
      </c>
      <c r="G5" s="10" t="s">
        <v>47</v>
      </c>
      <c r="H5" s="10" t="str">
        <f t="shared" si="2"/>
        <v>4G_DPI_http基础维度小时表</v>
      </c>
      <c r="I5" s="10" t="s">
        <v>43</v>
      </c>
      <c r="J5" s="51" t="s">
        <v>48</v>
      </c>
      <c r="K5" s="51" t="s">
        <v>48</v>
      </c>
      <c r="L5" s="51" t="s">
        <v>49</v>
      </c>
      <c r="M5" s="51" t="s">
        <v>33</v>
      </c>
      <c r="N5" s="100">
        <v>14</v>
      </c>
      <c r="O5" s="51" t="s">
        <v>41</v>
      </c>
      <c r="P5" s="51"/>
      <c r="Q5" s="100" t="s">
        <v>39</v>
      </c>
      <c r="R5" s="104"/>
      <c r="S5" s="51"/>
      <c r="T5" s="51"/>
      <c r="U5" s="51"/>
    </row>
    <row r="6" ht="51" customHeight="1" spans="1:21">
      <c r="A6" s="13">
        <v>4</v>
      </c>
      <c r="B6" s="89">
        <f t="shared" ref="B6:B9" si="4">HYPERLINK("#"&amp;A6&amp;"!A1",A6)</f>
        <v>4</v>
      </c>
      <c r="C6" s="10" t="s">
        <v>21</v>
      </c>
      <c r="D6" s="10" t="s">
        <v>22</v>
      </c>
      <c r="E6" s="13" t="s">
        <v>40</v>
      </c>
      <c r="F6" s="51" t="s">
        <v>50</v>
      </c>
      <c r="G6" s="10" t="s">
        <v>51</v>
      </c>
      <c r="H6" s="10" t="str">
        <f t="shared" si="2"/>
        <v>4G_DPI_http基础维度指标裁剪小时表</v>
      </c>
      <c r="I6" s="10" t="s">
        <v>43</v>
      </c>
      <c r="J6" s="51" t="s">
        <v>48</v>
      </c>
      <c r="K6" s="51" t="s">
        <v>48</v>
      </c>
      <c r="L6" s="51" t="s">
        <v>49</v>
      </c>
      <c r="M6" s="51" t="s">
        <v>33</v>
      </c>
      <c r="N6" s="100">
        <v>14</v>
      </c>
      <c r="O6" s="51" t="s">
        <v>46</v>
      </c>
      <c r="P6" s="51" t="s">
        <v>52</v>
      </c>
      <c r="Q6" s="100" t="s">
        <v>53</v>
      </c>
      <c r="R6" s="104" t="s">
        <v>54</v>
      </c>
      <c r="S6" s="51"/>
      <c r="T6" s="51"/>
      <c r="U6" s="51"/>
    </row>
    <row r="7" ht="51" customHeight="1" spans="1:21">
      <c r="A7" s="13">
        <v>5</v>
      </c>
      <c r="B7" s="89">
        <f t="shared" si="4"/>
        <v>5</v>
      </c>
      <c r="C7" s="10" t="s">
        <v>21</v>
      </c>
      <c r="D7" s="10" t="s">
        <v>22</v>
      </c>
      <c r="E7" s="13" t="s">
        <v>40</v>
      </c>
      <c r="F7" s="51" t="s">
        <v>55</v>
      </c>
      <c r="G7" s="10" t="s">
        <v>56</v>
      </c>
      <c r="H7" s="10" t="str">
        <f t="shared" si="2"/>
        <v>4G_DPI_http用户小区app维度小时表</v>
      </c>
      <c r="I7" s="10" t="s">
        <v>57</v>
      </c>
      <c r="J7" s="51" t="s">
        <v>48</v>
      </c>
      <c r="K7" s="51" t="s">
        <v>48</v>
      </c>
      <c r="L7" s="51" t="s">
        <v>49</v>
      </c>
      <c r="M7" s="51" t="s">
        <v>33</v>
      </c>
      <c r="N7" s="100">
        <v>14</v>
      </c>
      <c r="O7" s="51" t="s">
        <v>46</v>
      </c>
      <c r="P7" s="51"/>
      <c r="Q7" s="100" t="s">
        <v>39</v>
      </c>
      <c r="R7" s="104"/>
      <c r="S7" s="51"/>
      <c r="T7" s="51"/>
      <c r="U7" s="51"/>
    </row>
    <row r="8" ht="51" customHeight="1" spans="1:21">
      <c r="A8" s="13">
        <v>6</v>
      </c>
      <c r="B8" s="89">
        <f t="shared" si="4"/>
        <v>6</v>
      </c>
      <c r="C8" s="10" t="s">
        <v>21</v>
      </c>
      <c r="D8" s="10" t="s">
        <v>22</v>
      </c>
      <c r="E8" s="13" t="s">
        <v>40</v>
      </c>
      <c r="F8" s="10" t="s">
        <v>58</v>
      </c>
      <c r="G8" s="10" t="s">
        <v>59</v>
      </c>
      <c r="H8" s="10" t="str">
        <f t="shared" si="2"/>
        <v>4G_DPI_http用户app维度小时表</v>
      </c>
      <c r="I8" s="10" t="s">
        <v>60</v>
      </c>
      <c r="J8" s="51" t="s">
        <v>48</v>
      </c>
      <c r="K8" s="51" t="s">
        <v>48</v>
      </c>
      <c r="L8" s="51" t="s">
        <v>49</v>
      </c>
      <c r="M8" s="51" t="s">
        <v>33</v>
      </c>
      <c r="N8" s="100">
        <v>14</v>
      </c>
      <c r="O8" s="51" t="s">
        <v>55</v>
      </c>
      <c r="P8" s="51"/>
      <c r="Q8" s="100" t="s">
        <v>39</v>
      </c>
      <c r="R8" s="104"/>
      <c r="S8" s="51"/>
      <c r="T8" s="51"/>
      <c r="U8" s="51"/>
    </row>
    <row r="9" ht="51" customHeight="1" spans="1:21">
      <c r="A9" s="13">
        <v>7</v>
      </c>
      <c r="B9" s="89">
        <f t="shared" si="4"/>
        <v>7</v>
      </c>
      <c r="C9" s="10" t="s">
        <v>21</v>
      </c>
      <c r="D9" s="10" t="s">
        <v>22</v>
      </c>
      <c r="E9" s="13" t="s">
        <v>40</v>
      </c>
      <c r="F9" s="51" t="s">
        <v>61</v>
      </c>
      <c r="G9" s="10" t="s">
        <v>62</v>
      </c>
      <c r="H9" s="10" t="str">
        <f t="shared" si="2"/>
        <v>4G_DPI_http用户app维度天表</v>
      </c>
      <c r="I9" s="10" t="s">
        <v>60</v>
      </c>
      <c r="J9" s="51" t="s">
        <v>27</v>
      </c>
      <c r="K9" s="51" t="s">
        <v>27</v>
      </c>
      <c r="L9" s="51" t="s">
        <v>49</v>
      </c>
      <c r="M9" s="51" t="s">
        <v>33</v>
      </c>
      <c r="N9" s="100">
        <v>30</v>
      </c>
      <c r="O9" s="10" t="s">
        <v>58</v>
      </c>
      <c r="P9" s="51"/>
      <c r="Q9" s="100" t="s">
        <v>39</v>
      </c>
      <c r="R9" s="104"/>
      <c r="S9" s="51"/>
      <c r="T9" s="51"/>
      <c r="U9" s="51"/>
    </row>
    <row r="10" ht="51" customHeight="1" spans="1:21">
      <c r="A10" s="13">
        <v>8</v>
      </c>
      <c r="B10" s="89">
        <f t="shared" ref="B10" si="5">HYPERLINK("#"&amp;A10&amp;"!A1",A10)</f>
        <v>8</v>
      </c>
      <c r="C10" s="10" t="s">
        <v>21</v>
      </c>
      <c r="D10" s="10" t="s">
        <v>22</v>
      </c>
      <c r="E10" s="13" t="s">
        <v>40</v>
      </c>
      <c r="F10" s="10" t="s">
        <v>63</v>
      </c>
      <c r="G10" s="14" t="s">
        <v>64</v>
      </c>
      <c r="H10" s="10" t="str">
        <f t="shared" si="2"/>
        <v>4G_DPI_http车联网用户小区app维度小时表</v>
      </c>
      <c r="I10" s="10" t="s">
        <v>57</v>
      </c>
      <c r="J10" s="51" t="s">
        <v>48</v>
      </c>
      <c r="K10" s="51" t="s">
        <v>48</v>
      </c>
      <c r="L10" s="51" t="s">
        <v>49</v>
      </c>
      <c r="M10" s="51" t="s">
        <v>33</v>
      </c>
      <c r="N10" s="100">
        <v>14</v>
      </c>
      <c r="O10" s="51" t="s">
        <v>65</v>
      </c>
      <c r="P10" s="51" t="s">
        <v>66</v>
      </c>
      <c r="Q10" s="100" t="s">
        <v>53</v>
      </c>
      <c r="R10" s="104" t="s">
        <v>67</v>
      </c>
      <c r="S10" s="51"/>
      <c r="T10" s="51"/>
      <c r="U10" s="51"/>
    </row>
    <row r="11" ht="51" customHeight="1" spans="1:21">
      <c r="A11" s="13">
        <v>9</v>
      </c>
      <c r="B11" s="89">
        <f t="shared" ref="B11:B13" si="6">HYPERLINK("#"&amp;A11&amp;"!A1",A11)</f>
        <v>9</v>
      </c>
      <c r="C11" s="10" t="s">
        <v>21</v>
      </c>
      <c r="D11" s="10" t="s">
        <v>22</v>
      </c>
      <c r="E11" s="13" t="s">
        <v>40</v>
      </c>
      <c r="F11" s="10" t="s">
        <v>68</v>
      </c>
      <c r="G11" s="14" t="s">
        <v>69</v>
      </c>
      <c r="H11" s="10" t="str">
        <f t="shared" si="2"/>
        <v>4G_DPI_http小区app维度小时表</v>
      </c>
      <c r="I11" s="10" t="s">
        <v>70</v>
      </c>
      <c r="J11" s="51" t="s">
        <v>48</v>
      </c>
      <c r="K11" s="51" t="s">
        <v>48</v>
      </c>
      <c r="L11" s="51" t="s">
        <v>49</v>
      </c>
      <c r="M11" s="51" t="s">
        <v>33</v>
      </c>
      <c r="N11" s="100">
        <v>14</v>
      </c>
      <c r="O11" s="51" t="s">
        <v>55</v>
      </c>
      <c r="P11" s="51"/>
      <c r="Q11" s="100" t="s">
        <v>39</v>
      </c>
      <c r="R11" s="104"/>
      <c r="S11" s="51"/>
      <c r="T11" s="51"/>
      <c r="U11" s="51"/>
    </row>
    <row r="12" ht="51" customHeight="1" spans="1:21">
      <c r="A12" s="13">
        <v>10</v>
      </c>
      <c r="B12" s="89">
        <f t="shared" si="6"/>
        <v>10</v>
      </c>
      <c r="C12" s="10" t="s">
        <v>21</v>
      </c>
      <c r="D12" s="10" t="s">
        <v>22</v>
      </c>
      <c r="E12" s="13" t="s">
        <v>40</v>
      </c>
      <c r="F12" s="10" t="s">
        <v>71</v>
      </c>
      <c r="G12" s="14" t="s">
        <v>72</v>
      </c>
      <c r="H12" s="10" t="str">
        <f t="shared" si="2"/>
        <v>4G_DPI_http小区app维度天表</v>
      </c>
      <c r="I12" s="10" t="s">
        <v>70</v>
      </c>
      <c r="J12" s="51" t="s">
        <v>27</v>
      </c>
      <c r="K12" s="51" t="s">
        <v>27</v>
      </c>
      <c r="L12" s="51" t="s">
        <v>49</v>
      </c>
      <c r="M12" s="51" t="s">
        <v>33</v>
      </c>
      <c r="N12" s="100">
        <v>30</v>
      </c>
      <c r="O12" s="10" t="s">
        <v>68</v>
      </c>
      <c r="P12" s="51"/>
      <c r="Q12" s="100" t="s">
        <v>39</v>
      </c>
      <c r="R12" s="104"/>
      <c r="S12" s="51"/>
      <c r="T12" s="51"/>
      <c r="U12" s="51"/>
    </row>
    <row r="13" ht="51" customHeight="1" spans="1:21">
      <c r="A13" s="13">
        <v>11</v>
      </c>
      <c r="B13" s="89">
        <f t="shared" si="6"/>
        <v>11</v>
      </c>
      <c r="C13" s="10" t="s">
        <v>21</v>
      </c>
      <c r="D13" s="10" t="s">
        <v>22</v>
      </c>
      <c r="E13" s="13" t="s">
        <v>40</v>
      </c>
      <c r="F13" s="10" t="s">
        <v>73</v>
      </c>
      <c r="G13" s="14" t="s">
        <v>74</v>
      </c>
      <c r="H13" s="10" t="str">
        <f t="shared" si="2"/>
        <v>4G_DPI_http小区维度天表</v>
      </c>
      <c r="I13" s="10" t="s">
        <v>75</v>
      </c>
      <c r="J13" s="51" t="s">
        <v>27</v>
      </c>
      <c r="K13" s="51" t="s">
        <v>27</v>
      </c>
      <c r="L13" s="51" t="s">
        <v>49</v>
      </c>
      <c r="M13" s="51" t="s">
        <v>33</v>
      </c>
      <c r="N13" s="100">
        <v>30</v>
      </c>
      <c r="O13" s="10" t="s">
        <v>71</v>
      </c>
      <c r="P13" s="51"/>
      <c r="Q13" s="100" t="s">
        <v>39</v>
      </c>
      <c r="R13" s="104"/>
      <c r="S13" s="51"/>
      <c r="T13" s="51"/>
      <c r="U13" s="51"/>
    </row>
    <row r="14" ht="51" customHeight="1" spans="1:21">
      <c r="A14" s="13">
        <v>12</v>
      </c>
      <c r="B14" s="89">
        <f t="shared" ref="B14:B17" si="7">HYPERLINK("#"&amp;A14&amp;"!A1",A14)</f>
        <v>12</v>
      </c>
      <c r="C14" s="10" t="s">
        <v>21</v>
      </c>
      <c r="D14" s="10" t="s">
        <v>22</v>
      </c>
      <c r="E14" s="13" t="s">
        <v>40</v>
      </c>
      <c r="F14" s="10" t="s">
        <v>76</v>
      </c>
      <c r="G14" s="14" t="s">
        <v>77</v>
      </c>
      <c r="H14" s="10" t="str">
        <f t="shared" si="2"/>
        <v>4G_DPI_web小区app维度小时表</v>
      </c>
      <c r="I14" s="10" t="s">
        <v>70</v>
      </c>
      <c r="J14" s="51" t="s">
        <v>48</v>
      </c>
      <c r="K14" s="51" t="s">
        <v>48</v>
      </c>
      <c r="L14" s="51" t="s">
        <v>49</v>
      </c>
      <c r="M14" s="51" t="s">
        <v>33</v>
      </c>
      <c r="N14" s="100">
        <v>14</v>
      </c>
      <c r="O14" s="10" t="s">
        <v>68</v>
      </c>
      <c r="P14" s="51" t="s">
        <v>78</v>
      </c>
      <c r="Q14" s="100" t="s">
        <v>39</v>
      </c>
      <c r="R14" s="104"/>
      <c r="S14" s="51"/>
      <c r="T14" s="51"/>
      <c r="U14" s="51"/>
    </row>
    <row r="15" ht="51" customHeight="1" spans="1:21">
      <c r="A15" s="13">
        <v>13</v>
      </c>
      <c r="B15" s="89">
        <f t="shared" si="7"/>
        <v>13</v>
      </c>
      <c r="C15" s="10" t="s">
        <v>21</v>
      </c>
      <c r="D15" s="10" t="s">
        <v>22</v>
      </c>
      <c r="E15" s="13" t="s">
        <v>40</v>
      </c>
      <c r="F15" s="10" t="s">
        <v>79</v>
      </c>
      <c r="G15" s="14" t="s">
        <v>80</v>
      </c>
      <c r="H15" s="10" t="str">
        <f t="shared" si="2"/>
        <v>4G_DPI_web小区app维度天表</v>
      </c>
      <c r="I15" s="10" t="s">
        <v>70</v>
      </c>
      <c r="J15" s="51" t="s">
        <v>27</v>
      </c>
      <c r="K15" s="51" t="s">
        <v>27</v>
      </c>
      <c r="L15" s="51" t="s">
        <v>49</v>
      </c>
      <c r="M15" s="51" t="s">
        <v>33</v>
      </c>
      <c r="N15" s="100">
        <v>30</v>
      </c>
      <c r="O15" s="10" t="s">
        <v>76</v>
      </c>
      <c r="P15" s="51" t="s">
        <v>78</v>
      </c>
      <c r="Q15" s="100" t="s">
        <v>39</v>
      </c>
      <c r="R15" s="104"/>
      <c r="S15" s="51"/>
      <c r="T15" s="51"/>
      <c r="U15" s="51"/>
    </row>
    <row r="16" ht="51" customHeight="1" spans="1:21">
      <c r="A16" s="13">
        <v>14</v>
      </c>
      <c r="B16" s="89">
        <f t="shared" si="7"/>
        <v>14</v>
      </c>
      <c r="C16" s="10" t="s">
        <v>21</v>
      </c>
      <c r="D16" s="10" t="s">
        <v>22</v>
      </c>
      <c r="E16" s="13" t="s">
        <v>40</v>
      </c>
      <c r="F16" s="10" t="s">
        <v>81</v>
      </c>
      <c r="G16" s="14" t="s">
        <v>82</v>
      </c>
      <c r="H16" s="10" t="str">
        <f t="shared" si="2"/>
        <v>4G_DPI_web小区维度小时表</v>
      </c>
      <c r="I16" s="10" t="s">
        <v>75</v>
      </c>
      <c r="J16" s="51" t="s">
        <v>48</v>
      </c>
      <c r="K16" s="51" t="s">
        <v>48</v>
      </c>
      <c r="L16" s="51" t="s">
        <v>49</v>
      </c>
      <c r="M16" s="51" t="s">
        <v>33</v>
      </c>
      <c r="N16" s="100">
        <v>14</v>
      </c>
      <c r="O16" s="10" t="s">
        <v>76</v>
      </c>
      <c r="P16" s="51"/>
      <c r="Q16" s="100" t="s">
        <v>39</v>
      </c>
      <c r="R16" s="104"/>
      <c r="S16" s="51"/>
      <c r="T16" s="51"/>
      <c r="U16" s="51"/>
    </row>
    <row r="17" ht="51" customHeight="1" spans="1:21">
      <c r="A17" s="13">
        <v>15</v>
      </c>
      <c r="B17" s="89">
        <f t="shared" si="7"/>
        <v>15</v>
      </c>
      <c r="C17" s="10" t="s">
        <v>21</v>
      </c>
      <c r="D17" s="10" t="s">
        <v>22</v>
      </c>
      <c r="E17" s="13" t="s">
        <v>40</v>
      </c>
      <c r="F17" s="10" t="s">
        <v>83</v>
      </c>
      <c r="G17" s="14" t="s">
        <v>84</v>
      </c>
      <c r="H17" s="10" t="str">
        <f t="shared" si="2"/>
        <v>4G_DPI_web小区维度天表</v>
      </c>
      <c r="I17" s="10" t="s">
        <v>75</v>
      </c>
      <c r="J17" s="51" t="s">
        <v>27</v>
      </c>
      <c r="K17" s="51" t="s">
        <v>27</v>
      </c>
      <c r="L17" s="51" t="s">
        <v>49</v>
      </c>
      <c r="M17" s="51" t="s">
        <v>33</v>
      </c>
      <c r="N17" s="100">
        <v>30</v>
      </c>
      <c r="O17" s="10" t="s">
        <v>81</v>
      </c>
      <c r="P17" s="51" t="s">
        <v>78</v>
      </c>
      <c r="Q17" s="100" t="s">
        <v>39</v>
      </c>
      <c r="R17" s="104" t="s">
        <v>85</v>
      </c>
      <c r="S17" s="51"/>
      <c r="T17" s="51"/>
      <c r="U17" s="51"/>
    </row>
    <row r="18" ht="51" customHeight="1" spans="1:21">
      <c r="A18" s="13">
        <v>16</v>
      </c>
      <c r="B18" s="89">
        <f t="shared" ref="B18:B21" si="8">HYPERLINK("#"&amp;A18&amp;"!A1",A18)</f>
        <v>16</v>
      </c>
      <c r="C18" s="10" t="s">
        <v>21</v>
      </c>
      <c r="D18" s="10" t="s">
        <v>22</v>
      </c>
      <c r="E18" s="13" t="s">
        <v>40</v>
      </c>
      <c r="F18" s="10" t="s">
        <v>86</v>
      </c>
      <c r="G18" s="14" t="s">
        <v>87</v>
      </c>
      <c r="H18" s="10" t="str">
        <f t="shared" si="2"/>
        <v>4G_DPI_im小区app维度小时表</v>
      </c>
      <c r="I18" s="10" t="s">
        <v>70</v>
      </c>
      <c r="J18" s="51" t="s">
        <v>48</v>
      </c>
      <c r="K18" s="51" t="s">
        <v>48</v>
      </c>
      <c r="L18" s="51" t="s">
        <v>49</v>
      </c>
      <c r="M18" s="51" t="s">
        <v>33</v>
      </c>
      <c r="N18" s="100">
        <v>14</v>
      </c>
      <c r="O18" s="10" t="s">
        <v>68</v>
      </c>
      <c r="P18" s="51" t="s">
        <v>78</v>
      </c>
      <c r="Q18" s="100" t="s">
        <v>39</v>
      </c>
      <c r="R18" s="104"/>
      <c r="S18" s="51"/>
      <c r="T18" s="51"/>
      <c r="U18" s="51"/>
    </row>
    <row r="19" ht="51" customHeight="1" spans="1:21">
      <c r="A19" s="13">
        <v>17</v>
      </c>
      <c r="B19" s="89">
        <f t="shared" si="8"/>
        <v>17</v>
      </c>
      <c r="C19" s="10" t="s">
        <v>21</v>
      </c>
      <c r="D19" s="10" t="s">
        <v>22</v>
      </c>
      <c r="E19" s="13" t="s">
        <v>40</v>
      </c>
      <c r="F19" s="10" t="s">
        <v>88</v>
      </c>
      <c r="G19" s="14" t="s">
        <v>89</v>
      </c>
      <c r="H19" s="10" t="str">
        <f t="shared" si="2"/>
        <v>4G_DPI_im小区app维度天表</v>
      </c>
      <c r="I19" s="10" t="s">
        <v>70</v>
      </c>
      <c r="J19" s="51" t="s">
        <v>27</v>
      </c>
      <c r="K19" s="51" t="s">
        <v>27</v>
      </c>
      <c r="L19" s="51" t="s">
        <v>49</v>
      </c>
      <c r="M19" s="51" t="s">
        <v>33</v>
      </c>
      <c r="N19" s="100">
        <v>30</v>
      </c>
      <c r="O19" s="10" t="s">
        <v>86</v>
      </c>
      <c r="P19" s="51" t="s">
        <v>78</v>
      </c>
      <c r="Q19" s="100" t="s">
        <v>39</v>
      </c>
      <c r="R19" s="104"/>
      <c r="S19" s="51"/>
      <c r="T19" s="51"/>
      <c r="U19" s="51"/>
    </row>
    <row r="20" ht="51" customHeight="1" spans="1:21">
      <c r="A20" s="13">
        <v>18</v>
      </c>
      <c r="B20" s="89">
        <f t="shared" ref="B20" si="9">HYPERLINK("#"&amp;A20&amp;"!A1",A20)</f>
        <v>18</v>
      </c>
      <c r="C20" s="10" t="s">
        <v>21</v>
      </c>
      <c r="D20" s="10" t="s">
        <v>22</v>
      </c>
      <c r="E20" s="13" t="s">
        <v>40</v>
      </c>
      <c r="F20" s="10" t="s">
        <v>90</v>
      </c>
      <c r="G20" s="14" t="s">
        <v>91</v>
      </c>
      <c r="H20" s="10" t="str">
        <f t="shared" si="2"/>
        <v>4G_DPI_im小区维度小时表</v>
      </c>
      <c r="I20" s="10" t="s">
        <v>75</v>
      </c>
      <c r="J20" s="51" t="s">
        <v>48</v>
      </c>
      <c r="K20" s="51" t="s">
        <v>48</v>
      </c>
      <c r="L20" s="51" t="s">
        <v>49</v>
      </c>
      <c r="M20" s="51" t="s">
        <v>33</v>
      </c>
      <c r="N20" s="100">
        <v>14</v>
      </c>
      <c r="O20" s="10" t="s">
        <v>86</v>
      </c>
      <c r="P20" s="51" t="s">
        <v>78</v>
      </c>
      <c r="Q20" s="100" t="s">
        <v>39</v>
      </c>
      <c r="R20" s="104"/>
      <c r="S20" s="51"/>
      <c r="T20" s="51"/>
      <c r="U20" s="51"/>
    </row>
    <row r="21" ht="51" customHeight="1" spans="1:21">
      <c r="A21" s="13">
        <v>19</v>
      </c>
      <c r="B21" s="89">
        <f t="shared" si="8"/>
        <v>19</v>
      </c>
      <c r="C21" s="10" t="s">
        <v>21</v>
      </c>
      <c r="D21" s="10" t="s">
        <v>22</v>
      </c>
      <c r="E21" s="13" t="s">
        <v>40</v>
      </c>
      <c r="F21" s="10" t="s">
        <v>92</v>
      </c>
      <c r="G21" s="14" t="s">
        <v>93</v>
      </c>
      <c r="H21" s="10" t="str">
        <f t="shared" si="2"/>
        <v>4G_DPI_im小区维度天表</v>
      </c>
      <c r="I21" s="10" t="s">
        <v>75</v>
      </c>
      <c r="J21" s="51" t="s">
        <v>27</v>
      </c>
      <c r="K21" s="51" t="s">
        <v>27</v>
      </c>
      <c r="L21" s="51" t="s">
        <v>49</v>
      </c>
      <c r="M21" s="51" t="s">
        <v>33</v>
      </c>
      <c r="N21" s="100">
        <v>30</v>
      </c>
      <c r="O21" s="10" t="s">
        <v>90</v>
      </c>
      <c r="P21" s="51" t="s">
        <v>78</v>
      </c>
      <c r="Q21" s="100" t="s">
        <v>39</v>
      </c>
      <c r="R21" s="104" t="s">
        <v>94</v>
      </c>
      <c r="S21" s="51"/>
      <c r="T21" s="51"/>
      <c r="U21" s="51"/>
    </row>
    <row r="22" ht="51" customHeight="1" spans="1:21">
      <c r="A22" s="13">
        <v>20</v>
      </c>
      <c r="B22" s="89">
        <f t="shared" ref="B22:B49" si="10">HYPERLINK("#"&amp;A22&amp;"!A1",A22)</f>
        <v>20</v>
      </c>
      <c r="C22" s="10" t="s">
        <v>21</v>
      </c>
      <c r="D22" s="10" t="s">
        <v>22</v>
      </c>
      <c r="E22" s="13" t="s">
        <v>40</v>
      </c>
      <c r="F22" s="10" t="s">
        <v>95</v>
      </c>
      <c r="G22" s="14" t="s">
        <v>96</v>
      </c>
      <c r="H22" s="10" t="str">
        <f t="shared" si="2"/>
        <v>4G_DPI_game小区app维度小时表</v>
      </c>
      <c r="I22" s="10" t="s">
        <v>70</v>
      </c>
      <c r="J22" s="51" t="s">
        <v>48</v>
      </c>
      <c r="K22" s="51" t="s">
        <v>48</v>
      </c>
      <c r="L22" s="51" t="s">
        <v>49</v>
      </c>
      <c r="M22" s="51" t="s">
        <v>33</v>
      </c>
      <c r="N22" s="100">
        <v>14</v>
      </c>
      <c r="O22" s="10" t="s">
        <v>68</v>
      </c>
      <c r="P22" s="51" t="s">
        <v>78</v>
      </c>
      <c r="Q22" s="100" t="s">
        <v>39</v>
      </c>
      <c r="R22" s="104"/>
      <c r="S22" s="51"/>
      <c r="T22" s="51"/>
      <c r="U22" s="51"/>
    </row>
    <row r="23" ht="51" customHeight="1" spans="1:21">
      <c r="A23" s="13">
        <v>21</v>
      </c>
      <c r="B23" s="89">
        <f t="shared" si="10"/>
        <v>21</v>
      </c>
      <c r="C23" s="10" t="s">
        <v>21</v>
      </c>
      <c r="D23" s="10" t="s">
        <v>22</v>
      </c>
      <c r="E23" s="13" t="s">
        <v>40</v>
      </c>
      <c r="F23" s="10" t="s">
        <v>97</v>
      </c>
      <c r="G23" s="14" t="s">
        <v>98</v>
      </c>
      <c r="H23" s="10" t="str">
        <f t="shared" si="2"/>
        <v>4G_DPI_game小区app维度天表</v>
      </c>
      <c r="I23" s="10" t="s">
        <v>70</v>
      </c>
      <c r="J23" s="51" t="s">
        <v>27</v>
      </c>
      <c r="K23" s="51" t="s">
        <v>27</v>
      </c>
      <c r="L23" s="51" t="s">
        <v>49</v>
      </c>
      <c r="M23" s="51" t="s">
        <v>33</v>
      </c>
      <c r="N23" s="100">
        <v>30</v>
      </c>
      <c r="O23" s="10" t="s">
        <v>95</v>
      </c>
      <c r="P23" s="51" t="s">
        <v>78</v>
      </c>
      <c r="Q23" s="100" t="s">
        <v>39</v>
      </c>
      <c r="R23" s="104"/>
      <c r="S23" s="51"/>
      <c r="T23" s="105" t="s">
        <v>99</v>
      </c>
      <c r="U23" s="105" t="s">
        <v>100</v>
      </c>
    </row>
    <row r="24" ht="51" customHeight="1" spans="1:21">
      <c r="A24" s="13">
        <v>22</v>
      </c>
      <c r="B24" s="89">
        <f t="shared" ref="B24" si="11">HYPERLINK("#"&amp;A24&amp;"!A1",A24)</f>
        <v>22</v>
      </c>
      <c r="C24" s="10" t="s">
        <v>21</v>
      </c>
      <c r="D24" s="10" t="s">
        <v>22</v>
      </c>
      <c r="E24" s="13" t="s">
        <v>40</v>
      </c>
      <c r="F24" s="10" t="s">
        <v>101</v>
      </c>
      <c r="G24" s="14" t="s">
        <v>102</v>
      </c>
      <c r="H24" s="10" t="str">
        <f t="shared" si="2"/>
        <v>4G_DPI_game小区维度小时表</v>
      </c>
      <c r="I24" s="10" t="s">
        <v>75</v>
      </c>
      <c r="J24" s="51" t="s">
        <v>48</v>
      </c>
      <c r="K24" s="51" t="s">
        <v>48</v>
      </c>
      <c r="L24" s="51" t="s">
        <v>49</v>
      </c>
      <c r="M24" s="51" t="s">
        <v>33</v>
      </c>
      <c r="N24" s="100">
        <v>14</v>
      </c>
      <c r="O24" s="10" t="s">
        <v>95</v>
      </c>
      <c r="P24" s="51" t="s">
        <v>78</v>
      </c>
      <c r="Q24" s="100" t="s">
        <v>39</v>
      </c>
      <c r="R24" s="104"/>
      <c r="S24" s="51"/>
      <c r="T24" s="105" t="s">
        <v>99</v>
      </c>
      <c r="U24" s="105" t="s">
        <v>100</v>
      </c>
    </row>
    <row r="25" ht="51" customHeight="1" spans="1:21">
      <c r="A25" s="13">
        <v>23</v>
      </c>
      <c r="B25" s="89">
        <f t="shared" si="10"/>
        <v>23</v>
      </c>
      <c r="C25" s="10" t="s">
        <v>21</v>
      </c>
      <c r="D25" s="10" t="s">
        <v>22</v>
      </c>
      <c r="E25" s="13" t="s">
        <v>40</v>
      </c>
      <c r="F25" s="10" t="s">
        <v>103</v>
      </c>
      <c r="G25" s="14" t="s">
        <v>104</v>
      </c>
      <c r="H25" s="10" t="str">
        <f t="shared" si="2"/>
        <v>4G_DPI_game小区维度天表</v>
      </c>
      <c r="I25" s="10" t="s">
        <v>75</v>
      </c>
      <c r="J25" s="51" t="s">
        <v>27</v>
      </c>
      <c r="K25" s="51" t="s">
        <v>27</v>
      </c>
      <c r="L25" s="51" t="s">
        <v>49</v>
      </c>
      <c r="M25" s="51" t="s">
        <v>33</v>
      </c>
      <c r="N25" s="100">
        <v>30</v>
      </c>
      <c r="O25" s="10" t="s">
        <v>101</v>
      </c>
      <c r="P25" s="51" t="s">
        <v>78</v>
      </c>
      <c r="Q25" s="100" t="s">
        <v>39</v>
      </c>
      <c r="R25" s="104" t="s">
        <v>105</v>
      </c>
      <c r="S25" s="51"/>
      <c r="T25" s="105" t="s">
        <v>99</v>
      </c>
      <c r="U25" s="105" t="s">
        <v>100</v>
      </c>
    </row>
    <row r="26" ht="51" customHeight="1" spans="1:21">
      <c r="A26" s="13">
        <v>24</v>
      </c>
      <c r="B26" s="89">
        <f t="shared" si="10"/>
        <v>24</v>
      </c>
      <c r="C26" s="10" t="s">
        <v>21</v>
      </c>
      <c r="D26" s="10" t="s">
        <v>22</v>
      </c>
      <c r="E26" s="13" t="s">
        <v>40</v>
      </c>
      <c r="F26" s="10" t="s">
        <v>106</v>
      </c>
      <c r="G26" s="14" t="s">
        <v>107</v>
      </c>
      <c r="H26" s="10" t="str">
        <f t="shared" si="2"/>
        <v>4G_DPI_http协议app类型用户小区维度小时表</v>
      </c>
      <c r="I26" s="10" t="s">
        <v>108</v>
      </c>
      <c r="J26" s="51" t="s">
        <v>48</v>
      </c>
      <c r="K26" s="51" t="s">
        <v>48</v>
      </c>
      <c r="L26" s="51" t="s">
        <v>49</v>
      </c>
      <c r="M26" s="51" t="s">
        <v>33</v>
      </c>
      <c r="N26" s="100">
        <v>14</v>
      </c>
      <c r="O26" s="51" t="s">
        <v>55</v>
      </c>
      <c r="P26" s="51"/>
      <c r="Q26" s="100" t="s">
        <v>39</v>
      </c>
      <c r="R26" s="104"/>
      <c r="S26" s="51"/>
      <c r="T26" s="105" t="s">
        <v>99</v>
      </c>
      <c r="U26" s="105" t="s">
        <v>100</v>
      </c>
    </row>
    <row r="27" ht="51" customHeight="1" spans="1:21">
      <c r="A27" s="13">
        <v>25</v>
      </c>
      <c r="B27" s="89">
        <f t="shared" si="10"/>
        <v>25</v>
      </c>
      <c r="C27" s="10" t="s">
        <v>21</v>
      </c>
      <c r="D27" s="10" t="s">
        <v>22</v>
      </c>
      <c r="E27" s="13" t="s">
        <v>40</v>
      </c>
      <c r="F27" s="10" t="s">
        <v>109</v>
      </c>
      <c r="G27" s="11" t="s">
        <v>110</v>
      </c>
      <c r="H27" s="10" t="str">
        <f t="shared" si="2"/>
        <v>4G_DPI_web用户小区维度天表</v>
      </c>
      <c r="I27" s="10" t="s">
        <v>111</v>
      </c>
      <c r="J27" s="51" t="s">
        <v>27</v>
      </c>
      <c r="K27" s="51" t="s">
        <v>27</v>
      </c>
      <c r="L27" s="51" t="s">
        <v>49</v>
      </c>
      <c r="M27" s="51" t="s">
        <v>33</v>
      </c>
      <c r="N27" s="100">
        <v>30</v>
      </c>
      <c r="O27" s="10" t="s">
        <v>106</v>
      </c>
      <c r="P27" s="51" t="s">
        <v>78</v>
      </c>
      <c r="Q27" s="101" t="s">
        <v>39</v>
      </c>
      <c r="R27" s="104" t="s">
        <v>85</v>
      </c>
      <c r="S27" s="51"/>
      <c r="T27" s="105" t="s">
        <v>99</v>
      </c>
      <c r="U27" s="105" t="s">
        <v>100</v>
      </c>
    </row>
    <row r="28" s="82" customFormat="1" ht="51" customHeight="1" spans="1:21">
      <c r="A28" s="90">
        <v>26</v>
      </c>
      <c r="B28" s="91">
        <f t="shared" ref="B28" si="12">HYPERLINK("#"&amp;A28&amp;"!A1",A28)</f>
        <v>26</v>
      </c>
      <c r="C28" s="11" t="s">
        <v>21</v>
      </c>
      <c r="D28" s="11" t="s">
        <v>22</v>
      </c>
      <c r="E28" s="90" t="s">
        <v>40</v>
      </c>
      <c r="F28" s="11" t="s">
        <v>112</v>
      </c>
      <c r="G28" s="11" t="s">
        <v>110</v>
      </c>
      <c r="H28" s="10" t="str">
        <f t="shared" si="2"/>
        <v>4G_DPI_web用户小区维度天表</v>
      </c>
      <c r="I28" s="11" t="s">
        <v>111</v>
      </c>
      <c r="J28" s="98" t="s">
        <v>27</v>
      </c>
      <c r="K28" s="98" t="s">
        <v>27</v>
      </c>
      <c r="L28" s="98" t="s">
        <v>49</v>
      </c>
      <c r="M28" s="98" t="s">
        <v>33</v>
      </c>
      <c r="N28" s="101">
        <v>14</v>
      </c>
      <c r="O28" s="11" t="s">
        <v>106</v>
      </c>
      <c r="P28" s="98" t="s">
        <v>78</v>
      </c>
      <c r="Q28" s="101" t="s">
        <v>39</v>
      </c>
      <c r="R28" s="106"/>
      <c r="S28" s="98"/>
      <c r="T28" s="105" t="s">
        <v>99</v>
      </c>
      <c r="U28" s="105" t="s">
        <v>100</v>
      </c>
    </row>
    <row r="29" s="82" customFormat="1" ht="51" customHeight="1" spans="1:21">
      <c r="A29" s="90">
        <v>27</v>
      </c>
      <c r="B29" s="91">
        <f t="shared" si="10"/>
        <v>27</v>
      </c>
      <c r="C29" s="11" t="s">
        <v>21</v>
      </c>
      <c r="D29" s="11" t="s">
        <v>22</v>
      </c>
      <c r="E29" s="90" t="s">
        <v>40</v>
      </c>
      <c r="F29" s="11" t="s">
        <v>113</v>
      </c>
      <c r="G29" s="11" t="s">
        <v>114</v>
      </c>
      <c r="H29" s="10" t="str">
        <f t="shared" si="2"/>
        <v>4G_DPI_web用户维度天表</v>
      </c>
      <c r="I29" s="11" t="s">
        <v>115</v>
      </c>
      <c r="J29" s="98" t="s">
        <v>27</v>
      </c>
      <c r="K29" s="98" t="s">
        <v>27</v>
      </c>
      <c r="L29" s="98" t="s">
        <v>49</v>
      </c>
      <c r="M29" s="98" t="s">
        <v>33</v>
      </c>
      <c r="N29" s="101">
        <v>30</v>
      </c>
      <c r="O29" s="11" t="s">
        <v>112</v>
      </c>
      <c r="P29" s="98" t="s">
        <v>78</v>
      </c>
      <c r="Q29" s="101" t="s">
        <v>39</v>
      </c>
      <c r="R29" s="106" t="s">
        <v>85</v>
      </c>
      <c r="S29" s="98"/>
      <c r="T29" s="105" t="s">
        <v>99</v>
      </c>
      <c r="U29" s="105" t="s">
        <v>100</v>
      </c>
    </row>
    <row r="30" s="82" customFormat="1" ht="51" customHeight="1" spans="1:21">
      <c r="A30" s="90">
        <v>28</v>
      </c>
      <c r="B30" s="91">
        <f t="shared" si="10"/>
        <v>28</v>
      </c>
      <c r="C30" s="11" t="s">
        <v>21</v>
      </c>
      <c r="D30" s="11" t="s">
        <v>22</v>
      </c>
      <c r="E30" s="90" t="s">
        <v>40</v>
      </c>
      <c r="F30" s="11" t="s">
        <v>116</v>
      </c>
      <c r="G30" s="11" t="s">
        <v>117</v>
      </c>
      <c r="H30" s="10" t="str">
        <f t="shared" si="2"/>
        <v>4G_DPI_im用户小区维度天表</v>
      </c>
      <c r="I30" s="11" t="s">
        <v>111</v>
      </c>
      <c r="J30" s="98" t="s">
        <v>27</v>
      </c>
      <c r="K30" s="98" t="s">
        <v>27</v>
      </c>
      <c r="L30" s="98" t="s">
        <v>49</v>
      </c>
      <c r="M30" s="98" t="s">
        <v>33</v>
      </c>
      <c r="N30" s="101">
        <v>30</v>
      </c>
      <c r="O30" s="11" t="s">
        <v>106</v>
      </c>
      <c r="P30" s="98" t="s">
        <v>78</v>
      </c>
      <c r="Q30" s="101" t="s">
        <v>39</v>
      </c>
      <c r="R30" s="106" t="s">
        <v>94</v>
      </c>
      <c r="S30" s="98"/>
      <c r="T30" s="105" t="s">
        <v>99</v>
      </c>
      <c r="U30" s="105" t="s">
        <v>100</v>
      </c>
    </row>
    <row r="31" s="82" customFormat="1" ht="51" customHeight="1" spans="1:21">
      <c r="A31" s="90">
        <v>29</v>
      </c>
      <c r="B31" s="91">
        <f t="shared" si="10"/>
        <v>29</v>
      </c>
      <c r="C31" s="11" t="s">
        <v>21</v>
      </c>
      <c r="D31" s="11" t="s">
        <v>22</v>
      </c>
      <c r="E31" s="90" t="s">
        <v>40</v>
      </c>
      <c r="F31" s="11" t="s">
        <v>118</v>
      </c>
      <c r="G31" s="11" t="s">
        <v>117</v>
      </c>
      <c r="H31" s="10" t="str">
        <f t="shared" si="2"/>
        <v>4G_DPI_im用户小区维度天表</v>
      </c>
      <c r="I31" s="11" t="s">
        <v>111</v>
      </c>
      <c r="J31" s="98" t="s">
        <v>27</v>
      </c>
      <c r="K31" s="98" t="s">
        <v>27</v>
      </c>
      <c r="L31" s="98" t="s">
        <v>49</v>
      </c>
      <c r="M31" s="98" t="s">
        <v>33</v>
      </c>
      <c r="N31" s="101">
        <v>14</v>
      </c>
      <c r="O31" s="11" t="s">
        <v>106</v>
      </c>
      <c r="P31" s="98" t="s">
        <v>78</v>
      </c>
      <c r="Q31" s="101" t="s">
        <v>39</v>
      </c>
      <c r="R31" s="106"/>
      <c r="S31" s="98"/>
      <c r="T31" s="105" t="s">
        <v>99</v>
      </c>
      <c r="U31" s="105" t="s">
        <v>100</v>
      </c>
    </row>
    <row r="32" ht="51" customHeight="1" spans="1:21">
      <c r="A32" s="13">
        <v>30</v>
      </c>
      <c r="B32" s="89">
        <f t="shared" si="10"/>
        <v>30</v>
      </c>
      <c r="C32" s="10" t="s">
        <v>21</v>
      </c>
      <c r="D32" s="10" t="s">
        <v>22</v>
      </c>
      <c r="E32" s="13" t="s">
        <v>40</v>
      </c>
      <c r="F32" s="10" t="s">
        <v>119</v>
      </c>
      <c r="G32" s="11" t="s">
        <v>120</v>
      </c>
      <c r="H32" s="10" t="str">
        <f t="shared" si="2"/>
        <v>4G_DPI_im用户维度天表</v>
      </c>
      <c r="I32" s="10" t="s">
        <v>115</v>
      </c>
      <c r="J32" s="51" t="s">
        <v>27</v>
      </c>
      <c r="K32" s="51" t="s">
        <v>27</v>
      </c>
      <c r="L32" s="51" t="s">
        <v>49</v>
      </c>
      <c r="M32" s="51" t="s">
        <v>33</v>
      </c>
      <c r="N32" s="100">
        <v>30</v>
      </c>
      <c r="O32" s="10" t="s">
        <v>118</v>
      </c>
      <c r="P32" s="51" t="s">
        <v>78</v>
      </c>
      <c r="Q32" s="101" t="s">
        <v>39</v>
      </c>
      <c r="R32" s="104" t="s">
        <v>94</v>
      </c>
      <c r="S32" s="51"/>
      <c r="T32" s="105" t="s">
        <v>99</v>
      </c>
      <c r="U32" s="105" t="s">
        <v>100</v>
      </c>
    </row>
    <row r="33" ht="51" customHeight="1" spans="1:21">
      <c r="A33" s="13">
        <v>31</v>
      </c>
      <c r="B33" s="89">
        <f t="shared" si="10"/>
        <v>31</v>
      </c>
      <c r="C33" s="10" t="s">
        <v>21</v>
      </c>
      <c r="D33" s="10" t="s">
        <v>22</v>
      </c>
      <c r="E33" s="13" t="s">
        <v>40</v>
      </c>
      <c r="F33" s="10" t="s">
        <v>121</v>
      </c>
      <c r="G33" s="14" t="s">
        <v>122</v>
      </c>
      <c r="H33" s="10" t="str">
        <f t="shared" si="2"/>
        <v>4G微信支付用户小区天表</v>
      </c>
      <c r="I33" s="10" t="s">
        <v>111</v>
      </c>
      <c r="J33" s="51" t="s">
        <v>27</v>
      </c>
      <c r="K33" s="51" t="s">
        <v>27</v>
      </c>
      <c r="L33" s="51" t="s">
        <v>49</v>
      </c>
      <c r="M33" s="51" t="s">
        <v>33</v>
      </c>
      <c r="N33" s="100">
        <v>30</v>
      </c>
      <c r="O33" s="10" t="s">
        <v>116</v>
      </c>
      <c r="P33" s="51" t="s">
        <v>78</v>
      </c>
      <c r="Q33" s="101" t="s">
        <v>53</v>
      </c>
      <c r="R33" s="104" t="s">
        <v>123</v>
      </c>
      <c r="S33" s="51"/>
      <c r="T33" s="105" t="s">
        <v>99</v>
      </c>
      <c r="U33" s="105" t="s">
        <v>100</v>
      </c>
    </row>
    <row r="34" ht="51" customHeight="1" spans="1:21">
      <c r="A34" s="13">
        <v>33</v>
      </c>
      <c r="B34" s="89">
        <f t="shared" si="10"/>
        <v>33</v>
      </c>
      <c r="C34" s="10" t="s">
        <v>21</v>
      </c>
      <c r="D34" s="10" t="s">
        <v>22</v>
      </c>
      <c r="E34" s="13" t="s">
        <v>40</v>
      </c>
      <c r="F34" s="10" t="s">
        <v>124</v>
      </c>
      <c r="G34" s="11" t="s">
        <v>125</v>
      </c>
      <c r="H34" s="10" t="str">
        <f t="shared" si="2"/>
        <v>4G_DPI_game用户小区维度天表</v>
      </c>
      <c r="I34" s="10" t="s">
        <v>111</v>
      </c>
      <c r="J34" s="51" t="s">
        <v>27</v>
      </c>
      <c r="K34" s="51" t="s">
        <v>27</v>
      </c>
      <c r="L34" s="51" t="s">
        <v>49</v>
      </c>
      <c r="M34" s="51" t="s">
        <v>33</v>
      </c>
      <c r="N34" s="100">
        <v>30</v>
      </c>
      <c r="O34" s="10" t="s">
        <v>106</v>
      </c>
      <c r="P34" s="51" t="s">
        <v>78</v>
      </c>
      <c r="Q34" s="101" t="s">
        <v>39</v>
      </c>
      <c r="R34" s="104" t="s">
        <v>105</v>
      </c>
      <c r="S34" s="51"/>
      <c r="T34" s="105" t="s">
        <v>99</v>
      </c>
      <c r="U34" s="105" t="s">
        <v>100</v>
      </c>
    </row>
    <row r="35" s="82" customFormat="1" ht="51" customHeight="1" spans="1:21">
      <c r="A35" s="90">
        <v>34</v>
      </c>
      <c r="B35" s="91">
        <f t="shared" si="10"/>
        <v>34</v>
      </c>
      <c r="C35" s="11" t="s">
        <v>21</v>
      </c>
      <c r="D35" s="11" t="s">
        <v>22</v>
      </c>
      <c r="E35" s="90" t="s">
        <v>40</v>
      </c>
      <c r="F35" s="11" t="s">
        <v>126</v>
      </c>
      <c r="G35" s="11" t="s">
        <v>125</v>
      </c>
      <c r="H35" s="10" t="str">
        <f t="shared" si="2"/>
        <v>4G_DPI_game用户小区维度天表</v>
      </c>
      <c r="I35" s="11" t="s">
        <v>111</v>
      </c>
      <c r="J35" s="98" t="s">
        <v>27</v>
      </c>
      <c r="K35" s="98" t="s">
        <v>27</v>
      </c>
      <c r="L35" s="98" t="s">
        <v>49</v>
      </c>
      <c r="M35" s="98" t="s">
        <v>33</v>
      </c>
      <c r="N35" s="101">
        <v>14</v>
      </c>
      <c r="O35" s="11" t="s">
        <v>106</v>
      </c>
      <c r="P35" s="98" t="s">
        <v>78</v>
      </c>
      <c r="Q35" s="101" t="s">
        <v>39</v>
      </c>
      <c r="R35" s="106"/>
      <c r="S35" s="98"/>
      <c r="T35" s="105" t="s">
        <v>99</v>
      </c>
      <c r="U35" s="105" t="s">
        <v>100</v>
      </c>
    </row>
    <row r="36" ht="51" customHeight="1" spans="1:21">
      <c r="A36" s="13">
        <v>35</v>
      </c>
      <c r="B36" s="89">
        <f t="shared" si="10"/>
        <v>35</v>
      </c>
      <c r="C36" s="10" t="s">
        <v>21</v>
      </c>
      <c r="D36" s="10" t="s">
        <v>22</v>
      </c>
      <c r="E36" s="13" t="s">
        <v>40</v>
      </c>
      <c r="F36" s="10" t="s">
        <v>127</v>
      </c>
      <c r="G36" s="11" t="s">
        <v>128</v>
      </c>
      <c r="H36" s="10" t="str">
        <f t="shared" si="2"/>
        <v>4G_DPI_game用户维度天表</v>
      </c>
      <c r="I36" s="10" t="s">
        <v>115</v>
      </c>
      <c r="J36" s="51" t="s">
        <v>27</v>
      </c>
      <c r="K36" s="51" t="s">
        <v>27</v>
      </c>
      <c r="L36" s="51" t="s">
        <v>49</v>
      </c>
      <c r="M36" s="51" t="s">
        <v>33</v>
      </c>
      <c r="N36" s="100">
        <v>30</v>
      </c>
      <c r="O36" s="10" t="s">
        <v>124</v>
      </c>
      <c r="P36" s="51" t="s">
        <v>78</v>
      </c>
      <c r="Q36" s="101" t="s">
        <v>39</v>
      </c>
      <c r="R36" s="104" t="s">
        <v>105</v>
      </c>
      <c r="S36" s="51"/>
      <c r="T36" s="105" t="s">
        <v>99</v>
      </c>
      <c r="U36" s="105" t="s">
        <v>100</v>
      </c>
    </row>
    <row r="37" ht="51" customHeight="1" spans="1:21">
      <c r="A37" s="13">
        <v>36</v>
      </c>
      <c r="B37" s="89">
        <f t="shared" si="10"/>
        <v>36</v>
      </c>
      <c r="C37" s="10" t="s">
        <v>21</v>
      </c>
      <c r="D37" s="10" t="s">
        <v>22</v>
      </c>
      <c r="E37" s="13" t="s">
        <v>40</v>
      </c>
      <c r="F37" s="10" t="s">
        <v>129</v>
      </c>
      <c r="G37" s="14" t="s">
        <v>130</v>
      </c>
      <c r="H37" s="10" t="str">
        <f t="shared" si="2"/>
        <v>4G_DPI_web小区维度指标裁剪天表</v>
      </c>
      <c r="I37" s="10" t="s">
        <v>75</v>
      </c>
      <c r="J37" s="51" t="s">
        <v>27</v>
      </c>
      <c r="K37" s="51" t="s">
        <v>27</v>
      </c>
      <c r="L37" s="51" t="s">
        <v>49</v>
      </c>
      <c r="M37" s="51" t="s">
        <v>33</v>
      </c>
      <c r="N37" s="100">
        <v>30</v>
      </c>
      <c r="O37" s="10" t="s">
        <v>83</v>
      </c>
      <c r="P37" s="51" t="s">
        <v>131</v>
      </c>
      <c r="Q37" s="100" t="s">
        <v>53</v>
      </c>
      <c r="R37" s="104" t="s">
        <v>132</v>
      </c>
      <c r="S37" s="51"/>
      <c r="T37" s="105" t="s">
        <v>99</v>
      </c>
      <c r="U37" s="105" t="s">
        <v>100</v>
      </c>
    </row>
    <row r="38" ht="51" customHeight="1" spans="1:21">
      <c r="A38" s="13">
        <v>37</v>
      </c>
      <c r="B38" s="89">
        <f t="shared" si="10"/>
        <v>37</v>
      </c>
      <c r="C38" s="10" t="s">
        <v>21</v>
      </c>
      <c r="D38" s="10" t="s">
        <v>22</v>
      </c>
      <c r="E38" s="13" t="s">
        <v>40</v>
      </c>
      <c r="F38" s="10" t="s">
        <v>133</v>
      </c>
      <c r="G38" s="14" t="s">
        <v>134</v>
      </c>
      <c r="H38" s="10" t="str">
        <f t="shared" si="2"/>
        <v>4G_DPI_im小区维度指标裁剪天表</v>
      </c>
      <c r="I38" s="10" t="s">
        <v>75</v>
      </c>
      <c r="J38" s="51" t="s">
        <v>27</v>
      </c>
      <c r="K38" s="51" t="s">
        <v>27</v>
      </c>
      <c r="L38" s="51" t="s">
        <v>49</v>
      </c>
      <c r="M38" s="51" t="s">
        <v>33</v>
      </c>
      <c r="N38" s="100">
        <v>30</v>
      </c>
      <c r="O38" s="10" t="s">
        <v>92</v>
      </c>
      <c r="P38" s="51" t="s">
        <v>131</v>
      </c>
      <c r="Q38" s="100" t="s">
        <v>53</v>
      </c>
      <c r="R38" s="104" t="s">
        <v>135</v>
      </c>
      <c r="S38" s="51"/>
      <c r="T38" s="105" t="s">
        <v>99</v>
      </c>
      <c r="U38" s="105" t="s">
        <v>100</v>
      </c>
    </row>
    <row r="39" ht="51" customHeight="1" spans="1:21">
      <c r="A39" s="13">
        <v>38</v>
      </c>
      <c r="B39" s="89">
        <f t="shared" si="10"/>
        <v>38</v>
      </c>
      <c r="C39" s="10" t="s">
        <v>21</v>
      </c>
      <c r="D39" s="10" t="s">
        <v>22</v>
      </c>
      <c r="E39" s="13" t="s">
        <v>40</v>
      </c>
      <c r="F39" s="10" t="s">
        <v>136</v>
      </c>
      <c r="G39" s="14" t="s">
        <v>137</v>
      </c>
      <c r="H39" s="10" t="str">
        <f t="shared" si="2"/>
        <v>4G_DPI_game小区维度指标裁剪天表</v>
      </c>
      <c r="I39" s="10" t="s">
        <v>75</v>
      </c>
      <c r="J39" s="51" t="s">
        <v>27</v>
      </c>
      <c r="K39" s="51" t="s">
        <v>27</v>
      </c>
      <c r="L39" s="51" t="s">
        <v>49</v>
      </c>
      <c r="M39" s="51" t="s">
        <v>33</v>
      </c>
      <c r="N39" s="100">
        <v>30</v>
      </c>
      <c r="O39" s="10" t="s">
        <v>103</v>
      </c>
      <c r="P39" s="51" t="s">
        <v>131</v>
      </c>
      <c r="Q39" s="100" t="s">
        <v>53</v>
      </c>
      <c r="R39" s="104" t="s">
        <v>138</v>
      </c>
      <c r="S39" s="51"/>
      <c r="T39" s="105" t="s">
        <v>99</v>
      </c>
      <c r="U39" s="105" t="s">
        <v>100</v>
      </c>
    </row>
    <row r="40" ht="51" customHeight="1" spans="1:21">
      <c r="A40" s="13">
        <v>39</v>
      </c>
      <c r="B40" s="89">
        <f t="shared" si="10"/>
        <v>39</v>
      </c>
      <c r="C40" s="10" t="s">
        <v>21</v>
      </c>
      <c r="D40" s="10" t="s">
        <v>22</v>
      </c>
      <c r="E40" s="13" t="s">
        <v>40</v>
      </c>
      <c r="F40" s="10" t="s">
        <v>139</v>
      </c>
      <c r="G40" s="14" t="s">
        <v>140</v>
      </c>
      <c r="H40" s="10" t="str">
        <f t="shared" si="2"/>
        <v>4G_DPI_web用户维度指标裁剪天表</v>
      </c>
      <c r="I40" s="10" t="s">
        <v>115</v>
      </c>
      <c r="J40" s="51" t="s">
        <v>27</v>
      </c>
      <c r="K40" s="51" t="s">
        <v>27</v>
      </c>
      <c r="L40" s="51" t="s">
        <v>49</v>
      </c>
      <c r="M40" s="51" t="s">
        <v>33</v>
      </c>
      <c r="N40" s="100">
        <v>30</v>
      </c>
      <c r="O40" s="10" t="s">
        <v>113</v>
      </c>
      <c r="P40" s="51" t="s">
        <v>131</v>
      </c>
      <c r="Q40" s="100" t="s">
        <v>53</v>
      </c>
      <c r="R40" s="104" t="s">
        <v>141</v>
      </c>
      <c r="S40" s="51"/>
      <c r="T40" s="105" t="s">
        <v>99</v>
      </c>
      <c r="U40" s="105" t="s">
        <v>100</v>
      </c>
    </row>
    <row r="41" ht="51" customHeight="1" spans="1:21">
      <c r="A41" s="13">
        <v>40</v>
      </c>
      <c r="B41" s="89">
        <f t="shared" si="10"/>
        <v>40</v>
      </c>
      <c r="C41" s="10" t="s">
        <v>21</v>
      </c>
      <c r="D41" s="10" t="s">
        <v>22</v>
      </c>
      <c r="E41" s="13" t="s">
        <v>40</v>
      </c>
      <c r="F41" s="10" t="s">
        <v>142</v>
      </c>
      <c r="G41" s="14" t="s">
        <v>143</v>
      </c>
      <c r="H41" s="10" t="str">
        <f t="shared" si="2"/>
        <v>4G_DPI_im用户维度指标裁剪天表</v>
      </c>
      <c r="I41" s="10" t="s">
        <v>115</v>
      </c>
      <c r="J41" s="51" t="s">
        <v>27</v>
      </c>
      <c r="K41" s="51" t="s">
        <v>27</v>
      </c>
      <c r="L41" s="51" t="s">
        <v>49</v>
      </c>
      <c r="M41" s="51" t="s">
        <v>33</v>
      </c>
      <c r="N41" s="100">
        <v>30</v>
      </c>
      <c r="O41" s="10" t="s">
        <v>119</v>
      </c>
      <c r="P41" s="51" t="s">
        <v>131</v>
      </c>
      <c r="Q41" s="100" t="s">
        <v>53</v>
      </c>
      <c r="R41" s="104" t="s">
        <v>144</v>
      </c>
      <c r="S41" s="51"/>
      <c r="T41" s="105" t="s">
        <v>99</v>
      </c>
      <c r="U41" s="105" t="s">
        <v>100</v>
      </c>
    </row>
    <row r="42" ht="51" customHeight="1" spans="1:21">
      <c r="A42" s="13">
        <v>41</v>
      </c>
      <c r="B42" s="89">
        <f t="shared" si="10"/>
        <v>41</v>
      </c>
      <c r="C42" s="10" t="s">
        <v>21</v>
      </c>
      <c r="D42" s="10" t="s">
        <v>22</v>
      </c>
      <c r="E42" s="13" t="s">
        <v>40</v>
      </c>
      <c r="F42" s="10" t="s">
        <v>145</v>
      </c>
      <c r="G42" s="14" t="s">
        <v>146</v>
      </c>
      <c r="H42" s="10" t="str">
        <f t="shared" si="2"/>
        <v>4G_DPI_game用户维度指标裁剪天表</v>
      </c>
      <c r="I42" s="10" t="s">
        <v>115</v>
      </c>
      <c r="J42" s="51" t="s">
        <v>27</v>
      </c>
      <c r="K42" s="51" t="s">
        <v>27</v>
      </c>
      <c r="L42" s="51" t="s">
        <v>49</v>
      </c>
      <c r="M42" s="51" t="s">
        <v>33</v>
      </c>
      <c r="N42" s="100">
        <v>30</v>
      </c>
      <c r="O42" s="10" t="s">
        <v>127</v>
      </c>
      <c r="P42" s="51" t="s">
        <v>131</v>
      </c>
      <c r="Q42" s="100" t="s">
        <v>53</v>
      </c>
      <c r="R42" s="104" t="s">
        <v>147</v>
      </c>
      <c r="S42" s="51"/>
      <c r="T42" s="105" t="s">
        <v>99</v>
      </c>
      <c r="U42" s="105" t="s">
        <v>100</v>
      </c>
    </row>
    <row r="43" ht="51" customHeight="1" spans="1:21">
      <c r="A43" s="13">
        <v>42</v>
      </c>
      <c r="B43" s="89">
        <f t="shared" si="10"/>
        <v>42</v>
      </c>
      <c r="C43" s="10" t="s">
        <v>21</v>
      </c>
      <c r="D43" s="10" t="s">
        <v>22</v>
      </c>
      <c r="E43" s="13" t="s">
        <v>40</v>
      </c>
      <c r="F43" s="10" t="s">
        <v>148</v>
      </c>
      <c r="G43" s="11" t="s">
        <v>149</v>
      </c>
      <c r="H43" s="10" t="str">
        <f t="shared" si="2"/>
        <v>4G_DPI_app类型用户小区app维度15分钟表</v>
      </c>
      <c r="I43" s="10" t="s">
        <v>57</v>
      </c>
      <c r="J43" s="51" t="s">
        <v>37</v>
      </c>
      <c r="K43" s="51" t="s">
        <v>37</v>
      </c>
      <c r="L43" s="51" t="s">
        <v>49</v>
      </c>
      <c r="M43" s="51" t="s">
        <v>33</v>
      </c>
      <c r="N43" s="100">
        <v>14</v>
      </c>
      <c r="O43" s="51" t="s">
        <v>41</v>
      </c>
      <c r="P43" s="51"/>
      <c r="Q43" s="100" t="s">
        <v>39</v>
      </c>
      <c r="R43" s="104"/>
      <c r="S43" s="51"/>
      <c r="T43" s="105" t="s">
        <v>99</v>
      </c>
      <c r="U43" s="105" t="s">
        <v>100</v>
      </c>
    </row>
    <row r="44" ht="51" customHeight="1" spans="1:21">
      <c r="A44" s="13">
        <v>43</v>
      </c>
      <c r="B44" s="89">
        <f t="shared" si="10"/>
        <v>43</v>
      </c>
      <c r="C44" s="10" t="s">
        <v>21</v>
      </c>
      <c r="D44" s="10" t="s">
        <v>22</v>
      </c>
      <c r="E44" s="13" t="s">
        <v>40</v>
      </c>
      <c r="F44" s="10" t="s">
        <v>150</v>
      </c>
      <c r="G44" s="11" t="s">
        <v>151</v>
      </c>
      <c r="H44" s="10" t="str">
        <f t="shared" si="2"/>
        <v>4G_DPI_web类型用户小区app维度15分钟表</v>
      </c>
      <c r="I44" s="10" t="s">
        <v>57</v>
      </c>
      <c r="J44" s="51" t="s">
        <v>37</v>
      </c>
      <c r="K44" s="51" t="s">
        <v>37</v>
      </c>
      <c r="L44" s="51" t="s">
        <v>49</v>
      </c>
      <c r="M44" s="51" t="s">
        <v>33</v>
      </c>
      <c r="N44" s="100">
        <v>14</v>
      </c>
      <c r="O44" s="10" t="s">
        <v>148</v>
      </c>
      <c r="P44" s="51"/>
      <c r="Q44" s="100" t="s">
        <v>39</v>
      </c>
      <c r="R44" s="104"/>
      <c r="S44" s="51"/>
      <c r="T44" s="105" t="s">
        <v>99</v>
      </c>
      <c r="U44" s="105" t="s">
        <v>100</v>
      </c>
    </row>
    <row r="45" ht="51" customHeight="1" spans="1:21">
      <c r="A45" s="13">
        <v>44</v>
      </c>
      <c r="B45" s="89">
        <f t="shared" si="10"/>
        <v>44</v>
      </c>
      <c r="C45" s="10" t="s">
        <v>21</v>
      </c>
      <c r="D45" s="10" t="s">
        <v>22</v>
      </c>
      <c r="E45" s="13" t="s">
        <v>40</v>
      </c>
      <c r="F45" s="10" t="s">
        <v>152</v>
      </c>
      <c r="G45" s="11" t="s">
        <v>153</v>
      </c>
      <c r="H45" s="10" t="str">
        <f t="shared" si="2"/>
        <v>4G_DPI_im类型用户小区app维度15分钟表</v>
      </c>
      <c r="I45" s="10" t="s">
        <v>57</v>
      </c>
      <c r="J45" s="51" t="s">
        <v>37</v>
      </c>
      <c r="K45" s="51" t="s">
        <v>37</v>
      </c>
      <c r="L45" s="51" t="s">
        <v>49</v>
      </c>
      <c r="M45" s="51" t="s">
        <v>33</v>
      </c>
      <c r="N45" s="100">
        <v>14</v>
      </c>
      <c r="O45" s="10" t="s">
        <v>148</v>
      </c>
      <c r="P45" s="51"/>
      <c r="Q45" s="100" t="s">
        <v>39</v>
      </c>
      <c r="R45" s="104"/>
      <c r="S45" s="51"/>
      <c r="T45" s="105" t="s">
        <v>99</v>
      </c>
      <c r="U45" s="105" t="s">
        <v>100</v>
      </c>
    </row>
    <row r="46" ht="51" customHeight="1" spans="1:21">
      <c r="A46" s="13">
        <v>45</v>
      </c>
      <c r="B46" s="89">
        <f t="shared" si="10"/>
        <v>45</v>
      </c>
      <c r="C46" s="10" t="s">
        <v>21</v>
      </c>
      <c r="D46" s="10" t="s">
        <v>22</v>
      </c>
      <c r="E46" s="13" t="s">
        <v>40</v>
      </c>
      <c r="F46" s="10" t="s">
        <v>154</v>
      </c>
      <c r="G46" s="11" t="s">
        <v>155</v>
      </c>
      <c r="H46" s="10" t="str">
        <f t="shared" si="2"/>
        <v>4G_DPI_game类型用户小区app维度15分钟表</v>
      </c>
      <c r="I46" s="10" t="s">
        <v>57</v>
      </c>
      <c r="J46" s="51" t="s">
        <v>37</v>
      </c>
      <c r="K46" s="51" t="s">
        <v>37</v>
      </c>
      <c r="L46" s="51" t="s">
        <v>49</v>
      </c>
      <c r="M46" s="51" t="s">
        <v>33</v>
      </c>
      <c r="N46" s="100">
        <v>14</v>
      </c>
      <c r="O46" s="10" t="s">
        <v>148</v>
      </c>
      <c r="P46" s="51"/>
      <c r="Q46" s="100" t="s">
        <v>39</v>
      </c>
      <c r="R46" s="104"/>
      <c r="S46" s="51"/>
      <c r="T46" s="105" t="s">
        <v>99</v>
      </c>
      <c r="U46" s="105" t="s">
        <v>100</v>
      </c>
    </row>
    <row r="47" ht="51" customHeight="1" spans="1:21">
      <c r="A47" s="13">
        <v>46</v>
      </c>
      <c r="B47" s="89">
        <f t="shared" si="10"/>
        <v>46</v>
      </c>
      <c r="C47" s="10" t="s">
        <v>21</v>
      </c>
      <c r="D47" s="10" t="s">
        <v>22</v>
      </c>
      <c r="E47" s="13" t="s">
        <v>40</v>
      </c>
      <c r="F47" s="10" t="s">
        <v>156</v>
      </c>
      <c r="G47" s="11" t="s">
        <v>157</v>
      </c>
      <c r="H47" s="10" t="str">
        <f t="shared" si="2"/>
        <v>4G_web类型用户小区区域app维度天表</v>
      </c>
      <c r="I47" s="10" t="s">
        <v>158</v>
      </c>
      <c r="J47" s="51" t="s">
        <v>37</v>
      </c>
      <c r="K47" s="51" t="s">
        <v>27</v>
      </c>
      <c r="L47" s="51" t="s">
        <v>49</v>
      </c>
      <c r="M47" s="51" t="s">
        <v>33</v>
      </c>
      <c r="N47" s="100">
        <v>30</v>
      </c>
      <c r="O47" s="10" t="s">
        <v>159</v>
      </c>
      <c r="P47" s="51" t="s">
        <v>78</v>
      </c>
      <c r="Q47" s="100" t="s">
        <v>53</v>
      </c>
      <c r="R47" s="104" t="s">
        <v>160</v>
      </c>
      <c r="S47" s="51"/>
      <c r="T47" s="105" t="s">
        <v>99</v>
      </c>
      <c r="U47" s="105" t="s">
        <v>100</v>
      </c>
    </row>
    <row r="48" ht="51" customHeight="1" spans="1:21">
      <c r="A48" s="13">
        <v>47</v>
      </c>
      <c r="B48" s="89">
        <f t="shared" si="10"/>
        <v>47</v>
      </c>
      <c r="C48" s="10" t="s">
        <v>21</v>
      </c>
      <c r="D48" s="10" t="s">
        <v>22</v>
      </c>
      <c r="E48" s="13" t="s">
        <v>40</v>
      </c>
      <c r="F48" s="10" t="s">
        <v>161</v>
      </c>
      <c r="G48" s="11" t="s">
        <v>162</v>
      </c>
      <c r="H48" s="10" t="str">
        <f t="shared" si="2"/>
        <v>4G_im类型用户小区区域app维度天表</v>
      </c>
      <c r="I48" s="10" t="s">
        <v>158</v>
      </c>
      <c r="J48" s="51" t="s">
        <v>37</v>
      </c>
      <c r="K48" s="51" t="s">
        <v>27</v>
      </c>
      <c r="L48" s="51" t="s">
        <v>49</v>
      </c>
      <c r="M48" s="51" t="s">
        <v>33</v>
      </c>
      <c r="N48" s="100">
        <v>30</v>
      </c>
      <c r="O48" s="10" t="s">
        <v>163</v>
      </c>
      <c r="P48" s="51" t="s">
        <v>78</v>
      </c>
      <c r="Q48" s="100" t="s">
        <v>53</v>
      </c>
      <c r="R48" s="104" t="s">
        <v>164</v>
      </c>
      <c r="S48" s="51"/>
      <c r="T48" s="105" t="s">
        <v>99</v>
      </c>
      <c r="U48" s="105" t="s">
        <v>100</v>
      </c>
    </row>
    <row r="49" ht="51" customHeight="1" spans="1:21">
      <c r="A49" s="13">
        <v>48</v>
      </c>
      <c r="B49" s="89">
        <f t="shared" si="10"/>
        <v>48</v>
      </c>
      <c r="C49" s="10" t="s">
        <v>21</v>
      </c>
      <c r="D49" s="10" t="s">
        <v>22</v>
      </c>
      <c r="E49" s="13" t="s">
        <v>40</v>
      </c>
      <c r="F49" s="10" t="s">
        <v>165</v>
      </c>
      <c r="G49" s="11" t="s">
        <v>166</v>
      </c>
      <c r="H49" s="10" t="str">
        <f t="shared" si="2"/>
        <v>4G_game类型用户小区区域app维度天表</v>
      </c>
      <c r="I49" s="10" t="s">
        <v>158</v>
      </c>
      <c r="J49" s="51" t="s">
        <v>37</v>
      </c>
      <c r="K49" s="51" t="s">
        <v>27</v>
      </c>
      <c r="L49" s="51" t="s">
        <v>49</v>
      </c>
      <c r="M49" s="51" t="s">
        <v>33</v>
      </c>
      <c r="N49" s="100">
        <v>30</v>
      </c>
      <c r="O49" s="10" t="s">
        <v>167</v>
      </c>
      <c r="P49" s="51" t="s">
        <v>78</v>
      </c>
      <c r="Q49" s="100" t="s">
        <v>53</v>
      </c>
      <c r="R49" s="104" t="s">
        <v>168</v>
      </c>
      <c r="S49" s="51"/>
      <c r="T49" s="105" t="s">
        <v>99</v>
      </c>
      <c r="U49" s="105" t="s">
        <v>100</v>
      </c>
    </row>
    <row r="50" ht="51" customHeight="1" spans="1:21">
      <c r="A50" s="13">
        <v>49</v>
      </c>
      <c r="B50" s="89">
        <f t="shared" ref="B50" si="13">HYPERLINK("#"&amp;A50&amp;"!A1",A50)</f>
        <v>49</v>
      </c>
      <c r="C50" s="10" t="s">
        <v>21</v>
      </c>
      <c r="D50" s="10" t="s">
        <v>22</v>
      </c>
      <c r="E50" s="13" t="s">
        <v>169</v>
      </c>
      <c r="F50" s="11" t="s">
        <v>170</v>
      </c>
      <c r="G50" s="11" t="s">
        <v>171</v>
      </c>
      <c r="H50" s="10" t="str">
        <f t="shared" si="2"/>
        <v>高铁4G web业务用户小区小时表</v>
      </c>
      <c r="I50" s="10" t="s">
        <v>111</v>
      </c>
      <c r="J50" s="51" t="s">
        <v>48</v>
      </c>
      <c r="K50" s="51" t="s">
        <v>48</v>
      </c>
      <c r="L50" s="51" t="s">
        <v>49</v>
      </c>
      <c r="M50" s="51" t="s">
        <v>33</v>
      </c>
      <c r="N50" s="100">
        <v>14</v>
      </c>
      <c r="O50" s="10" t="s">
        <v>172</v>
      </c>
      <c r="P50" s="51"/>
      <c r="Q50" s="100" t="s">
        <v>53</v>
      </c>
      <c r="R50" s="104" t="s">
        <v>173</v>
      </c>
      <c r="S50" s="51"/>
      <c r="T50" s="105" t="s">
        <v>99</v>
      </c>
      <c r="U50" s="105" t="s">
        <v>100</v>
      </c>
    </row>
    <row r="51" ht="51" customHeight="1" spans="1:21">
      <c r="A51" s="13">
        <v>50</v>
      </c>
      <c r="B51" s="89">
        <f t="shared" ref="B51:B52" si="14">HYPERLINK("#"&amp;A51&amp;"!A1",A51)</f>
        <v>50</v>
      </c>
      <c r="C51" s="10" t="s">
        <v>21</v>
      </c>
      <c r="D51" s="10" t="s">
        <v>22</v>
      </c>
      <c r="E51" s="13" t="s">
        <v>169</v>
      </c>
      <c r="F51" s="11" t="s">
        <v>174</v>
      </c>
      <c r="G51" s="11" t="s">
        <v>175</v>
      </c>
      <c r="H51" s="10" t="str">
        <f t="shared" si="2"/>
        <v>高铁4G web业务小区天表</v>
      </c>
      <c r="I51" s="10" t="s">
        <v>75</v>
      </c>
      <c r="J51" s="51" t="s">
        <v>27</v>
      </c>
      <c r="K51" s="51" t="s">
        <v>27</v>
      </c>
      <c r="L51" s="51" t="s">
        <v>49</v>
      </c>
      <c r="M51" s="51" t="s">
        <v>33</v>
      </c>
      <c r="N51" s="100">
        <v>30</v>
      </c>
      <c r="O51" s="11" t="s">
        <v>170</v>
      </c>
      <c r="P51" s="51" t="s">
        <v>78</v>
      </c>
      <c r="Q51" s="100" t="s">
        <v>53</v>
      </c>
      <c r="R51" s="104" t="s">
        <v>176</v>
      </c>
      <c r="S51" s="51"/>
      <c r="T51" s="105" t="s">
        <v>99</v>
      </c>
      <c r="U51" s="105" t="s">
        <v>100</v>
      </c>
    </row>
    <row r="52" s="81" customFormat="1" ht="51" hidden="1" customHeight="1" spans="1:21">
      <c r="A52" s="86">
        <v>0.2</v>
      </c>
      <c r="B52" s="87">
        <f t="shared" si="14"/>
        <v>0.2</v>
      </c>
      <c r="C52" s="88" t="s">
        <v>21</v>
      </c>
      <c r="D52" s="88" t="s">
        <v>22</v>
      </c>
      <c r="E52" s="86" t="s">
        <v>23</v>
      </c>
      <c r="F52" s="93" t="s">
        <v>177</v>
      </c>
      <c r="G52" s="94" t="s">
        <v>178</v>
      </c>
      <c r="H52" s="94" t="s">
        <v>178</v>
      </c>
      <c r="I52" s="97" t="s">
        <v>26</v>
      </c>
      <c r="J52" s="97" t="s">
        <v>27</v>
      </c>
      <c r="K52" s="97" t="s">
        <v>27</v>
      </c>
      <c r="L52" s="97" t="s">
        <v>28</v>
      </c>
      <c r="M52" s="88" t="s">
        <v>29</v>
      </c>
      <c r="N52" s="99">
        <v>30</v>
      </c>
      <c r="O52" s="97" t="s">
        <v>179</v>
      </c>
      <c r="P52" s="97"/>
      <c r="Q52" s="99" t="s">
        <v>31</v>
      </c>
      <c r="R52" s="103"/>
      <c r="S52" s="97"/>
      <c r="T52" s="105" t="s">
        <v>99</v>
      </c>
      <c r="U52" s="105" t="s">
        <v>100</v>
      </c>
    </row>
    <row r="53" ht="51" hidden="1" customHeight="1" spans="1:21">
      <c r="A53" s="13">
        <v>51</v>
      </c>
      <c r="B53" s="89">
        <f t="shared" ref="B53" si="15">HYPERLINK("#"&amp;A53&amp;"!A1",A53)</f>
        <v>51</v>
      </c>
      <c r="C53" s="10" t="s">
        <v>21</v>
      </c>
      <c r="D53" s="10" t="s">
        <v>32</v>
      </c>
      <c r="E53" s="13" t="s">
        <v>33</v>
      </c>
      <c r="F53" s="51" t="s">
        <v>180</v>
      </c>
      <c r="G53" s="10" t="s">
        <v>181</v>
      </c>
      <c r="H53" s="10" t="str">
        <f t="shared" si="2"/>
        <v>4G_DPI_video整合层15分钟表</v>
      </c>
      <c r="I53" s="51" t="s">
        <v>36</v>
      </c>
      <c r="J53" s="51" t="s">
        <v>36</v>
      </c>
      <c r="K53" s="51" t="s">
        <v>37</v>
      </c>
      <c r="L53" s="51" t="s">
        <v>28</v>
      </c>
      <c r="M53" s="10" t="s">
        <v>29</v>
      </c>
      <c r="N53" s="100">
        <v>3</v>
      </c>
      <c r="O53" s="51" t="s">
        <v>182</v>
      </c>
      <c r="P53" s="51"/>
      <c r="Q53" s="100" t="s">
        <v>39</v>
      </c>
      <c r="R53" s="104"/>
      <c r="S53" s="51"/>
      <c r="T53" s="105" t="s">
        <v>99</v>
      </c>
      <c r="U53" s="105" t="s">
        <v>100</v>
      </c>
    </row>
    <row r="54" ht="51" hidden="1" customHeight="1" spans="1:21">
      <c r="A54" s="13">
        <v>52</v>
      </c>
      <c r="B54" s="89">
        <f t="shared" ref="B54" si="16">HYPERLINK("#"&amp;A54&amp;"!A1",A54)</f>
        <v>52</v>
      </c>
      <c r="C54" s="10" t="s">
        <v>21</v>
      </c>
      <c r="D54" s="10" t="s">
        <v>22</v>
      </c>
      <c r="E54" s="13" t="s">
        <v>40</v>
      </c>
      <c r="F54" s="51" t="s">
        <v>183</v>
      </c>
      <c r="G54" s="10" t="s">
        <v>184</v>
      </c>
      <c r="H54" s="10" t="str">
        <f t="shared" si="2"/>
        <v>4G_DPI_video基础维度15分钟表</v>
      </c>
      <c r="I54" s="10" t="s">
        <v>43</v>
      </c>
      <c r="J54" s="51" t="s">
        <v>37</v>
      </c>
      <c r="K54" s="51" t="s">
        <v>37</v>
      </c>
      <c r="L54" s="51" t="s">
        <v>28</v>
      </c>
      <c r="M54" s="10" t="s">
        <v>44</v>
      </c>
      <c r="N54" s="100" t="s">
        <v>45</v>
      </c>
      <c r="O54" s="51" t="s">
        <v>180</v>
      </c>
      <c r="P54" s="51"/>
      <c r="Q54" s="100" t="s">
        <v>39</v>
      </c>
      <c r="R54" s="104"/>
      <c r="S54" s="51"/>
      <c r="T54" s="105" t="s">
        <v>99</v>
      </c>
      <c r="U54" s="105" t="s">
        <v>100</v>
      </c>
    </row>
    <row r="55" ht="51" customHeight="1" spans="1:21">
      <c r="A55" s="13">
        <v>53</v>
      </c>
      <c r="B55" s="89">
        <f t="shared" ref="B55" si="17">HYPERLINK("#"&amp;A55&amp;"!A1",A55)</f>
        <v>53</v>
      </c>
      <c r="C55" s="10" t="s">
        <v>21</v>
      </c>
      <c r="D55" s="10" t="s">
        <v>22</v>
      </c>
      <c r="E55" s="13" t="s">
        <v>40</v>
      </c>
      <c r="F55" s="51" t="s">
        <v>185</v>
      </c>
      <c r="G55" s="10" t="s">
        <v>186</v>
      </c>
      <c r="H55" s="10" t="str">
        <f t="shared" si="2"/>
        <v>4G_DPI_video基础维度小时表</v>
      </c>
      <c r="I55" s="10" t="s">
        <v>43</v>
      </c>
      <c r="J55" s="51" t="s">
        <v>37</v>
      </c>
      <c r="K55" s="51" t="s">
        <v>37</v>
      </c>
      <c r="L55" s="51" t="s">
        <v>49</v>
      </c>
      <c r="M55" s="10" t="s">
        <v>33</v>
      </c>
      <c r="N55" s="100">
        <v>14</v>
      </c>
      <c r="O55" s="51" t="s">
        <v>183</v>
      </c>
      <c r="P55" s="51"/>
      <c r="Q55" s="100" t="s">
        <v>39</v>
      </c>
      <c r="R55" s="104"/>
      <c r="S55" s="51"/>
      <c r="T55" s="105" t="s">
        <v>99</v>
      </c>
      <c r="U55" s="105" t="s">
        <v>100</v>
      </c>
    </row>
    <row r="56" ht="51" customHeight="1" spans="1:21">
      <c r="A56" s="13">
        <v>54</v>
      </c>
      <c r="B56" s="89">
        <f t="shared" ref="B56:B57" si="18">HYPERLINK("#"&amp;A56&amp;"!A1",A56)</f>
        <v>54</v>
      </c>
      <c r="C56" s="10" t="s">
        <v>21</v>
      </c>
      <c r="D56" s="10" t="s">
        <v>22</v>
      </c>
      <c r="E56" s="13" t="s">
        <v>40</v>
      </c>
      <c r="F56" s="51" t="s">
        <v>187</v>
      </c>
      <c r="G56" s="10" t="s">
        <v>188</v>
      </c>
      <c r="H56" s="10" t="str">
        <f t="shared" si="2"/>
        <v>4G_DPI_video基础维度指标裁剪小时表</v>
      </c>
      <c r="I56" s="10" t="s">
        <v>43</v>
      </c>
      <c r="J56" s="51" t="s">
        <v>48</v>
      </c>
      <c r="K56" s="51" t="s">
        <v>48</v>
      </c>
      <c r="L56" s="51" t="s">
        <v>49</v>
      </c>
      <c r="M56" s="10" t="s">
        <v>33</v>
      </c>
      <c r="N56" s="100">
        <v>14</v>
      </c>
      <c r="O56" s="51" t="s">
        <v>185</v>
      </c>
      <c r="P56" s="51" t="s">
        <v>52</v>
      </c>
      <c r="Q56" s="100" t="s">
        <v>39</v>
      </c>
      <c r="R56" s="104" t="s">
        <v>189</v>
      </c>
      <c r="S56" s="51"/>
      <c r="T56" s="105" t="s">
        <v>99</v>
      </c>
      <c r="U56" s="105" t="s">
        <v>100</v>
      </c>
    </row>
    <row r="57" ht="51" customHeight="1" spans="1:21">
      <c r="A57" s="13">
        <v>55</v>
      </c>
      <c r="B57" s="89">
        <f t="shared" si="18"/>
        <v>55</v>
      </c>
      <c r="C57" s="10" t="s">
        <v>21</v>
      </c>
      <c r="D57" s="10" t="s">
        <v>22</v>
      </c>
      <c r="E57" s="13" t="s">
        <v>40</v>
      </c>
      <c r="F57" s="51" t="s">
        <v>190</v>
      </c>
      <c r="G57" s="10" t="s">
        <v>191</v>
      </c>
      <c r="H57" s="10" t="str">
        <f t="shared" si="2"/>
        <v>4G_DPI_video用户小区app维度小时表</v>
      </c>
      <c r="I57" s="10" t="s">
        <v>57</v>
      </c>
      <c r="J57" s="51" t="s">
        <v>48</v>
      </c>
      <c r="K57" s="51" t="s">
        <v>48</v>
      </c>
      <c r="L57" s="51" t="s">
        <v>49</v>
      </c>
      <c r="M57" s="10" t="s">
        <v>33</v>
      </c>
      <c r="N57" s="100">
        <v>14</v>
      </c>
      <c r="O57" s="51" t="s">
        <v>185</v>
      </c>
      <c r="P57" s="51"/>
      <c r="Q57" s="100" t="s">
        <v>39</v>
      </c>
      <c r="R57" s="104"/>
      <c r="S57" s="51"/>
      <c r="T57" s="105" t="s">
        <v>99</v>
      </c>
      <c r="U57" s="105" t="s">
        <v>100</v>
      </c>
    </row>
    <row r="58" ht="51" customHeight="1" spans="1:21">
      <c r="A58" s="13">
        <v>56</v>
      </c>
      <c r="B58" s="89">
        <f t="shared" ref="B58:B65" si="19">HYPERLINK("#"&amp;A58&amp;"!A1",A58)</f>
        <v>56</v>
      </c>
      <c r="C58" s="10" t="s">
        <v>21</v>
      </c>
      <c r="D58" s="10" t="s">
        <v>22</v>
      </c>
      <c r="E58" s="13" t="s">
        <v>40</v>
      </c>
      <c r="F58" s="51" t="s">
        <v>192</v>
      </c>
      <c r="G58" s="14" t="s">
        <v>193</v>
      </c>
      <c r="H58" s="10" t="str">
        <f t="shared" si="2"/>
        <v>4G_DPI_video车联网用户小区app维度小时表</v>
      </c>
      <c r="I58" s="10" t="s">
        <v>57</v>
      </c>
      <c r="J58" s="51" t="s">
        <v>48</v>
      </c>
      <c r="K58" s="51" t="s">
        <v>48</v>
      </c>
      <c r="L58" s="51" t="s">
        <v>49</v>
      </c>
      <c r="M58" s="10" t="s">
        <v>33</v>
      </c>
      <c r="N58" s="100">
        <v>14</v>
      </c>
      <c r="O58" s="51" t="s">
        <v>194</v>
      </c>
      <c r="P58" s="51" t="s">
        <v>66</v>
      </c>
      <c r="Q58" s="100" t="s">
        <v>53</v>
      </c>
      <c r="R58" s="104" t="s">
        <v>195</v>
      </c>
      <c r="S58" s="51"/>
      <c r="T58" s="105" t="s">
        <v>99</v>
      </c>
      <c r="U58" s="105" t="s">
        <v>100</v>
      </c>
    </row>
    <row r="59" ht="51" customHeight="1" spans="1:21">
      <c r="A59" s="13">
        <v>57</v>
      </c>
      <c r="B59" s="89">
        <f t="shared" si="19"/>
        <v>57</v>
      </c>
      <c r="C59" s="10" t="s">
        <v>21</v>
      </c>
      <c r="D59" s="10" t="s">
        <v>22</v>
      </c>
      <c r="E59" s="13" t="s">
        <v>40</v>
      </c>
      <c r="F59" s="10" t="s">
        <v>196</v>
      </c>
      <c r="G59" s="10" t="s">
        <v>197</v>
      </c>
      <c r="H59" s="10" t="str">
        <f t="shared" si="2"/>
        <v>4G_DPI_video用户app维度小时表</v>
      </c>
      <c r="I59" s="10" t="s">
        <v>60</v>
      </c>
      <c r="J59" s="51" t="s">
        <v>48</v>
      </c>
      <c r="K59" s="51" t="s">
        <v>48</v>
      </c>
      <c r="L59" s="51" t="s">
        <v>49</v>
      </c>
      <c r="M59" s="51" t="s">
        <v>33</v>
      </c>
      <c r="N59" s="100">
        <v>14</v>
      </c>
      <c r="O59" s="51" t="s">
        <v>190</v>
      </c>
      <c r="P59" s="51"/>
      <c r="Q59" s="100" t="s">
        <v>39</v>
      </c>
      <c r="R59" s="104"/>
      <c r="S59" s="51"/>
      <c r="T59" s="105" t="s">
        <v>99</v>
      </c>
      <c r="U59" s="105" t="s">
        <v>100</v>
      </c>
    </row>
    <row r="60" ht="51" customHeight="1" spans="1:21">
      <c r="A60" s="13">
        <v>58</v>
      </c>
      <c r="B60" s="89">
        <f t="shared" si="19"/>
        <v>58</v>
      </c>
      <c r="C60" s="10" t="s">
        <v>21</v>
      </c>
      <c r="D60" s="10" t="s">
        <v>22</v>
      </c>
      <c r="E60" s="13" t="s">
        <v>40</v>
      </c>
      <c r="F60" s="51" t="s">
        <v>198</v>
      </c>
      <c r="G60" s="10" t="s">
        <v>199</v>
      </c>
      <c r="H60" s="10" t="str">
        <f t="shared" si="2"/>
        <v>4G_DPI_video用户app维度天表</v>
      </c>
      <c r="I60" s="10" t="s">
        <v>60</v>
      </c>
      <c r="J60" s="51" t="s">
        <v>27</v>
      </c>
      <c r="K60" s="51" t="s">
        <v>27</v>
      </c>
      <c r="L60" s="51" t="s">
        <v>49</v>
      </c>
      <c r="M60" s="51" t="s">
        <v>33</v>
      </c>
      <c r="N60" s="100">
        <v>30</v>
      </c>
      <c r="O60" s="10" t="s">
        <v>196</v>
      </c>
      <c r="P60" s="51"/>
      <c r="Q60" s="100" t="s">
        <v>39</v>
      </c>
      <c r="R60" s="104"/>
      <c r="S60" s="51"/>
      <c r="T60" s="105" t="s">
        <v>99</v>
      </c>
      <c r="U60" s="105" t="s">
        <v>100</v>
      </c>
    </row>
    <row r="61" ht="51" customHeight="1" spans="1:21">
      <c r="A61" s="13">
        <v>59</v>
      </c>
      <c r="B61" s="89">
        <f t="shared" si="19"/>
        <v>59</v>
      </c>
      <c r="C61" s="10" t="s">
        <v>21</v>
      </c>
      <c r="D61" s="10" t="s">
        <v>22</v>
      </c>
      <c r="E61" s="13" t="s">
        <v>40</v>
      </c>
      <c r="F61" s="51" t="s">
        <v>200</v>
      </c>
      <c r="G61" s="10" t="s">
        <v>201</v>
      </c>
      <c r="H61" s="10" t="str">
        <f t="shared" si="2"/>
        <v>4G_DPI_四大业务用户app维度天表</v>
      </c>
      <c r="I61" s="10" t="s">
        <v>60</v>
      </c>
      <c r="J61" s="51" t="s">
        <v>27</v>
      </c>
      <c r="K61" s="51" t="s">
        <v>27</v>
      </c>
      <c r="L61" s="51" t="s">
        <v>49</v>
      </c>
      <c r="M61" s="51" t="s">
        <v>33</v>
      </c>
      <c r="N61" s="100">
        <v>30</v>
      </c>
      <c r="O61" s="51" t="s">
        <v>202</v>
      </c>
      <c r="P61" s="51" t="s">
        <v>78</v>
      </c>
      <c r="Q61" s="100" t="s">
        <v>39</v>
      </c>
      <c r="R61" s="104"/>
      <c r="S61" s="51"/>
      <c r="T61" s="105" t="s">
        <v>99</v>
      </c>
      <c r="U61" s="105" t="s">
        <v>100</v>
      </c>
    </row>
    <row r="62" ht="51" customHeight="1" spans="1:21">
      <c r="A62" s="13">
        <v>60</v>
      </c>
      <c r="B62" s="89">
        <f t="shared" si="19"/>
        <v>60</v>
      </c>
      <c r="C62" s="10" t="s">
        <v>21</v>
      </c>
      <c r="D62" s="10" t="s">
        <v>22</v>
      </c>
      <c r="E62" s="13" t="s">
        <v>40</v>
      </c>
      <c r="F62" s="10" t="s">
        <v>203</v>
      </c>
      <c r="G62" s="14" t="s">
        <v>204</v>
      </c>
      <c r="H62" s="10" t="str">
        <f t="shared" si="2"/>
        <v>4G_DPI_video小区app维度小时表</v>
      </c>
      <c r="I62" s="10" t="s">
        <v>70</v>
      </c>
      <c r="J62" s="51" t="s">
        <v>48</v>
      </c>
      <c r="K62" s="51" t="s">
        <v>48</v>
      </c>
      <c r="L62" s="51" t="s">
        <v>49</v>
      </c>
      <c r="M62" s="51" t="s">
        <v>33</v>
      </c>
      <c r="N62" s="100">
        <v>14</v>
      </c>
      <c r="O62" s="51" t="s">
        <v>190</v>
      </c>
      <c r="P62" s="51" t="s">
        <v>78</v>
      </c>
      <c r="Q62" s="100" t="s">
        <v>39</v>
      </c>
      <c r="R62" s="104"/>
      <c r="S62" s="51"/>
      <c r="T62" s="105" t="s">
        <v>99</v>
      </c>
      <c r="U62" s="105" t="s">
        <v>100</v>
      </c>
    </row>
    <row r="63" ht="51" customHeight="1" spans="1:21">
      <c r="A63" s="13">
        <v>61</v>
      </c>
      <c r="B63" s="89">
        <f t="shared" si="19"/>
        <v>61</v>
      </c>
      <c r="C63" s="10" t="s">
        <v>21</v>
      </c>
      <c r="D63" s="10" t="s">
        <v>22</v>
      </c>
      <c r="E63" s="13" t="s">
        <v>40</v>
      </c>
      <c r="F63" s="10" t="s">
        <v>205</v>
      </c>
      <c r="G63" s="14" t="s">
        <v>206</v>
      </c>
      <c r="H63" s="10" t="str">
        <f t="shared" si="2"/>
        <v>4G_DPI_video小区app维度天表</v>
      </c>
      <c r="I63" s="10" t="s">
        <v>70</v>
      </c>
      <c r="J63" s="51" t="s">
        <v>27</v>
      </c>
      <c r="K63" s="51" t="s">
        <v>27</v>
      </c>
      <c r="L63" s="51" t="s">
        <v>49</v>
      </c>
      <c r="M63" s="51" t="s">
        <v>33</v>
      </c>
      <c r="N63" s="100">
        <v>30</v>
      </c>
      <c r="O63" s="10" t="s">
        <v>203</v>
      </c>
      <c r="P63" s="51" t="s">
        <v>78</v>
      </c>
      <c r="Q63" s="100" t="s">
        <v>39</v>
      </c>
      <c r="R63" s="104"/>
      <c r="S63" s="51"/>
      <c r="T63" s="105" t="s">
        <v>99</v>
      </c>
      <c r="U63" s="105" t="s">
        <v>100</v>
      </c>
    </row>
    <row r="64" ht="51" customHeight="1" spans="1:21">
      <c r="A64" s="13">
        <v>62</v>
      </c>
      <c r="B64" s="89">
        <f t="shared" si="19"/>
        <v>62</v>
      </c>
      <c r="C64" s="10" t="s">
        <v>21</v>
      </c>
      <c r="D64" s="10" t="s">
        <v>22</v>
      </c>
      <c r="E64" s="13" t="s">
        <v>40</v>
      </c>
      <c r="F64" s="10" t="s">
        <v>207</v>
      </c>
      <c r="G64" s="14" t="s">
        <v>208</v>
      </c>
      <c r="H64" s="10" t="str">
        <f t="shared" si="2"/>
        <v>4G_DPI_video小区维度小时表</v>
      </c>
      <c r="I64" s="10" t="s">
        <v>75</v>
      </c>
      <c r="J64" s="51" t="s">
        <v>48</v>
      </c>
      <c r="K64" s="51" t="s">
        <v>48</v>
      </c>
      <c r="L64" s="51" t="s">
        <v>49</v>
      </c>
      <c r="M64" s="51" t="s">
        <v>33</v>
      </c>
      <c r="N64" s="100">
        <v>14</v>
      </c>
      <c r="O64" s="10" t="s">
        <v>203</v>
      </c>
      <c r="P64" s="51"/>
      <c r="Q64" s="100" t="s">
        <v>39</v>
      </c>
      <c r="R64" s="104"/>
      <c r="S64" s="51"/>
      <c r="T64" s="105" t="s">
        <v>99</v>
      </c>
      <c r="U64" s="105" t="s">
        <v>100</v>
      </c>
    </row>
    <row r="65" ht="51" customHeight="1" spans="1:21">
      <c r="A65" s="13">
        <v>63</v>
      </c>
      <c r="B65" s="89">
        <f t="shared" si="19"/>
        <v>63</v>
      </c>
      <c r="C65" s="10" t="s">
        <v>21</v>
      </c>
      <c r="D65" s="10" t="s">
        <v>22</v>
      </c>
      <c r="E65" s="13" t="s">
        <v>40</v>
      </c>
      <c r="F65" s="10" t="s">
        <v>209</v>
      </c>
      <c r="G65" s="14" t="s">
        <v>210</v>
      </c>
      <c r="H65" s="10" t="str">
        <f t="shared" si="2"/>
        <v>4G_DPI_video小区维度天表</v>
      </c>
      <c r="I65" s="10" t="s">
        <v>75</v>
      </c>
      <c r="J65" s="51" t="s">
        <v>27</v>
      </c>
      <c r="K65" s="51" t="s">
        <v>27</v>
      </c>
      <c r="L65" s="51" t="s">
        <v>49</v>
      </c>
      <c r="M65" s="51" t="s">
        <v>33</v>
      </c>
      <c r="N65" s="100">
        <v>30</v>
      </c>
      <c r="O65" s="10" t="s">
        <v>207</v>
      </c>
      <c r="P65" s="51" t="s">
        <v>78</v>
      </c>
      <c r="Q65" s="100" t="s">
        <v>39</v>
      </c>
      <c r="R65" s="104" t="s">
        <v>211</v>
      </c>
      <c r="S65" s="51"/>
      <c r="T65" s="105" t="s">
        <v>99</v>
      </c>
      <c r="U65" s="105" t="s">
        <v>100</v>
      </c>
    </row>
    <row r="66" ht="51" customHeight="1" spans="1:21">
      <c r="A66" s="13">
        <v>64</v>
      </c>
      <c r="B66" s="89">
        <f t="shared" ref="B66" si="20">HYPERLINK("#"&amp;A66&amp;"!A1",A66)</f>
        <v>64</v>
      </c>
      <c r="C66" s="10" t="s">
        <v>21</v>
      </c>
      <c r="D66" s="10" t="s">
        <v>22</v>
      </c>
      <c r="E66" s="13" t="s">
        <v>40</v>
      </c>
      <c r="F66" s="10" t="s">
        <v>212</v>
      </c>
      <c r="G66" s="14" t="s">
        <v>213</v>
      </c>
      <c r="H66" s="10" t="str">
        <f t="shared" si="2"/>
        <v>4G_DPI_video用户小区维度小时表</v>
      </c>
      <c r="I66" s="10" t="s">
        <v>111</v>
      </c>
      <c r="J66" s="51" t="s">
        <v>48</v>
      </c>
      <c r="K66" s="51" t="s">
        <v>48</v>
      </c>
      <c r="L66" s="51" t="s">
        <v>49</v>
      </c>
      <c r="M66" s="51" t="s">
        <v>33</v>
      </c>
      <c r="N66" s="100">
        <v>14</v>
      </c>
      <c r="O66" s="51" t="s">
        <v>190</v>
      </c>
      <c r="P66" s="51" t="s">
        <v>78</v>
      </c>
      <c r="Q66" s="100" t="s">
        <v>39</v>
      </c>
      <c r="R66" s="104"/>
      <c r="S66" s="51"/>
      <c r="T66" s="105" t="s">
        <v>99</v>
      </c>
      <c r="U66" s="105" t="s">
        <v>100</v>
      </c>
    </row>
    <row r="67" ht="51" customHeight="1" spans="1:21">
      <c r="A67" s="13">
        <v>65</v>
      </c>
      <c r="B67" s="89">
        <f t="shared" ref="B67" si="21">HYPERLINK("#"&amp;A67&amp;"!A1",A67)</f>
        <v>65</v>
      </c>
      <c r="C67" s="10" t="s">
        <v>21</v>
      </c>
      <c r="D67" s="10" t="s">
        <v>22</v>
      </c>
      <c r="E67" s="13" t="s">
        <v>40</v>
      </c>
      <c r="F67" s="10" t="s">
        <v>214</v>
      </c>
      <c r="G67" s="14" t="s">
        <v>215</v>
      </c>
      <c r="H67" s="10" t="str">
        <f t="shared" ref="H67:H79" si="22">G67</f>
        <v>4G_DPI_video用户小区维度天表</v>
      </c>
      <c r="I67" s="10" t="s">
        <v>111</v>
      </c>
      <c r="J67" s="51" t="s">
        <v>27</v>
      </c>
      <c r="K67" s="51" t="s">
        <v>27</v>
      </c>
      <c r="L67" s="51" t="s">
        <v>49</v>
      </c>
      <c r="M67" s="51" t="s">
        <v>33</v>
      </c>
      <c r="N67" s="100">
        <v>30</v>
      </c>
      <c r="O67" s="10" t="s">
        <v>212</v>
      </c>
      <c r="P67" s="51" t="s">
        <v>78</v>
      </c>
      <c r="Q67" s="100" t="s">
        <v>39</v>
      </c>
      <c r="R67" s="104"/>
      <c r="S67" s="51"/>
      <c r="T67" s="105" t="s">
        <v>99</v>
      </c>
      <c r="U67" s="105" t="s">
        <v>100</v>
      </c>
    </row>
    <row r="68" ht="51" customHeight="1" spans="1:21">
      <c r="A68" s="13">
        <v>66</v>
      </c>
      <c r="B68" s="89">
        <f t="shared" ref="B68" si="23">HYPERLINK("#"&amp;A68&amp;"!A1",A68)</f>
        <v>66</v>
      </c>
      <c r="C68" s="10" t="s">
        <v>21</v>
      </c>
      <c r="D68" s="10" t="s">
        <v>22</v>
      </c>
      <c r="E68" s="13" t="s">
        <v>40</v>
      </c>
      <c r="F68" s="10" t="s">
        <v>216</v>
      </c>
      <c r="G68" s="14" t="s">
        <v>217</v>
      </c>
      <c r="H68" s="10" t="str">
        <f t="shared" si="22"/>
        <v>4G_DPI_video用户维度小时表</v>
      </c>
      <c r="I68" s="10" t="s">
        <v>115</v>
      </c>
      <c r="J68" s="51" t="s">
        <v>48</v>
      </c>
      <c r="K68" s="51" t="s">
        <v>48</v>
      </c>
      <c r="L68" s="51" t="s">
        <v>49</v>
      </c>
      <c r="M68" s="51" t="s">
        <v>33</v>
      </c>
      <c r="N68" s="100">
        <v>14</v>
      </c>
      <c r="O68" s="10" t="s">
        <v>212</v>
      </c>
      <c r="P68" s="51" t="s">
        <v>78</v>
      </c>
      <c r="Q68" s="100" t="s">
        <v>39</v>
      </c>
      <c r="R68" s="104"/>
      <c r="S68" s="51"/>
      <c r="T68" s="105" t="s">
        <v>99</v>
      </c>
      <c r="U68" s="105" t="s">
        <v>100</v>
      </c>
    </row>
    <row r="69" ht="51" customHeight="1" spans="1:21">
      <c r="A69" s="13">
        <v>67</v>
      </c>
      <c r="B69" s="89">
        <f t="shared" ref="B69:B71" si="24">HYPERLINK("#"&amp;A69&amp;"!A1",A69)</f>
        <v>67</v>
      </c>
      <c r="C69" s="10" t="s">
        <v>21</v>
      </c>
      <c r="D69" s="10" t="s">
        <v>22</v>
      </c>
      <c r="E69" s="13" t="s">
        <v>40</v>
      </c>
      <c r="F69" s="10" t="s">
        <v>218</v>
      </c>
      <c r="G69" s="14" t="s">
        <v>219</v>
      </c>
      <c r="H69" s="10" t="str">
        <f t="shared" si="22"/>
        <v>4G_DPI_video用户维度天表</v>
      </c>
      <c r="I69" s="10" t="s">
        <v>115</v>
      </c>
      <c r="J69" s="51" t="s">
        <v>27</v>
      </c>
      <c r="K69" s="51" t="s">
        <v>27</v>
      </c>
      <c r="L69" s="51" t="s">
        <v>49</v>
      </c>
      <c r="M69" s="51" t="s">
        <v>33</v>
      </c>
      <c r="N69" s="100">
        <v>30</v>
      </c>
      <c r="O69" s="10" t="s">
        <v>216</v>
      </c>
      <c r="P69" s="51" t="s">
        <v>78</v>
      </c>
      <c r="Q69" s="100" t="s">
        <v>39</v>
      </c>
      <c r="R69" s="104"/>
      <c r="S69" s="51"/>
      <c r="T69" s="105" t="s">
        <v>99</v>
      </c>
      <c r="U69" s="105" t="s">
        <v>100</v>
      </c>
    </row>
    <row r="70" ht="51" customHeight="1" spans="1:21">
      <c r="A70" s="13">
        <v>68</v>
      </c>
      <c r="B70" s="89">
        <f t="shared" si="24"/>
        <v>68</v>
      </c>
      <c r="C70" s="10" t="s">
        <v>21</v>
      </c>
      <c r="D70" s="10" t="s">
        <v>22</v>
      </c>
      <c r="E70" s="13" t="s">
        <v>40</v>
      </c>
      <c r="F70" s="10" t="s">
        <v>220</v>
      </c>
      <c r="G70" s="14" t="s">
        <v>221</v>
      </c>
      <c r="H70" s="10" t="str">
        <f t="shared" si="22"/>
        <v>4G_DPI_video小区维度指标裁剪天表</v>
      </c>
      <c r="I70" s="10" t="s">
        <v>75</v>
      </c>
      <c r="J70" s="51" t="s">
        <v>27</v>
      </c>
      <c r="K70" s="51" t="s">
        <v>27</v>
      </c>
      <c r="L70" s="51" t="s">
        <v>49</v>
      </c>
      <c r="M70" s="51" t="s">
        <v>33</v>
      </c>
      <c r="N70" s="100">
        <v>30</v>
      </c>
      <c r="O70" s="10" t="s">
        <v>209</v>
      </c>
      <c r="P70" s="51" t="s">
        <v>131</v>
      </c>
      <c r="Q70" s="100" t="s">
        <v>53</v>
      </c>
      <c r="R70" s="104" t="s">
        <v>222</v>
      </c>
      <c r="S70" s="51"/>
      <c r="T70" s="105" t="s">
        <v>99</v>
      </c>
      <c r="U70" s="105" t="s">
        <v>100</v>
      </c>
    </row>
    <row r="71" ht="51" customHeight="1" spans="1:21">
      <c r="A71" s="13">
        <v>69</v>
      </c>
      <c r="B71" s="89">
        <f t="shared" si="24"/>
        <v>69</v>
      </c>
      <c r="C71" s="10" t="s">
        <v>21</v>
      </c>
      <c r="D71" s="10" t="s">
        <v>22</v>
      </c>
      <c r="E71" s="13" t="s">
        <v>40</v>
      </c>
      <c r="F71" s="10" t="s">
        <v>223</v>
      </c>
      <c r="G71" s="14" t="s">
        <v>224</v>
      </c>
      <c r="H71" s="10" t="str">
        <f t="shared" si="22"/>
        <v>4G_DPI_video用户维度指标裁剪天表</v>
      </c>
      <c r="I71" s="10" t="s">
        <v>115</v>
      </c>
      <c r="J71" s="51" t="s">
        <v>27</v>
      </c>
      <c r="K71" s="51" t="s">
        <v>27</v>
      </c>
      <c r="L71" s="51" t="s">
        <v>49</v>
      </c>
      <c r="M71" s="51" t="s">
        <v>33</v>
      </c>
      <c r="N71" s="100">
        <v>30</v>
      </c>
      <c r="O71" s="10" t="s">
        <v>218</v>
      </c>
      <c r="P71" s="51" t="s">
        <v>131</v>
      </c>
      <c r="Q71" s="100" t="s">
        <v>53</v>
      </c>
      <c r="R71" s="104" t="s">
        <v>225</v>
      </c>
      <c r="S71" s="51"/>
      <c r="T71" s="105" t="s">
        <v>99</v>
      </c>
      <c r="U71" s="105" t="s">
        <v>100</v>
      </c>
    </row>
    <row r="72" ht="51" customHeight="1" spans="1:21">
      <c r="A72" s="13">
        <v>70</v>
      </c>
      <c r="B72" s="89">
        <f t="shared" ref="B72:B79" si="25">HYPERLINK("#"&amp;A72&amp;"!A1",A72)</f>
        <v>70</v>
      </c>
      <c r="C72" s="10" t="s">
        <v>21</v>
      </c>
      <c r="D72" s="10" t="s">
        <v>22</v>
      </c>
      <c r="E72" s="13" t="s">
        <v>40</v>
      </c>
      <c r="F72" s="10" t="s">
        <v>226</v>
      </c>
      <c r="G72" s="10" t="s">
        <v>227</v>
      </c>
      <c r="H72" s="10" t="str">
        <f t="shared" si="22"/>
        <v>4G_DPI_video用户小区app维度15分钟表</v>
      </c>
      <c r="I72" s="10" t="s">
        <v>57</v>
      </c>
      <c r="J72" s="51" t="s">
        <v>48</v>
      </c>
      <c r="K72" s="51" t="s">
        <v>48</v>
      </c>
      <c r="L72" s="51" t="s">
        <v>49</v>
      </c>
      <c r="M72" s="10" t="s">
        <v>33</v>
      </c>
      <c r="N72" s="100">
        <v>14</v>
      </c>
      <c r="O72" s="51" t="s">
        <v>183</v>
      </c>
      <c r="P72" s="51"/>
      <c r="Q72" s="100" t="s">
        <v>39</v>
      </c>
      <c r="R72" s="104"/>
      <c r="S72" s="51"/>
      <c r="T72" s="105" t="s">
        <v>99</v>
      </c>
      <c r="U72" s="105" t="s">
        <v>100</v>
      </c>
    </row>
    <row r="73" ht="51" customHeight="1" spans="1:21">
      <c r="A73" s="13">
        <v>71</v>
      </c>
      <c r="B73" s="89">
        <f t="shared" si="25"/>
        <v>71</v>
      </c>
      <c r="C73" s="10" t="s">
        <v>21</v>
      </c>
      <c r="D73" s="10" t="s">
        <v>22</v>
      </c>
      <c r="E73" s="13" t="s">
        <v>40</v>
      </c>
      <c r="F73" s="10" t="s">
        <v>228</v>
      </c>
      <c r="G73" s="11" t="s">
        <v>229</v>
      </c>
      <c r="H73" s="10" t="str">
        <f t="shared" si="22"/>
        <v>4G_video类型用户小区区域app维度天表</v>
      </c>
      <c r="I73" s="10" t="s">
        <v>158</v>
      </c>
      <c r="J73" s="51" t="s">
        <v>37</v>
      </c>
      <c r="K73" s="51" t="s">
        <v>27</v>
      </c>
      <c r="L73" s="51" t="s">
        <v>49</v>
      </c>
      <c r="M73" s="51" t="s">
        <v>33</v>
      </c>
      <c r="N73" s="100">
        <v>30</v>
      </c>
      <c r="O73" s="10" t="s">
        <v>230</v>
      </c>
      <c r="P73" s="51" t="s">
        <v>78</v>
      </c>
      <c r="Q73" s="100" t="s">
        <v>53</v>
      </c>
      <c r="R73" s="104" t="s">
        <v>231</v>
      </c>
      <c r="S73" s="51"/>
      <c r="T73" s="105" t="s">
        <v>99</v>
      </c>
      <c r="U73" s="105" t="s">
        <v>100</v>
      </c>
    </row>
    <row r="74" ht="51" customHeight="1" spans="1:21">
      <c r="A74" s="13">
        <v>72</v>
      </c>
      <c r="B74" s="89">
        <f t="shared" si="25"/>
        <v>72</v>
      </c>
      <c r="C74" s="10" t="s">
        <v>21</v>
      </c>
      <c r="D74" s="10" t="s">
        <v>22</v>
      </c>
      <c r="E74" s="13" t="s">
        <v>169</v>
      </c>
      <c r="F74" s="11" t="s">
        <v>232</v>
      </c>
      <c r="G74" s="11" t="s">
        <v>233</v>
      </c>
      <c r="H74" s="10" t="str">
        <f t="shared" si="22"/>
        <v>高铁4G video业务用户小区小时表</v>
      </c>
      <c r="I74" s="10" t="s">
        <v>111</v>
      </c>
      <c r="J74" s="51" t="s">
        <v>48</v>
      </c>
      <c r="K74" s="51" t="s">
        <v>48</v>
      </c>
      <c r="L74" s="51" t="s">
        <v>49</v>
      </c>
      <c r="M74" s="51" t="s">
        <v>33</v>
      </c>
      <c r="N74" s="100">
        <v>14</v>
      </c>
      <c r="O74" s="10" t="s">
        <v>234</v>
      </c>
      <c r="P74" s="51"/>
      <c r="Q74" s="100" t="s">
        <v>53</v>
      </c>
      <c r="R74" s="104" t="s">
        <v>235</v>
      </c>
      <c r="S74" s="51"/>
      <c r="T74" s="105" t="s">
        <v>99</v>
      </c>
      <c r="U74" s="105" t="s">
        <v>100</v>
      </c>
    </row>
    <row r="75" ht="51" customHeight="1" spans="1:21">
      <c r="A75" s="13">
        <v>73</v>
      </c>
      <c r="B75" s="89">
        <f t="shared" si="25"/>
        <v>73</v>
      </c>
      <c r="C75" s="10" t="s">
        <v>21</v>
      </c>
      <c r="D75" s="10" t="s">
        <v>22</v>
      </c>
      <c r="E75" s="13" t="s">
        <v>169</v>
      </c>
      <c r="F75" s="11" t="s">
        <v>236</v>
      </c>
      <c r="G75" s="11" t="s">
        <v>237</v>
      </c>
      <c r="H75" s="10" t="str">
        <f t="shared" si="22"/>
        <v>高铁4G video业务小区天表</v>
      </c>
      <c r="I75" s="10" t="s">
        <v>75</v>
      </c>
      <c r="J75" s="51" t="s">
        <v>27</v>
      </c>
      <c r="K75" s="51" t="s">
        <v>27</v>
      </c>
      <c r="L75" s="51" t="s">
        <v>49</v>
      </c>
      <c r="M75" s="51" t="s">
        <v>33</v>
      </c>
      <c r="N75" s="100">
        <v>30</v>
      </c>
      <c r="O75" s="11" t="s">
        <v>232</v>
      </c>
      <c r="P75" s="51" t="s">
        <v>78</v>
      </c>
      <c r="Q75" s="100" t="s">
        <v>53</v>
      </c>
      <c r="R75" s="104" t="s">
        <v>238</v>
      </c>
      <c r="S75" s="51"/>
      <c r="T75" s="105" t="s">
        <v>99</v>
      </c>
      <c r="U75" s="105" t="s">
        <v>100</v>
      </c>
    </row>
    <row r="76" ht="51" customHeight="1" spans="1:21">
      <c r="A76" s="13">
        <v>74</v>
      </c>
      <c r="B76" s="89">
        <f t="shared" si="25"/>
        <v>74</v>
      </c>
      <c r="C76" s="10" t="s">
        <v>21</v>
      </c>
      <c r="D76" s="10" t="s">
        <v>22</v>
      </c>
      <c r="E76" s="13" t="s">
        <v>23</v>
      </c>
      <c r="F76" s="10" t="s">
        <v>239</v>
      </c>
      <c r="G76" s="14" t="s">
        <v>240</v>
      </c>
      <c r="H76" s="10" t="str">
        <f t="shared" si="22"/>
        <v>4G DPI/MR/CM/PM小区清单天表</v>
      </c>
      <c r="I76" s="10" t="s">
        <v>75</v>
      </c>
      <c r="J76" s="51" t="s">
        <v>27</v>
      </c>
      <c r="K76" s="51" t="s">
        <v>27</v>
      </c>
      <c r="L76" s="51" t="s">
        <v>49</v>
      </c>
      <c r="M76" s="51" t="s">
        <v>33</v>
      </c>
      <c r="N76" s="100">
        <v>30</v>
      </c>
      <c r="O76" s="10" t="s">
        <v>241</v>
      </c>
      <c r="P76" s="51"/>
      <c r="Q76" s="100" t="s">
        <v>39</v>
      </c>
      <c r="R76" s="104" t="s">
        <v>242</v>
      </c>
      <c r="S76" s="51"/>
      <c r="T76" s="105" t="s">
        <v>99</v>
      </c>
      <c r="U76" s="105" t="s">
        <v>100</v>
      </c>
    </row>
    <row r="77" s="81" customFormat="1" ht="51" customHeight="1" spans="1:21">
      <c r="A77" s="86">
        <v>75</v>
      </c>
      <c r="B77" s="87">
        <f t="shared" si="25"/>
        <v>75</v>
      </c>
      <c r="C77" s="88" t="s">
        <v>21</v>
      </c>
      <c r="D77" s="88" t="s">
        <v>22</v>
      </c>
      <c r="E77" s="86" t="s">
        <v>23</v>
      </c>
      <c r="F77" s="88" t="s">
        <v>243</v>
      </c>
      <c r="G77" s="107" t="s">
        <v>244</v>
      </c>
      <c r="H77" s="107" t="str">
        <f t="shared" si="22"/>
        <v>4G核心网数据小区数及小区上报率统计</v>
      </c>
      <c r="I77" s="88" t="s">
        <v>26</v>
      </c>
      <c r="J77" s="97" t="s">
        <v>27</v>
      </c>
      <c r="K77" s="97" t="s">
        <v>27</v>
      </c>
      <c r="L77" s="97" t="s">
        <v>49</v>
      </c>
      <c r="M77" s="97" t="s">
        <v>33</v>
      </c>
      <c r="N77" s="99">
        <v>30</v>
      </c>
      <c r="O77" s="88" t="s">
        <v>239</v>
      </c>
      <c r="P77" s="97"/>
      <c r="Q77" s="99" t="s">
        <v>31</v>
      </c>
      <c r="R77" s="103" t="s">
        <v>245</v>
      </c>
      <c r="S77" s="97"/>
      <c r="T77" s="105" t="s">
        <v>99</v>
      </c>
      <c r="U77" s="105" t="s">
        <v>100</v>
      </c>
    </row>
    <row r="78" s="81" customFormat="1" ht="51" customHeight="1" spans="1:21">
      <c r="A78" s="86">
        <v>76</v>
      </c>
      <c r="B78" s="87">
        <f t="shared" si="25"/>
        <v>76</v>
      </c>
      <c r="C78" s="88" t="s">
        <v>21</v>
      </c>
      <c r="D78" s="88" t="s">
        <v>22</v>
      </c>
      <c r="E78" s="86" t="s">
        <v>23</v>
      </c>
      <c r="F78" s="88" t="s">
        <v>246</v>
      </c>
      <c r="G78" s="107" t="s">
        <v>247</v>
      </c>
      <c r="H78" s="107" t="str">
        <f t="shared" si="22"/>
        <v>4G各类无线数据小区数及小区上报率统计</v>
      </c>
      <c r="I78" s="88" t="s">
        <v>248</v>
      </c>
      <c r="J78" s="97" t="s">
        <v>27</v>
      </c>
      <c r="K78" s="97" t="s">
        <v>27</v>
      </c>
      <c r="L78" s="97" t="s">
        <v>49</v>
      </c>
      <c r="M78" s="97" t="s">
        <v>33</v>
      </c>
      <c r="N78" s="99">
        <v>30</v>
      </c>
      <c r="O78" s="88" t="s">
        <v>239</v>
      </c>
      <c r="P78" s="97"/>
      <c r="Q78" s="99" t="s">
        <v>31</v>
      </c>
      <c r="R78" s="103" t="s">
        <v>245</v>
      </c>
      <c r="S78" s="97"/>
      <c r="T78" s="105" t="s">
        <v>99</v>
      </c>
      <c r="U78" s="105" t="s">
        <v>100</v>
      </c>
    </row>
    <row r="79" s="81" customFormat="1" ht="51" customHeight="1" spans="1:21">
      <c r="A79" s="86">
        <v>77</v>
      </c>
      <c r="B79" s="87">
        <f t="shared" si="25"/>
        <v>77</v>
      </c>
      <c r="C79" s="88" t="s">
        <v>21</v>
      </c>
      <c r="D79" s="88" t="s">
        <v>22</v>
      </c>
      <c r="E79" s="86" t="s">
        <v>23</v>
      </c>
      <c r="F79" s="88" t="s">
        <v>249</v>
      </c>
      <c r="G79" s="107" t="s">
        <v>250</v>
      </c>
      <c r="H79" s="107" t="str">
        <f t="shared" si="22"/>
        <v>4G各类数据未上报小区清单</v>
      </c>
      <c r="I79" s="88" t="s">
        <v>75</v>
      </c>
      <c r="J79" s="97" t="s">
        <v>27</v>
      </c>
      <c r="K79" s="97" t="s">
        <v>27</v>
      </c>
      <c r="L79" s="97" t="s">
        <v>49</v>
      </c>
      <c r="M79" s="97" t="s">
        <v>33</v>
      </c>
      <c r="N79" s="99">
        <v>30</v>
      </c>
      <c r="O79" s="88" t="s">
        <v>239</v>
      </c>
      <c r="P79" s="97"/>
      <c r="Q79" s="99" t="s">
        <v>31</v>
      </c>
      <c r="R79" s="103" t="s">
        <v>245</v>
      </c>
      <c r="S79" s="97"/>
      <c r="T79" s="105" t="s">
        <v>99</v>
      </c>
      <c r="U79" s="105" t="s">
        <v>100</v>
      </c>
    </row>
  </sheetData>
  <autoFilter xmlns:etc="http://www.wps.cn/officeDocument/2017/etCustomData" ref="A1:U79" etc:filterBottomFollowUsedRange="0">
    <filterColumn colId="11">
      <filters>
        <filter val="核心"/>
      </filters>
    </filterColumn>
    <extLst/>
  </autoFilter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O146"/>
  <sheetViews>
    <sheetView zoomScale="85" zoomScaleNormal="85" workbookViewId="0">
      <pane ySplit="5" topLeftCell="A136" activePane="bottomLeft" state="frozen"/>
      <selection/>
      <selection pane="bottomLeft" activeCell="G150" sqref="G150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24.1083333333333" style="3" customWidth="1"/>
    <col min="5" max="5" width="10.1083333333333" style="3" customWidth="1"/>
    <col min="6" max="6" width="17.5583333333333" style="3" customWidth="1"/>
    <col min="7" max="7" width="31.775" style="3" customWidth="1"/>
    <col min="8" max="8" width="8.66666666666667" style="3" customWidth="1"/>
    <col min="9" max="9" width="28.5583333333333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12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33</v>
      </c>
      <c r="C5" s="10" t="s">
        <v>34</v>
      </c>
      <c r="D5" s="14" t="s">
        <v>35</v>
      </c>
      <c r="E5" s="13" t="s">
        <v>257</v>
      </c>
      <c r="F5" s="20"/>
      <c r="G5" s="13"/>
      <c r="H5" s="13"/>
    </row>
    <row r="6" spans="2:8">
      <c r="B6" s="6"/>
      <c r="C6" s="6"/>
      <c r="D6" s="21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30</v>
      </c>
      <c r="D9" s="14" t="s">
        <v>265</v>
      </c>
      <c r="E9" s="13" t="s">
        <v>266</v>
      </c>
      <c r="F9" s="26"/>
      <c r="G9" s="26"/>
      <c r="H9" s="23" t="s">
        <v>44</v>
      </c>
    </row>
    <row r="10" spans="2:8">
      <c r="B10" s="13"/>
      <c r="C10" s="10" t="s">
        <v>267</v>
      </c>
      <c r="D10" s="10" t="s">
        <v>268</v>
      </c>
      <c r="E10" s="13" t="s">
        <v>269</v>
      </c>
      <c r="F10" s="26"/>
      <c r="G10" s="26" t="s">
        <v>270</v>
      </c>
      <c r="H10" s="23"/>
    </row>
    <row r="11" spans="2:8">
      <c r="B11" s="13"/>
      <c r="C11" s="78" t="s">
        <v>271</v>
      </c>
      <c r="D11" s="79" t="s">
        <v>272</v>
      </c>
      <c r="E11" s="13" t="s">
        <v>273</v>
      </c>
      <c r="F11" s="26"/>
      <c r="G11" s="26" t="s">
        <v>274</v>
      </c>
      <c r="H11" s="23"/>
    </row>
    <row r="12" spans="2:8">
      <c r="B12" s="13"/>
      <c r="C12" s="78" t="s">
        <v>275</v>
      </c>
      <c r="D12" s="79" t="s">
        <v>276</v>
      </c>
      <c r="E12" s="13" t="s">
        <v>277</v>
      </c>
      <c r="F12" s="26"/>
      <c r="G12" s="26" t="s">
        <v>278</v>
      </c>
      <c r="H12" s="43"/>
    </row>
    <row r="14" spans="2:2">
      <c r="B14" s="3" t="s">
        <v>279</v>
      </c>
    </row>
    <row r="15" ht="13.5" spans="2:12">
      <c r="B15" s="7" t="s">
        <v>279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27" spans="2:12">
      <c r="B16" s="8" t="s">
        <v>280</v>
      </c>
      <c r="C16" s="8" t="s">
        <v>281</v>
      </c>
      <c r="D16" s="12" t="s">
        <v>282</v>
      </c>
      <c r="E16" s="8" t="s">
        <v>283</v>
      </c>
      <c r="F16" s="12" t="s">
        <v>284</v>
      </c>
      <c r="G16" s="12" t="s">
        <v>285</v>
      </c>
      <c r="H16" s="8" t="s">
        <v>286</v>
      </c>
      <c r="I16" s="8" t="s">
        <v>17</v>
      </c>
      <c r="J16" s="8" t="s">
        <v>287</v>
      </c>
      <c r="K16" s="8" t="s">
        <v>288</v>
      </c>
      <c r="L16" s="8" t="s">
        <v>289</v>
      </c>
    </row>
    <row r="17" s="1" customFormat="1" spans="2:12">
      <c r="B17" s="32" t="s">
        <v>290</v>
      </c>
      <c r="C17" s="32" t="s">
        <v>291</v>
      </c>
      <c r="D17" s="10" t="s">
        <v>292</v>
      </c>
      <c r="E17" s="25" t="s">
        <v>266</v>
      </c>
      <c r="F17" s="26" t="s">
        <v>290</v>
      </c>
      <c r="G17" s="26" t="s">
        <v>293</v>
      </c>
      <c r="H17" s="27"/>
      <c r="I17" s="15"/>
      <c r="J17" s="15" t="s">
        <v>36</v>
      </c>
      <c r="K17" s="15" t="s">
        <v>294</v>
      </c>
      <c r="L17" s="15" t="s">
        <v>294</v>
      </c>
    </row>
    <row r="18" s="1" customFormat="1" spans="2:12">
      <c r="B18" s="32" t="s">
        <v>295</v>
      </c>
      <c r="C18" s="32" t="s">
        <v>291</v>
      </c>
      <c r="D18" s="10" t="s">
        <v>296</v>
      </c>
      <c r="E18" s="25" t="s">
        <v>266</v>
      </c>
      <c r="F18" s="26" t="s">
        <v>295</v>
      </c>
      <c r="G18" s="26" t="s">
        <v>293</v>
      </c>
      <c r="H18" s="27"/>
      <c r="I18" s="15"/>
      <c r="J18" s="15" t="s">
        <v>36</v>
      </c>
      <c r="K18" s="15" t="s">
        <v>294</v>
      </c>
      <c r="L18" s="15" t="s">
        <v>294</v>
      </c>
    </row>
    <row r="19" s="1" customFormat="1" spans="2:12">
      <c r="B19" s="32" t="s">
        <v>297</v>
      </c>
      <c r="C19" s="32" t="s">
        <v>291</v>
      </c>
      <c r="D19" s="10" t="s">
        <v>298</v>
      </c>
      <c r="E19" s="25" t="s">
        <v>266</v>
      </c>
      <c r="F19" s="26"/>
      <c r="G19" s="26" t="s">
        <v>299</v>
      </c>
      <c r="H19" s="27"/>
      <c r="I19" s="15"/>
      <c r="J19" s="15" t="s">
        <v>36</v>
      </c>
      <c r="K19" s="15" t="s">
        <v>294</v>
      </c>
      <c r="L19" s="15" t="s">
        <v>294</v>
      </c>
    </row>
    <row r="20" s="1" customFormat="1" spans="2:12">
      <c r="B20" s="32" t="s">
        <v>300</v>
      </c>
      <c r="C20" s="32" t="s">
        <v>291</v>
      </c>
      <c r="D20" s="10" t="s">
        <v>301</v>
      </c>
      <c r="E20" s="25" t="s">
        <v>266</v>
      </c>
      <c r="F20" s="26" t="s">
        <v>300</v>
      </c>
      <c r="G20" s="26" t="s">
        <v>293</v>
      </c>
      <c r="H20" s="27"/>
      <c r="I20" s="15"/>
      <c r="J20" s="15" t="s">
        <v>36</v>
      </c>
      <c r="K20" s="15" t="s">
        <v>294</v>
      </c>
      <c r="L20" s="15" t="s">
        <v>294</v>
      </c>
    </row>
    <row r="21" s="1" customFormat="1" spans="2:12">
      <c r="B21" s="32" t="s">
        <v>302</v>
      </c>
      <c r="C21" s="32" t="s">
        <v>291</v>
      </c>
      <c r="D21" s="10" t="s">
        <v>303</v>
      </c>
      <c r="E21" s="25" t="s">
        <v>266</v>
      </c>
      <c r="F21" s="26" t="s">
        <v>302</v>
      </c>
      <c r="G21" s="26" t="s">
        <v>293</v>
      </c>
      <c r="H21" s="27"/>
      <c r="I21" s="15"/>
      <c r="J21" s="15" t="s">
        <v>36</v>
      </c>
      <c r="K21" s="15" t="s">
        <v>294</v>
      </c>
      <c r="L21" s="15" t="s">
        <v>294</v>
      </c>
    </row>
    <row r="22" s="1" customFormat="1" spans="2:12">
      <c r="B22" s="32" t="s">
        <v>304</v>
      </c>
      <c r="C22" s="32" t="s">
        <v>291</v>
      </c>
      <c r="D22" s="10" t="s">
        <v>305</v>
      </c>
      <c r="E22" s="25" t="s">
        <v>266</v>
      </c>
      <c r="F22" s="26" t="s">
        <v>304</v>
      </c>
      <c r="G22" s="26" t="s">
        <v>293</v>
      </c>
      <c r="H22" s="27"/>
      <c r="I22" s="15"/>
      <c r="J22" s="15" t="s">
        <v>36</v>
      </c>
      <c r="K22" s="15" t="s">
        <v>294</v>
      </c>
      <c r="L22" s="15" t="s">
        <v>294</v>
      </c>
    </row>
    <row r="23" s="1" customFormat="1" spans="2:12">
      <c r="B23" s="32" t="s">
        <v>306</v>
      </c>
      <c r="C23" s="32" t="s">
        <v>307</v>
      </c>
      <c r="D23" s="10" t="s">
        <v>308</v>
      </c>
      <c r="E23" s="25" t="s">
        <v>266</v>
      </c>
      <c r="F23" s="26" t="s">
        <v>306</v>
      </c>
      <c r="G23" s="26" t="s">
        <v>293</v>
      </c>
      <c r="H23" s="27"/>
      <c r="I23" s="15"/>
      <c r="J23" s="15" t="s">
        <v>36</v>
      </c>
      <c r="K23" s="15" t="s">
        <v>294</v>
      </c>
      <c r="L23" s="15" t="s">
        <v>294</v>
      </c>
    </row>
    <row r="24" s="1" customFormat="1" spans="2:12">
      <c r="B24" s="32" t="s">
        <v>309</v>
      </c>
      <c r="C24" s="32" t="s">
        <v>291</v>
      </c>
      <c r="D24" s="10" t="s">
        <v>310</v>
      </c>
      <c r="E24" s="25" t="s">
        <v>266</v>
      </c>
      <c r="F24" s="26" t="s">
        <v>309</v>
      </c>
      <c r="G24" s="26" t="s">
        <v>293</v>
      </c>
      <c r="H24" s="27"/>
      <c r="I24" s="15"/>
      <c r="J24" s="15" t="s">
        <v>36</v>
      </c>
      <c r="K24" s="15" t="s">
        <v>294</v>
      </c>
      <c r="L24" s="15" t="s">
        <v>294</v>
      </c>
    </row>
    <row r="25" s="1" customFormat="1" spans="2:12">
      <c r="B25" s="32" t="s">
        <v>311</v>
      </c>
      <c r="C25" s="32" t="s">
        <v>307</v>
      </c>
      <c r="D25" s="10" t="s">
        <v>312</v>
      </c>
      <c r="E25" s="25" t="s">
        <v>266</v>
      </c>
      <c r="F25" s="26" t="s">
        <v>311</v>
      </c>
      <c r="G25" s="26" t="s">
        <v>293</v>
      </c>
      <c r="H25" s="27"/>
      <c r="I25" s="15"/>
      <c r="J25" s="15" t="s">
        <v>36</v>
      </c>
      <c r="K25" s="15" t="s">
        <v>294</v>
      </c>
      <c r="L25" s="15" t="s">
        <v>294</v>
      </c>
    </row>
    <row r="26" s="1" customFormat="1" spans="2:12">
      <c r="B26" s="32" t="s">
        <v>313</v>
      </c>
      <c r="C26" s="32" t="s">
        <v>291</v>
      </c>
      <c r="D26" s="10" t="s">
        <v>314</v>
      </c>
      <c r="E26" s="25" t="s">
        <v>266</v>
      </c>
      <c r="F26" s="26" t="s">
        <v>313</v>
      </c>
      <c r="G26" s="26" t="s">
        <v>293</v>
      </c>
      <c r="H26" s="27"/>
      <c r="I26" s="15"/>
      <c r="J26" s="15" t="s">
        <v>36</v>
      </c>
      <c r="K26" s="15" t="s">
        <v>294</v>
      </c>
      <c r="L26" s="15" t="s">
        <v>294</v>
      </c>
    </row>
    <row r="27" s="1" customFormat="1" spans="2:12">
      <c r="B27" s="32" t="s">
        <v>315</v>
      </c>
      <c r="C27" s="32" t="s">
        <v>291</v>
      </c>
      <c r="D27" s="10" t="s">
        <v>316</v>
      </c>
      <c r="E27" s="25" t="s">
        <v>266</v>
      </c>
      <c r="F27" s="26" t="s">
        <v>315</v>
      </c>
      <c r="G27" s="26" t="s">
        <v>293</v>
      </c>
      <c r="H27" s="27"/>
      <c r="I27" s="65"/>
      <c r="J27" s="15" t="s">
        <v>36</v>
      </c>
      <c r="K27" s="15" t="s">
        <v>294</v>
      </c>
      <c r="L27" s="15" t="s">
        <v>294</v>
      </c>
    </row>
    <row r="28" s="1" customFormat="1" spans="2:12">
      <c r="B28" s="32" t="s">
        <v>317</v>
      </c>
      <c r="C28" s="32" t="s">
        <v>291</v>
      </c>
      <c r="D28" s="10" t="s">
        <v>318</v>
      </c>
      <c r="E28" s="25" t="s">
        <v>266</v>
      </c>
      <c r="F28" s="26" t="s">
        <v>317</v>
      </c>
      <c r="G28" s="26" t="s">
        <v>293</v>
      </c>
      <c r="H28" s="27"/>
      <c r="I28" s="30"/>
      <c r="J28" s="15" t="s">
        <v>36</v>
      </c>
      <c r="K28" s="15" t="s">
        <v>294</v>
      </c>
      <c r="L28" s="15" t="s">
        <v>294</v>
      </c>
    </row>
    <row r="29" s="1" customFormat="1" ht="26" spans="2:12">
      <c r="B29" s="32" t="s">
        <v>319</v>
      </c>
      <c r="C29" s="32" t="s">
        <v>291</v>
      </c>
      <c r="D29" s="10" t="s">
        <v>320</v>
      </c>
      <c r="E29" s="25" t="s">
        <v>266</v>
      </c>
      <c r="F29" s="26" t="s">
        <v>319</v>
      </c>
      <c r="G29" s="26" t="s">
        <v>293</v>
      </c>
      <c r="H29" s="27"/>
      <c r="I29" s="65" t="s">
        <v>321</v>
      </c>
      <c r="J29" s="15" t="s">
        <v>36</v>
      </c>
      <c r="K29" s="15" t="s">
        <v>294</v>
      </c>
      <c r="L29" s="15" t="s">
        <v>294</v>
      </c>
    </row>
    <row r="30" s="1" customFormat="1" spans="2:12">
      <c r="B30" s="32" t="s">
        <v>322</v>
      </c>
      <c r="C30" s="32" t="s">
        <v>291</v>
      </c>
      <c r="D30" s="10" t="s">
        <v>323</v>
      </c>
      <c r="E30" s="25" t="s">
        <v>266</v>
      </c>
      <c r="F30" s="26" t="s">
        <v>322</v>
      </c>
      <c r="G30" s="26" t="s">
        <v>293</v>
      </c>
      <c r="H30" s="27"/>
      <c r="I30" s="15" t="s">
        <v>324</v>
      </c>
      <c r="J30" s="15" t="s">
        <v>36</v>
      </c>
      <c r="K30" s="15" t="s">
        <v>294</v>
      </c>
      <c r="L30" s="15" t="s">
        <v>294</v>
      </c>
    </row>
    <row r="31" s="1" customFormat="1" spans="2:12">
      <c r="B31" s="32" t="s">
        <v>325</v>
      </c>
      <c r="C31" s="32" t="s">
        <v>291</v>
      </c>
      <c r="D31" s="10" t="s">
        <v>326</v>
      </c>
      <c r="E31" s="25" t="s">
        <v>266</v>
      </c>
      <c r="F31" s="26" t="s">
        <v>325</v>
      </c>
      <c r="G31" s="26" t="s">
        <v>293</v>
      </c>
      <c r="H31" s="27"/>
      <c r="I31" s="15"/>
      <c r="J31" s="15" t="s">
        <v>36</v>
      </c>
      <c r="K31" s="15" t="s">
        <v>294</v>
      </c>
      <c r="L31" s="15" t="s">
        <v>294</v>
      </c>
    </row>
    <row r="32" s="1" customFormat="1" spans="2:12">
      <c r="B32" s="32" t="s">
        <v>327</v>
      </c>
      <c r="C32" s="32" t="s">
        <v>307</v>
      </c>
      <c r="D32" s="10" t="s">
        <v>328</v>
      </c>
      <c r="E32" s="25" t="s">
        <v>266</v>
      </c>
      <c r="F32" s="26" t="s">
        <v>327</v>
      </c>
      <c r="G32" s="26" t="s">
        <v>293</v>
      </c>
      <c r="H32" s="27"/>
      <c r="I32" s="15"/>
      <c r="J32" s="15" t="s">
        <v>36</v>
      </c>
      <c r="K32" s="15" t="s">
        <v>294</v>
      </c>
      <c r="L32" s="15" t="s">
        <v>294</v>
      </c>
    </row>
    <row r="33" s="1" customFormat="1" spans="2:12">
      <c r="B33" s="32" t="s">
        <v>329</v>
      </c>
      <c r="C33" s="32" t="s">
        <v>307</v>
      </c>
      <c r="D33" s="10" t="s">
        <v>330</v>
      </c>
      <c r="E33" s="25" t="s">
        <v>266</v>
      </c>
      <c r="F33" s="26" t="s">
        <v>329</v>
      </c>
      <c r="G33" s="26" t="s">
        <v>293</v>
      </c>
      <c r="H33" s="27"/>
      <c r="I33" s="15"/>
      <c r="J33" s="15" t="s">
        <v>36</v>
      </c>
      <c r="K33" s="15" t="s">
        <v>294</v>
      </c>
      <c r="L33" s="15" t="s">
        <v>294</v>
      </c>
    </row>
    <row r="34" s="1" customFormat="1" spans="2:12">
      <c r="B34" s="32" t="s">
        <v>331</v>
      </c>
      <c r="C34" s="32" t="s">
        <v>291</v>
      </c>
      <c r="D34" s="10" t="s">
        <v>332</v>
      </c>
      <c r="E34" s="25" t="s">
        <v>266</v>
      </c>
      <c r="F34" s="26"/>
      <c r="G34" s="26" t="s">
        <v>333</v>
      </c>
      <c r="H34" s="27"/>
      <c r="I34" s="15"/>
      <c r="J34" s="15" t="s">
        <v>36</v>
      </c>
      <c r="K34" s="15" t="s">
        <v>294</v>
      </c>
      <c r="L34" s="15" t="s">
        <v>294</v>
      </c>
    </row>
    <row r="35" s="1" customFormat="1" spans="2:12">
      <c r="B35" s="32" t="s">
        <v>334</v>
      </c>
      <c r="C35" s="32" t="s">
        <v>291</v>
      </c>
      <c r="D35" s="10" t="s">
        <v>335</v>
      </c>
      <c r="E35" s="25" t="s">
        <v>266</v>
      </c>
      <c r="F35" s="26" t="s">
        <v>334</v>
      </c>
      <c r="G35" s="26" t="s">
        <v>293</v>
      </c>
      <c r="H35" s="27"/>
      <c r="I35" s="15"/>
      <c r="J35" s="15" t="s">
        <v>36</v>
      </c>
      <c r="K35" s="15" t="s">
        <v>294</v>
      </c>
      <c r="L35" s="15" t="s">
        <v>294</v>
      </c>
    </row>
    <row r="36" s="1" customFormat="1" spans="2:12">
      <c r="B36" s="32" t="s">
        <v>336</v>
      </c>
      <c r="C36" s="32" t="s">
        <v>291</v>
      </c>
      <c r="D36" s="10" t="s">
        <v>335</v>
      </c>
      <c r="E36" s="25" t="s">
        <v>266</v>
      </c>
      <c r="F36" s="26" t="s">
        <v>336</v>
      </c>
      <c r="G36" s="26" t="s">
        <v>293</v>
      </c>
      <c r="H36" s="27"/>
      <c r="I36" s="15"/>
      <c r="J36" s="15" t="s">
        <v>36</v>
      </c>
      <c r="K36" s="15" t="s">
        <v>294</v>
      </c>
      <c r="L36" s="15" t="s">
        <v>294</v>
      </c>
    </row>
    <row r="37" s="1" customFormat="1" spans="2:12">
      <c r="B37" s="32" t="s">
        <v>337</v>
      </c>
      <c r="C37" s="32" t="s">
        <v>338</v>
      </c>
      <c r="D37" s="10" t="s">
        <v>339</v>
      </c>
      <c r="E37" s="25" t="s">
        <v>266</v>
      </c>
      <c r="F37" s="26" t="s">
        <v>337</v>
      </c>
      <c r="G37" s="26" t="s">
        <v>293</v>
      </c>
      <c r="H37" s="27"/>
      <c r="I37" s="15"/>
      <c r="J37" s="15" t="s">
        <v>36</v>
      </c>
      <c r="K37" s="15" t="s">
        <v>294</v>
      </c>
      <c r="L37" s="15" t="s">
        <v>294</v>
      </c>
    </row>
    <row r="38" s="1" customFormat="1" spans="2:12">
      <c r="B38" s="32" t="s">
        <v>340</v>
      </c>
      <c r="C38" s="32" t="s">
        <v>338</v>
      </c>
      <c r="D38" s="10" t="s">
        <v>341</v>
      </c>
      <c r="E38" s="25" t="s">
        <v>266</v>
      </c>
      <c r="F38" s="26" t="s">
        <v>340</v>
      </c>
      <c r="G38" s="26" t="s">
        <v>293</v>
      </c>
      <c r="H38" s="27"/>
      <c r="I38" s="15"/>
      <c r="J38" s="15" t="s">
        <v>36</v>
      </c>
      <c r="K38" s="15" t="s">
        <v>294</v>
      </c>
      <c r="L38" s="15" t="s">
        <v>294</v>
      </c>
    </row>
    <row r="39" s="1" customFormat="1" spans="2:12">
      <c r="B39" s="32" t="s">
        <v>342</v>
      </c>
      <c r="C39" s="32" t="s">
        <v>338</v>
      </c>
      <c r="D39" s="10" t="s">
        <v>343</v>
      </c>
      <c r="E39" s="25" t="s">
        <v>266</v>
      </c>
      <c r="F39" s="26" t="s">
        <v>342</v>
      </c>
      <c r="G39" s="26" t="s">
        <v>293</v>
      </c>
      <c r="H39" s="27"/>
      <c r="I39" s="15"/>
      <c r="J39" s="15" t="s">
        <v>36</v>
      </c>
      <c r="K39" s="15" t="s">
        <v>294</v>
      </c>
      <c r="L39" s="15" t="s">
        <v>294</v>
      </c>
    </row>
    <row r="40" s="1" customFormat="1" spans="2:12">
      <c r="B40" s="32" t="s">
        <v>344</v>
      </c>
      <c r="C40" s="32" t="s">
        <v>338</v>
      </c>
      <c r="D40" s="10" t="s">
        <v>345</v>
      </c>
      <c r="E40" s="25" t="s">
        <v>266</v>
      </c>
      <c r="F40" s="26" t="s">
        <v>344</v>
      </c>
      <c r="G40" s="26" t="s">
        <v>293</v>
      </c>
      <c r="H40" s="27"/>
      <c r="I40" s="15"/>
      <c r="J40" s="15" t="s">
        <v>36</v>
      </c>
      <c r="K40" s="15" t="s">
        <v>294</v>
      </c>
      <c r="L40" s="15" t="s">
        <v>294</v>
      </c>
    </row>
    <row r="41" s="1" customFormat="1" spans="2:12">
      <c r="B41" s="32" t="s">
        <v>346</v>
      </c>
      <c r="C41" s="32" t="s">
        <v>338</v>
      </c>
      <c r="D41" s="10" t="s">
        <v>347</v>
      </c>
      <c r="E41" s="25" t="s">
        <v>266</v>
      </c>
      <c r="F41" s="26" t="s">
        <v>346</v>
      </c>
      <c r="G41" s="26" t="s">
        <v>293</v>
      </c>
      <c r="H41" s="27"/>
      <c r="I41" s="15"/>
      <c r="J41" s="15" t="s">
        <v>36</v>
      </c>
      <c r="K41" s="15" t="s">
        <v>294</v>
      </c>
      <c r="L41" s="15" t="s">
        <v>294</v>
      </c>
    </row>
    <row r="42" s="1" customFormat="1" spans="2:12">
      <c r="B42" s="32" t="s">
        <v>348</v>
      </c>
      <c r="C42" s="32" t="s">
        <v>338</v>
      </c>
      <c r="D42" s="10" t="s">
        <v>349</v>
      </c>
      <c r="E42" s="25" t="s">
        <v>266</v>
      </c>
      <c r="F42" s="26" t="s">
        <v>348</v>
      </c>
      <c r="G42" s="26" t="s">
        <v>293</v>
      </c>
      <c r="H42" s="27"/>
      <c r="I42" s="15"/>
      <c r="J42" s="15" t="s">
        <v>36</v>
      </c>
      <c r="K42" s="15" t="s">
        <v>294</v>
      </c>
      <c r="L42" s="15" t="s">
        <v>294</v>
      </c>
    </row>
    <row r="43" s="1" customFormat="1" spans="2:12">
      <c r="B43" s="32" t="s">
        <v>350</v>
      </c>
      <c r="C43" s="32" t="s">
        <v>338</v>
      </c>
      <c r="D43" s="10" t="s">
        <v>351</v>
      </c>
      <c r="E43" s="25" t="s">
        <v>266</v>
      </c>
      <c r="F43" s="26" t="s">
        <v>350</v>
      </c>
      <c r="G43" s="26" t="s">
        <v>293</v>
      </c>
      <c r="H43" s="27"/>
      <c r="I43" s="15"/>
      <c r="J43" s="15" t="s">
        <v>36</v>
      </c>
      <c r="K43" s="15" t="s">
        <v>294</v>
      </c>
      <c r="L43" s="15" t="s">
        <v>294</v>
      </c>
    </row>
    <row r="44" s="1" customFormat="1" spans="2:12">
      <c r="B44" s="32" t="s">
        <v>352</v>
      </c>
      <c r="C44" s="32" t="s">
        <v>338</v>
      </c>
      <c r="D44" s="10" t="s">
        <v>353</v>
      </c>
      <c r="E44" s="25" t="s">
        <v>266</v>
      </c>
      <c r="F44" s="26" t="s">
        <v>352</v>
      </c>
      <c r="G44" s="26" t="s">
        <v>293</v>
      </c>
      <c r="H44" s="27"/>
      <c r="I44" s="15"/>
      <c r="J44" s="15" t="s">
        <v>36</v>
      </c>
      <c r="K44" s="15" t="s">
        <v>294</v>
      </c>
      <c r="L44" s="15" t="s">
        <v>294</v>
      </c>
    </row>
    <row r="45" s="1" customFormat="1" spans="2:12">
      <c r="B45" s="32" t="s">
        <v>354</v>
      </c>
      <c r="C45" s="32" t="s">
        <v>338</v>
      </c>
      <c r="D45" s="10" t="s">
        <v>355</v>
      </c>
      <c r="E45" s="25" t="s">
        <v>266</v>
      </c>
      <c r="F45" s="26" t="s">
        <v>354</v>
      </c>
      <c r="G45" s="26" t="s">
        <v>293</v>
      </c>
      <c r="H45" s="27"/>
      <c r="I45" s="15"/>
      <c r="J45" s="15" t="s">
        <v>36</v>
      </c>
      <c r="K45" s="15" t="s">
        <v>294</v>
      </c>
      <c r="L45" s="15" t="s">
        <v>294</v>
      </c>
    </row>
    <row r="46" s="1" customFormat="1" spans="2:12">
      <c r="B46" s="32" t="s">
        <v>356</v>
      </c>
      <c r="C46" s="32" t="s">
        <v>338</v>
      </c>
      <c r="D46" s="10" t="s">
        <v>357</v>
      </c>
      <c r="E46" s="25" t="s">
        <v>266</v>
      </c>
      <c r="F46" s="26" t="s">
        <v>356</v>
      </c>
      <c r="G46" s="26" t="s">
        <v>293</v>
      </c>
      <c r="H46" s="27"/>
      <c r="I46" s="15"/>
      <c r="J46" s="15" t="s">
        <v>36</v>
      </c>
      <c r="K46" s="15" t="s">
        <v>294</v>
      </c>
      <c r="L46" s="15" t="s">
        <v>294</v>
      </c>
    </row>
    <row r="47" s="1" customFormat="1" spans="2:12">
      <c r="B47" s="32" t="s">
        <v>358</v>
      </c>
      <c r="C47" s="32" t="s">
        <v>338</v>
      </c>
      <c r="D47" s="10" t="s">
        <v>359</v>
      </c>
      <c r="E47" s="25" t="s">
        <v>266</v>
      </c>
      <c r="F47" s="26" t="s">
        <v>358</v>
      </c>
      <c r="G47" s="26" t="s">
        <v>293</v>
      </c>
      <c r="H47" s="27"/>
      <c r="I47" s="15"/>
      <c r="J47" s="15" t="s">
        <v>36</v>
      </c>
      <c r="K47" s="15" t="s">
        <v>294</v>
      </c>
      <c r="L47" s="15" t="s">
        <v>294</v>
      </c>
    </row>
    <row r="48" s="1" customFormat="1" spans="2:12">
      <c r="B48" s="32" t="s">
        <v>360</v>
      </c>
      <c r="C48" s="32" t="s">
        <v>338</v>
      </c>
      <c r="D48" s="10" t="s">
        <v>361</v>
      </c>
      <c r="E48" s="25" t="s">
        <v>266</v>
      </c>
      <c r="F48" s="26" t="s">
        <v>360</v>
      </c>
      <c r="G48" s="26" t="s">
        <v>293</v>
      </c>
      <c r="H48" s="27"/>
      <c r="I48" s="15"/>
      <c r="J48" s="15" t="s">
        <v>36</v>
      </c>
      <c r="K48" s="15" t="s">
        <v>294</v>
      </c>
      <c r="L48" s="15" t="s">
        <v>294</v>
      </c>
    </row>
    <row r="49" s="1" customFormat="1" spans="2:12">
      <c r="B49" s="32" t="s">
        <v>362</v>
      </c>
      <c r="C49" s="32" t="s">
        <v>338</v>
      </c>
      <c r="D49" s="10" t="s">
        <v>363</v>
      </c>
      <c r="E49" s="25" t="s">
        <v>266</v>
      </c>
      <c r="F49" s="26" t="s">
        <v>362</v>
      </c>
      <c r="G49" s="26" t="s">
        <v>293</v>
      </c>
      <c r="H49" s="27"/>
      <c r="I49" s="15"/>
      <c r="J49" s="15" t="s">
        <v>36</v>
      </c>
      <c r="K49" s="15" t="s">
        <v>294</v>
      </c>
      <c r="L49" s="15" t="s">
        <v>294</v>
      </c>
    </row>
    <row r="50" s="1" customFormat="1" spans="2:12">
      <c r="B50" s="32" t="s">
        <v>364</v>
      </c>
      <c r="C50" s="32" t="s">
        <v>338</v>
      </c>
      <c r="D50" s="10" t="s">
        <v>365</v>
      </c>
      <c r="E50" s="25" t="s">
        <v>266</v>
      </c>
      <c r="F50" s="26" t="s">
        <v>364</v>
      </c>
      <c r="G50" s="26" t="s">
        <v>293</v>
      </c>
      <c r="H50" s="27"/>
      <c r="I50" s="15"/>
      <c r="J50" s="15" t="s">
        <v>36</v>
      </c>
      <c r="K50" s="15" t="s">
        <v>294</v>
      </c>
      <c r="L50" s="15" t="s">
        <v>294</v>
      </c>
    </row>
    <row r="51" s="1" customFormat="1" spans="2:12">
      <c r="B51" s="32" t="s">
        <v>366</v>
      </c>
      <c r="C51" s="32" t="s">
        <v>338</v>
      </c>
      <c r="D51" s="10" t="s">
        <v>367</v>
      </c>
      <c r="E51" s="25" t="s">
        <v>266</v>
      </c>
      <c r="F51" s="26" t="s">
        <v>366</v>
      </c>
      <c r="G51" s="26" t="s">
        <v>293</v>
      </c>
      <c r="H51" s="27"/>
      <c r="I51" s="15"/>
      <c r="J51" s="15" t="s">
        <v>36</v>
      </c>
      <c r="K51" s="15" t="s">
        <v>294</v>
      </c>
      <c r="L51" s="15" t="s">
        <v>294</v>
      </c>
    </row>
    <row r="52" s="1" customFormat="1" spans="2:12">
      <c r="B52" s="32" t="s">
        <v>368</v>
      </c>
      <c r="C52" s="32" t="s">
        <v>338</v>
      </c>
      <c r="D52" s="10" t="s">
        <v>369</v>
      </c>
      <c r="E52" s="25" t="s">
        <v>266</v>
      </c>
      <c r="F52" s="26" t="s">
        <v>368</v>
      </c>
      <c r="G52" s="26" t="s">
        <v>293</v>
      </c>
      <c r="H52" s="27"/>
      <c r="I52" s="15"/>
      <c r="J52" s="15" t="s">
        <v>36</v>
      </c>
      <c r="K52" s="15" t="s">
        <v>294</v>
      </c>
      <c r="L52" s="15" t="s">
        <v>294</v>
      </c>
    </row>
    <row r="53" s="1" customFormat="1" spans="2:12">
      <c r="B53" s="32" t="s">
        <v>370</v>
      </c>
      <c r="C53" s="32" t="s">
        <v>338</v>
      </c>
      <c r="D53" s="10" t="s">
        <v>371</v>
      </c>
      <c r="E53" s="25" t="s">
        <v>266</v>
      </c>
      <c r="F53" s="26" t="s">
        <v>370</v>
      </c>
      <c r="G53" s="26" t="s">
        <v>293</v>
      </c>
      <c r="H53" s="27"/>
      <c r="I53" s="15"/>
      <c r="J53" s="15" t="s">
        <v>36</v>
      </c>
      <c r="K53" s="15" t="s">
        <v>294</v>
      </c>
      <c r="L53" s="15" t="s">
        <v>294</v>
      </c>
    </row>
    <row r="54" s="1" customFormat="1" spans="2:12">
      <c r="B54" s="32" t="s">
        <v>372</v>
      </c>
      <c r="C54" s="32" t="s">
        <v>338</v>
      </c>
      <c r="D54" s="10" t="s">
        <v>373</v>
      </c>
      <c r="E54" s="25" t="s">
        <v>266</v>
      </c>
      <c r="F54" s="26" t="s">
        <v>372</v>
      </c>
      <c r="G54" s="26" t="s">
        <v>293</v>
      </c>
      <c r="H54" s="27"/>
      <c r="I54" s="15"/>
      <c r="J54" s="15" t="s">
        <v>36</v>
      </c>
      <c r="K54" s="15" t="s">
        <v>294</v>
      </c>
      <c r="L54" s="15" t="s">
        <v>294</v>
      </c>
    </row>
    <row r="55" s="1" customFormat="1" spans="2:12">
      <c r="B55" s="32" t="s">
        <v>374</v>
      </c>
      <c r="C55" s="32" t="s">
        <v>338</v>
      </c>
      <c r="D55" s="10" t="s">
        <v>375</v>
      </c>
      <c r="E55" s="25" t="s">
        <v>266</v>
      </c>
      <c r="F55" s="26" t="s">
        <v>374</v>
      </c>
      <c r="G55" s="26" t="s">
        <v>293</v>
      </c>
      <c r="H55" s="27"/>
      <c r="I55" s="15"/>
      <c r="J55" s="15" t="s">
        <v>36</v>
      </c>
      <c r="K55" s="15" t="s">
        <v>294</v>
      </c>
      <c r="L55" s="15" t="s">
        <v>294</v>
      </c>
    </row>
    <row r="56" s="1" customFormat="1" spans="2:12">
      <c r="B56" s="32" t="s">
        <v>376</v>
      </c>
      <c r="C56" s="32" t="s">
        <v>338</v>
      </c>
      <c r="D56" s="10" t="s">
        <v>377</v>
      </c>
      <c r="E56" s="25" t="s">
        <v>266</v>
      </c>
      <c r="F56" s="26" t="s">
        <v>376</v>
      </c>
      <c r="G56" s="26" t="s">
        <v>293</v>
      </c>
      <c r="H56" s="27"/>
      <c r="I56" s="15"/>
      <c r="J56" s="15" t="s">
        <v>36</v>
      </c>
      <c r="K56" s="15" t="s">
        <v>294</v>
      </c>
      <c r="L56" s="15" t="s">
        <v>294</v>
      </c>
    </row>
    <row r="57" s="1" customFormat="1" spans="2:12">
      <c r="B57" s="32" t="s">
        <v>378</v>
      </c>
      <c r="C57" s="32" t="s">
        <v>338</v>
      </c>
      <c r="D57" s="10" t="s">
        <v>379</v>
      </c>
      <c r="E57" s="25" t="s">
        <v>266</v>
      </c>
      <c r="F57" s="26" t="s">
        <v>378</v>
      </c>
      <c r="G57" s="26" t="s">
        <v>293</v>
      </c>
      <c r="H57" s="27"/>
      <c r="I57" s="15"/>
      <c r="J57" s="15" t="s">
        <v>36</v>
      </c>
      <c r="K57" s="15" t="s">
        <v>294</v>
      </c>
      <c r="L57" s="15" t="s">
        <v>294</v>
      </c>
    </row>
    <row r="58" s="1" customFormat="1" spans="2:12">
      <c r="B58" s="32" t="s">
        <v>380</v>
      </c>
      <c r="C58" s="32" t="s">
        <v>338</v>
      </c>
      <c r="D58" s="10" t="s">
        <v>381</v>
      </c>
      <c r="E58" s="25" t="s">
        <v>266</v>
      </c>
      <c r="F58" s="26" t="s">
        <v>380</v>
      </c>
      <c r="G58" s="26" t="s">
        <v>293</v>
      </c>
      <c r="H58" s="27"/>
      <c r="I58" s="15"/>
      <c r="J58" s="15" t="s">
        <v>36</v>
      </c>
      <c r="K58" s="15" t="s">
        <v>294</v>
      </c>
      <c r="L58" s="15" t="s">
        <v>294</v>
      </c>
    </row>
    <row r="59" s="1" customFormat="1" spans="2:12">
      <c r="B59" s="32" t="s">
        <v>382</v>
      </c>
      <c r="C59" s="32" t="s">
        <v>338</v>
      </c>
      <c r="D59" s="10" t="s">
        <v>383</v>
      </c>
      <c r="E59" s="25" t="s">
        <v>266</v>
      </c>
      <c r="F59" s="26" t="s">
        <v>382</v>
      </c>
      <c r="G59" s="26" t="s">
        <v>293</v>
      </c>
      <c r="H59" s="27"/>
      <c r="I59" s="15"/>
      <c r="J59" s="15" t="s">
        <v>36</v>
      </c>
      <c r="K59" s="15" t="s">
        <v>294</v>
      </c>
      <c r="L59" s="15" t="s">
        <v>294</v>
      </c>
    </row>
    <row r="60" s="1" customFormat="1" spans="2:12">
      <c r="B60" s="32" t="s">
        <v>384</v>
      </c>
      <c r="C60" s="32" t="s">
        <v>385</v>
      </c>
      <c r="D60" s="10" t="s">
        <v>386</v>
      </c>
      <c r="E60" s="25" t="s">
        <v>266</v>
      </c>
      <c r="F60" s="26" t="s">
        <v>387</v>
      </c>
      <c r="G60" s="26" t="s">
        <v>293</v>
      </c>
      <c r="H60" s="27"/>
      <c r="I60" s="15"/>
      <c r="J60" s="15" t="s">
        <v>36</v>
      </c>
      <c r="K60" s="15" t="s">
        <v>294</v>
      </c>
      <c r="L60" s="15" t="s">
        <v>294</v>
      </c>
    </row>
    <row r="61" s="1" customFormat="1" spans="2:12">
      <c r="B61" s="32" t="s">
        <v>388</v>
      </c>
      <c r="C61" s="32" t="s">
        <v>338</v>
      </c>
      <c r="D61" s="10" t="s">
        <v>389</v>
      </c>
      <c r="E61" s="25" t="s">
        <v>266</v>
      </c>
      <c r="F61" s="26" t="s">
        <v>388</v>
      </c>
      <c r="G61" s="26" t="s">
        <v>293</v>
      </c>
      <c r="H61" s="27"/>
      <c r="I61" s="15"/>
      <c r="J61" s="15" t="s">
        <v>36</v>
      </c>
      <c r="K61" s="15" t="s">
        <v>294</v>
      </c>
      <c r="L61" s="15" t="s">
        <v>294</v>
      </c>
    </row>
    <row r="62" s="1" customFormat="1" spans="2:12">
      <c r="B62" s="32" t="s">
        <v>390</v>
      </c>
      <c r="C62" s="32" t="s">
        <v>338</v>
      </c>
      <c r="D62" s="10" t="s">
        <v>391</v>
      </c>
      <c r="E62" s="25" t="s">
        <v>266</v>
      </c>
      <c r="F62" s="26" t="s">
        <v>390</v>
      </c>
      <c r="G62" s="26" t="s">
        <v>293</v>
      </c>
      <c r="H62" s="27"/>
      <c r="I62" s="15"/>
      <c r="J62" s="15" t="s">
        <v>36</v>
      </c>
      <c r="K62" s="15" t="s">
        <v>294</v>
      </c>
      <c r="L62" s="15" t="s">
        <v>294</v>
      </c>
    </row>
    <row r="63" s="1" customFormat="1" spans="2:12">
      <c r="B63" s="32" t="s">
        <v>392</v>
      </c>
      <c r="C63" s="32" t="s">
        <v>338</v>
      </c>
      <c r="D63" s="10" t="s">
        <v>393</v>
      </c>
      <c r="E63" s="25" t="s">
        <v>266</v>
      </c>
      <c r="F63" s="26" t="s">
        <v>392</v>
      </c>
      <c r="G63" s="26" t="s">
        <v>293</v>
      </c>
      <c r="H63" s="27"/>
      <c r="I63" s="15"/>
      <c r="J63" s="15" t="s">
        <v>36</v>
      </c>
      <c r="K63" s="15" t="s">
        <v>294</v>
      </c>
      <c r="L63" s="15" t="s">
        <v>294</v>
      </c>
    </row>
    <row r="64" s="1" customFormat="1" spans="2:12">
      <c r="B64" s="32" t="s">
        <v>394</v>
      </c>
      <c r="C64" s="32" t="s">
        <v>338</v>
      </c>
      <c r="D64" s="10" t="s">
        <v>395</v>
      </c>
      <c r="E64" s="25" t="s">
        <v>266</v>
      </c>
      <c r="F64" s="26" t="s">
        <v>394</v>
      </c>
      <c r="G64" s="26" t="s">
        <v>293</v>
      </c>
      <c r="H64" s="27"/>
      <c r="I64" s="15"/>
      <c r="J64" s="15" t="s">
        <v>36</v>
      </c>
      <c r="K64" s="15" t="s">
        <v>294</v>
      </c>
      <c r="L64" s="15" t="s">
        <v>294</v>
      </c>
    </row>
    <row r="65" s="1" customFormat="1" spans="2:12">
      <c r="B65" s="32" t="s">
        <v>396</v>
      </c>
      <c r="C65" s="32" t="s">
        <v>338</v>
      </c>
      <c r="D65" s="10" t="s">
        <v>397</v>
      </c>
      <c r="E65" s="25" t="s">
        <v>266</v>
      </c>
      <c r="F65" s="26" t="s">
        <v>396</v>
      </c>
      <c r="G65" s="26" t="s">
        <v>293</v>
      </c>
      <c r="H65" s="27"/>
      <c r="I65" s="15"/>
      <c r="J65" s="15" t="s">
        <v>36</v>
      </c>
      <c r="K65" s="15" t="s">
        <v>294</v>
      </c>
      <c r="L65" s="15" t="s">
        <v>294</v>
      </c>
    </row>
    <row r="66" s="1" customFormat="1" spans="2:12">
      <c r="B66" s="32" t="s">
        <v>398</v>
      </c>
      <c r="C66" s="32" t="s">
        <v>338</v>
      </c>
      <c r="D66" s="10" t="s">
        <v>399</v>
      </c>
      <c r="E66" s="25" t="s">
        <v>266</v>
      </c>
      <c r="F66" s="26" t="s">
        <v>398</v>
      </c>
      <c r="G66" s="26" t="s">
        <v>293</v>
      </c>
      <c r="H66" s="27"/>
      <c r="I66" s="15"/>
      <c r="J66" s="15" t="s">
        <v>36</v>
      </c>
      <c r="K66" s="15" t="s">
        <v>294</v>
      </c>
      <c r="L66" s="15" t="s">
        <v>294</v>
      </c>
    </row>
    <row r="67" s="1" customFormat="1" spans="2:12">
      <c r="B67" s="32" t="s">
        <v>400</v>
      </c>
      <c r="C67" s="32" t="s">
        <v>338</v>
      </c>
      <c r="D67" s="10" t="s">
        <v>401</v>
      </c>
      <c r="E67" s="25" t="s">
        <v>266</v>
      </c>
      <c r="F67" s="26" t="s">
        <v>402</v>
      </c>
      <c r="G67" s="26" t="s">
        <v>403</v>
      </c>
      <c r="H67" s="27"/>
      <c r="I67" s="15"/>
      <c r="J67" s="15" t="s">
        <v>36</v>
      </c>
      <c r="K67" s="15" t="s">
        <v>404</v>
      </c>
      <c r="L67" s="15" t="s">
        <v>405</v>
      </c>
    </row>
    <row r="68" s="1" customFormat="1" spans="2:12">
      <c r="B68" s="32" t="s">
        <v>406</v>
      </c>
      <c r="C68" s="32" t="s">
        <v>338</v>
      </c>
      <c r="D68" s="10" t="s">
        <v>407</v>
      </c>
      <c r="E68" s="25" t="s">
        <v>266</v>
      </c>
      <c r="F68" s="26" t="s">
        <v>408</v>
      </c>
      <c r="G68" s="26" t="s">
        <v>409</v>
      </c>
      <c r="H68" s="27"/>
      <c r="I68" s="15"/>
      <c r="J68" s="15" t="s">
        <v>36</v>
      </c>
      <c r="K68" s="15" t="s">
        <v>404</v>
      </c>
      <c r="L68" s="15" t="s">
        <v>405</v>
      </c>
    </row>
    <row r="69" s="1" customFormat="1" spans="2:12">
      <c r="B69" s="32" t="s">
        <v>410</v>
      </c>
      <c r="C69" s="32" t="s">
        <v>338</v>
      </c>
      <c r="D69" s="10" t="s">
        <v>411</v>
      </c>
      <c r="E69" s="25" t="s">
        <v>266</v>
      </c>
      <c r="F69" s="26" t="s">
        <v>410</v>
      </c>
      <c r="G69" s="26" t="s">
        <v>293</v>
      </c>
      <c r="H69" s="27"/>
      <c r="I69" s="15"/>
      <c r="J69" s="15" t="s">
        <v>36</v>
      </c>
      <c r="K69" s="15" t="s">
        <v>294</v>
      </c>
      <c r="L69" s="15" t="s">
        <v>294</v>
      </c>
    </row>
    <row r="70" s="1" customFormat="1" spans="2:12">
      <c r="B70" s="32" t="s">
        <v>412</v>
      </c>
      <c r="C70" s="32" t="s">
        <v>338</v>
      </c>
      <c r="D70" s="10" t="s">
        <v>411</v>
      </c>
      <c r="E70" s="25" t="s">
        <v>266</v>
      </c>
      <c r="F70" s="26" t="s">
        <v>412</v>
      </c>
      <c r="G70" s="26" t="s">
        <v>293</v>
      </c>
      <c r="H70" s="27"/>
      <c r="I70" s="15"/>
      <c r="J70" s="15" t="s">
        <v>36</v>
      </c>
      <c r="K70" s="15" t="s">
        <v>294</v>
      </c>
      <c r="L70" s="15" t="s">
        <v>294</v>
      </c>
    </row>
    <row r="71" s="1" customFormat="1" spans="2:12">
      <c r="B71" s="32" t="s">
        <v>413</v>
      </c>
      <c r="C71" s="32" t="s">
        <v>338</v>
      </c>
      <c r="D71" s="10" t="s">
        <v>414</v>
      </c>
      <c r="E71" s="25" t="s">
        <v>266</v>
      </c>
      <c r="F71" s="26" t="s">
        <v>415</v>
      </c>
      <c r="G71" s="26" t="s">
        <v>416</v>
      </c>
      <c r="H71" s="27"/>
      <c r="I71" s="15"/>
      <c r="J71" s="15" t="s">
        <v>36</v>
      </c>
      <c r="K71" s="15" t="s">
        <v>404</v>
      </c>
      <c r="L71" s="15" t="s">
        <v>417</v>
      </c>
    </row>
    <row r="72" s="1" customFormat="1" spans="2:12">
      <c r="B72" s="32" t="s">
        <v>418</v>
      </c>
      <c r="C72" s="32" t="s">
        <v>338</v>
      </c>
      <c r="D72" s="10" t="s">
        <v>419</v>
      </c>
      <c r="E72" s="25" t="s">
        <v>266</v>
      </c>
      <c r="F72" s="26" t="s">
        <v>420</v>
      </c>
      <c r="G72" s="26" t="s">
        <v>421</v>
      </c>
      <c r="H72" s="27"/>
      <c r="I72" s="15"/>
      <c r="J72" s="15" t="s">
        <v>36</v>
      </c>
      <c r="K72" s="15" t="s">
        <v>404</v>
      </c>
      <c r="L72" s="15" t="s">
        <v>417</v>
      </c>
    </row>
    <row r="73" s="1" customFormat="1" spans="2:12">
      <c r="B73" s="32" t="s">
        <v>422</v>
      </c>
      <c r="C73" s="32" t="s">
        <v>307</v>
      </c>
      <c r="D73" s="10" t="s">
        <v>423</v>
      </c>
      <c r="E73" s="25" t="s">
        <v>266</v>
      </c>
      <c r="F73" s="26" t="s">
        <v>422</v>
      </c>
      <c r="G73" s="26" t="s">
        <v>293</v>
      </c>
      <c r="H73" s="27"/>
      <c r="I73" s="15"/>
      <c r="J73" s="15" t="s">
        <v>36</v>
      </c>
      <c r="K73" s="15" t="s">
        <v>294</v>
      </c>
      <c r="L73" s="15" t="s">
        <v>294</v>
      </c>
    </row>
    <row r="74" s="1" customFormat="1" spans="2:12">
      <c r="B74" s="32" t="s">
        <v>424</v>
      </c>
      <c r="C74" s="32" t="s">
        <v>307</v>
      </c>
      <c r="D74" s="10" t="s">
        <v>425</v>
      </c>
      <c r="E74" s="25" t="s">
        <v>266</v>
      </c>
      <c r="F74" s="26" t="s">
        <v>424</v>
      </c>
      <c r="G74" s="26" t="s">
        <v>293</v>
      </c>
      <c r="H74" s="27"/>
      <c r="I74" s="15"/>
      <c r="J74" s="15" t="s">
        <v>36</v>
      </c>
      <c r="K74" s="15" t="s">
        <v>294</v>
      </c>
      <c r="L74" s="15" t="s">
        <v>294</v>
      </c>
    </row>
    <row r="75" s="1" customFormat="1" spans="2:12">
      <c r="B75" s="32" t="s">
        <v>426</v>
      </c>
      <c r="C75" s="32" t="s">
        <v>307</v>
      </c>
      <c r="D75" s="10" t="s">
        <v>427</v>
      </c>
      <c r="E75" s="25" t="s">
        <v>266</v>
      </c>
      <c r="F75" s="26" t="s">
        <v>426</v>
      </c>
      <c r="G75" s="26" t="s">
        <v>293</v>
      </c>
      <c r="H75" s="27"/>
      <c r="I75" s="15"/>
      <c r="J75" s="15" t="s">
        <v>36</v>
      </c>
      <c r="K75" s="15" t="s">
        <v>294</v>
      </c>
      <c r="L75" s="15" t="s">
        <v>294</v>
      </c>
    </row>
    <row r="76" s="1" customFormat="1" spans="2:12">
      <c r="B76" s="32" t="s">
        <v>428</v>
      </c>
      <c r="C76" s="32" t="s">
        <v>385</v>
      </c>
      <c r="D76" s="10" t="s">
        <v>429</v>
      </c>
      <c r="E76" s="25" t="s">
        <v>266</v>
      </c>
      <c r="F76" s="26" t="s">
        <v>428</v>
      </c>
      <c r="G76" s="26" t="s">
        <v>293</v>
      </c>
      <c r="H76" s="27"/>
      <c r="I76" s="15"/>
      <c r="J76" s="15" t="s">
        <v>36</v>
      </c>
      <c r="K76" s="15" t="s">
        <v>294</v>
      </c>
      <c r="L76" s="15" t="s">
        <v>294</v>
      </c>
    </row>
    <row r="77" s="1" customFormat="1" spans="2:12">
      <c r="B77" s="32" t="s">
        <v>430</v>
      </c>
      <c r="C77" s="32" t="s">
        <v>385</v>
      </c>
      <c r="D77" s="10" t="s">
        <v>431</v>
      </c>
      <c r="E77" s="25" t="s">
        <v>266</v>
      </c>
      <c r="F77" s="26" t="s">
        <v>430</v>
      </c>
      <c r="G77" s="26" t="s">
        <v>293</v>
      </c>
      <c r="H77" s="27"/>
      <c r="I77" s="15"/>
      <c r="J77" s="15" t="s">
        <v>36</v>
      </c>
      <c r="K77" s="15" t="s">
        <v>294</v>
      </c>
      <c r="L77" s="15" t="s">
        <v>294</v>
      </c>
    </row>
    <row r="78" s="1" customFormat="1" spans="2:12">
      <c r="B78" s="32" t="s">
        <v>432</v>
      </c>
      <c r="C78" s="32" t="s">
        <v>307</v>
      </c>
      <c r="D78" s="10" t="s">
        <v>433</v>
      </c>
      <c r="E78" s="25" t="s">
        <v>266</v>
      </c>
      <c r="F78" s="26" t="s">
        <v>432</v>
      </c>
      <c r="G78" s="26" t="s">
        <v>293</v>
      </c>
      <c r="H78" s="27"/>
      <c r="I78" s="15"/>
      <c r="J78" s="15" t="s">
        <v>36</v>
      </c>
      <c r="K78" s="15" t="s">
        <v>294</v>
      </c>
      <c r="L78" s="15" t="s">
        <v>294</v>
      </c>
    </row>
    <row r="79" s="1" customFormat="1" spans="2:12">
      <c r="B79" s="32" t="s">
        <v>434</v>
      </c>
      <c r="C79" s="32" t="s">
        <v>307</v>
      </c>
      <c r="D79" s="10" t="s">
        <v>435</v>
      </c>
      <c r="E79" s="25" t="s">
        <v>266</v>
      </c>
      <c r="F79" s="26" t="s">
        <v>434</v>
      </c>
      <c r="G79" s="26" t="s">
        <v>293</v>
      </c>
      <c r="H79" s="27"/>
      <c r="I79" s="15"/>
      <c r="J79" s="15" t="s">
        <v>36</v>
      </c>
      <c r="K79" s="15" t="s">
        <v>294</v>
      </c>
      <c r="L79" s="15" t="s">
        <v>294</v>
      </c>
    </row>
    <row r="80" s="1" customFormat="1" spans="2:12">
      <c r="B80" s="32" t="s">
        <v>436</v>
      </c>
      <c r="C80" s="32" t="s">
        <v>307</v>
      </c>
      <c r="D80" s="10" t="s">
        <v>437</v>
      </c>
      <c r="E80" s="25" t="s">
        <v>266</v>
      </c>
      <c r="F80" s="26" t="s">
        <v>436</v>
      </c>
      <c r="G80" s="26" t="s">
        <v>293</v>
      </c>
      <c r="H80" s="27"/>
      <c r="I80" s="15"/>
      <c r="J80" s="15" t="s">
        <v>36</v>
      </c>
      <c r="K80" s="15" t="s">
        <v>294</v>
      </c>
      <c r="L80" s="15" t="s">
        <v>294</v>
      </c>
    </row>
    <row r="81" s="1" customFormat="1" spans="2:12">
      <c r="B81" s="32" t="s">
        <v>438</v>
      </c>
      <c r="C81" s="32" t="s">
        <v>307</v>
      </c>
      <c r="D81" s="10" t="s">
        <v>439</v>
      </c>
      <c r="E81" s="25" t="s">
        <v>266</v>
      </c>
      <c r="F81" s="26" t="s">
        <v>438</v>
      </c>
      <c r="G81" s="26" t="s">
        <v>293</v>
      </c>
      <c r="H81" s="27"/>
      <c r="I81" s="15"/>
      <c r="J81" s="15" t="s">
        <v>36</v>
      </c>
      <c r="K81" s="15" t="s">
        <v>294</v>
      </c>
      <c r="L81" s="15" t="s">
        <v>294</v>
      </c>
    </row>
    <row r="82" s="1" customFormat="1" spans="2:12">
      <c r="B82" s="32" t="s">
        <v>440</v>
      </c>
      <c r="C82" s="32" t="s">
        <v>307</v>
      </c>
      <c r="D82" s="10" t="s">
        <v>441</v>
      </c>
      <c r="E82" s="25" t="s">
        <v>266</v>
      </c>
      <c r="F82" s="26" t="s">
        <v>440</v>
      </c>
      <c r="G82" s="26" t="s">
        <v>293</v>
      </c>
      <c r="H82" s="27"/>
      <c r="I82" s="15"/>
      <c r="J82" s="15" t="s">
        <v>36</v>
      </c>
      <c r="K82" s="15" t="s">
        <v>294</v>
      </c>
      <c r="L82" s="15" t="s">
        <v>294</v>
      </c>
    </row>
    <row r="83" s="1" customFormat="1" spans="2:12">
      <c r="B83" s="32" t="s">
        <v>442</v>
      </c>
      <c r="C83" s="32" t="s">
        <v>291</v>
      </c>
      <c r="D83" s="10" t="s">
        <v>443</v>
      </c>
      <c r="E83" s="25" t="s">
        <v>266</v>
      </c>
      <c r="F83" s="26" t="s">
        <v>442</v>
      </c>
      <c r="G83" s="26" t="s">
        <v>293</v>
      </c>
      <c r="H83" s="27"/>
      <c r="I83" s="15"/>
      <c r="J83" s="15" t="s">
        <v>36</v>
      </c>
      <c r="K83" s="15" t="s">
        <v>294</v>
      </c>
      <c r="L83" s="15" t="s">
        <v>294</v>
      </c>
    </row>
    <row r="84" s="1" customFormat="1" spans="2:12">
      <c r="B84" s="32" t="s">
        <v>444</v>
      </c>
      <c r="C84" s="32" t="s">
        <v>291</v>
      </c>
      <c r="D84" s="10" t="s">
        <v>445</v>
      </c>
      <c r="E84" s="25" t="s">
        <v>266</v>
      </c>
      <c r="F84" s="26" t="s">
        <v>444</v>
      </c>
      <c r="G84" s="26" t="s">
        <v>293</v>
      </c>
      <c r="H84" s="27"/>
      <c r="I84" s="15"/>
      <c r="J84" s="15" t="s">
        <v>36</v>
      </c>
      <c r="K84" s="15" t="s">
        <v>294</v>
      </c>
      <c r="L84" s="15" t="s">
        <v>294</v>
      </c>
    </row>
    <row r="85" s="1" customFormat="1" spans="2:12">
      <c r="B85" s="32" t="s">
        <v>446</v>
      </c>
      <c r="C85" s="32" t="s">
        <v>291</v>
      </c>
      <c r="D85" s="10" t="s">
        <v>447</v>
      </c>
      <c r="E85" s="25" t="s">
        <v>266</v>
      </c>
      <c r="F85" s="26" t="s">
        <v>446</v>
      </c>
      <c r="G85" s="26" t="s">
        <v>293</v>
      </c>
      <c r="H85" s="27"/>
      <c r="I85" s="15"/>
      <c r="J85" s="15" t="s">
        <v>36</v>
      </c>
      <c r="K85" s="15" t="s">
        <v>294</v>
      </c>
      <c r="L85" s="15" t="s">
        <v>294</v>
      </c>
    </row>
    <row r="86" s="1" customFormat="1" spans="2:12">
      <c r="B86" s="32" t="s">
        <v>448</v>
      </c>
      <c r="C86" s="32" t="s">
        <v>291</v>
      </c>
      <c r="D86" s="10" t="s">
        <v>449</v>
      </c>
      <c r="E86" s="25" t="s">
        <v>266</v>
      </c>
      <c r="F86" s="26" t="s">
        <v>448</v>
      </c>
      <c r="G86" s="26" t="s">
        <v>293</v>
      </c>
      <c r="H86" s="27"/>
      <c r="I86" s="15"/>
      <c r="J86" s="15" t="s">
        <v>36</v>
      </c>
      <c r="K86" s="15" t="s">
        <v>294</v>
      </c>
      <c r="L86" s="15" t="s">
        <v>294</v>
      </c>
    </row>
    <row r="87" s="1" customFormat="1" spans="2:12">
      <c r="B87" s="32" t="s">
        <v>450</v>
      </c>
      <c r="C87" s="32" t="s">
        <v>338</v>
      </c>
      <c r="D87" s="10" t="s">
        <v>451</v>
      </c>
      <c r="E87" s="25" t="s">
        <v>266</v>
      </c>
      <c r="F87" s="26" t="s">
        <v>450</v>
      </c>
      <c r="G87" s="26" t="s">
        <v>293</v>
      </c>
      <c r="H87" s="27"/>
      <c r="I87" s="15"/>
      <c r="J87" s="15" t="s">
        <v>36</v>
      </c>
      <c r="K87" s="15" t="s">
        <v>294</v>
      </c>
      <c r="L87" s="15" t="s">
        <v>294</v>
      </c>
    </row>
    <row r="88" s="1" customFormat="1" spans="2:12">
      <c r="B88" s="32" t="s">
        <v>452</v>
      </c>
      <c r="C88" s="32" t="s">
        <v>291</v>
      </c>
      <c r="D88" s="10" t="s">
        <v>453</v>
      </c>
      <c r="E88" s="25" t="s">
        <v>266</v>
      </c>
      <c r="F88" s="26" t="s">
        <v>452</v>
      </c>
      <c r="G88" s="26" t="s">
        <v>293</v>
      </c>
      <c r="H88" s="27"/>
      <c r="I88" s="15"/>
      <c r="J88" s="15" t="s">
        <v>36</v>
      </c>
      <c r="K88" s="15" t="s">
        <v>294</v>
      </c>
      <c r="L88" s="15" t="s">
        <v>294</v>
      </c>
    </row>
    <row r="89" s="1" customFormat="1" spans="2:12">
      <c r="B89" s="32" t="s">
        <v>454</v>
      </c>
      <c r="C89" s="32" t="s">
        <v>338</v>
      </c>
      <c r="D89" s="10" t="s">
        <v>455</v>
      </c>
      <c r="E89" s="25" t="s">
        <v>266</v>
      </c>
      <c r="F89" s="26" t="s">
        <v>454</v>
      </c>
      <c r="G89" s="26" t="s">
        <v>293</v>
      </c>
      <c r="H89" s="27"/>
      <c r="I89" s="15"/>
      <c r="J89" s="15" t="s">
        <v>36</v>
      </c>
      <c r="K89" s="15" t="s">
        <v>294</v>
      </c>
      <c r="L89" s="15" t="s">
        <v>294</v>
      </c>
    </row>
    <row r="90" s="1" customFormat="1" spans="2:12">
      <c r="B90" s="32" t="s">
        <v>456</v>
      </c>
      <c r="C90" s="32" t="s">
        <v>291</v>
      </c>
      <c r="D90" s="10" t="s">
        <v>457</v>
      </c>
      <c r="E90" s="25" t="s">
        <v>266</v>
      </c>
      <c r="F90" s="26" t="s">
        <v>456</v>
      </c>
      <c r="G90" s="26" t="s">
        <v>293</v>
      </c>
      <c r="H90" s="27"/>
      <c r="I90" s="15"/>
      <c r="J90" s="15" t="s">
        <v>36</v>
      </c>
      <c r="K90" s="15" t="s">
        <v>294</v>
      </c>
      <c r="L90" s="15" t="s">
        <v>294</v>
      </c>
    </row>
    <row r="91" s="1" customFormat="1" spans="2:12">
      <c r="B91" s="32" t="s">
        <v>458</v>
      </c>
      <c r="C91" s="32" t="s">
        <v>307</v>
      </c>
      <c r="D91" s="10" t="s">
        <v>459</v>
      </c>
      <c r="E91" s="25" t="s">
        <v>266</v>
      </c>
      <c r="F91" s="26" t="s">
        <v>458</v>
      </c>
      <c r="G91" s="26" t="s">
        <v>293</v>
      </c>
      <c r="H91" s="27"/>
      <c r="I91" s="15"/>
      <c r="J91" s="15" t="s">
        <v>36</v>
      </c>
      <c r="K91" s="15" t="s">
        <v>294</v>
      </c>
      <c r="L91" s="15" t="s">
        <v>294</v>
      </c>
    </row>
    <row r="92" s="1" customFormat="1" spans="2:12">
      <c r="B92" s="32" t="s">
        <v>460</v>
      </c>
      <c r="C92" s="32" t="s">
        <v>307</v>
      </c>
      <c r="D92" s="10" t="s">
        <v>461</v>
      </c>
      <c r="E92" s="25" t="s">
        <v>266</v>
      </c>
      <c r="F92" s="26" t="s">
        <v>460</v>
      </c>
      <c r="G92" s="26" t="s">
        <v>293</v>
      </c>
      <c r="H92" s="27"/>
      <c r="I92" s="15"/>
      <c r="J92" s="15" t="s">
        <v>36</v>
      </c>
      <c r="K92" s="15" t="s">
        <v>294</v>
      </c>
      <c r="L92" s="15" t="s">
        <v>294</v>
      </c>
    </row>
    <row r="93" s="1" customFormat="1" spans="2:12">
      <c r="B93" s="32" t="s">
        <v>462</v>
      </c>
      <c r="C93" s="32" t="s">
        <v>338</v>
      </c>
      <c r="D93" s="10" t="s">
        <v>463</v>
      </c>
      <c r="E93" s="25" t="s">
        <v>266</v>
      </c>
      <c r="F93" s="26" t="s">
        <v>462</v>
      </c>
      <c r="G93" s="26" t="s">
        <v>293</v>
      </c>
      <c r="H93" s="27"/>
      <c r="I93" s="15"/>
      <c r="J93" s="15" t="s">
        <v>36</v>
      </c>
      <c r="K93" s="15" t="s">
        <v>294</v>
      </c>
      <c r="L93" s="15" t="s">
        <v>294</v>
      </c>
    </row>
    <row r="94" s="1" customFormat="1" spans="2:12">
      <c r="B94" s="32" t="s">
        <v>464</v>
      </c>
      <c r="C94" s="32" t="s">
        <v>307</v>
      </c>
      <c r="D94" s="10" t="s">
        <v>465</v>
      </c>
      <c r="E94" s="25" t="s">
        <v>266</v>
      </c>
      <c r="F94" s="26" t="s">
        <v>464</v>
      </c>
      <c r="G94" s="26" t="s">
        <v>293</v>
      </c>
      <c r="H94" s="27"/>
      <c r="I94" s="15"/>
      <c r="J94" s="15" t="s">
        <v>36</v>
      </c>
      <c r="K94" s="15" t="s">
        <v>294</v>
      </c>
      <c r="L94" s="15" t="s">
        <v>294</v>
      </c>
    </row>
    <row r="95" s="1" customFormat="1" spans="2:12">
      <c r="B95" s="32" t="s">
        <v>466</v>
      </c>
      <c r="C95" s="32" t="s">
        <v>338</v>
      </c>
      <c r="D95" s="10" t="s">
        <v>467</v>
      </c>
      <c r="E95" s="25" t="s">
        <v>266</v>
      </c>
      <c r="F95" s="26" t="s">
        <v>466</v>
      </c>
      <c r="G95" s="26" t="s">
        <v>293</v>
      </c>
      <c r="H95" s="27"/>
      <c r="I95" s="15"/>
      <c r="J95" s="15" t="s">
        <v>36</v>
      </c>
      <c r="K95" s="15" t="s">
        <v>294</v>
      </c>
      <c r="L95" s="15" t="s">
        <v>294</v>
      </c>
    </row>
    <row r="96" s="1" customFormat="1" spans="2:12">
      <c r="B96" s="32" t="s">
        <v>468</v>
      </c>
      <c r="C96" s="32" t="s">
        <v>338</v>
      </c>
      <c r="D96" s="10" t="s">
        <v>469</v>
      </c>
      <c r="E96" s="25" t="s">
        <v>266</v>
      </c>
      <c r="F96" s="26" t="s">
        <v>468</v>
      </c>
      <c r="G96" s="26" t="s">
        <v>293</v>
      </c>
      <c r="H96" s="27"/>
      <c r="I96" s="15"/>
      <c r="J96" s="15" t="s">
        <v>36</v>
      </c>
      <c r="K96" s="15" t="s">
        <v>294</v>
      </c>
      <c r="L96" s="15" t="s">
        <v>294</v>
      </c>
    </row>
    <row r="97" s="1" customFormat="1" spans="2:12">
      <c r="B97" s="32" t="s">
        <v>470</v>
      </c>
      <c r="C97" s="32" t="s">
        <v>338</v>
      </c>
      <c r="D97" s="10" t="s">
        <v>471</v>
      </c>
      <c r="E97" s="25" t="s">
        <v>266</v>
      </c>
      <c r="F97" s="26" t="s">
        <v>470</v>
      </c>
      <c r="G97" s="26" t="s">
        <v>293</v>
      </c>
      <c r="H97" s="27"/>
      <c r="I97" s="15"/>
      <c r="J97" s="15" t="s">
        <v>36</v>
      </c>
      <c r="K97" s="15" t="s">
        <v>294</v>
      </c>
      <c r="L97" s="15" t="s">
        <v>294</v>
      </c>
    </row>
    <row r="98" s="1" customFormat="1" spans="2:12">
      <c r="B98" s="32" t="s">
        <v>472</v>
      </c>
      <c r="C98" s="32" t="s">
        <v>338</v>
      </c>
      <c r="D98" s="10" t="s">
        <v>473</v>
      </c>
      <c r="E98" s="25" t="s">
        <v>266</v>
      </c>
      <c r="F98" s="26" t="s">
        <v>472</v>
      </c>
      <c r="G98" s="26" t="s">
        <v>293</v>
      </c>
      <c r="H98" s="27"/>
      <c r="I98" s="15"/>
      <c r="J98" s="15" t="s">
        <v>36</v>
      </c>
      <c r="K98" s="15" t="s">
        <v>294</v>
      </c>
      <c r="L98" s="15" t="s">
        <v>294</v>
      </c>
    </row>
    <row r="99" s="1" customFormat="1" spans="2:12">
      <c r="B99" s="32" t="s">
        <v>474</v>
      </c>
      <c r="C99" s="32" t="s">
        <v>338</v>
      </c>
      <c r="D99" s="10" t="s">
        <v>475</v>
      </c>
      <c r="E99" s="25" t="s">
        <v>266</v>
      </c>
      <c r="F99" s="26" t="s">
        <v>474</v>
      </c>
      <c r="G99" s="26" t="s">
        <v>293</v>
      </c>
      <c r="H99" s="27"/>
      <c r="I99" s="15"/>
      <c r="J99" s="15" t="s">
        <v>36</v>
      </c>
      <c r="K99" s="15" t="s">
        <v>294</v>
      </c>
      <c r="L99" s="15" t="s">
        <v>294</v>
      </c>
    </row>
    <row r="100" s="1" customFormat="1" spans="2:12">
      <c r="B100" s="32" t="s">
        <v>476</v>
      </c>
      <c r="C100" s="32" t="s">
        <v>338</v>
      </c>
      <c r="D100" s="10" t="s">
        <v>477</v>
      </c>
      <c r="E100" s="25" t="s">
        <v>266</v>
      </c>
      <c r="F100" s="26" t="s">
        <v>476</v>
      </c>
      <c r="G100" s="26" t="s">
        <v>293</v>
      </c>
      <c r="H100" s="27"/>
      <c r="I100" s="15"/>
      <c r="J100" s="15" t="s">
        <v>36</v>
      </c>
      <c r="K100" s="15" t="s">
        <v>294</v>
      </c>
      <c r="L100" s="15" t="s">
        <v>294</v>
      </c>
    </row>
    <row r="101" s="1" customFormat="1" spans="2:12">
      <c r="B101" s="32" t="s">
        <v>478</v>
      </c>
      <c r="C101" s="32" t="s">
        <v>338</v>
      </c>
      <c r="D101" s="10" t="s">
        <v>479</v>
      </c>
      <c r="E101" s="25" t="s">
        <v>266</v>
      </c>
      <c r="F101" s="26" t="s">
        <v>478</v>
      </c>
      <c r="G101" s="26" t="s">
        <v>293</v>
      </c>
      <c r="H101" s="27"/>
      <c r="I101" s="15"/>
      <c r="J101" s="15" t="s">
        <v>36</v>
      </c>
      <c r="K101" s="15" t="s">
        <v>294</v>
      </c>
      <c r="L101" s="15" t="s">
        <v>294</v>
      </c>
    </row>
    <row r="102" s="1" customFormat="1" spans="2:12">
      <c r="B102" s="32" t="s">
        <v>480</v>
      </c>
      <c r="C102" s="32" t="s">
        <v>338</v>
      </c>
      <c r="D102" s="10" t="s">
        <v>481</v>
      </c>
      <c r="E102" s="25" t="s">
        <v>266</v>
      </c>
      <c r="F102" s="26" t="s">
        <v>480</v>
      </c>
      <c r="G102" s="26" t="s">
        <v>293</v>
      </c>
      <c r="H102" s="27"/>
      <c r="I102" s="15"/>
      <c r="J102" s="15" t="s">
        <v>36</v>
      </c>
      <c r="K102" s="15" t="s">
        <v>294</v>
      </c>
      <c r="L102" s="15" t="s">
        <v>294</v>
      </c>
    </row>
    <row r="103" s="1" customFormat="1" spans="2:12">
      <c r="B103" s="32" t="s">
        <v>482</v>
      </c>
      <c r="C103" s="32" t="s">
        <v>385</v>
      </c>
      <c r="D103" s="10" t="s">
        <v>483</v>
      </c>
      <c r="E103" s="25" t="s">
        <v>266</v>
      </c>
      <c r="F103" s="26" t="s">
        <v>482</v>
      </c>
      <c r="G103" s="26" t="s">
        <v>293</v>
      </c>
      <c r="H103" s="27"/>
      <c r="I103" s="15"/>
      <c r="J103" s="15" t="s">
        <v>36</v>
      </c>
      <c r="K103" s="15" t="s">
        <v>294</v>
      </c>
      <c r="L103" s="15" t="s">
        <v>294</v>
      </c>
    </row>
    <row r="104" s="1" customFormat="1" spans="2:12">
      <c r="B104" s="32" t="s">
        <v>484</v>
      </c>
      <c r="C104" s="32" t="s">
        <v>338</v>
      </c>
      <c r="D104" s="10" t="s">
        <v>485</v>
      </c>
      <c r="E104" s="25" t="s">
        <v>266</v>
      </c>
      <c r="F104" s="26" t="s">
        <v>484</v>
      </c>
      <c r="G104" s="26" t="s">
        <v>293</v>
      </c>
      <c r="H104" s="27"/>
      <c r="I104" s="15"/>
      <c r="J104" s="15" t="s">
        <v>36</v>
      </c>
      <c r="K104" s="15" t="s">
        <v>294</v>
      </c>
      <c r="L104" s="15" t="s">
        <v>294</v>
      </c>
    </row>
    <row r="105" s="1" customFormat="1" spans="2:12">
      <c r="B105" s="32" t="s">
        <v>486</v>
      </c>
      <c r="C105" s="32" t="s">
        <v>338</v>
      </c>
      <c r="D105" s="10" t="s">
        <v>487</v>
      </c>
      <c r="E105" s="25" t="s">
        <v>266</v>
      </c>
      <c r="F105" s="26" t="s">
        <v>486</v>
      </c>
      <c r="G105" s="26" t="s">
        <v>293</v>
      </c>
      <c r="H105" s="27"/>
      <c r="I105" s="15"/>
      <c r="J105" s="15" t="s">
        <v>36</v>
      </c>
      <c r="K105" s="15" t="s">
        <v>294</v>
      </c>
      <c r="L105" s="15" t="s">
        <v>294</v>
      </c>
    </row>
    <row r="106" s="1" customFormat="1" spans="2:12">
      <c r="B106" s="32" t="s">
        <v>488</v>
      </c>
      <c r="C106" s="32" t="s">
        <v>291</v>
      </c>
      <c r="D106" s="10" t="s">
        <v>489</v>
      </c>
      <c r="E106" s="25" t="s">
        <v>266</v>
      </c>
      <c r="F106" s="26" t="s">
        <v>488</v>
      </c>
      <c r="G106" s="26" t="s">
        <v>293</v>
      </c>
      <c r="H106" s="27"/>
      <c r="I106" s="15"/>
      <c r="J106" s="15" t="s">
        <v>36</v>
      </c>
      <c r="K106" s="15" t="s">
        <v>294</v>
      </c>
      <c r="L106" s="15" t="s">
        <v>294</v>
      </c>
    </row>
    <row r="107" s="1" customFormat="1" spans="2:12">
      <c r="B107" s="32" t="s">
        <v>490</v>
      </c>
      <c r="C107" s="32" t="s">
        <v>385</v>
      </c>
      <c r="D107" s="10" t="s">
        <v>491</v>
      </c>
      <c r="E107" s="25" t="s">
        <v>266</v>
      </c>
      <c r="F107" s="26" t="s">
        <v>490</v>
      </c>
      <c r="G107" s="26" t="s">
        <v>293</v>
      </c>
      <c r="H107" s="27"/>
      <c r="I107" s="15"/>
      <c r="J107" s="15" t="s">
        <v>36</v>
      </c>
      <c r="K107" s="15" t="s">
        <v>294</v>
      </c>
      <c r="L107" s="15" t="s">
        <v>294</v>
      </c>
    </row>
    <row r="108" s="1" customFormat="1" spans="2:12">
      <c r="B108" s="32" t="s">
        <v>492</v>
      </c>
      <c r="C108" s="32" t="s">
        <v>385</v>
      </c>
      <c r="D108" s="10" t="s">
        <v>493</v>
      </c>
      <c r="E108" s="25" t="s">
        <v>266</v>
      </c>
      <c r="F108" s="26" t="s">
        <v>492</v>
      </c>
      <c r="G108" s="26" t="s">
        <v>293</v>
      </c>
      <c r="H108" s="27"/>
      <c r="I108" s="15"/>
      <c r="J108" s="15" t="s">
        <v>36</v>
      </c>
      <c r="K108" s="15" t="s">
        <v>294</v>
      </c>
      <c r="L108" s="15" t="s">
        <v>294</v>
      </c>
    </row>
    <row r="109" s="1" customFormat="1" spans="2:12">
      <c r="B109" s="32" t="s">
        <v>494</v>
      </c>
      <c r="C109" s="32" t="s">
        <v>291</v>
      </c>
      <c r="D109" s="10" t="s">
        <v>495</v>
      </c>
      <c r="E109" s="25" t="s">
        <v>266</v>
      </c>
      <c r="F109" s="26" t="s">
        <v>494</v>
      </c>
      <c r="G109" s="26" t="s">
        <v>293</v>
      </c>
      <c r="H109" s="27"/>
      <c r="I109" s="15"/>
      <c r="J109" s="15" t="s">
        <v>36</v>
      </c>
      <c r="K109" s="15" t="s">
        <v>294</v>
      </c>
      <c r="L109" s="15" t="s">
        <v>294</v>
      </c>
    </row>
    <row r="110" s="1" customFormat="1" spans="2:12">
      <c r="B110" s="32" t="s">
        <v>496</v>
      </c>
      <c r="C110" s="32" t="s">
        <v>291</v>
      </c>
      <c r="D110" s="10" t="s">
        <v>497</v>
      </c>
      <c r="E110" s="25" t="s">
        <v>266</v>
      </c>
      <c r="F110" s="26" t="s">
        <v>496</v>
      </c>
      <c r="G110" s="26" t="s">
        <v>293</v>
      </c>
      <c r="H110" s="27"/>
      <c r="I110" s="15"/>
      <c r="J110" s="15" t="s">
        <v>36</v>
      </c>
      <c r="K110" s="15" t="s">
        <v>294</v>
      </c>
      <c r="L110" s="15" t="s">
        <v>294</v>
      </c>
    </row>
    <row r="111" s="1" customFormat="1" spans="2:12">
      <c r="B111" s="32" t="s">
        <v>498</v>
      </c>
      <c r="C111" s="32" t="s">
        <v>385</v>
      </c>
      <c r="D111" s="10" t="s">
        <v>499</v>
      </c>
      <c r="E111" s="25" t="s">
        <v>266</v>
      </c>
      <c r="F111" s="26" t="s">
        <v>498</v>
      </c>
      <c r="G111" s="26" t="s">
        <v>293</v>
      </c>
      <c r="H111" s="27"/>
      <c r="I111" s="15"/>
      <c r="J111" s="15" t="s">
        <v>36</v>
      </c>
      <c r="K111" s="15" t="s">
        <v>294</v>
      </c>
      <c r="L111" s="15" t="s">
        <v>294</v>
      </c>
    </row>
    <row r="112" s="1" customFormat="1" spans="2:12">
      <c r="B112" s="32" t="s">
        <v>500</v>
      </c>
      <c r="C112" s="32" t="s">
        <v>338</v>
      </c>
      <c r="D112" s="10" t="s">
        <v>501</v>
      </c>
      <c r="E112" s="25" t="s">
        <v>266</v>
      </c>
      <c r="F112" s="26" t="s">
        <v>500</v>
      </c>
      <c r="G112" s="26" t="s">
        <v>293</v>
      </c>
      <c r="H112" s="27"/>
      <c r="I112" s="15"/>
      <c r="J112" s="15" t="s">
        <v>36</v>
      </c>
      <c r="K112" s="15" t="s">
        <v>294</v>
      </c>
      <c r="L112" s="15" t="s">
        <v>294</v>
      </c>
    </row>
    <row r="113" s="1" customFormat="1" spans="2:12">
      <c r="B113" s="32" t="s">
        <v>502</v>
      </c>
      <c r="C113" s="32" t="s">
        <v>338</v>
      </c>
      <c r="D113" s="10" t="s">
        <v>503</v>
      </c>
      <c r="E113" s="25" t="s">
        <v>266</v>
      </c>
      <c r="F113" s="26" t="s">
        <v>502</v>
      </c>
      <c r="G113" s="26" t="s">
        <v>293</v>
      </c>
      <c r="H113" s="27"/>
      <c r="I113" s="15"/>
      <c r="J113" s="15" t="s">
        <v>36</v>
      </c>
      <c r="K113" s="15" t="s">
        <v>294</v>
      </c>
      <c r="L113" s="15" t="s">
        <v>294</v>
      </c>
    </row>
    <row r="114" s="1" customFormat="1" spans="2:12">
      <c r="B114" s="32" t="s">
        <v>504</v>
      </c>
      <c r="C114" s="32" t="s">
        <v>338</v>
      </c>
      <c r="D114" s="10" t="s">
        <v>505</v>
      </c>
      <c r="E114" s="25" t="s">
        <v>266</v>
      </c>
      <c r="F114" s="26" t="s">
        <v>504</v>
      </c>
      <c r="G114" s="26" t="s">
        <v>293</v>
      </c>
      <c r="H114" s="27"/>
      <c r="I114" s="15"/>
      <c r="J114" s="15" t="s">
        <v>36</v>
      </c>
      <c r="K114" s="15" t="s">
        <v>294</v>
      </c>
      <c r="L114" s="15" t="s">
        <v>294</v>
      </c>
    </row>
    <row r="115" s="1" customFormat="1" spans="2:12">
      <c r="B115" s="32" t="s">
        <v>506</v>
      </c>
      <c r="C115" s="32" t="s">
        <v>338</v>
      </c>
      <c r="D115" s="10" t="s">
        <v>507</v>
      </c>
      <c r="E115" s="25" t="s">
        <v>266</v>
      </c>
      <c r="F115" s="26" t="s">
        <v>506</v>
      </c>
      <c r="G115" s="26" t="s">
        <v>293</v>
      </c>
      <c r="H115" s="27"/>
      <c r="I115" s="15"/>
      <c r="J115" s="15" t="s">
        <v>36</v>
      </c>
      <c r="K115" s="15" t="s">
        <v>294</v>
      </c>
      <c r="L115" s="15" t="s">
        <v>294</v>
      </c>
    </row>
    <row r="116" s="1" customFormat="1" spans="2:12">
      <c r="B116" s="32" t="s">
        <v>508</v>
      </c>
      <c r="C116" s="32" t="s">
        <v>338</v>
      </c>
      <c r="D116" s="10" t="s">
        <v>509</v>
      </c>
      <c r="E116" s="25" t="s">
        <v>266</v>
      </c>
      <c r="F116" s="26" t="s">
        <v>508</v>
      </c>
      <c r="G116" s="26" t="s">
        <v>293</v>
      </c>
      <c r="H116" s="27"/>
      <c r="I116" s="15"/>
      <c r="J116" s="15" t="s">
        <v>36</v>
      </c>
      <c r="K116" s="15" t="s">
        <v>294</v>
      </c>
      <c r="L116" s="15" t="s">
        <v>294</v>
      </c>
    </row>
    <row r="117" s="1" customFormat="1" spans="2:12">
      <c r="B117" s="32" t="s">
        <v>510</v>
      </c>
      <c r="C117" s="32" t="s">
        <v>338</v>
      </c>
      <c r="D117" s="10" t="s">
        <v>511</v>
      </c>
      <c r="E117" s="25" t="s">
        <v>266</v>
      </c>
      <c r="F117" s="26" t="s">
        <v>510</v>
      </c>
      <c r="G117" s="26" t="s">
        <v>293</v>
      </c>
      <c r="H117" s="27"/>
      <c r="I117" s="15"/>
      <c r="J117" s="15" t="s">
        <v>36</v>
      </c>
      <c r="K117" s="15" t="s">
        <v>294</v>
      </c>
      <c r="L117" s="15" t="s">
        <v>294</v>
      </c>
    </row>
    <row r="118" s="1" customFormat="1" spans="2:12">
      <c r="B118" s="32" t="s">
        <v>512</v>
      </c>
      <c r="C118" s="32" t="s">
        <v>338</v>
      </c>
      <c r="D118" s="10" t="s">
        <v>513</v>
      </c>
      <c r="E118" s="25" t="s">
        <v>266</v>
      </c>
      <c r="F118" s="26" t="s">
        <v>512</v>
      </c>
      <c r="G118" s="26" t="s">
        <v>293</v>
      </c>
      <c r="H118" s="27"/>
      <c r="I118" s="15"/>
      <c r="J118" s="15" t="s">
        <v>36</v>
      </c>
      <c r="K118" s="15" t="s">
        <v>294</v>
      </c>
      <c r="L118" s="15" t="s">
        <v>294</v>
      </c>
    </row>
    <row r="119" s="1" customFormat="1" ht="39" spans="2:12">
      <c r="B119" s="32" t="s">
        <v>514</v>
      </c>
      <c r="C119" s="32" t="s">
        <v>338</v>
      </c>
      <c r="D119" s="10" t="s">
        <v>515</v>
      </c>
      <c r="E119" s="25" t="s">
        <v>266</v>
      </c>
      <c r="F119" s="26"/>
      <c r="G119" s="24" t="s">
        <v>516</v>
      </c>
      <c r="H119" s="27"/>
      <c r="I119" s="15"/>
      <c r="J119" s="15" t="s">
        <v>36</v>
      </c>
      <c r="K119" s="15" t="s">
        <v>294</v>
      </c>
      <c r="L119" s="15" t="s">
        <v>294</v>
      </c>
    </row>
    <row r="120" s="1" customFormat="1" spans="2:12">
      <c r="B120" s="32" t="s">
        <v>517</v>
      </c>
      <c r="C120" s="32" t="s">
        <v>307</v>
      </c>
      <c r="D120" s="10" t="s">
        <v>518</v>
      </c>
      <c r="E120" s="25" t="s">
        <v>269</v>
      </c>
      <c r="F120" s="10" t="s">
        <v>517</v>
      </c>
      <c r="G120" s="26" t="s">
        <v>519</v>
      </c>
      <c r="H120" s="27"/>
      <c r="I120" s="15"/>
      <c r="J120" s="15" t="s">
        <v>36</v>
      </c>
      <c r="K120" s="15" t="s">
        <v>294</v>
      </c>
      <c r="L120" s="15" t="s">
        <v>294</v>
      </c>
    </row>
    <row r="121" s="1" customFormat="1" spans="2:12">
      <c r="B121" s="32" t="s">
        <v>520</v>
      </c>
      <c r="C121" s="32" t="s">
        <v>307</v>
      </c>
      <c r="D121" s="10" t="s">
        <v>521</v>
      </c>
      <c r="E121" s="25" t="s">
        <v>269</v>
      </c>
      <c r="F121" s="10" t="s">
        <v>520</v>
      </c>
      <c r="G121" s="26" t="s">
        <v>519</v>
      </c>
      <c r="H121" s="27"/>
      <c r="I121" s="15"/>
      <c r="J121" s="15" t="s">
        <v>36</v>
      </c>
      <c r="K121" s="15" t="s">
        <v>294</v>
      </c>
      <c r="L121" s="15" t="s">
        <v>294</v>
      </c>
    </row>
    <row r="122" s="1" customFormat="1" spans="2:12">
      <c r="B122" s="32" t="s">
        <v>522</v>
      </c>
      <c r="C122" s="32" t="s">
        <v>291</v>
      </c>
      <c r="D122" s="10" t="s">
        <v>523</v>
      </c>
      <c r="E122" s="25" t="s">
        <v>269</v>
      </c>
      <c r="F122" s="35" t="s">
        <v>522</v>
      </c>
      <c r="G122" s="26" t="s">
        <v>519</v>
      </c>
      <c r="H122" s="27"/>
      <c r="I122" s="15"/>
      <c r="J122" s="15" t="s">
        <v>36</v>
      </c>
      <c r="K122" s="15" t="s">
        <v>294</v>
      </c>
      <c r="L122" s="15" t="s">
        <v>294</v>
      </c>
    </row>
    <row r="123" s="1" customFormat="1" spans="2:12">
      <c r="B123" s="32" t="s">
        <v>524</v>
      </c>
      <c r="C123" s="32" t="s">
        <v>291</v>
      </c>
      <c r="D123" s="10" t="s">
        <v>525</v>
      </c>
      <c r="E123" s="25" t="s">
        <v>269</v>
      </c>
      <c r="F123" s="35" t="s">
        <v>524</v>
      </c>
      <c r="G123" s="26" t="s">
        <v>519</v>
      </c>
      <c r="H123" s="27"/>
      <c r="I123" s="15"/>
      <c r="J123" s="15" t="s">
        <v>36</v>
      </c>
      <c r="K123" s="15" t="s">
        <v>294</v>
      </c>
      <c r="L123" s="15" t="s">
        <v>294</v>
      </c>
    </row>
    <row r="124" s="1" customFormat="1" spans="2:12">
      <c r="B124" s="32" t="s">
        <v>526</v>
      </c>
      <c r="C124" s="32" t="s">
        <v>291</v>
      </c>
      <c r="D124" s="10" t="s">
        <v>527</v>
      </c>
      <c r="E124" s="25" t="s">
        <v>269</v>
      </c>
      <c r="F124" s="35" t="s">
        <v>526</v>
      </c>
      <c r="G124" s="26" t="s">
        <v>519</v>
      </c>
      <c r="H124" s="27"/>
      <c r="I124" s="15"/>
      <c r="J124" s="15" t="s">
        <v>36</v>
      </c>
      <c r="K124" s="15" t="s">
        <v>294</v>
      </c>
      <c r="L124" s="15" t="s">
        <v>294</v>
      </c>
    </row>
    <row r="125" s="1" customFormat="1" spans="2:12">
      <c r="B125" s="32" t="s">
        <v>528</v>
      </c>
      <c r="C125" s="32" t="s">
        <v>338</v>
      </c>
      <c r="D125" s="10" t="s">
        <v>529</v>
      </c>
      <c r="E125" s="25" t="s">
        <v>266</v>
      </c>
      <c r="F125" s="32"/>
      <c r="G125" s="26" t="s">
        <v>530</v>
      </c>
      <c r="H125" s="27"/>
      <c r="I125" s="15"/>
      <c r="J125" s="15" t="s">
        <v>36</v>
      </c>
      <c r="K125" s="15" t="s">
        <v>294</v>
      </c>
      <c r="L125" s="15" t="s">
        <v>531</v>
      </c>
    </row>
    <row r="126" s="1" customFormat="1" spans="2:12">
      <c r="B126" s="32" t="s">
        <v>532</v>
      </c>
      <c r="C126" s="34" t="s">
        <v>338</v>
      </c>
      <c r="D126" s="10" t="s">
        <v>533</v>
      </c>
      <c r="E126" s="25" t="s">
        <v>266</v>
      </c>
      <c r="F126" s="32"/>
      <c r="G126" s="26" t="s">
        <v>534</v>
      </c>
      <c r="H126" s="27"/>
      <c r="I126" s="15"/>
      <c r="J126" s="15" t="s">
        <v>36</v>
      </c>
      <c r="K126" s="15" t="s">
        <v>294</v>
      </c>
      <c r="L126" s="15" t="s">
        <v>531</v>
      </c>
    </row>
    <row r="127" s="1" customFormat="1" spans="2:12">
      <c r="B127" s="32" t="s">
        <v>535</v>
      </c>
      <c r="C127" s="34" t="s">
        <v>338</v>
      </c>
      <c r="D127" s="10" t="s">
        <v>536</v>
      </c>
      <c r="E127" s="25" t="s">
        <v>266</v>
      </c>
      <c r="F127" s="32"/>
      <c r="G127" s="26" t="s">
        <v>537</v>
      </c>
      <c r="H127" s="27"/>
      <c r="I127" s="15"/>
      <c r="J127" s="15" t="s">
        <v>36</v>
      </c>
      <c r="K127" s="15" t="s">
        <v>294</v>
      </c>
      <c r="L127" s="15" t="s">
        <v>531</v>
      </c>
    </row>
    <row r="128" s="1" customFormat="1" spans="2:12">
      <c r="B128" s="32" t="s">
        <v>538</v>
      </c>
      <c r="C128" s="34" t="s">
        <v>338</v>
      </c>
      <c r="D128" s="10" t="s">
        <v>539</v>
      </c>
      <c r="E128" s="25" t="s">
        <v>266</v>
      </c>
      <c r="F128" s="32"/>
      <c r="G128" s="26" t="s">
        <v>540</v>
      </c>
      <c r="H128" s="27"/>
      <c r="I128" s="64" t="s">
        <v>541</v>
      </c>
      <c r="J128" s="15" t="s">
        <v>36</v>
      </c>
      <c r="K128" s="15" t="s">
        <v>404</v>
      </c>
      <c r="L128" s="15" t="s">
        <v>542</v>
      </c>
    </row>
    <row r="129" s="1" customFormat="1" spans="2:12">
      <c r="B129" s="32" t="s">
        <v>543</v>
      </c>
      <c r="C129" s="34" t="s">
        <v>338</v>
      </c>
      <c r="D129" s="10" t="s">
        <v>544</v>
      </c>
      <c r="E129" s="25" t="s">
        <v>266</v>
      </c>
      <c r="F129" s="32"/>
      <c r="G129" s="26" t="s">
        <v>545</v>
      </c>
      <c r="H129" s="27"/>
      <c r="I129" s="64" t="s">
        <v>546</v>
      </c>
      <c r="J129" s="15" t="s">
        <v>36</v>
      </c>
      <c r="K129" s="15" t="s">
        <v>404</v>
      </c>
      <c r="L129" s="15" t="s">
        <v>405</v>
      </c>
    </row>
    <row r="130" s="1" customFormat="1" spans="2:12">
      <c r="B130" s="32" t="s">
        <v>547</v>
      </c>
      <c r="C130" s="34" t="s">
        <v>338</v>
      </c>
      <c r="D130" s="10" t="s">
        <v>548</v>
      </c>
      <c r="E130" s="25" t="s">
        <v>266</v>
      </c>
      <c r="F130" s="32"/>
      <c r="G130" s="26" t="s">
        <v>549</v>
      </c>
      <c r="H130" s="27"/>
      <c r="I130" s="64" t="s">
        <v>550</v>
      </c>
      <c r="J130" s="15" t="s">
        <v>36</v>
      </c>
      <c r="K130" s="15" t="s">
        <v>404</v>
      </c>
      <c r="L130" s="15" t="s">
        <v>405</v>
      </c>
    </row>
    <row r="131" s="1" customFormat="1" spans="2:12">
      <c r="B131" s="32" t="s">
        <v>551</v>
      </c>
      <c r="C131" s="34" t="s">
        <v>338</v>
      </c>
      <c r="D131" s="10" t="s">
        <v>552</v>
      </c>
      <c r="E131" s="25" t="s">
        <v>266</v>
      </c>
      <c r="F131" s="32"/>
      <c r="G131" s="26" t="s">
        <v>553</v>
      </c>
      <c r="H131" s="27"/>
      <c r="I131" s="64" t="s">
        <v>554</v>
      </c>
      <c r="J131" s="15" t="s">
        <v>36</v>
      </c>
      <c r="K131" s="15" t="s">
        <v>404</v>
      </c>
      <c r="L131" s="15" t="s">
        <v>555</v>
      </c>
    </row>
    <row r="132" s="1" customFormat="1" spans="2:12">
      <c r="B132" s="32" t="s">
        <v>556</v>
      </c>
      <c r="C132" s="34" t="s">
        <v>338</v>
      </c>
      <c r="D132" s="10" t="s">
        <v>557</v>
      </c>
      <c r="E132" s="25" t="s">
        <v>266</v>
      </c>
      <c r="F132" s="32"/>
      <c r="G132" s="26" t="s">
        <v>558</v>
      </c>
      <c r="H132" s="27"/>
      <c r="I132" s="64" t="s">
        <v>559</v>
      </c>
      <c r="J132" s="15" t="s">
        <v>36</v>
      </c>
      <c r="K132" s="15" t="s">
        <v>404</v>
      </c>
      <c r="L132" s="15" t="s">
        <v>555</v>
      </c>
    </row>
    <row r="133" s="1" customFormat="1" spans="2:12">
      <c r="B133" s="32" t="s">
        <v>560</v>
      </c>
      <c r="C133" s="34" t="s">
        <v>338</v>
      </c>
      <c r="D133" s="10" t="s">
        <v>561</v>
      </c>
      <c r="E133" s="25" t="s">
        <v>266</v>
      </c>
      <c r="F133" s="32"/>
      <c r="G133" s="26" t="s">
        <v>562</v>
      </c>
      <c r="H133" s="27"/>
      <c r="I133" s="64" t="s">
        <v>563</v>
      </c>
      <c r="J133" s="15" t="s">
        <v>36</v>
      </c>
      <c r="K133" s="15" t="s">
        <v>404</v>
      </c>
      <c r="L133" s="15" t="s">
        <v>555</v>
      </c>
    </row>
    <row r="134" s="1" customFormat="1" spans="2:12">
      <c r="B134" s="32" t="s">
        <v>564</v>
      </c>
      <c r="C134" s="34" t="s">
        <v>307</v>
      </c>
      <c r="D134" s="10" t="s">
        <v>565</v>
      </c>
      <c r="E134" s="25" t="s">
        <v>273</v>
      </c>
      <c r="F134" s="32"/>
      <c r="G134" s="26" t="s">
        <v>566</v>
      </c>
      <c r="H134" s="27"/>
      <c r="I134" s="15"/>
      <c r="J134" s="15" t="s">
        <v>36</v>
      </c>
      <c r="K134" s="15" t="s">
        <v>294</v>
      </c>
      <c r="L134" s="15" t="s">
        <v>531</v>
      </c>
    </row>
    <row r="135" s="1" customFormat="1" spans="2:12">
      <c r="B135" s="32" t="s">
        <v>567</v>
      </c>
      <c r="C135" s="34" t="s">
        <v>291</v>
      </c>
      <c r="D135" s="10" t="s">
        <v>568</v>
      </c>
      <c r="E135" s="25" t="s">
        <v>266</v>
      </c>
      <c r="F135" s="32"/>
      <c r="G135" s="26" t="s">
        <v>569</v>
      </c>
      <c r="H135" s="27"/>
      <c r="I135" s="26" t="s">
        <v>570</v>
      </c>
      <c r="J135" s="15" t="s">
        <v>36</v>
      </c>
      <c r="K135" s="15" t="s">
        <v>294</v>
      </c>
      <c r="L135" s="15" t="s">
        <v>571</v>
      </c>
    </row>
    <row r="136" s="1" customFormat="1" spans="2:12">
      <c r="B136" s="32" t="s">
        <v>572</v>
      </c>
      <c r="C136" s="34" t="s">
        <v>291</v>
      </c>
      <c r="D136" s="10" t="s">
        <v>573</v>
      </c>
      <c r="E136" s="25" t="s">
        <v>266</v>
      </c>
      <c r="F136" s="32"/>
      <c r="G136" s="26" t="s">
        <v>574</v>
      </c>
      <c r="H136" s="27"/>
      <c r="I136" s="15"/>
      <c r="J136" s="15" t="s">
        <v>36</v>
      </c>
      <c r="K136" s="15" t="s">
        <v>294</v>
      </c>
      <c r="L136" s="15" t="s">
        <v>575</v>
      </c>
    </row>
    <row r="137" s="1" customFormat="1" spans="2:12">
      <c r="B137" s="32" t="s">
        <v>576</v>
      </c>
      <c r="C137" s="34" t="s">
        <v>307</v>
      </c>
      <c r="D137" s="10" t="s">
        <v>577</v>
      </c>
      <c r="E137" s="25" t="s">
        <v>266</v>
      </c>
      <c r="F137" s="32"/>
      <c r="G137" s="26" t="s">
        <v>578</v>
      </c>
      <c r="H137" s="27"/>
      <c r="I137" s="15"/>
      <c r="J137" s="15" t="s">
        <v>36</v>
      </c>
      <c r="K137" s="15" t="s">
        <v>294</v>
      </c>
      <c r="L137" s="15" t="s">
        <v>531</v>
      </c>
    </row>
    <row r="138" s="1" customFormat="1" spans="2:12">
      <c r="B138" s="32" t="s">
        <v>579</v>
      </c>
      <c r="C138" s="34" t="s">
        <v>307</v>
      </c>
      <c r="D138" s="10" t="s">
        <v>580</v>
      </c>
      <c r="E138" s="25" t="s">
        <v>266</v>
      </c>
      <c r="F138" s="32"/>
      <c r="G138" s="26" t="s">
        <v>581</v>
      </c>
      <c r="H138" s="27"/>
      <c r="I138" s="15"/>
      <c r="J138" s="15" t="s">
        <v>36</v>
      </c>
      <c r="K138" s="15" t="s">
        <v>294</v>
      </c>
      <c r="L138" s="15" t="s">
        <v>531</v>
      </c>
    </row>
    <row r="139" s="1" customFormat="1" spans="2:12">
      <c r="B139" s="32" t="s">
        <v>582</v>
      </c>
      <c r="C139" s="34" t="s">
        <v>307</v>
      </c>
      <c r="D139" s="10" t="s">
        <v>583</v>
      </c>
      <c r="E139" s="25" t="s">
        <v>266</v>
      </c>
      <c r="F139" s="32"/>
      <c r="G139" s="26" t="s">
        <v>584</v>
      </c>
      <c r="H139" s="27"/>
      <c r="I139" s="15"/>
      <c r="J139" s="15" t="s">
        <v>36</v>
      </c>
      <c r="K139" s="15" t="s">
        <v>294</v>
      </c>
      <c r="L139" s="15" t="s">
        <v>531</v>
      </c>
    </row>
    <row r="140" s="1" customFormat="1" spans="2:12">
      <c r="B140" s="32" t="s">
        <v>585</v>
      </c>
      <c r="C140" s="34" t="s">
        <v>307</v>
      </c>
      <c r="D140" s="10" t="s">
        <v>586</v>
      </c>
      <c r="E140" s="25" t="s">
        <v>277</v>
      </c>
      <c r="F140" s="10"/>
      <c r="G140" s="26" t="s">
        <v>587</v>
      </c>
      <c r="H140" s="27"/>
      <c r="I140" s="15"/>
      <c r="J140" s="15" t="s">
        <v>36</v>
      </c>
      <c r="K140" s="15" t="s">
        <v>294</v>
      </c>
      <c r="L140" s="15" t="s">
        <v>531</v>
      </c>
    </row>
    <row r="141" s="1" customFormat="1" spans="2:12">
      <c r="B141" s="32" t="s">
        <v>588</v>
      </c>
      <c r="C141" s="34" t="s">
        <v>307</v>
      </c>
      <c r="D141" s="10" t="s">
        <v>589</v>
      </c>
      <c r="E141" s="25" t="s">
        <v>277</v>
      </c>
      <c r="F141" s="10"/>
      <c r="G141" s="26" t="s">
        <v>590</v>
      </c>
      <c r="H141" s="27"/>
      <c r="I141" s="15"/>
      <c r="J141" s="15" t="s">
        <v>36</v>
      </c>
      <c r="K141" s="15" t="s">
        <v>294</v>
      </c>
      <c r="L141" s="15" t="s">
        <v>531</v>
      </c>
    </row>
    <row r="142" s="1" customFormat="1" spans="2:12">
      <c r="B142" s="32" t="s">
        <v>591</v>
      </c>
      <c r="C142" s="34" t="s">
        <v>291</v>
      </c>
      <c r="D142" s="10" t="s">
        <v>592</v>
      </c>
      <c r="E142" s="25" t="s">
        <v>277</v>
      </c>
      <c r="F142" s="26" t="s">
        <v>593</v>
      </c>
      <c r="G142" s="26" t="s">
        <v>293</v>
      </c>
      <c r="H142" s="27"/>
      <c r="I142" s="15"/>
      <c r="J142" s="15" t="s">
        <v>36</v>
      </c>
      <c r="K142" s="15" t="s">
        <v>294</v>
      </c>
      <c r="L142" s="15" t="s">
        <v>294</v>
      </c>
    </row>
    <row r="143" s="2" customFormat="1" spans="2:15">
      <c r="B143" s="17" t="s">
        <v>594</v>
      </c>
      <c r="C143" s="18" t="s">
        <v>307</v>
      </c>
      <c r="D143" s="19" t="s">
        <v>595</v>
      </c>
      <c r="E143" s="28"/>
      <c r="F143" s="28"/>
      <c r="G143" s="28"/>
      <c r="H143" s="17"/>
      <c r="I143" s="17"/>
      <c r="J143" s="17"/>
      <c r="K143" s="17"/>
      <c r="L143" s="17"/>
      <c r="M143" s="17"/>
      <c r="N143" s="17"/>
      <c r="O143" s="17"/>
    </row>
    <row r="144" s="2" customFormat="1" spans="2:15">
      <c r="B144" s="17" t="s">
        <v>596</v>
      </c>
      <c r="C144" s="18" t="s">
        <v>291</v>
      </c>
      <c r="D144" s="19" t="s">
        <v>597</v>
      </c>
      <c r="E144" s="28"/>
      <c r="F144" s="28"/>
      <c r="G144" s="28"/>
      <c r="H144" s="17"/>
      <c r="I144" s="17"/>
      <c r="J144" s="17"/>
      <c r="K144" s="17"/>
      <c r="L144" s="17"/>
      <c r="M144" s="17"/>
      <c r="N144" s="17"/>
      <c r="O144" s="17"/>
    </row>
    <row r="145" s="2" customFormat="1" spans="2:15">
      <c r="B145" s="17" t="s">
        <v>598</v>
      </c>
      <c r="C145" s="18" t="s">
        <v>307</v>
      </c>
      <c r="D145" s="19" t="s">
        <v>599</v>
      </c>
      <c r="E145" s="28"/>
      <c r="F145" s="28"/>
      <c r="G145" s="28"/>
      <c r="H145" s="17"/>
      <c r="I145" s="17"/>
      <c r="J145" s="17"/>
      <c r="K145" s="17"/>
      <c r="L145" s="17"/>
      <c r="M145" s="17"/>
      <c r="N145" s="17"/>
      <c r="O145" s="17"/>
    </row>
    <row r="146" s="2" customFormat="1" spans="2:15">
      <c r="B146" s="17" t="s">
        <v>600</v>
      </c>
      <c r="C146" s="18" t="s">
        <v>307</v>
      </c>
      <c r="D146" s="19" t="s">
        <v>601</v>
      </c>
      <c r="E146" s="28"/>
      <c r="F146" s="28"/>
      <c r="G146" s="28"/>
      <c r="H146" s="17"/>
      <c r="I146" s="17"/>
      <c r="J146" s="17"/>
      <c r="K146" s="17"/>
      <c r="L146" s="17"/>
      <c r="M146" s="17"/>
      <c r="N146" s="17"/>
      <c r="O146" s="17"/>
    </row>
  </sheetData>
  <mergeCells count="4">
    <mergeCell ref="B2:H2"/>
    <mergeCell ref="B3:H3"/>
    <mergeCell ref="B7:H7"/>
    <mergeCell ref="B15:L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6"/>
  <sheetViews>
    <sheetView zoomScale="85" zoomScaleNormal="85" workbookViewId="0">
      <pane ySplit="5" topLeftCell="A33" activePane="bottomLeft" state="frozen"/>
      <selection/>
      <selection pane="bottomLeft" activeCell="B47" sqref="B4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51" t="s">
        <v>41</v>
      </c>
      <c r="D5" s="10" t="s">
        <v>42</v>
      </c>
      <c r="E5" s="13" t="s">
        <v>257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34</v>
      </c>
      <c r="D9" s="10" t="s">
        <v>35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2:12">
      <c r="B16" s="32" t="s">
        <v>257</v>
      </c>
      <c r="C16" s="32" t="s">
        <v>307</v>
      </c>
      <c r="D16" s="10" t="s">
        <v>37</v>
      </c>
      <c r="E16" s="25" t="s">
        <v>266</v>
      </c>
      <c r="F16" s="26" t="s">
        <v>600</v>
      </c>
      <c r="G16" s="26" t="s">
        <v>293</v>
      </c>
      <c r="H16" s="37"/>
      <c r="I16" s="15"/>
      <c r="J16" s="15" t="s">
        <v>604</v>
      </c>
      <c r="K16" s="15" t="s">
        <v>294</v>
      </c>
      <c r="L16" s="15" t="s">
        <v>608</v>
      </c>
    </row>
    <row r="17" s="1" customFormat="1" spans="1:12">
      <c r="A17" s="33"/>
      <c r="B17" s="32" t="s">
        <v>290</v>
      </c>
      <c r="C17" s="32" t="s">
        <v>307</v>
      </c>
      <c r="D17" s="10" t="s">
        <v>609</v>
      </c>
      <c r="E17" s="25" t="s">
        <v>266</v>
      </c>
      <c r="F17" s="26" t="s">
        <v>290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610</v>
      </c>
    </row>
    <row r="18" s="1" customFormat="1" spans="1:12">
      <c r="A18" s="33"/>
      <c r="B18" s="32" t="s">
        <v>327</v>
      </c>
      <c r="C18" s="32" t="s">
        <v>307</v>
      </c>
      <c r="D18" s="10" t="s">
        <v>611</v>
      </c>
      <c r="E18" s="25" t="s">
        <v>266</v>
      </c>
      <c r="F18" s="26" t="s">
        <v>327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612</v>
      </c>
    </row>
    <row r="19" s="1" customFormat="1" spans="1:12">
      <c r="A19" s="33"/>
      <c r="B19" s="32" t="s">
        <v>613</v>
      </c>
      <c r="C19" s="32" t="s">
        <v>307</v>
      </c>
      <c r="D19" s="10" t="s">
        <v>614</v>
      </c>
      <c r="E19" s="25" t="s">
        <v>266</v>
      </c>
      <c r="F19" s="26" t="s">
        <v>594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32" t="s">
        <v>517</v>
      </c>
      <c r="C20" s="32" t="s">
        <v>307</v>
      </c>
      <c r="D20" s="10" t="s">
        <v>616</v>
      </c>
      <c r="E20" s="25" t="s">
        <v>266</v>
      </c>
      <c r="F20" s="10" t="s">
        <v>517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520</v>
      </c>
      <c r="C21" s="32" t="s">
        <v>307</v>
      </c>
      <c r="D21" s="10" t="s">
        <v>617</v>
      </c>
      <c r="E21" s="25" t="s">
        <v>266</v>
      </c>
      <c r="F21" s="10" t="s">
        <v>520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522</v>
      </c>
      <c r="C22" s="32" t="s">
        <v>291</v>
      </c>
      <c r="D22" s="10" t="s">
        <v>523</v>
      </c>
      <c r="E22" s="25" t="s">
        <v>266</v>
      </c>
      <c r="F22" s="10" t="s">
        <v>522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524</v>
      </c>
      <c r="C23" s="32" t="s">
        <v>291</v>
      </c>
      <c r="D23" s="10" t="s">
        <v>525</v>
      </c>
      <c r="E23" s="25" t="s">
        <v>266</v>
      </c>
      <c r="F23" s="10" t="s">
        <v>524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526</v>
      </c>
      <c r="C24" s="32" t="s">
        <v>291</v>
      </c>
      <c r="D24" s="10" t="s">
        <v>527</v>
      </c>
      <c r="E24" s="25" t="s">
        <v>266</v>
      </c>
      <c r="F24" s="10" t="s">
        <v>526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10" t="s">
        <v>514</v>
      </c>
      <c r="G25" s="26" t="s">
        <v>293</v>
      </c>
      <c r="H25" s="37"/>
      <c r="I25" s="53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295</v>
      </c>
      <c r="C26" s="13" t="s">
        <v>291</v>
      </c>
      <c r="D26" s="10" t="s">
        <v>618</v>
      </c>
      <c r="E26" s="25" t="s">
        <v>266</v>
      </c>
      <c r="F26" s="10" t="s">
        <v>295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297</v>
      </c>
      <c r="C27" s="13" t="s">
        <v>291</v>
      </c>
      <c r="D27" s="10" t="s">
        <v>298</v>
      </c>
      <c r="E27" s="25" t="s">
        <v>266</v>
      </c>
      <c r="F27" s="10" t="s">
        <v>297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300</v>
      </c>
      <c r="C28" s="13" t="s">
        <v>291</v>
      </c>
      <c r="D28" s="10" t="s">
        <v>619</v>
      </c>
      <c r="E28" s="25" t="s">
        <v>266</v>
      </c>
      <c r="F28" s="10" t="s">
        <v>300</v>
      </c>
      <c r="G28" s="26" t="s">
        <v>293</v>
      </c>
      <c r="H28" s="37"/>
      <c r="I28" s="30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13" t="s">
        <v>302</v>
      </c>
      <c r="C29" s="13" t="s">
        <v>291</v>
      </c>
      <c r="D29" s="10" t="s">
        <v>303</v>
      </c>
      <c r="E29" s="25" t="s">
        <v>266</v>
      </c>
      <c r="F29" s="10" t="s">
        <v>302</v>
      </c>
      <c r="G29" s="26" t="s">
        <v>293</v>
      </c>
      <c r="H29" s="37"/>
      <c r="I29" s="30"/>
      <c r="J29" s="15" t="s">
        <v>604</v>
      </c>
      <c r="K29" s="15" t="s">
        <v>294</v>
      </c>
      <c r="L29" s="15" t="s">
        <v>294</v>
      </c>
    </row>
    <row r="30" s="1" customFormat="1" spans="2:12">
      <c r="B30" s="32" t="s">
        <v>313</v>
      </c>
      <c r="C30" s="32" t="s">
        <v>291</v>
      </c>
      <c r="D30" s="10" t="s">
        <v>620</v>
      </c>
      <c r="E30" s="25" t="s">
        <v>266</v>
      </c>
      <c r="F30" s="26" t="str">
        <f t="shared" ref="F30:F32" si="0">B30</f>
        <v>sgwip</v>
      </c>
      <c r="G30" s="26" t="s">
        <v>293</v>
      </c>
      <c r="H30" s="37"/>
      <c r="I30" s="15"/>
      <c r="J30" s="15" t="s">
        <v>604</v>
      </c>
      <c r="K30" s="15" t="s">
        <v>294</v>
      </c>
      <c r="L30" s="15" t="s">
        <v>294</v>
      </c>
    </row>
    <row r="31" s="1" customFormat="1" spans="2:12">
      <c r="B31" s="32" t="s">
        <v>315</v>
      </c>
      <c r="C31" s="32" t="s">
        <v>291</v>
      </c>
      <c r="D31" s="10" t="s">
        <v>621</v>
      </c>
      <c r="E31" s="25" t="s">
        <v>266</v>
      </c>
      <c r="F31" s="26" t="str">
        <f t="shared" si="0"/>
        <v>mmeip</v>
      </c>
      <c r="G31" s="26" t="s">
        <v>293</v>
      </c>
      <c r="H31" s="37"/>
      <c r="I31" s="65"/>
      <c r="J31" s="15" t="s">
        <v>604</v>
      </c>
      <c r="K31" s="15" t="s">
        <v>294</v>
      </c>
      <c r="L31" s="15" t="s">
        <v>294</v>
      </c>
    </row>
    <row r="32" s="1" customFormat="1" spans="2:12">
      <c r="B32" s="32" t="s">
        <v>317</v>
      </c>
      <c r="C32" s="32" t="s">
        <v>291</v>
      </c>
      <c r="D32" s="10" t="s">
        <v>622</v>
      </c>
      <c r="E32" s="25" t="s">
        <v>266</v>
      </c>
      <c r="F32" s="26" t="str">
        <f t="shared" si="0"/>
        <v>pgwip</v>
      </c>
      <c r="G32" s="26" t="s">
        <v>293</v>
      </c>
      <c r="H32" s="37"/>
      <c r="I32" s="30"/>
      <c r="J32" s="15" t="s">
        <v>604</v>
      </c>
      <c r="K32" s="15" t="s">
        <v>294</v>
      </c>
      <c r="L32" s="15" t="s">
        <v>294</v>
      </c>
    </row>
    <row r="33" s="1" customFormat="1" spans="2:12">
      <c r="B33" s="32" t="s">
        <v>331</v>
      </c>
      <c r="C33" s="13" t="s">
        <v>291</v>
      </c>
      <c r="D33" s="10" t="s">
        <v>623</v>
      </c>
      <c r="E33" s="25" t="s">
        <v>266</v>
      </c>
      <c r="F33" s="26" t="s">
        <v>331</v>
      </c>
      <c r="G33" s="26" t="s">
        <v>293</v>
      </c>
      <c r="H33" s="37"/>
      <c r="I33" s="15"/>
      <c r="J33" s="15" t="s">
        <v>604</v>
      </c>
      <c r="K33" s="15" t="s">
        <v>294</v>
      </c>
      <c r="L33" s="15" t="s">
        <v>294</v>
      </c>
    </row>
    <row r="34" s="1" customFormat="1" spans="2:12">
      <c r="B34" s="32" t="s">
        <v>572</v>
      </c>
      <c r="C34" s="34" t="s">
        <v>291</v>
      </c>
      <c r="D34" s="10" t="s">
        <v>573</v>
      </c>
      <c r="E34" s="25" t="s">
        <v>266</v>
      </c>
      <c r="F34" s="10" t="s">
        <v>572</v>
      </c>
      <c r="G34" s="26" t="s">
        <v>293</v>
      </c>
      <c r="H34" s="37"/>
      <c r="I34" s="15"/>
      <c r="J34" s="15" t="s">
        <v>604</v>
      </c>
      <c r="K34" s="15" t="s">
        <v>294</v>
      </c>
      <c r="L34" s="15" t="s">
        <v>575</v>
      </c>
    </row>
    <row r="35" s="1" customFormat="1" spans="2:12">
      <c r="B35" s="32" t="s">
        <v>356</v>
      </c>
      <c r="C35" s="32" t="s">
        <v>291</v>
      </c>
      <c r="D35" s="10" t="s">
        <v>357</v>
      </c>
      <c r="E35" s="25" t="s">
        <v>266</v>
      </c>
      <c r="F35" s="26" t="str">
        <f t="shared" ref="F35" si="1">B35</f>
        <v>enbip</v>
      </c>
      <c r="G35" s="26" t="s">
        <v>293</v>
      </c>
      <c r="H35" s="37"/>
      <c r="I35" s="15"/>
      <c r="J35" s="15" t="s">
        <v>604</v>
      </c>
      <c r="K35" s="15" t="s">
        <v>294</v>
      </c>
      <c r="L35" s="15" t="s">
        <v>294</v>
      </c>
    </row>
    <row r="36" s="33" customFormat="1" spans="2:13">
      <c r="B36" s="32" t="s">
        <v>378</v>
      </c>
      <c r="C36" s="13" t="s">
        <v>291</v>
      </c>
      <c r="D36" s="10" t="s">
        <v>624</v>
      </c>
      <c r="E36" s="25" t="s">
        <v>266</v>
      </c>
      <c r="F36" s="26" t="s">
        <v>378</v>
      </c>
      <c r="G36" s="26" t="s">
        <v>293</v>
      </c>
      <c r="H36" s="37"/>
      <c r="I36" s="30"/>
      <c r="J36" s="15" t="s">
        <v>604</v>
      </c>
      <c r="K36" s="15" t="s">
        <v>294</v>
      </c>
      <c r="L36" s="15" t="s">
        <v>615</v>
      </c>
      <c r="M36" s="1"/>
    </row>
    <row r="37" s="59" customFormat="1" spans="1:13">
      <c r="A37" s="60"/>
      <c r="B37" s="61" t="s">
        <v>384</v>
      </c>
      <c r="C37" s="13" t="s">
        <v>307</v>
      </c>
      <c r="D37" s="10" t="s">
        <v>625</v>
      </c>
      <c r="E37" s="25" t="s">
        <v>266</v>
      </c>
      <c r="F37" s="26" t="s">
        <v>384</v>
      </c>
      <c r="G37" s="26" t="s">
        <v>293</v>
      </c>
      <c r="H37" s="37"/>
      <c r="I37" s="52"/>
      <c r="J37" s="15" t="s">
        <v>604</v>
      </c>
      <c r="K37" s="15" t="s">
        <v>294</v>
      </c>
      <c r="L37" s="15" t="s">
        <v>626</v>
      </c>
      <c r="M37" s="1"/>
    </row>
    <row r="38" s="1" customFormat="1" spans="2:12">
      <c r="B38" s="32" t="s">
        <v>440</v>
      </c>
      <c r="C38" s="32" t="s">
        <v>307</v>
      </c>
      <c r="D38" s="10" t="s">
        <v>627</v>
      </c>
      <c r="E38" s="25" t="s">
        <v>266</v>
      </c>
      <c r="F38" s="26" t="str">
        <f t="shared" ref="F38" si="2">B38</f>
        <v>bearer_qci</v>
      </c>
      <c r="G38" s="26" t="s">
        <v>293</v>
      </c>
      <c r="H38" s="37"/>
      <c r="I38" s="15"/>
      <c r="J38" s="15" t="s">
        <v>604</v>
      </c>
      <c r="K38" s="15" t="s">
        <v>294</v>
      </c>
      <c r="L38" s="15" t="s">
        <v>294</v>
      </c>
    </row>
    <row r="39" s="1" customFormat="1" spans="1:12">
      <c r="A39" s="33"/>
      <c r="B39" s="13" t="s">
        <v>567</v>
      </c>
      <c r="C39" s="13" t="s">
        <v>291</v>
      </c>
      <c r="D39" s="10" t="s">
        <v>568</v>
      </c>
      <c r="E39" s="25" t="s">
        <v>266</v>
      </c>
      <c r="F39" s="26" t="s">
        <v>567</v>
      </c>
      <c r="G39" s="26" t="s">
        <v>293</v>
      </c>
      <c r="H39" s="37"/>
      <c r="I39" s="26"/>
      <c r="J39" s="15" t="s">
        <v>604</v>
      </c>
      <c r="K39" s="15" t="s">
        <v>294</v>
      </c>
      <c r="L39" s="15" t="s">
        <v>294</v>
      </c>
    </row>
    <row r="40" s="1" customFormat="1" spans="1:12">
      <c r="A40" s="33"/>
      <c r="B40" s="13" t="s">
        <v>460</v>
      </c>
      <c r="C40" s="13" t="s">
        <v>307</v>
      </c>
      <c r="D40" s="10" t="s">
        <v>628</v>
      </c>
      <c r="E40" s="25" t="s">
        <v>266</v>
      </c>
      <c r="F40" s="10" t="s">
        <v>460</v>
      </c>
      <c r="G40" s="26" t="s">
        <v>293</v>
      </c>
      <c r="H40" s="37"/>
      <c r="I40" s="26"/>
      <c r="J40" s="15" t="s">
        <v>604</v>
      </c>
      <c r="K40" s="15" t="s">
        <v>294</v>
      </c>
      <c r="L40" s="15" t="s">
        <v>294</v>
      </c>
    </row>
    <row r="41" s="1" customFormat="1" spans="1:12">
      <c r="A41" s="33"/>
      <c r="B41" s="13" t="s">
        <v>579</v>
      </c>
      <c r="C41" s="13" t="s">
        <v>307</v>
      </c>
      <c r="D41" s="10" t="s">
        <v>580</v>
      </c>
      <c r="E41" s="25" t="s">
        <v>266</v>
      </c>
      <c r="F41" s="26" t="s">
        <v>579</v>
      </c>
      <c r="G41" s="26" t="s">
        <v>293</v>
      </c>
      <c r="H41" s="37"/>
      <c r="I41" s="26"/>
      <c r="J41" s="15" t="s">
        <v>604</v>
      </c>
      <c r="K41" s="15" t="s">
        <v>294</v>
      </c>
      <c r="L41" s="15" t="s">
        <v>626</v>
      </c>
    </row>
    <row r="42" s="1" customFormat="1" spans="1:12">
      <c r="A42" s="33"/>
      <c r="B42" s="13" t="s">
        <v>582</v>
      </c>
      <c r="C42" s="13" t="s">
        <v>307</v>
      </c>
      <c r="D42" s="10" t="s">
        <v>583</v>
      </c>
      <c r="E42" s="25" t="s">
        <v>266</v>
      </c>
      <c r="F42" s="26" t="s">
        <v>582</v>
      </c>
      <c r="G42" s="26" t="s">
        <v>293</v>
      </c>
      <c r="H42" s="37"/>
      <c r="I42" s="26"/>
      <c r="J42" s="15" t="s">
        <v>604</v>
      </c>
      <c r="K42" s="15" t="s">
        <v>294</v>
      </c>
      <c r="L42" s="15" t="s">
        <v>626</v>
      </c>
    </row>
    <row r="43" s="1" customFormat="1" spans="1:12">
      <c r="A43" s="33"/>
      <c r="B43" s="32" t="s">
        <v>585</v>
      </c>
      <c r="C43" s="34" t="s">
        <v>307</v>
      </c>
      <c r="D43" s="10" t="s">
        <v>586</v>
      </c>
      <c r="E43" s="25" t="s">
        <v>266</v>
      </c>
      <c r="F43" s="26" t="s">
        <v>585</v>
      </c>
      <c r="G43" s="26" t="s">
        <v>293</v>
      </c>
      <c r="H43" s="37"/>
      <c r="I43" s="26"/>
      <c r="J43" s="15" t="s">
        <v>604</v>
      </c>
      <c r="K43" s="15" t="s">
        <v>294</v>
      </c>
      <c r="L43" s="15" t="s">
        <v>626</v>
      </c>
    </row>
    <row r="44" s="1" customFormat="1" spans="1:12">
      <c r="A44" s="33"/>
      <c r="B44" s="32" t="s">
        <v>588</v>
      </c>
      <c r="C44" s="34" t="s">
        <v>307</v>
      </c>
      <c r="D44" s="10" t="s">
        <v>589</v>
      </c>
      <c r="E44" s="25" t="s">
        <v>266</v>
      </c>
      <c r="F44" s="26" t="s">
        <v>588</v>
      </c>
      <c r="G44" s="26" t="s">
        <v>293</v>
      </c>
      <c r="H44" s="37"/>
      <c r="I44" s="26"/>
      <c r="J44" s="15" t="s">
        <v>604</v>
      </c>
      <c r="K44" s="15" t="s">
        <v>294</v>
      </c>
      <c r="L44" s="15" t="s">
        <v>626</v>
      </c>
    </row>
    <row r="45" s="1" customFormat="1" spans="1:12">
      <c r="A45" s="33"/>
      <c r="B45" s="32" t="s">
        <v>591</v>
      </c>
      <c r="C45" s="34" t="s">
        <v>291</v>
      </c>
      <c r="D45" s="10" t="s">
        <v>592</v>
      </c>
      <c r="E45" s="25" t="s">
        <v>266</v>
      </c>
      <c r="F45" s="26" t="s">
        <v>591</v>
      </c>
      <c r="G45" s="26" t="s">
        <v>293</v>
      </c>
      <c r="H45" s="37"/>
      <c r="I45" s="26"/>
      <c r="J45" s="15" t="s">
        <v>604</v>
      </c>
      <c r="K45" s="15" t="s">
        <v>294</v>
      </c>
      <c r="L45" s="15" t="s">
        <v>626</v>
      </c>
    </row>
    <row r="46" s="1" customFormat="1" spans="1:12">
      <c r="A46" s="33"/>
      <c r="B46" s="13" t="s">
        <v>629</v>
      </c>
      <c r="C46" s="13" t="s">
        <v>338</v>
      </c>
      <c r="D46" s="10" t="s">
        <v>630</v>
      </c>
      <c r="E46" s="25" t="s">
        <v>266</v>
      </c>
      <c r="F46" s="26"/>
      <c r="G46" s="26" t="s">
        <v>631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634</v>
      </c>
      <c r="C47" s="13" t="s">
        <v>338</v>
      </c>
      <c r="D47" s="10" t="s">
        <v>635</v>
      </c>
      <c r="E47" s="25" t="s">
        <v>266</v>
      </c>
      <c r="F47" s="26"/>
      <c r="G47" s="26" t="s">
        <v>636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637</v>
      </c>
      <c r="C48" s="13" t="s">
        <v>338</v>
      </c>
      <c r="D48" s="10" t="s">
        <v>638</v>
      </c>
      <c r="E48" s="25" t="s">
        <v>266</v>
      </c>
      <c r="F48" s="26"/>
      <c r="G48" s="26" t="s">
        <v>639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32" t="s">
        <v>337</v>
      </c>
      <c r="C49" s="32" t="s">
        <v>338</v>
      </c>
      <c r="D49" s="10" t="s">
        <v>640</v>
      </c>
      <c r="E49" s="25" t="s">
        <v>266</v>
      </c>
      <c r="F49" s="26"/>
      <c r="G49" s="26" t="s">
        <v>641</v>
      </c>
      <c r="H49" s="37"/>
      <c r="I49" s="26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342</v>
      </c>
      <c r="C50" s="13" t="s">
        <v>338</v>
      </c>
      <c r="D50" s="10" t="s">
        <v>642</v>
      </c>
      <c r="E50" s="25" t="s">
        <v>266</v>
      </c>
      <c r="F50" s="26"/>
      <c r="G50" s="26" t="s">
        <v>643</v>
      </c>
      <c r="H50" s="37"/>
      <c r="I50" s="26"/>
      <c r="J50" s="15" t="s">
        <v>632</v>
      </c>
      <c r="K50" s="15" t="s">
        <v>644</v>
      </c>
      <c r="L50" s="15" t="s">
        <v>633</v>
      </c>
    </row>
    <row r="51" s="1" customFormat="1" spans="1:12">
      <c r="A51" s="33"/>
      <c r="B51" s="13" t="s">
        <v>340</v>
      </c>
      <c r="C51" s="13" t="s">
        <v>338</v>
      </c>
      <c r="D51" s="10" t="s">
        <v>645</v>
      </c>
      <c r="E51" s="25" t="s">
        <v>266</v>
      </c>
      <c r="F51" s="26"/>
      <c r="G51" s="26" t="s">
        <v>646</v>
      </c>
      <c r="H51" s="37"/>
      <c r="I51" s="26"/>
      <c r="J51" s="15" t="s">
        <v>632</v>
      </c>
      <c r="K51" s="15" t="s">
        <v>644</v>
      </c>
      <c r="L51" s="15" t="s">
        <v>633</v>
      </c>
    </row>
    <row r="52" s="1" customFormat="1" spans="1:12">
      <c r="A52" s="33"/>
      <c r="B52" s="13" t="s">
        <v>647</v>
      </c>
      <c r="C52" s="13" t="s">
        <v>338</v>
      </c>
      <c r="D52" s="10" t="s">
        <v>648</v>
      </c>
      <c r="E52" s="25" t="s">
        <v>266</v>
      </c>
      <c r="F52" s="26"/>
      <c r="G52" s="26" t="s">
        <v>649</v>
      </c>
      <c r="H52" s="37"/>
      <c r="I52" s="26"/>
      <c r="J52" s="15" t="s">
        <v>632</v>
      </c>
      <c r="K52" s="15" t="s">
        <v>644</v>
      </c>
      <c r="L52" s="15" t="s">
        <v>633</v>
      </c>
    </row>
    <row r="53" s="1" customFormat="1" spans="1:12">
      <c r="A53" s="33"/>
      <c r="B53" s="13" t="s">
        <v>650</v>
      </c>
      <c r="C53" s="13" t="s">
        <v>338</v>
      </c>
      <c r="D53" s="10" t="s">
        <v>651</v>
      </c>
      <c r="E53" s="25" t="s">
        <v>266</v>
      </c>
      <c r="F53" s="26"/>
      <c r="G53" s="26" t="s">
        <v>652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653</v>
      </c>
      <c r="C54" s="13" t="s">
        <v>338</v>
      </c>
      <c r="D54" s="10" t="s">
        <v>654</v>
      </c>
      <c r="E54" s="25" t="s">
        <v>266</v>
      </c>
      <c r="F54" s="26"/>
      <c r="G54" s="26" t="s">
        <v>655</v>
      </c>
      <c r="H54" s="3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656</v>
      </c>
      <c r="C55" s="13" t="s">
        <v>338</v>
      </c>
      <c r="D55" s="10" t="s">
        <v>657</v>
      </c>
      <c r="E55" s="25" t="s">
        <v>266</v>
      </c>
      <c r="F55" s="26"/>
      <c r="G55" s="26" t="s">
        <v>658</v>
      </c>
      <c r="H55" s="37"/>
      <c r="I55" s="26"/>
      <c r="J55" s="15" t="s">
        <v>632</v>
      </c>
      <c r="K55" s="15" t="s">
        <v>644</v>
      </c>
      <c r="L55" s="15" t="s">
        <v>633</v>
      </c>
    </row>
    <row r="56" s="1" customFormat="1" spans="1:12">
      <c r="A56" s="33"/>
      <c r="B56" s="13" t="s">
        <v>659</v>
      </c>
      <c r="C56" s="13" t="s">
        <v>338</v>
      </c>
      <c r="D56" s="10" t="s">
        <v>660</v>
      </c>
      <c r="E56" s="25" t="s">
        <v>266</v>
      </c>
      <c r="F56" s="26"/>
      <c r="G56" s="26" t="s">
        <v>661</v>
      </c>
      <c r="H56" s="3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662</v>
      </c>
      <c r="C57" s="13" t="s">
        <v>338</v>
      </c>
      <c r="D57" s="10" t="s">
        <v>663</v>
      </c>
      <c r="E57" s="25" t="s">
        <v>266</v>
      </c>
      <c r="F57" s="26"/>
      <c r="G57" s="26" t="s">
        <v>664</v>
      </c>
      <c r="H57" s="3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665</v>
      </c>
      <c r="C58" s="13" t="s">
        <v>666</v>
      </c>
      <c r="D58" s="10" t="s">
        <v>667</v>
      </c>
      <c r="E58" s="25" t="s">
        <v>266</v>
      </c>
      <c r="F58" s="26"/>
      <c r="G58" s="26" t="s">
        <v>668</v>
      </c>
      <c r="H58" s="37"/>
      <c r="I58" s="26"/>
      <c r="J58" s="15" t="s">
        <v>632</v>
      </c>
      <c r="K58" s="15" t="s">
        <v>669</v>
      </c>
      <c r="L58" s="15" t="s">
        <v>670</v>
      </c>
    </row>
    <row r="59" s="1" customFormat="1" spans="1:12">
      <c r="A59" s="33"/>
      <c r="B59" s="13" t="s">
        <v>671</v>
      </c>
      <c r="C59" s="13" t="s">
        <v>666</v>
      </c>
      <c r="D59" s="10" t="s">
        <v>672</v>
      </c>
      <c r="E59" s="25" t="s">
        <v>266</v>
      </c>
      <c r="F59" s="26"/>
      <c r="G59" s="26" t="s">
        <v>673</v>
      </c>
      <c r="H59" s="37"/>
      <c r="I59" s="26"/>
      <c r="J59" s="15" t="s">
        <v>632</v>
      </c>
      <c r="K59" s="15" t="s">
        <v>674</v>
      </c>
      <c r="L59" s="15" t="s">
        <v>670</v>
      </c>
    </row>
    <row r="60" s="1" customFormat="1" spans="1:12">
      <c r="A60" s="33"/>
      <c r="B60" s="13" t="s">
        <v>675</v>
      </c>
      <c r="C60" s="13" t="s">
        <v>666</v>
      </c>
      <c r="D60" s="10" t="s">
        <v>676</v>
      </c>
      <c r="E60" s="25" t="s">
        <v>266</v>
      </c>
      <c r="F60" s="26"/>
      <c r="G60" s="26" t="s">
        <v>677</v>
      </c>
      <c r="H60" s="37"/>
      <c r="I60" s="26"/>
      <c r="J60" s="15" t="s">
        <v>632</v>
      </c>
      <c r="K60" s="15" t="s">
        <v>669</v>
      </c>
      <c r="L60" s="15" t="s">
        <v>670</v>
      </c>
    </row>
    <row r="61" s="1" customFormat="1" spans="1:12">
      <c r="A61" s="33"/>
      <c r="B61" s="13" t="s">
        <v>678</v>
      </c>
      <c r="C61" s="13" t="s">
        <v>666</v>
      </c>
      <c r="D61" s="10" t="s">
        <v>679</v>
      </c>
      <c r="E61" s="25" t="s">
        <v>266</v>
      </c>
      <c r="F61" s="26"/>
      <c r="G61" s="26" t="s">
        <v>680</v>
      </c>
      <c r="H61" s="37"/>
      <c r="I61" s="26"/>
      <c r="J61" s="15" t="s">
        <v>632</v>
      </c>
      <c r="K61" s="15" t="s">
        <v>674</v>
      </c>
      <c r="L61" s="15" t="s">
        <v>670</v>
      </c>
    </row>
    <row r="62" s="1" customFormat="1" spans="1:12">
      <c r="A62" s="33"/>
      <c r="B62" s="13" t="s">
        <v>681</v>
      </c>
      <c r="C62" s="13" t="s">
        <v>666</v>
      </c>
      <c r="D62" s="10" t="s">
        <v>682</v>
      </c>
      <c r="E62" s="25" t="s">
        <v>266</v>
      </c>
      <c r="F62" s="26"/>
      <c r="G62" s="26" t="s">
        <v>683</v>
      </c>
      <c r="H62" s="37"/>
      <c r="I62" s="26"/>
      <c r="J62" s="15" t="s">
        <v>632</v>
      </c>
      <c r="K62" s="15" t="s">
        <v>669</v>
      </c>
      <c r="L62" s="15" t="s">
        <v>670</v>
      </c>
    </row>
    <row r="63" s="1" customFormat="1" spans="1:12">
      <c r="A63" s="33"/>
      <c r="B63" s="13" t="s">
        <v>684</v>
      </c>
      <c r="C63" s="13" t="s">
        <v>666</v>
      </c>
      <c r="D63" s="10" t="s">
        <v>685</v>
      </c>
      <c r="E63" s="25" t="s">
        <v>266</v>
      </c>
      <c r="F63" s="26"/>
      <c r="G63" s="26" t="s">
        <v>686</v>
      </c>
      <c r="H63" s="37"/>
      <c r="I63" s="26"/>
      <c r="J63" s="15" t="s">
        <v>632</v>
      </c>
      <c r="K63" s="15" t="s">
        <v>674</v>
      </c>
      <c r="L63" s="15" t="s">
        <v>670</v>
      </c>
    </row>
    <row r="64" s="1" customFormat="1" spans="1:12">
      <c r="A64" s="33"/>
      <c r="B64" s="13" t="s">
        <v>687</v>
      </c>
      <c r="C64" s="13" t="s">
        <v>666</v>
      </c>
      <c r="D64" s="10" t="s">
        <v>688</v>
      </c>
      <c r="E64" s="25" t="s">
        <v>266</v>
      </c>
      <c r="F64" s="26"/>
      <c r="G64" s="26" t="s">
        <v>689</v>
      </c>
      <c r="H64" s="37"/>
      <c r="I64" s="26"/>
      <c r="J64" s="15" t="s">
        <v>632</v>
      </c>
      <c r="K64" s="15" t="s">
        <v>669</v>
      </c>
      <c r="L64" s="15" t="s">
        <v>670</v>
      </c>
    </row>
    <row r="65" s="1" customFormat="1" spans="1:12">
      <c r="A65" s="33"/>
      <c r="B65" s="13" t="s">
        <v>690</v>
      </c>
      <c r="C65" s="13" t="s">
        <v>666</v>
      </c>
      <c r="D65" s="10" t="s">
        <v>691</v>
      </c>
      <c r="E65" s="25" t="s">
        <v>266</v>
      </c>
      <c r="F65" s="26"/>
      <c r="G65" s="26" t="s">
        <v>692</v>
      </c>
      <c r="H65" s="37"/>
      <c r="I65" s="26"/>
      <c r="J65" s="15" t="s">
        <v>632</v>
      </c>
      <c r="K65" s="15" t="s">
        <v>674</v>
      </c>
      <c r="L65" s="15" t="s">
        <v>670</v>
      </c>
    </row>
    <row r="66" s="1" customFormat="1" spans="1:12">
      <c r="A66" s="33"/>
      <c r="B66" s="13" t="s">
        <v>346</v>
      </c>
      <c r="C66" s="13" t="s">
        <v>338</v>
      </c>
      <c r="D66" s="10" t="s">
        <v>693</v>
      </c>
      <c r="E66" s="25" t="s">
        <v>266</v>
      </c>
      <c r="F66" s="26"/>
      <c r="G66" s="26" t="s">
        <v>694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344</v>
      </c>
      <c r="C67" s="13" t="s">
        <v>338</v>
      </c>
      <c r="D67" s="10" t="s">
        <v>695</v>
      </c>
      <c r="E67" s="25" t="s">
        <v>266</v>
      </c>
      <c r="F67" s="26"/>
      <c r="G67" s="26" t="s">
        <v>696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392</v>
      </c>
      <c r="C68" s="13" t="s">
        <v>338</v>
      </c>
      <c r="D68" s="10" t="s">
        <v>697</v>
      </c>
      <c r="E68" s="25" t="s">
        <v>266</v>
      </c>
      <c r="F68" s="26"/>
      <c r="G68" s="26" t="s">
        <v>698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394</v>
      </c>
      <c r="C69" s="13" t="s">
        <v>338</v>
      </c>
      <c r="D69" s="10" t="s">
        <v>699</v>
      </c>
      <c r="E69" s="25" t="s">
        <v>266</v>
      </c>
      <c r="F69" s="26"/>
      <c r="G69" s="26" t="s">
        <v>700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701</v>
      </c>
      <c r="C70" s="13" t="s">
        <v>338</v>
      </c>
      <c r="D70" s="10" t="s">
        <v>702</v>
      </c>
      <c r="E70" s="25" t="s">
        <v>266</v>
      </c>
      <c r="F70" s="26"/>
      <c r="G70" s="26" t="s">
        <v>703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704</v>
      </c>
      <c r="C71" s="13" t="s">
        <v>338</v>
      </c>
      <c r="D71" s="10" t="s">
        <v>705</v>
      </c>
      <c r="E71" s="25" t="s">
        <v>266</v>
      </c>
      <c r="F71" s="26"/>
      <c r="G71" s="26" t="s">
        <v>706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707</v>
      </c>
      <c r="C72" s="13" t="s">
        <v>338</v>
      </c>
      <c r="D72" s="10" t="s">
        <v>708</v>
      </c>
      <c r="E72" s="25" t="s">
        <v>266</v>
      </c>
      <c r="F72" s="26"/>
      <c r="G72" s="26" t="s">
        <v>709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710</v>
      </c>
      <c r="C73" s="13" t="s">
        <v>338</v>
      </c>
      <c r="D73" s="10" t="s">
        <v>711</v>
      </c>
      <c r="E73" s="25" t="s">
        <v>266</v>
      </c>
      <c r="F73" s="26"/>
      <c r="G73" s="26" t="s">
        <v>712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713</v>
      </c>
      <c r="C74" s="13" t="s">
        <v>338</v>
      </c>
      <c r="D74" s="10" t="s">
        <v>714</v>
      </c>
      <c r="E74" s="25" t="s">
        <v>266</v>
      </c>
      <c r="F74" s="26"/>
      <c r="G74" s="26" t="s">
        <v>715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716</v>
      </c>
      <c r="C75" s="13" t="s">
        <v>338</v>
      </c>
      <c r="D75" s="10" t="s">
        <v>717</v>
      </c>
      <c r="E75" s="25" t="s">
        <v>266</v>
      </c>
      <c r="F75" s="26"/>
      <c r="G75" s="26" t="s">
        <v>718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410</v>
      </c>
      <c r="C76" s="13" t="s">
        <v>338</v>
      </c>
      <c r="D76" s="10" t="s">
        <v>719</v>
      </c>
      <c r="E76" s="25" t="s">
        <v>266</v>
      </c>
      <c r="F76" s="26"/>
      <c r="G76" s="26" t="s">
        <v>720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412</v>
      </c>
      <c r="C77" s="13" t="s">
        <v>338</v>
      </c>
      <c r="D77" s="10" t="s">
        <v>721</v>
      </c>
      <c r="E77" s="25" t="s">
        <v>266</v>
      </c>
      <c r="F77" s="26"/>
      <c r="G77" s="26" t="s">
        <v>722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528</v>
      </c>
      <c r="C78" s="13" t="s">
        <v>338</v>
      </c>
      <c r="D78" s="10" t="s">
        <v>723</v>
      </c>
      <c r="E78" s="25" t="s">
        <v>266</v>
      </c>
      <c r="F78" s="26"/>
      <c r="G78" s="26" t="s">
        <v>724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532</v>
      </c>
      <c r="C79" s="13" t="s">
        <v>338</v>
      </c>
      <c r="D79" s="10" t="s">
        <v>725</v>
      </c>
      <c r="E79" s="25" t="s">
        <v>266</v>
      </c>
      <c r="F79" s="26"/>
      <c r="G79" s="26" t="s">
        <v>726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535</v>
      </c>
      <c r="C80" s="13" t="s">
        <v>338</v>
      </c>
      <c r="D80" s="10" t="s">
        <v>536</v>
      </c>
      <c r="E80" s="25" t="s">
        <v>266</v>
      </c>
      <c r="F80" s="26"/>
      <c r="G80" s="26" t="s">
        <v>727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728</v>
      </c>
      <c r="C81" s="13" t="s">
        <v>338</v>
      </c>
      <c r="D81" s="10" t="s">
        <v>729</v>
      </c>
      <c r="E81" s="25" t="s">
        <v>266</v>
      </c>
      <c r="F81" s="26"/>
      <c r="G81" s="26" t="s">
        <v>715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730</v>
      </c>
      <c r="C82" s="13" t="s">
        <v>666</v>
      </c>
      <c r="D82" s="10" t="s">
        <v>731</v>
      </c>
      <c r="E82" s="25" t="s">
        <v>266</v>
      </c>
      <c r="F82" s="26"/>
      <c r="G82" s="26" t="s">
        <v>732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733</v>
      </c>
      <c r="C83" s="13" t="s">
        <v>338</v>
      </c>
      <c r="D83" s="10" t="s">
        <v>734</v>
      </c>
      <c r="E83" s="25" t="s">
        <v>266</v>
      </c>
      <c r="F83" s="26"/>
      <c r="G83" s="26" t="s">
        <v>735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736</v>
      </c>
      <c r="C84" s="13" t="s">
        <v>338</v>
      </c>
      <c r="D84" s="10" t="s">
        <v>737</v>
      </c>
      <c r="E84" s="25" t="s">
        <v>266</v>
      </c>
      <c r="F84" s="26"/>
      <c r="G84" s="26" t="s">
        <v>738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739</v>
      </c>
      <c r="C85" s="13" t="s">
        <v>338</v>
      </c>
      <c r="D85" s="10" t="s">
        <v>740</v>
      </c>
      <c r="E85" s="25" t="s">
        <v>266</v>
      </c>
      <c r="F85" s="26"/>
      <c r="G85" s="26" t="s">
        <v>741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742</v>
      </c>
      <c r="C86" s="13" t="s">
        <v>338</v>
      </c>
      <c r="D86" s="10" t="s">
        <v>743</v>
      </c>
      <c r="E86" s="25" t="s">
        <v>266</v>
      </c>
      <c r="F86" s="26"/>
      <c r="G86" s="26" t="s">
        <v>744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745</v>
      </c>
      <c r="C87" s="13" t="s">
        <v>338</v>
      </c>
      <c r="D87" s="10" t="s">
        <v>746</v>
      </c>
      <c r="E87" s="25" t="s">
        <v>266</v>
      </c>
      <c r="F87" s="26"/>
      <c r="G87" s="26" t="s">
        <v>747</v>
      </c>
      <c r="H87" s="3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748</v>
      </c>
      <c r="C88" s="13" t="s">
        <v>338</v>
      </c>
      <c r="D88" s="10" t="s">
        <v>749</v>
      </c>
      <c r="E88" s="25" t="s">
        <v>266</v>
      </c>
      <c r="F88" s="26"/>
      <c r="G88" s="26" t="s">
        <v>750</v>
      </c>
      <c r="H88" s="3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751</v>
      </c>
      <c r="C89" s="13" t="s">
        <v>666</v>
      </c>
      <c r="D89" s="10" t="s">
        <v>752</v>
      </c>
      <c r="E89" s="25" t="s">
        <v>266</v>
      </c>
      <c r="F89" s="26"/>
      <c r="G89" s="26" t="s">
        <v>753</v>
      </c>
      <c r="H89" s="3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754</v>
      </c>
      <c r="C90" s="13" t="s">
        <v>338</v>
      </c>
      <c r="D90" s="10" t="s">
        <v>755</v>
      </c>
      <c r="E90" s="25" t="s">
        <v>266</v>
      </c>
      <c r="F90" s="26"/>
      <c r="G90" s="26" t="s">
        <v>756</v>
      </c>
      <c r="H90" s="3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757</v>
      </c>
      <c r="C91" s="13" t="s">
        <v>338</v>
      </c>
      <c r="D91" s="10" t="s">
        <v>758</v>
      </c>
      <c r="E91" s="25" t="s">
        <v>266</v>
      </c>
      <c r="F91" s="26"/>
      <c r="G91" s="26" t="s">
        <v>759</v>
      </c>
      <c r="H91" s="37"/>
      <c r="I91" s="26"/>
      <c r="J91" s="15" t="s">
        <v>632</v>
      </c>
      <c r="K91" s="15" t="s">
        <v>294</v>
      </c>
      <c r="L91" s="15" t="s">
        <v>633</v>
      </c>
    </row>
    <row r="92" s="1" customFormat="1" spans="1:12">
      <c r="A92" s="33"/>
      <c r="B92" s="13" t="s">
        <v>760</v>
      </c>
      <c r="C92" s="13" t="s">
        <v>338</v>
      </c>
      <c r="D92" s="10" t="s">
        <v>761</v>
      </c>
      <c r="E92" s="25" t="s">
        <v>266</v>
      </c>
      <c r="F92" s="26"/>
      <c r="G92" s="26" t="s">
        <v>762</v>
      </c>
      <c r="H92" s="37"/>
      <c r="I92" s="26"/>
      <c r="J92" s="15" t="s">
        <v>632</v>
      </c>
      <c r="K92" s="15" t="s">
        <v>294</v>
      </c>
      <c r="L92" s="15" t="s">
        <v>633</v>
      </c>
    </row>
    <row r="93" s="1" customFormat="1" spans="1:12">
      <c r="A93" s="33"/>
      <c r="B93" s="13" t="s">
        <v>763</v>
      </c>
      <c r="C93" s="13" t="s">
        <v>338</v>
      </c>
      <c r="D93" s="10" t="s">
        <v>764</v>
      </c>
      <c r="E93" s="25" t="s">
        <v>266</v>
      </c>
      <c r="F93" s="26"/>
      <c r="G93" s="26" t="s">
        <v>765</v>
      </c>
      <c r="H93" s="37"/>
      <c r="I93" s="26"/>
      <c r="J93" s="15" t="s">
        <v>632</v>
      </c>
      <c r="K93" s="15" t="s">
        <v>294</v>
      </c>
      <c r="L93" s="15" t="s">
        <v>633</v>
      </c>
    </row>
    <row r="94" s="1" customFormat="1" spans="1:12">
      <c r="A94" s="33"/>
      <c r="B94" s="13" t="s">
        <v>766</v>
      </c>
      <c r="C94" s="13" t="s">
        <v>338</v>
      </c>
      <c r="D94" s="10" t="s">
        <v>767</v>
      </c>
      <c r="E94" s="25" t="s">
        <v>266</v>
      </c>
      <c r="F94" s="26"/>
      <c r="G94" s="26" t="s">
        <v>768</v>
      </c>
      <c r="H94" s="37"/>
      <c r="I94" s="26"/>
      <c r="J94" s="15" t="s">
        <v>632</v>
      </c>
      <c r="K94" s="15" t="s">
        <v>294</v>
      </c>
      <c r="L94" s="15" t="s">
        <v>633</v>
      </c>
    </row>
    <row r="95" s="1" customFormat="1" spans="1:12">
      <c r="A95" s="33"/>
      <c r="B95" s="13" t="s">
        <v>769</v>
      </c>
      <c r="C95" s="13" t="s">
        <v>666</v>
      </c>
      <c r="D95" s="10" t="s">
        <v>770</v>
      </c>
      <c r="E95" s="25" t="s">
        <v>266</v>
      </c>
      <c r="F95" s="26"/>
      <c r="G95" s="26" t="s">
        <v>771</v>
      </c>
      <c r="H95" s="3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772</v>
      </c>
      <c r="C96" s="13" t="s">
        <v>666</v>
      </c>
      <c r="D96" s="10" t="s">
        <v>773</v>
      </c>
      <c r="E96" s="25" t="s">
        <v>266</v>
      </c>
      <c r="F96" s="26"/>
      <c r="G96" s="26" t="s">
        <v>774</v>
      </c>
      <c r="H96" s="3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13" t="s">
        <v>775</v>
      </c>
      <c r="C97" s="13" t="s">
        <v>338</v>
      </c>
      <c r="D97" s="10" t="s">
        <v>776</v>
      </c>
      <c r="E97" s="25" t="s">
        <v>266</v>
      </c>
      <c r="F97" s="26"/>
      <c r="G97" s="26" t="s">
        <v>777</v>
      </c>
      <c r="H97" s="3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778</v>
      </c>
      <c r="C98" s="13" t="s">
        <v>338</v>
      </c>
      <c r="D98" s="10" t="s">
        <v>779</v>
      </c>
      <c r="E98" s="25" t="s">
        <v>266</v>
      </c>
      <c r="F98" s="26"/>
      <c r="G98" s="26" t="s">
        <v>780</v>
      </c>
      <c r="H98" s="3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13" t="s">
        <v>781</v>
      </c>
      <c r="C99" s="13" t="s">
        <v>338</v>
      </c>
      <c r="D99" s="10" t="s">
        <v>782</v>
      </c>
      <c r="E99" s="25" t="s">
        <v>266</v>
      </c>
      <c r="F99" s="26"/>
      <c r="G99" s="26" t="s">
        <v>783</v>
      </c>
      <c r="H99" s="3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784</v>
      </c>
      <c r="C100" s="13" t="s">
        <v>338</v>
      </c>
      <c r="D100" s="10" t="s">
        <v>785</v>
      </c>
      <c r="E100" s="25" t="s">
        <v>266</v>
      </c>
      <c r="F100" s="26"/>
      <c r="G100" s="26" t="s">
        <v>786</v>
      </c>
      <c r="H100" s="3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787</v>
      </c>
      <c r="C101" s="13" t="s">
        <v>338</v>
      </c>
      <c r="D101" s="10" t="s">
        <v>788</v>
      </c>
      <c r="E101" s="25" t="s">
        <v>266</v>
      </c>
      <c r="F101" s="26"/>
      <c r="G101" s="26" t="s">
        <v>789</v>
      </c>
      <c r="H101" s="37"/>
      <c r="I101" s="26"/>
      <c r="J101" s="15" t="s">
        <v>632</v>
      </c>
      <c r="K101" s="15" t="s">
        <v>294</v>
      </c>
      <c r="L101" s="15" t="s">
        <v>633</v>
      </c>
    </row>
    <row r="102" s="1" customFormat="1" spans="1:12">
      <c r="A102" s="33"/>
      <c r="B102" s="13" t="s">
        <v>413</v>
      </c>
      <c r="C102" s="13" t="s">
        <v>666</v>
      </c>
      <c r="D102" s="10" t="s">
        <v>790</v>
      </c>
      <c r="E102" s="25" t="s">
        <v>266</v>
      </c>
      <c r="F102" s="26"/>
      <c r="G102" s="26" t="s">
        <v>791</v>
      </c>
      <c r="H102" s="37"/>
      <c r="I102" s="26"/>
      <c r="J102" s="15" t="s">
        <v>632</v>
      </c>
      <c r="K102" s="15" t="s">
        <v>404</v>
      </c>
      <c r="L102" s="15" t="s">
        <v>633</v>
      </c>
    </row>
    <row r="103" s="1" customFormat="1" spans="1:12">
      <c r="A103" s="33"/>
      <c r="B103" s="13" t="s">
        <v>792</v>
      </c>
      <c r="C103" s="13" t="s">
        <v>338</v>
      </c>
      <c r="D103" s="10" t="s">
        <v>793</v>
      </c>
      <c r="E103" s="25" t="s">
        <v>266</v>
      </c>
      <c r="F103" s="26"/>
      <c r="G103" s="26" t="s">
        <v>794</v>
      </c>
      <c r="H103" s="37"/>
      <c r="I103" s="26"/>
      <c r="J103" s="15" t="s">
        <v>632</v>
      </c>
      <c r="K103" s="15" t="s">
        <v>294</v>
      </c>
      <c r="L103" s="15" t="s">
        <v>633</v>
      </c>
    </row>
    <row r="104" s="1" customFormat="1" spans="1:12">
      <c r="A104" s="33"/>
      <c r="B104" s="13" t="s">
        <v>418</v>
      </c>
      <c r="C104" s="13" t="s">
        <v>666</v>
      </c>
      <c r="D104" s="10" t="s">
        <v>795</v>
      </c>
      <c r="E104" s="25" t="s">
        <v>266</v>
      </c>
      <c r="F104" s="26"/>
      <c r="G104" s="26" t="s">
        <v>796</v>
      </c>
      <c r="H104" s="3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13" t="s">
        <v>797</v>
      </c>
      <c r="C105" s="13" t="s">
        <v>338</v>
      </c>
      <c r="D105" s="10" t="s">
        <v>798</v>
      </c>
      <c r="E105" s="25" t="s">
        <v>266</v>
      </c>
      <c r="F105" s="26"/>
      <c r="G105" s="26" t="s">
        <v>799</v>
      </c>
      <c r="H105" s="3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800</v>
      </c>
      <c r="C106" s="13" t="s">
        <v>338</v>
      </c>
      <c r="D106" s="10" t="s">
        <v>801</v>
      </c>
      <c r="E106" s="25" t="s">
        <v>266</v>
      </c>
      <c r="F106" s="26"/>
      <c r="G106" s="26" t="s">
        <v>802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551</v>
      </c>
      <c r="C107" s="13" t="s">
        <v>666</v>
      </c>
      <c r="D107" s="10" t="s">
        <v>552</v>
      </c>
      <c r="E107" s="25" t="s">
        <v>266</v>
      </c>
      <c r="F107" s="26"/>
      <c r="G107" s="26" t="s">
        <v>804</v>
      </c>
      <c r="H107" s="3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805</v>
      </c>
      <c r="C108" s="13" t="s">
        <v>338</v>
      </c>
      <c r="D108" s="10" t="s">
        <v>806</v>
      </c>
      <c r="E108" s="25" t="s">
        <v>266</v>
      </c>
      <c r="F108" s="26"/>
      <c r="G108" s="26" t="s">
        <v>807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808</v>
      </c>
      <c r="C109" s="13" t="s">
        <v>338</v>
      </c>
      <c r="D109" s="10" t="s">
        <v>809</v>
      </c>
      <c r="E109" s="25" t="s">
        <v>266</v>
      </c>
      <c r="F109" s="26"/>
      <c r="G109" s="26" t="s">
        <v>810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811</v>
      </c>
      <c r="C110" s="13" t="s">
        <v>338</v>
      </c>
      <c r="D110" s="10" t="s">
        <v>812</v>
      </c>
      <c r="E110" s="25" t="s">
        <v>266</v>
      </c>
      <c r="F110" s="26"/>
      <c r="G110" s="26" t="s">
        <v>813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814</v>
      </c>
      <c r="C111" s="13" t="s">
        <v>338</v>
      </c>
      <c r="D111" s="10" t="s">
        <v>815</v>
      </c>
      <c r="E111" s="25" t="s">
        <v>266</v>
      </c>
      <c r="F111" s="26"/>
      <c r="G111" s="26" t="s">
        <v>816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817</v>
      </c>
      <c r="C112" s="13" t="s">
        <v>338</v>
      </c>
      <c r="D112" s="10" t="s">
        <v>818</v>
      </c>
      <c r="E112" s="25" t="s">
        <v>266</v>
      </c>
      <c r="F112" s="26"/>
      <c r="G112" s="26" t="s">
        <v>819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820</v>
      </c>
      <c r="C113" s="13" t="s">
        <v>338</v>
      </c>
      <c r="D113" s="10" t="s">
        <v>821</v>
      </c>
      <c r="E113" s="25" t="s">
        <v>266</v>
      </c>
      <c r="F113" s="26"/>
      <c r="G113" s="26" t="s">
        <v>822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556</v>
      </c>
      <c r="C114" s="13" t="s">
        <v>666</v>
      </c>
      <c r="D114" s="10" t="s">
        <v>557</v>
      </c>
      <c r="E114" s="25" t="s">
        <v>266</v>
      </c>
      <c r="F114" s="26"/>
      <c r="G114" s="26" t="s">
        <v>823</v>
      </c>
      <c r="H114" s="3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824</v>
      </c>
      <c r="C115" s="13" t="s">
        <v>338</v>
      </c>
      <c r="D115" s="10" t="s">
        <v>825</v>
      </c>
      <c r="E115" s="25" t="s">
        <v>266</v>
      </c>
      <c r="F115" s="26"/>
      <c r="G115" s="26" t="s">
        <v>826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827</v>
      </c>
      <c r="C116" s="13" t="s">
        <v>338</v>
      </c>
      <c r="D116" s="10" t="s">
        <v>828</v>
      </c>
      <c r="E116" s="25" t="s">
        <v>266</v>
      </c>
      <c r="F116" s="26"/>
      <c r="G116" s="26" t="s">
        <v>829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830</v>
      </c>
      <c r="C117" s="13" t="s">
        <v>338</v>
      </c>
      <c r="D117" s="10" t="s">
        <v>831</v>
      </c>
      <c r="E117" s="25" t="s">
        <v>266</v>
      </c>
      <c r="F117" s="26"/>
      <c r="G117" s="26" t="s">
        <v>832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833</v>
      </c>
      <c r="C118" s="13" t="s">
        <v>338</v>
      </c>
      <c r="D118" s="10" t="s">
        <v>834</v>
      </c>
      <c r="E118" s="25" t="s">
        <v>266</v>
      </c>
      <c r="F118" s="26"/>
      <c r="G118" s="26" t="s">
        <v>835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836</v>
      </c>
      <c r="C119" s="13" t="s">
        <v>338</v>
      </c>
      <c r="D119" s="10" t="s">
        <v>837</v>
      </c>
      <c r="E119" s="25" t="s">
        <v>266</v>
      </c>
      <c r="F119" s="26"/>
      <c r="G119" s="26" t="s">
        <v>838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839</v>
      </c>
      <c r="C120" s="13" t="s">
        <v>338</v>
      </c>
      <c r="D120" s="10" t="s">
        <v>840</v>
      </c>
      <c r="E120" s="25" t="s">
        <v>266</v>
      </c>
      <c r="F120" s="26"/>
      <c r="G120" s="26" t="s">
        <v>841</v>
      </c>
      <c r="H120" s="37"/>
      <c r="I120" s="26"/>
      <c r="J120" s="15" t="s">
        <v>632</v>
      </c>
      <c r="K120" s="15" t="s">
        <v>294</v>
      </c>
      <c r="L120" s="15" t="s">
        <v>633</v>
      </c>
    </row>
    <row r="121" s="1" customFormat="1" spans="1:12">
      <c r="A121" s="33"/>
      <c r="B121" s="13" t="s">
        <v>560</v>
      </c>
      <c r="C121" s="13" t="s">
        <v>666</v>
      </c>
      <c r="D121" s="10" t="s">
        <v>842</v>
      </c>
      <c r="E121" s="25" t="s">
        <v>266</v>
      </c>
      <c r="F121" s="26"/>
      <c r="G121" s="26" t="s">
        <v>843</v>
      </c>
      <c r="H121" s="37"/>
      <c r="I121" s="26"/>
      <c r="J121" s="15" t="s">
        <v>632</v>
      </c>
      <c r="K121" s="15" t="s">
        <v>404</v>
      </c>
      <c r="L121" s="15" t="s">
        <v>633</v>
      </c>
    </row>
    <row r="122" s="1" customFormat="1" spans="1:12">
      <c r="A122" s="33"/>
      <c r="B122" s="75" t="s">
        <v>844</v>
      </c>
      <c r="C122" s="75" t="s">
        <v>338</v>
      </c>
      <c r="D122" s="76" t="s">
        <v>845</v>
      </c>
      <c r="E122" s="25" t="s">
        <v>266</v>
      </c>
      <c r="F122" s="26"/>
      <c r="G122" s="26" t="s">
        <v>846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75" t="s">
        <v>847</v>
      </c>
      <c r="C123" s="75" t="s">
        <v>338</v>
      </c>
      <c r="D123" s="76" t="s">
        <v>848</v>
      </c>
      <c r="E123" s="25" t="s">
        <v>266</v>
      </c>
      <c r="F123" s="26"/>
      <c r="G123" s="26" t="s">
        <v>849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75" t="s">
        <v>850</v>
      </c>
      <c r="C124" s="75" t="s">
        <v>338</v>
      </c>
      <c r="D124" s="76" t="s">
        <v>851</v>
      </c>
      <c r="E124" s="25" t="s">
        <v>266</v>
      </c>
      <c r="F124" s="26"/>
      <c r="G124" s="26" t="s">
        <v>852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75" t="s">
        <v>853</v>
      </c>
      <c r="C125" s="75" t="s">
        <v>338</v>
      </c>
      <c r="D125" s="76" t="s">
        <v>854</v>
      </c>
      <c r="E125" s="25" t="s">
        <v>266</v>
      </c>
      <c r="F125" s="26"/>
      <c r="G125" s="26" t="s">
        <v>855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75" t="s">
        <v>856</v>
      </c>
      <c r="C126" s="75" t="s">
        <v>338</v>
      </c>
      <c r="D126" s="76" t="s">
        <v>857</v>
      </c>
      <c r="E126" s="25" t="s">
        <v>266</v>
      </c>
      <c r="F126" s="26"/>
      <c r="G126" s="26" t="s">
        <v>858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13" t="s">
        <v>859</v>
      </c>
      <c r="C127" s="13" t="s">
        <v>338</v>
      </c>
      <c r="D127" s="10" t="s">
        <v>860</v>
      </c>
      <c r="E127" s="25" t="s">
        <v>266</v>
      </c>
      <c r="F127" s="26"/>
      <c r="G127" s="26" t="s">
        <v>861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13" t="s">
        <v>862</v>
      </c>
      <c r="C128" s="13" t="s">
        <v>666</v>
      </c>
      <c r="D128" s="10" t="s">
        <v>863</v>
      </c>
      <c r="E128" s="25" t="s">
        <v>266</v>
      </c>
      <c r="F128" s="26"/>
      <c r="G128" s="26" t="s">
        <v>864</v>
      </c>
      <c r="H128" s="37"/>
      <c r="I128" s="26"/>
      <c r="J128" s="15" t="s">
        <v>632</v>
      </c>
      <c r="K128" s="15" t="s">
        <v>404</v>
      </c>
      <c r="L128" s="15" t="s">
        <v>633</v>
      </c>
    </row>
    <row r="129" s="1" customFormat="1" spans="1:12">
      <c r="A129" s="33"/>
      <c r="B129" s="13" t="s">
        <v>462</v>
      </c>
      <c r="C129" s="13" t="s">
        <v>666</v>
      </c>
      <c r="D129" s="10" t="s">
        <v>865</v>
      </c>
      <c r="E129" s="25" t="s">
        <v>266</v>
      </c>
      <c r="F129" s="26"/>
      <c r="G129" s="26" t="s">
        <v>866</v>
      </c>
      <c r="H129" s="37"/>
      <c r="I129" s="26"/>
      <c r="J129" s="15" t="s">
        <v>632</v>
      </c>
      <c r="K129" s="15" t="s">
        <v>404</v>
      </c>
      <c r="L129" s="15" t="s">
        <v>633</v>
      </c>
    </row>
    <row r="130" s="1" customFormat="1" spans="1:12">
      <c r="A130" s="33"/>
      <c r="B130" s="13" t="s">
        <v>538</v>
      </c>
      <c r="C130" s="13" t="s">
        <v>666</v>
      </c>
      <c r="D130" s="10" t="s">
        <v>539</v>
      </c>
      <c r="E130" s="25" t="s">
        <v>266</v>
      </c>
      <c r="F130" s="26"/>
      <c r="G130" s="26" t="s">
        <v>867</v>
      </c>
      <c r="H130" s="37"/>
      <c r="I130" s="26"/>
      <c r="J130" s="15" t="s">
        <v>632</v>
      </c>
      <c r="K130" s="15" t="s">
        <v>404</v>
      </c>
      <c r="L130" s="15" t="s">
        <v>633</v>
      </c>
    </row>
    <row r="131" s="1" customFormat="1" spans="1:12">
      <c r="A131" s="33"/>
      <c r="B131" s="13" t="s">
        <v>868</v>
      </c>
      <c r="C131" s="13" t="s">
        <v>338</v>
      </c>
      <c r="D131" s="10" t="s">
        <v>869</v>
      </c>
      <c r="E131" s="25" t="s">
        <v>266</v>
      </c>
      <c r="F131" s="26"/>
      <c r="G131" s="26" t="s">
        <v>870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13" t="s">
        <v>871</v>
      </c>
      <c r="C132" s="13" t="s">
        <v>338</v>
      </c>
      <c r="D132" s="10" t="s">
        <v>872</v>
      </c>
      <c r="E132" s="25" t="s">
        <v>266</v>
      </c>
      <c r="F132" s="26"/>
      <c r="G132" s="26" t="s">
        <v>873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13" t="s">
        <v>543</v>
      </c>
      <c r="C133" s="13" t="s">
        <v>666</v>
      </c>
      <c r="D133" s="10" t="s">
        <v>544</v>
      </c>
      <c r="E133" s="25" t="s">
        <v>266</v>
      </c>
      <c r="F133" s="26"/>
      <c r="G133" s="26" t="s">
        <v>874</v>
      </c>
      <c r="H133" s="37"/>
      <c r="I133" s="26"/>
      <c r="J133" s="15" t="s">
        <v>632</v>
      </c>
      <c r="K133" s="15" t="s">
        <v>404</v>
      </c>
      <c r="L133" s="15" t="s">
        <v>633</v>
      </c>
    </row>
    <row r="134" s="1" customFormat="1" spans="1:12">
      <c r="A134" s="33"/>
      <c r="B134" s="13" t="s">
        <v>875</v>
      </c>
      <c r="C134" s="13" t="s">
        <v>338</v>
      </c>
      <c r="D134" s="10" t="s">
        <v>876</v>
      </c>
      <c r="E134" s="25" t="s">
        <v>266</v>
      </c>
      <c r="F134" s="26"/>
      <c r="G134" s="26" t="s">
        <v>877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13" t="s">
        <v>878</v>
      </c>
      <c r="C135" s="13" t="s">
        <v>666</v>
      </c>
      <c r="D135" s="10" t="s">
        <v>879</v>
      </c>
      <c r="E135" s="25" t="s">
        <v>266</v>
      </c>
      <c r="F135" s="26"/>
      <c r="G135" s="26" t="s">
        <v>880</v>
      </c>
      <c r="H135" s="37"/>
      <c r="I135" s="26"/>
      <c r="J135" s="15" t="s">
        <v>632</v>
      </c>
      <c r="K135" s="15" t="s">
        <v>404</v>
      </c>
      <c r="L135" s="15" t="s">
        <v>633</v>
      </c>
    </row>
    <row r="136" s="1" customFormat="1" spans="1:12">
      <c r="A136" s="33"/>
      <c r="B136" s="13" t="s">
        <v>881</v>
      </c>
      <c r="C136" s="13" t="s">
        <v>666</v>
      </c>
      <c r="D136" s="10" t="s">
        <v>882</v>
      </c>
      <c r="E136" s="25" t="s">
        <v>266</v>
      </c>
      <c r="F136" s="26"/>
      <c r="G136" s="26" t="s">
        <v>883</v>
      </c>
      <c r="H136" s="37"/>
      <c r="I136" s="26"/>
      <c r="J136" s="15" t="s">
        <v>632</v>
      </c>
      <c r="K136" s="15" t="s">
        <v>294</v>
      </c>
      <c r="L136" s="15" t="s">
        <v>633</v>
      </c>
    </row>
    <row r="137" s="1" customFormat="1" spans="1:12">
      <c r="A137" s="33"/>
      <c r="B137" s="13" t="s">
        <v>884</v>
      </c>
      <c r="C137" s="13" t="s">
        <v>666</v>
      </c>
      <c r="D137" s="10" t="s">
        <v>885</v>
      </c>
      <c r="E137" s="25" t="s">
        <v>266</v>
      </c>
      <c r="F137" s="26"/>
      <c r="G137" s="26" t="s">
        <v>886</v>
      </c>
      <c r="H137" s="37"/>
      <c r="I137" s="26"/>
      <c r="J137" s="15" t="s">
        <v>632</v>
      </c>
      <c r="K137" s="15" t="s">
        <v>404</v>
      </c>
      <c r="L137" s="15" t="s">
        <v>633</v>
      </c>
    </row>
    <row r="138" s="1" customFormat="1" spans="1:12">
      <c r="A138" s="33"/>
      <c r="B138" s="13" t="s">
        <v>887</v>
      </c>
      <c r="C138" s="13" t="s">
        <v>338</v>
      </c>
      <c r="D138" s="10" t="s">
        <v>888</v>
      </c>
      <c r="E138" s="25" t="s">
        <v>266</v>
      </c>
      <c r="F138" s="26"/>
      <c r="G138" s="26" t="s">
        <v>889</v>
      </c>
      <c r="H138" s="37"/>
      <c r="I138" s="26"/>
      <c r="J138" s="15" t="s">
        <v>632</v>
      </c>
      <c r="K138" s="15" t="s">
        <v>294</v>
      </c>
      <c r="L138" s="15" t="s">
        <v>633</v>
      </c>
    </row>
    <row r="139" s="1" customFormat="1" spans="1:12">
      <c r="A139" s="33"/>
      <c r="B139" s="13" t="s">
        <v>890</v>
      </c>
      <c r="C139" s="13" t="s">
        <v>338</v>
      </c>
      <c r="D139" s="10" t="s">
        <v>891</v>
      </c>
      <c r="E139" s="25" t="s">
        <v>266</v>
      </c>
      <c r="F139" s="26"/>
      <c r="G139" s="26" t="s">
        <v>892</v>
      </c>
      <c r="H139" s="37"/>
      <c r="I139" s="26"/>
      <c r="J139" s="15" t="s">
        <v>632</v>
      </c>
      <c r="K139" s="15" t="s">
        <v>294</v>
      </c>
      <c r="L139" s="15" t="s">
        <v>633</v>
      </c>
    </row>
    <row r="140" s="1" customFormat="1" spans="1:12">
      <c r="A140" s="33"/>
      <c r="B140" s="13" t="s">
        <v>893</v>
      </c>
      <c r="C140" s="13" t="s">
        <v>338</v>
      </c>
      <c r="D140" s="10" t="s">
        <v>894</v>
      </c>
      <c r="E140" s="25" t="s">
        <v>266</v>
      </c>
      <c r="F140" s="26"/>
      <c r="G140" s="26" t="s">
        <v>895</v>
      </c>
      <c r="H140" s="37"/>
      <c r="I140" s="26"/>
      <c r="J140" s="15" t="s">
        <v>632</v>
      </c>
      <c r="K140" s="15" t="s">
        <v>294</v>
      </c>
      <c r="L140" s="15" t="s">
        <v>633</v>
      </c>
    </row>
    <row r="141" s="1" customFormat="1" spans="1:12">
      <c r="A141" s="33"/>
      <c r="B141" s="13" t="s">
        <v>896</v>
      </c>
      <c r="C141" s="13" t="s">
        <v>338</v>
      </c>
      <c r="D141" s="10" t="s">
        <v>897</v>
      </c>
      <c r="E141" s="25" t="s">
        <v>266</v>
      </c>
      <c r="F141" s="26"/>
      <c r="G141" s="26" t="s">
        <v>898</v>
      </c>
      <c r="H141" s="37"/>
      <c r="I141" s="26"/>
      <c r="J141" s="15" t="s">
        <v>632</v>
      </c>
      <c r="K141" s="15" t="s">
        <v>294</v>
      </c>
      <c r="L141" s="15" t="s">
        <v>633</v>
      </c>
    </row>
    <row r="142" s="1" customFormat="1" spans="1:12">
      <c r="A142" s="33"/>
      <c r="B142" s="13" t="s">
        <v>899</v>
      </c>
      <c r="C142" s="13" t="s">
        <v>338</v>
      </c>
      <c r="D142" s="10" t="s">
        <v>900</v>
      </c>
      <c r="E142" s="25" t="s">
        <v>266</v>
      </c>
      <c r="F142" s="26"/>
      <c r="G142" s="26" t="s">
        <v>901</v>
      </c>
      <c r="H142" s="37"/>
      <c r="I142" s="26"/>
      <c r="J142" s="15" t="s">
        <v>632</v>
      </c>
      <c r="K142" s="15" t="s">
        <v>294</v>
      </c>
      <c r="L142" s="15" t="s">
        <v>633</v>
      </c>
    </row>
    <row r="143" s="1" customFormat="1" spans="1:12">
      <c r="A143" s="33"/>
      <c r="B143" s="13" t="s">
        <v>902</v>
      </c>
      <c r="C143" s="13" t="s">
        <v>338</v>
      </c>
      <c r="D143" s="10" t="s">
        <v>903</v>
      </c>
      <c r="E143" s="25" t="s">
        <v>266</v>
      </c>
      <c r="F143" s="26"/>
      <c r="G143" s="26" t="s">
        <v>904</v>
      </c>
      <c r="H143" s="37"/>
      <c r="I143" s="26"/>
      <c r="J143" s="15" t="s">
        <v>632</v>
      </c>
      <c r="K143" s="15" t="s">
        <v>294</v>
      </c>
      <c r="L143" s="15" t="s">
        <v>633</v>
      </c>
    </row>
    <row r="144" s="1" customFormat="1" spans="1:12">
      <c r="A144" s="33"/>
      <c r="B144" s="13" t="s">
        <v>905</v>
      </c>
      <c r="C144" s="13" t="s">
        <v>338</v>
      </c>
      <c r="D144" s="10" t="s">
        <v>906</v>
      </c>
      <c r="E144" s="25" t="s">
        <v>266</v>
      </c>
      <c r="F144" s="26"/>
      <c r="G144" s="26" t="s">
        <v>907</v>
      </c>
      <c r="H144" s="37"/>
      <c r="I144" s="26"/>
      <c r="J144" s="15" t="s">
        <v>632</v>
      </c>
      <c r="K144" s="15" t="s">
        <v>294</v>
      </c>
      <c r="L144" s="15" t="s">
        <v>633</v>
      </c>
    </row>
    <row r="145" s="1" customFormat="1" spans="1:12">
      <c r="A145" s="33"/>
      <c r="B145" s="13" t="s">
        <v>908</v>
      </c>
      <c r="C145" s="13" t="s">
        <v>338</v>
      </c>
      <c r="D145" s="10" t="s">
        <v>909</v>
      </c>
      <c r="E145" s="25" t="s">
        <v>266</v>
      </c>
      <c r="F145" s="26"/>
      <c r="G145" s="26" t="s">
        <v>910</v>
      </c>
      <c r="H145" s="37"/>
      <c r="I145" s="26"/>
      <c r="J145" s="15" t="s">
        <v>632</v>
      </c>
      <c r="K145" s="15" t="s">
        <v>294</v>
      </c>
      <c r="L145" s="15" t="s">
        <v>633</v>
      </c>
    </row>
    <row r="146" s="1" customFormat="1" spans="1:12">
      <c r="A146" s="33"/>
      <c r="B146" s="13" t="s">
        <v>911</v>
      </c>
      <c r="C146" s="13" t="s">
        <v>338</v>
      </c>
      <c r="D146" s="10" t="s">
        <v>912</v>
      </c>
      <c r="E146" s="25" t="s">
        <v>266</v>
      </c>
      <c r="F146" s="26"/>
      <c r="G146" s="26" t="s">
        <v>913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13" t="s">
        <v>914</v>
      </c>
      <c r="C147" s="13" t="s">
        <v>338</v>
      </c>
      <c r="D147" s="10" t="s">
        <v>915</v>
      </c>
      <c r="E147" s="25" t="s">
        <v>266</v>
      </c>
      <c r="F147" s="26"/>
      <c r="G147" s="26" t="s">
        <v>916</v>
      </c>
      <c r="H147" s="37"/>
      <c r="I147" s="26"/>
      <c r="J147" s="15" t="s">
        <v>632</v>
      </c>
      <c r="K147" s="15" t="s">
        <v>294</v>
      </c>
      <c r="L147" s="15" t="s">
        <v>633</v>
      </c>
    </row>
    <row r="148" s="1" customFormat="1" spans="1:12">
      <c r="A148" s="33"/>
      <c r="B148" s="13" t="s">
        <v>917</v>
      </c>
      <c r="C148" s="13" t="s">
        <v>338</v>
      </c>
      <c r="D148" s="10" t="s">
        <v>918</v>
      </c>
      <c r="E148" s="25" t="s">
        <v>266</v>
      </c>
      <c r="F148" s="26"/>
      <c r="G148" s="26" t="s">
        <v>919</v>
      </c>
      <c r="H148" s="37"/>
      <c r="I148" s="26"/>
      <c r="J148" s="15" t="s">
        <v>632</v>
      </c>
      <c r="K148" s="15" t="s">
        <v>294</v>
      </c>
      <c r="L148" s="15" t="s">
        <v>633</v>
      </c>
    </row>
    <row r="149" s="1" customFormat="1" spans="1:12">
      <c r="A149" s="33"/>
      <c r="B149" s="13" t="s">
        <v>920</v>
      </c>
      <c r="C149" s="13" t="s">
        <v>338</v>
      </c>
      <c r="D149" s="10" t="s">
        <v>921</v>
      </c>
      <c r="E149" s="25" t="s">
        <v>266</v>
      </c>
      <c r="F149" s="26"/>
      <c r="G149" s="26" t="s">
        <v>922</v>
      </c>
      <c r="H149" s="37"/>
      <c r="I149" s="26"/>
      <c r="J149" s="15" t="s">
        <v>632</v>
      </c>
      <c r="K149" s="15" t="s">
        <v>294</v>
      </c>
      <c r="L149" s="15" t="s">
        <v>633</v>
      </c>
    </row>
    <row r="150" s="1" customFormat="1" spans="1:12">
      <c r="A150" s="33"/>
      <c r="B150" s="13" t="s">
        <v>923</v>
      </c>
      <c r="C150" s="13" t="s">
        <v>338</v>
      </c>
      <c r="D150" s="10" t="s">
        <v>924</v>
      </c>
      <c r="E150" s="25" t="s">
        <v>266</v>
      </c>
      <c r="F150" s="26"/>
      <c r="G150" s="26" t="s">
        <v>925</v>
      </c>
      <c r="H150" s="37"/>
      <c r="I150" s="26"/>
      <c r="J150" s="15" t="s">
        <v>632</v>
      </c>
      <c r="K150" s="15" t="s">
        <v>294</v>
      </c>
      <c r="L150" s="15" t="s">
        <v>633</v>
      </c>
    </row>
    <row r="151" s="1" customFormat="1" spans="1:12">
      <c r="A151" s="33"/>
      <c r="B151" s="13" t="s">
        <v>926</v>
      </c>
      <c r="C151" s="13" t="s">
        <v>291</v>
      </c>
      <c r="D151" s="10" t="s">
        <v>927</v>
      </c>
      <c r="E151" s="25" t="s">
        <v>266</v>
      </c>
      <c r="F151" s="26"/>
      <c r="G151" s="35" t="s">
        <v>928</v>
      </c>
      <c r="H151" s="37"/>
      <c r="I151" s="56">
        <v>20250415101139</v>
      </c>
      <c r="J151" s="15" t="s">
        <v>632</v>
      </c>
      <c r="K151" s="15" t="s">
        <v>294</v>
      </c>
      <c r="L151" s="15" t="s">
        <v>670</v>
      </c>
    </row>
    <row r="152" s="1" customFormat="1" spans="1:12">
      <c r="A152" s="33"/>
      <c r="B152" s="13" t="s">
        <v>929</v>
      </c>
      <c r="C152" s="13" t="s">
        <v>291</v>
      </c>
      <c r="D152" s="10" t="s">
        <v>930</v>
      </c>
      <c r="E152" s="25" t="s">
        <v>266</v>
      </c>
      <c r="F152" s="26"/>
      <c r="G152" s="35" t="s">
        <v>931</v>
      </c>
      <c r="H152" s="37"/>
      <c r="I152" s="56">
        <v>20250415101024</v>
      </c>
      <c r="J152" s="15" t="s">
        <v>632</v>
      </c>
      <c r="K152" s="15" t="s">
        <v>294</v>
      </c>
      <c r="L152" s="15" t="s">
        <v>670</v>
      </c>
    </row>
    <row r="153" s="2" customFormat="1" spans="2:17">
      <c r="B153" s="17" t="s">
        <v>594</v>
      </c>
      <c r="C153" s="18" t="s">
        <v>307</v>
      </c>
      <c r="D153" s="19" t="s">
        <v>595</v>
      </c>
      <c r="E153" s="28"/>
      <c r="F153" s="28"/>
      <c r="G153" s="28" t="s">
        <v>932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="2" customFormat="1" spans="2:17">
      <c r="B154" s="17" t="s">
        <v>596</v>
      </c>
      <c r="C154" s="18" t="s">
        <v>291</v>
      </c>
      <c r="D154" s="19" t="s">
        <v>597</v>
      </c>
      <c r="E154" s="28"/>
      <c r="F154" s="28"/>
      <c r="G154" s="28" t="s">
        <v>932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="2" customFormat="1" spans="2:17">
      <c r="B155" s="17" t="s">
        <v>598</v>
      </c>
      <c r="C155" s="18" t="s">
        <v>307</v>
      </c>
      <c r="D155" s="19" t="s">
        <v>599</v>
      </c>
      <c r="E155" s="28"/>
      <c r="F155" s="28"/>
      <c r="G155" s="28" t="s">
        <v>932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="2" customFormat="1" spans="2:17">
      <c r="B156" s="17" t="s">
        <v>600</v>
      </c>
      <c r="C156" s="18" t="s">
        <v>307</v>
      </c>
      <c r="D156" s="19" t="s">
        <v>601</v>
      </c>
      <c r="E156" s="28"/>
      <c r="F156" s="28"/>
      <c r="G156" s="28" t="s">
        <v>932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</sheetData>
  <autoFilter xmlns:etc="http://www.wps.cn/officeDocument/2017/etCustomData" ref="A13:Q15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zoomScale="85" zoomScaleNormal="85" workbookViewId="0">
      <pane ySplit="5" topLeftCell="A18" activePane="bottomLeft" state="frozen"/>
      <selection/>
      <selection pane="bottomLeft" activeCell="D46" sqref="D4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46</v>
      </c>
      <c r="D5" s="14" t="s">
        <v>47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41</v>
      </c>
      <c r="D9" s="14" t="s">
        <v>42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302</v>
      </c>
      <c r="C28" s="13" t="s">
        <v>291</v>
      </c>
      <c r="D28" s="10" t="s">
        <v>303</v>
      </c>
      <c r="E28" s="25" t="s">
        <v>266</v>
      </c>
      <c r="F28" s="10" t="s">
        <v>302</v>
      </c>
      <c r="G28" s="26" t="s">
        <v>293</v>
      </c>
      <c r="H28" s="37"/>
      <c r="I28" s="30"/>
      <c r="J28" s="15" t="s">
        <v>604</v>
      </c>
      <c r="K28" s="15" t="s">
        <v>294</v>
      </c>
      <c r="L28" s="15" t="s">
        <v>294</v>
      </c>
    </row>
    <row r="29" s="1" customFormat="1" spans="2:12">
      <c r="B29" s="32" t="s">
        <v>313</v>
      </c>
      <c r="C29" s="32" t="s">
        <v>291</v>
      </c>
      <c r="D29" s="10" t="s">
        <v>620</v>
      </c>
      <c r="E29" s="25" t="s">
        <v>266</v>
      </c>
      <c r="F29" s="26" t="str">
        <f t="shared" ref="F29:F31" si="0">B29</f>
        <v>sgwip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294</v>
      </c>
    </row>
    <row r="30" s="1" customFormat="1" spans="2:12">
      <c r="B30" s="32" t="s">
        <v>315</v>
      </c>
      <c r="C30" s="32" t="s">
        <v>291</v>
      </c>
      <c r="D30" s="10" t="s">
        <v>621</v>
      </c>
      <c r="E30" s="25" t="s">
        <v>266</v>
      </c>
      <c r="F30" s="26" t="str">
        <f t="shared" si="0"/>
        <v>mmeip</v>
      </c>
      <c r="G30" s="26" t="s">
        <v>293</v>
      </c>
      <c r="H30" s="37"/>
      <c r="I30" s="65"/>
      <c r="J30" s="15" t="s">
        <v>604</v>
      </c>
      <c r="K30" s="15" t="s">
        <v>294</v>
      </c>
      <c r="L30" s="15" t="s">
        <v>294</v>
      </c>
    </row>
    <row r="31" s="1" customFormat="1" spans="2:12">
      <c r="B31" s="32" t="s">
        <v>317</v>
      </c>
      <c r="C31" s="32" t="s">
        <v>291</v>
      </c>
      <c r="D31" s="10" t="s">
        <v>622</v>
      </c>
      <c r="E31" s="25" t="s">
        <v>266</v>
      </c>
      <c r="F31" s="26" t="str">
        <f t="shared" si="0"/>
        <v>pgwip</v>
      </c>
      <c r="G31" s="26" t="s">
        <v>293</v>
      </c>
      <c r="H31" s="37"/>
      <c r="I31" s="30"/>
      <c r="J31" s="15" t="s">
        <v>604</v>
      </c>
      <c r="K31" s="15" t="s">
        <v>294</v>
      </c>
      <c r="L31" s="15" t="s">
        <v>294</v>
      </c>
    </row>
    <row r="32" s="1" customFormat="1" spans="2:12">
      <c r="B32" s="32" t="s">
        <v>331</v>
      </c>
      <c r="C32" s="13" t="s">
        <v>291</v>
      </c>
      <c r="D32" s="10" t="s">
        <v>623</v>
      </c>
      <c r="E32" s="25" t="s">
        <v>266</v>
      </c>
      <c r="F32" s="26" t="s">
        <v>331</v>
      </c>
      <c r="G32" s="26" t="s">
        <v>293</v>
      </c>
      <c r="H32" s="37"/>
      <c r="I32" s="15"/>
      <c r="J32" s="15" t="s">
        <v>604</v>
      </c>
      <c r="K32" s="15" t="s">
        <v>294</v>
      </c>
      <c r="L32" s="15" t="s">
        <v>294</v>
      </c>
    </row>
    <row r="33" s="1" customFormat="1" spans="2:12">
      <c r="B33" s="32" t="s">
        <v>572</v>
      </c>
      <c r="C33" s="34" t="s">
        <v>291</v>
      </c>
      <c r="D33" s="10" t="s">
        <v>573</v>
      </c>
      <c r="E33" s="25" t="s">
        <v>266</v>
      </c>
      <c r="F33" s="10" t="s">
        <v>572</v>
      </c>
      <c r="G33" s="26" t="s">
        <v>293</v>
      </c>
      <c r="H33" s="37"/>
      <c r="I33" s="15"/>
      <c r="J33" s="15" t="s">
        <v>604</v>
      </c>
      <c r="K33" s="15" t="s">
        <v>294</v>
      </c>
      <c r="L33" s="15" t="s">
        <v>575</v>
      </c>
    </row>
    <row r="34" s="1" customFormat="1" spans="2:12">
      <c r="B34" s="32" t="s">
        <v>356</v>
      </c>
      <c r="C34" s="32" t="s">
        <v>291</v>
      </c>
      <c r="D34" s="10" t="s">
        <v>357</v>
      </c>
      <c r="E34" s="25" t="s">
        <v>266</v>
      </c>
      <c r="F34" s="26" t="str">
        <f t="shared" ref="F34" si="1">B34</f>
        <v>enbip</v>
      </c>
      <c r="G34" s="26" t="s">
        <v>293</v>
      </c>
      <c r="H34" s="37"/>
      <c r="I34" s="15"/>
      <c r="J34" s="15" t="s">
        <v>604</v>
      </c>
      <c r="K34" s="15" t="s">
        <v>294</v>
      </c>
      <c r="L34" s="15" t="s">
        <v>294</v>
      </c>
    </row>
    <row r="35" s="33" customFormat="1" spans="2:13">
      <c r="B35" s="32" t="s">
        <v>378</v>
      </c>
      <c r="C35" s="13" t="s">
        <v>291</v>
      </c>
      <c r="D35" s="10" t="s">
        <v>624</v>
      </c>
      <c r="E35" s="25" t="s">
        <v>266</v>
      </c>
      <c r="F35" s="26" t="s">
        <v>378</v>
      </c>
      <c r="G35" s="26" t="s">
        <v>293</v>
      </c>
      <c r="H35" s="37"/>
      <c r="I35" s="30"/>
      <c r="J35" s="15" t="s">
        <v>604</v>
      </c>
      <c r="K35" s="15" t="s">
        <v>294</v>
      </c>
      <c r="L35" s="15" t="s">
        <v>615</v>
      </c>
      <c r="M35" s="1"/>
    </row>
    <row r="36" s="59" customFormat="1" spans="1:13">
      <c r="A36" s="60"/>
      <c r="B36" s="61" t="s">
        <v>384</v>
      </c>
      <c r="C36" s="13" t="s">
        <v>307</v>
      </c>
      <c r="D36" s="10" t="s">
        <v>625</v>
      </c>
      <c r="E36" s="25" t="s">
        <v>266</v>
      </c>
      <c r="F36" s="26" t="s">
        <v>384</v>
      </c>
      <c r="G36" s="26" t="s">
        <v>293</v>
      </c>
      <c r="H36" s="37"/>
      <c r="I36" s="52"/>
      <c r="J36" s="15" t="s">
        <v>604</v>
      </c>
      <c r="K36" s="15" t="s">
        <v>294</v>
      </c>
      <c r="L36" s="15" t="s">
        <v>626</v>
      </c>
      <c r="M36" s="1"/>
    </row>
    <row r="37" s="1" customFormat="1" spans="2:12">
      <c r="B37" s="32" t="s">
        <v>440</v>
      </c>
      <c r="C37" s="32" t="s">
        <v>307</v>
      </c>
      <c r="D37" s="10" t="s">
        <v>627</v>
      </c>
      <c r="E37" s="25" t="s">
        <v>266</v>
      </c>
      <c r="F37" s="26" t="str">
        <f t="shared" ref="F37" si="2">B37</f>
        <v>bearer_qci</v>
      </c>
      <c r="G37" s="26" t="s">
        <v>293</v>
      </c>
      <c r="H37" s="37"/>
      <c r="I37" s="15"/>
      <c r="J37" s="15" t="s">
        <v>604</v>
      </c>
      <c r="K37" s="15" t="s">
        <v>294</v>
      </c>
      <c r="L37" s="15" t="s">
        <v>294</v>
      </c>
    </row>
    <row r="38" s="1" customFormat="1" spans="1:12">
      <c r="A38" s="33"/>
      <c r="B38" s="13" t="s">
        <v>567</v>
      </c>
      <c r="C38" s="13" t="s">
        <v>291</v>
      </c>
      <c r="D38" s="10" t="s">
        <v>568</v>
      </c>
      <c r="E38" s="25" t="s">
        <v>266</v>
      </c>
      <c r="F38" s="26" t="s">
        <v>567</v>
      </c>
      <c r="G38" s="26" t="s">
        <v>293</v>
      </c>
      <c r="H38" s="37"/>
      <c r="I38" s="26"/>
      <c r="J38" s="15" t="s">
        <v>604</v>
      </c>
      <c r="K38" s="15" t="s">
        <v>294</v>
      </c>
      <c r="L38" s="15" t="s">
        <v>294</v>
      </c>
    </row>
    <row r="39" s="1" customFormat="1" spans="1:12">
      <c r="A39" s="33"/>
      <c r="B39" s="13" t="s">
        <v>460</v>
      </c>
      <c r="C39" s="13" t="s">
        <v>307</v>
      </c>
      <c r="D39" s="10" t="s">
        <v>628</v>
      </c>
      <c r="E39" s="25" t="s">
        <v>266</v>
      </c>
      <c r="F39" s="10" t="s">
        <v>460</v>
      </c>
      <c r="G39" s="26" t="s">
        <v>293</v>
      </c>
      <c r="H39" s="27"/>
      <c r="I39" s="26"/>
      <c r="J39" s="15" t="s">
        <v>604</v>
      </c>
      <c r="K39" s="15" t="s">
        <v>294</v>
      </c>
      <c r="L39" s="15" t="s">
        <v>294</v>
      </c>
    </row>
    <row r="40" s="1" customFormat="1" spans="1:12">
      <c r="A40" s="33"/>
      <c r="B40" s="13" t="s">
        <v>579</v>
      </c>
      <c r="C40" s="13" t="s">
        <v>307</v>
      </c>
      <c r="D40" s="10" t="s">
        <v>580</v>
      </c>
      <c r="E40" s="25" t="s">
        <v>266</v>
      </c>
      <c r="F40" s="26" t="s">
        <v>579</v>
      </c>
      <c r="G40" s="26" t="s">
        <v>293</v>
      </c>
      <c r="H40" s="37"/>
      <c r="I40" s="26"/>
      <c r="J40" s="15" t="s">
        <v>604</v>
      </c>
      <c r="K40" s="15" t="s">
        <v>294</v>
      </c>
      <c r="L40" s="15" t="s">
        <v>626</v>
      </c>
    </row>
    <row r="41" s="1" customFormat="1" spans="1:12">
      <c r="A41" s="33"/>
      <c r="B41" s="13" t="s">
        <v>582</v>
      </c>
      <c r="C41" s="13" t="s">
        <v>307</v>
      </c>
      <c r="D41" s="10" t="s">
        <v>583</v>
      </c>
      <c r="E41" s="25" t="s">
        <v>266</v>
      </c>
      <c r="F41" s="26" t="s">
        <v>582</v>
      </c>
      <c r="G41" s="26" t="s">
        <v>293</v>
      </c>
      <c r="H41" s="37"/>
      <c r="I41" s="26"/>
      <c r="J41" s="15" t="s">
        <v>604</v>
      </c>
      <c r="K41" s="15" t="s">
        <v>294</v>
      </c>
      <c r="L41" s="15" t="s">
        <v>626</v>
      </c>
    </row>
    <row r="42" s="1" customFormat="1" spans="1:12">
      <c r="A42" s="33"/>
      <c r="B42" s="32" t="s">
        <v>585</v>
      </c>
      <c r="C42" s="34" t="s">
        <v>307</v>
      </c>
      <c r="D42" s="10" t="s">
        <v>586</v>
      </c>
      <c r="E42" s="25" t="s">
        <v>266</v>
      </c>
      <c r="F42" s="26" t="s">
        <v>585</v>
      </c>
      <c r="G42" s="26" t="s">
        <v>293</v>
      </c>
      <c r="H42" s="37"/>
      <c r="I42" s="26"/>
      <c r="J42" s="15" t="s">
        <v>604</v>
      </c>
      <c r="K42" s="15" t="s">
        <v>294</v>
      </c>
      <c r="L42" s="15" t="s">
        <v>626</v>
      </c>
    </row>
    <row r="43" s="1" customFormat="1" spans="1:12">
      <c r="A43" s="33"/>
      <c r="B43" s="32" t="s">
        <v>588</v>
      </c>
      <c r="C43" s="34" t="s">
        <v>307</v>
      </c>
      <c r="D43" s="10" t="s">
        <v>589</v>
      </c>
      <c r="E43" s="25" t="s">
        <v>266</v>
      </c>
      <c r="F43" s="26" t="s">
        <v>588</v>
      </c>
      <c r="G43" s="26" t="s">
        <v>293</v>
      </c>
      <c r="H43" s="37"/>
      <c r="I43" s="26"/>
      <c r="J43" s="15" t="s">
        <v>604</v>
      </c>
      <c r="K43" s="15" t="s">
        <v>294</v>
      </c>
      <c r="L43" s="15" t="s">
        <v>626</v>
      </c>
    </row>
    <row r="44" s="1" customFormat="1" spans="1:12">
      <c r="A44" s="33"/>
      <c r="B44" s="32" t="s">
        <v>591</v>
      </c>
      <c r="C44" s="34" t="s">
        <v>291</v>
      </c>
      <c r="D44" s="10" t="s">
        <v>592</v>
      </c>
      <c r="E44" s="25" t="s">
        <v>266</v>
      </c>
      <c r="F44" s="26" t="s">
        <v>591</v>
      </c>
      <c r="G44" s="26" t="s">
        <v>293</v>
      </c>
      <c r="H44" s="37"/>
      <c r="I44" s="26"/>
      <c r="J44" s="15" t="s">
        <v>604</v>
      </c>
      <c r="K44" s="15" t="s">
        <v>294</v>
      </c>
      <c r="L44" s="15" t="s">
        <v>626</v>
      </c>
    </row>
    <row r="45" s="1" customFormat="1" spans="1:12">
      <c r="A45" s="33"/>
      <c r="B45" s="13" t="s">
        <v>629</v>
      </c>
      <c r="C45" s="13" t="s">
        <v>338</v>
      </c>
      <c r="D45" s="10" t="s">
        <v>630</v>
      </c>
      <c r="E45" s="25" t="s">
        <v>266</v>
      </c>
      <c r="F45" s="26"/>
      <c r="G45" s="26" t="s">
        <v>933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634</v>
      </c>
      <c r="C46" s="13" t="s">
        <v>338</v>
      </c>
      <c r="D46" s="10" t="s">
        <v>635</v>
      </c>
      <c r="E46" s="25" t="s">
        <v>266</v>
      </c>
      <c r="F46" s="26"/>
      <c r="G46" s="26" t="s">
        <v>934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637</v>
      </c>
      <c r="C47" s="13" t="s">
        <v>338</v>
      </c>
      <c r="D47" s="10" t="s">
        <v>638</v>
      </c>
      <c r="E47" s="25" t="s">
        <v>266</v>
      </c>
      <c r="F47" s="26"/>
      <c r="G47" s="26" t="s">
        <v>935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32" t="s">
        <v>337</v>
      </c>
      <c r="C48" s="32" t="s">
        <v>338</v>
      </c>
      <c r="D48" s="10" t="s">
        <v>640</v>
      </c>
      <c r="E48" s="25" t="s">
        <v>266</v>
      </c>
      <c r="F48" s="26"/>
      <c r="G48" s="26" t="s">
        <v>641</v>
      </c>
      <c r="H48" s="27"/>
      <c r="I48" s="26"/>
      <c r="J48" s="15" t="s">
        <v>632</v>
      </c>
      <c r="K48" s="15" t="s">
        <v>404</v>
      </c>
      <c r="L48" s="15" t="s">
        <v>633</v>
      </c>
    </row>
    <row r="49" s="1" customFormat="1" spans="1:12">
      <c r="A49" s="33"/>
      <c r="B49" s="13" t="s">
        <v>342</v>
      </c>
      <c r="C49" s="13" t="s">
        <v>338</v>
      </c>
      <c r="D49" s="10" t="s">
        <v>642</v>
      </c>
      <c r="E49" s="25" t="s">
        <v>266</v>
      </c>
      <c r="F49" s="26"/>
      <c r="G49" s="26" t="s">
        <v>643</v>
      </c>
      <c r="H49" s="27"/>
      <c r="I49" s="26"/>
      <c r="J49" s="15" t="s">
        <v>632</v>
      </c>
      <c r="K49" s="15" t="s">
        <v>644</v>
      </c>
      <c r="L49" s="15" t="s">
        <v>633</v>
      </c>
    </row>
    <row r="50" s="1" customFormat="1" spans="1:12">
      <c r="A50" s="33"/>
      <c r="B50" s="13" t="s">
        <v>340</v>
      </c>
      <c r="C50" s="13" t="s">
        <v>338</v>
      </c>
      <c r="D50" s="10" t="s">
        <v>645</v>
      </c>
      <c r="E50" s="25" t="s">
        <v>266</v>
      </c>
      <c r="F50" s="26"/>
      <c r="G50" s="26" t="s">
        <v>646</v>
      </c>
      <c r="H50" s="27"/>
      <c r="I50" s="26"/>
      <c r="J50" s="15" t="s">
        <v>632</v>
      </c>
      <c r="K50" s="15" t="s">
        <v>644</v>
      </c>
      <c r="L50" s="15" t="s">
        <v>633</v>
      </c>
    </row>
    <row r="51" s="1" customFormat="1" spans="1:12">
      <c r="A51" s="33"/>
      <c r="B51" s="13" t="s">
        <v>647</v>
      </c>
      <c r="C51" s="13" t="s">
        <v>338</v>
      </c>
      <c r="D51" s="10" t="s">
        <v>648</v>
      </c>
      <c r="E51" s="25" t="s">
        <v>266</v>
      </c>
      <c r="F51" s="26"/>
      <c r="G51" s="26" t="s">
        <v>936</v>
      </c>
      <c r="H51" s="27"/>
      <c r="I51" s="26"/>
      <c r="J51" s="15" t="s">
        <v>632</v>
      </c>
      <c r="K51" s="15" t="s">
        <v>644</v>
      </c>
      <c r="L51" s="15" t="s">
        <v>633</v>
      </c>
    </row>
    <row r="52" s="1" customFormat="1" spans="1:12">
      <c r="A52" s="33"/>
      <c r="B52" s="13" t="s">
        <v>650</v>
      </c>
      <c r="C52" s="13" t="s">
        <v>338</v>
      </c>
      <c r="D52" s="10" t="s">
        <v>651</v>
      </c>
      <c r="E52" s="25" t="s">
        <v>266</v>
      </c>
      <c r="F52" s="26"/>
      <c r="G52" s="26" t="s">
        <v>937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653</v>
      </c>
      <c r="C53" s="13" t="s">
        <v>338</v>
      </c>
      <c r="D53" s="10" t="s">
        <v>654</v>
      </c>
      <c r="E53" s="25" t="s">
        <v>266</v>
      </c>
      <c r="F53" s="26"/>
      <c r="G53" s="26" t="s">
        <v>938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656</v>
      </c>
      <c r="C54" s="13" t="s">
        <v>338</v>
      </c>
      <c r="D54" s="10" t="s">
        <v>657</v>
      </c>
      <c r="E54" s="25" t="s">
        <v>266</v>
      </c>
      <c r="F54" s="26"/>
      <c r="G54" s="26" t="s">
        <v>939</v>
      </c>
      <c r="H54" s="27"/>
      <c r="I54" s="26"/>
      <c r="J54" s="15" t="s">
        <v>632</v>
      </c>
      <c r="K54" s="15" t="s">
        <v>644</v>
      </c>
      <c r="L54" s="15" t="s">
        <v>633</v>
      </c>
    </row>
    <row r="55" s="1" customFormat="1" spans="1:12">
      <c r="A55" s="33"/>
      <c r="B55" s="13" t="s">
        <v>659</v>
      </c>
      <c r="C55" s="13" t="s">
        <v>338</v>
      </c>
      <c r="D55" s="10" t="s">
        <v>660</v>
      </c>
      <c r="E55" s="25" t="s">
        <v>266</v>
      </c>
      <c r="F55" s="26"/>
      <c r="G55" s="26" t="s">
        <v>940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662</v>
      </c>
      <c r="C56" s="13" t="s">
        <v>338</v>
      </c>
      <c r="D56" s="10" t="s">
        <v>663</v>
      </c>
      <c r="E56" s="25" t="s">
        <v>266</v>
      </c>
      <c r="F56" s="26"/>
      <c r="G56" s="26" t="s">
        <v>941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665</v>
      </c>
      <c r="C57" s="13" t="s">
        <v>666</v>
      </c>
      <c r="D57" s="10" t="s">
        <v>667</v>
      </c>
      <c r="E57" s="25" t="s">
        <v>266</v>
      </c>
      <c r="F57" s="26"/>
      <c r="G57" s="26" t="s">
        <v>942</v>
      </c>
      <c r="H57" s="27"/>
      <c r="I57" s="26"/>
      <c r="J57" s="15" t="s">
        <v>632</v>
      </c>
      <c r="K57" s="15" t="s">
        <v>669</v>
      </c>
      <c r="L57" s="15" t="s">
        <v>670</v>
      </c>
    </row>
    <row r="58" s="1" customFormat="1" spans="1:12">
      <c r="A58" s="33"/>
      <c r="B58" s="13" t="s">
        <v>671</v>
      </c>
      <c r="C58" s="13" t="s">
        <v>666</v>
      </c>
      <c r="D58" s="10" t="s">
        <v>672</v>
      </c>
      <c r="E58" s="25" t="s">
        <v>266</v>
      </c>
      <c r="F58" s="26"/>
      <c r="G58" s="26" t="s">
        <v>943</v>
      </c>
      <c r="H58" s="27"/>
      <c r="I58" s="26"/>
      <c r="J58" s="15" t="s">
        <v>632</v>
      </c>
      <c r="K58" s="15" t="s">
        <v>674</v>
      </c>
      <c r="L58" s="15" t="s">
        <v>670</v>
      </c>
    </row>
    <row r="59" s="1" customFormat="1" spans="1:12">
      <c r="A59" s="33"/>
      <c r="B59" s="13" t="s">
        <v>675</v>
      </c>
      <c r="C59" s="13" t="s">
        <v>666</v>
      </c>
      <c r="D59" s="10" t="s">
        <v>676</v>
      </c>
      <c r="E59" s="25" t="s">
        <v>266</v>
      </c>
      <c r="F59" s="26"/>
      <c r="G59" s="26" t="s">
        <v>944</v>
      </c>
      <c r="H59" s="27"/>
      <c r="I59" s="26"/>
      <c r="J59" s="15" t="s">
        <v>632</v>
      </c>
      <c r="K59" s="15" t="s">
        <v>669</v>
      </c>
      <c r="L59" s="15" t="s">
        <v>670</v>
      </c>
    </row>
    <row r="60" s="1" customFormat="1" spans="1:12">
      <c r="A60" s="33"/>
      <c r="B60" s="13" t="s">
        <v>678</v>
      </c>
      <c r="C60" s="13" t="s">
        <v>666</v>
      </c>
      <c r="D60" s="10" t="s">
        <v>679</v>
      </c>
      <c r="E60" s="25" t="s">
        <v>266</v>
      </c>
      <c r="F60" s="26"/>
      <c r="G60" s="26" t="s">
        <v>945</v>
      </c>
      <c r="H60" s="27"/>
      <c r="I60" s="26"/>
      <c r="J60" s="15" t="s">
        <v>632</v>
      </c>
      <c r="K60" s="15" t="s">
        <v>674</v>
      </c>
      <c r="L60" s="15" t="s">
        <v>670</v>
      </c>
    </row>
    <row r="61" s="1" customFormat="1" spans="1:12">
      <c r="A61" s="33"/>
      <c r="B61" s="13" t="s">
        <v>681</v>
      </c>
      <c r="C61" s="13" t="s">
        <v>666</v>
      </c>
      <c r="D61" s="10" t="s">
        <v>682</v>
      </c>
      <c r="E61" s="25" t="s">
        <v>266</v>
      </c>
      <c r="F61" s="26"/>
      <c r="G61" s="26" t="s">
        <v>946</v>
      </c>
      <c r="H61" s="27"/>
      <c r="I61" s="26"/>
      <c r="J61" s="15" t="s">
        <v>632</v>
      </c>
      <c r="K61" s="15" t="s">
        <v>669</v>
      </c>
      <c r="L61" s="15" t="s">
        <v>670</v>
      </c>
    </row>
    <row r="62" s="1" customFormat="1" spans="1:12">
      <c r="A62" s="33"/>
      <c r="B62" s="13" t="s">
        <v>684</v>
      </c>
      <c r="C62" s="13" t="s">
        <v>666</v>
      </c>
      <c r="D62" s="10" t="s">
        <v>685</v>
      </c>
      <c r="E62" s="25" t="s">
        <v>266</v>
      </c>
      <c r="F62" s="26"/>
      <c r="G62" s="26" t="s">
        <v>947</v>
      </c>
      <c r="H62" s="27"/>
      <c r="I62" s="26"/>
      <c r="J62" s="15" t="s">
        <v>632</v>
      </c>
      <c r="K62" s="15" t="s">
        <v>674</v>
      </c>
      <c r="L62" s="15" t="s">
        <v>670</v>
      </c>
    </row>
    <row r="63" s="1" customFormat="1" spans="1:12">
      <c r="A63" s="33"/>
      <c r="B63" s="13" t="s">
        <v>687</v>
      </c>
      <c r="C63" s="13" t="s">
        <v>666</v>
      </c>
      <c r="D63" s="10" t="s">
        <v>688</v>
      </c>
      <c r="E63" s="25" t="s">
        <v>266</v>
      </c>
      <c r="F63" s="26"/>
      <c r="G63" s="26" t="s">
        <v>948</v>
      </c>
      <c r="H63" s="27"/>
      <c r="I63" s="26"/>
      <c r="J63" s="15" t="s">
        <v>632</v>
      </c>
      <c r="K63" s="15" t="s">
        <v>669</v>
      </c>
      <c r="L63" s="15" t="s">
        <v>670</v>
      </c>
    </row>
    <row r="64" s="1" customFormat="1" spans="1:12">
      <c r="A64" s="33"/>
      <c r="B64" s="13" t="s">
        <v>690</v>
      </c>
      <c r="C64" s="13" t="s">
        <v>666</v>
      </c>
      <c r="D64" s="10" t="s">
        <v>691</v>
      </c>
      <c r="E64" s="25" t="s">
        <v>266</v>
      </c>
      <c r="F64" s="26"/>
      <c r="G64" s="26" t="s">
        <v>949</v>
      </c>
      <c r="H64" s="27"/>
      <c r="I64" s="26"/>
      <c r="J64" s="15" t="s">
        <v>632</v>
      </c>
      <c r="K64" s="15" t="s">
        <v>674</v>
      </c>
      <c r="L64" s="15" t="s">
        <v>670</v>
      </c>
    </row>
    <row r="65" s="1" customFormat="1" spans="1:12">
      <c r="A65" s="33"/>
      <c r="B65" s="13" t="s">
        <v>346</v>
      </c>
      <c r="C65" s="13" t="s">
        <v>338</v>
      </c>
      <c r="D65" s="10" t="s">
        <v>693</v>
      </c>
      <c r="E65" s="25" t="s">
        <v>266</v>
      </c>
      <c r="F65" s="26"/>
      <c r="G65" s="26" t="s">
        <v>694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344</v>
      </c>
      <c r="C66" s="13" t="s">
        <v>338</v>
      </c>
      <c r="D66" s="10" t="s">
        <v>695</v>
      </c>
      <c r="E66" s="25" t="s">
        <v>266</v>
      </c>
      <c r="F66" s="26"/>
      <c r="G66" s="26" t="s">
        <v>696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392</v>
      </c>
      <c r="C67" s="13" t="s">
        <v>338</v>
      </c>
      <c r="D67" s="10" t="s">
        <v>697</v>
      </c>
      <c r="E67" s="25" t="s">
        <v>266</v>
      </c>
      <c r="F67" s="26"/>
      <c r="G67" s="26" t="s">
        <v>698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394</v>
      </c>
      <c r="C68" s="13" t="s">
        <v>338</v>
      </c>
      <c r="D68" s="10" t="s">
        <v>699</v>
      </c>
      <c r="E68" s="25" t="s">
        <v>266</v>
      </c>
      <c r="F68" s="26"/>
      <c r="G68" s="26" t="s">
        <v>700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701</v>
      </c>
      <c r="C69" s="13" t="s">
        <v>338</v>
      </c>
      <c r="D69" s="10" t="s">
        <v>702</v>
      </c>
      <c r="E69" s="25" t="s">
        <v>266</v>
      </c>
      <c r="F69" s="26"/>
      <c r="G69" s="26" t="s">
        <v>950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704</v>
      </c>
      <c r="C70" s="13" t="s">
        <v>338</v>
      </c>
      <c r="D70" s="10" t="s">
        <v>705</v>
      </c>
      <c r="E70" s="25" t="s">
        <v>266</v>
      </c>
      <c r="F70" s="26"/>
      <c r="G70" s="26" t="s">
        <v>951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707</v>
      </c>
      <c r="C71" s="13" t="s">
        <v>338</v>
      </c>
      <c r="D71" s="10" t="s">
        <v>708</v>
      </c>
      <c r="E71" s="25" t="s">
        <v>266</v>
      </c>
      <c r="F71" s="26"/>
      <c r="G71" s="26" t="s">
        <v>952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710</v>
      </c>
      <c r="C72" s="13" t="s">
        <v>338</v>
      </c>
      <c r="D72" s="10" t="s">
        <v>711</v>
      </c>
      <c r="E72" s="25" t="s">
        <v>266</v>
      </c>
      <c r="F72" s="26"/>
      <c r="G72" s="26" t="s">
        <v>953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713</v>
      </c>
      <c r="C73" s="13" t="s">
        <v>338</v>
      </c>
      <c r="D73" s="10" t="s">
        <v>714</v>
      </c>
      <c r="E73" s="25" t="s">
        <v>266</v>
      </c>
      <c r="F73" s="26"/>
      <c r="G73" s="26" t="s">
        <v>954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716</v>
      </c>
      <c r="C74" s="13" t="s">
        <v>338</v>
      </c>
      <c r="D74" s="10" t="s">
        <v>717</v>
      </c>
      <c r="E74" s="25" t="s">
        <v>266</v>
      </c>
      <c r="F74" s="26"/>
      <c r="G74" s="26" t="s">
        <v>955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410</v>
      </c>
      <c r="C75" s="13" t="s">
        <v>338</v>
      </c>
      <c r="D75" s="10" t="s">
        <v>719</v>
      </c>
      <c r="E75" s="25" t="s">
        <v>266</v>
      </c>
      <c r="F75" s="26"/>
      <c r="G75" s="26" t="s">
        <v>720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412</v>
      </c>
      <c r="C76" s="13" t="s">
        <v>338</v>
      </c>
      <c r="D76" s="10" t="s">
        <v>721</v>
      </c>
      <c r="E76" s="25" t="s">
        <v>266</v>
      </c>
      <c r="F76" s="26"/>
      <c r="G76" s="26" t="s">
        <v>722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528</v>
      </c>
      <c r="C77" s="13" t="s">
        <v>338</v>
      </c>
      <c r="D77" s="10" t="s">
        <v>723</v>
      </c>
      <c r="E77" s="25" t="s">
        <v>266</v>
      </c>
      <c r="F77" s="26"/>
      <c r="G77" s="26" t="s">
        <v>724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532</v>
      </c>
      <c r="C78" s="13" t="s">
        <v>338</v>
      </c>
      <c r="D78" s="10" t="s">
        <v>725</v>
      </c>
      <c r="E78" s="25" t="s">
        <v>266</v>
      </c>
      <c r="F78" s="26"/>
      <c r="G78" s="26" t="s">
        <v>726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535</v>
      </c>
      <c r="C79" s="13" t="s">
        <v>338</v>
      </c>
      <c r="D79" s="10" t="s">
        <v>536</v>
      </c>
      <c r="E79" s="25" t="s">
        <v>266</v>
      </c>
      <c r="F79" s="26"/>
      <c r="G79" s="26" t="s">
        <v>727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728</v>
      </c>
      <c r="C80" s="13" t="s">
        <v>338</v>
      </c>
      <c r="D80" s="10" t="s">
        <v>729</v>
      </c>
      <c r="E80" s="25" t="s">
        <v>266</v>
      </c>
      <c r="F80" s="26"/>
      <c r="G80" s="26" t="s">
        <v>956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730</v>
      </c>
      <c r="C81" s="13" t="s">
        <v>666</v>
      </c>
      <c r="D81" s="10" t="s">
        <v>731</v>
      </c>
      <c r="E81" s="25" t="s">
        <v>266</v>
      </c>
      <c r="F81" s="26"/>
      <c r="G81" s="26" t="s">
        <v>957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733</v>
      </c>
      <c r="C82" s="13" t="s">
        <v>338</v>
      </c>
      <c r="D82" s="10" t="s">
        <v>734</v>
      </c>
      <c r="E82" s="25" t="s">
        <v>266</v>
      </c>
      <c r="F82" s="26"/>
      <c r="G82" s="26" t="s">
        <v>958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736</v>
      </c>
      <c r="C83" s="13" t="s">
        <v>338</v>
      </c>
      <c r="D83" s="10" t="s">
        <v>737</v>
      </c>
      <c r="E83" s="25" t="s">
        <v>266</v>
      </c>
      <c r="F83" s="26"/>
      <c r="G83" s="26" t="s">
        <v>959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739</v>
      </c>
      <c r="C84" s="13" t="s">
        <v>338</v>
      </c>
      <c r="D84" s="10" t="s">
        <v>740</v>
      </c>
      <c r="E84" s="25" t="s">
        <v>266</v>
      </c>
      <c r="F84" s="26"/>
      <c r="G84" s="26" t="s">
        <v>960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742</v>
      </c>
      <c r="C85" s="13" t="s">
        <v>338</v>
      </c>
      <c r="D85" s="10" t="s">
        <v>743</v>
      </c>
      <c r="E85" s="25" t="s">
        <v>266</v>
      </c>
      <c r="F85" s="26"/>
      <c r="G85" s="26" t="s">
        <v>961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745</v>
      </c>
      <c r="C86" s="13" t="s">
        <v>338</v>
      </c>
      <c r="D86" s="10" t="s">
        <v>746</v>
      </c>
      <c r="E86" s="25" t="s">
        <v>266</v>
      </c>
      <c r="F86" s="26"/>
      <c r="G86" s="26" t="s">
        <v>962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748</v>
      </c>
      <c r="C87" s="13" t="s">
        <v>338</v>
      </c>
      <c r="D87" s="10" t="s">
        <v>749</v>
      </c>
      <c r="E87" s="25" t="s">
        <v>266</v>
      </c>
      <c r="F87" s="26"/>
      <c r="G87" s="26" t="s">
        <v>963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751</v>
      </c>
      <c r="C88" s="13" t="s">
        <v>666</v>
      </c>
      <c r="D88" s="10" t="s">
        <v>752</v>
      </c>
      <c r="E88" s="25" t="s">
        <v>266</v>
      </c>
      <c r="F88" s="26"/>
      <c r="G88" s="26" t="s">
        <v>964</v>
      </c>
      <c r="H88" s="2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754</v>
      </c>
      <c r="C89" s="13" t="s">
        <v>338</v>
      </c>
      <c r="D89" s="10" t="s">
        <v>755</v>
      </c>
      <c r="E89" s="25" t="s">
        <v>266</v>
      </c>
      <c r="F89" s="26"/>
      <c r="G89" s="26" t="s">
        <v>965</v>
      </c>
      <c r="H89" s="27"/>
      <c r="I89" s="26"/>
      <c r="J89" s="15" t="s">
        <v>632</v>
      </c>
      <c r="K89" s="15" t="s">
        <v>294</v>
      </c>
      <c r="L89" s="15" t="s">
        <v>633</v>
      </c>
    </row>
    <row r="90" s="1" customFormat="1" spans="1:12">
      <c r="A90" s="33"/>
      <c r="B90" s="13" t="s">
        <v>757</v>
      </c>
      <c r="C90" s="13" t="s">
        <v>338</v>
      </c>
      <c r="D90" s="10" t="s">
        <v>758</v>
      </c>
      <c r="E90" s="25" t="s">
        <v>266</v>
      </c>
      <c r="F90" s="26"/>
      <c r="G90" s="26" t="s">
        <v>966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760</v>
      </c>
      <c r="C91" s="13" t="s">
        <v>338</v>
      </c>
      <c r="D91" s="10" t="s">
        <v>761</v>
      </c>
      <c r="E91" s="25" t="s">
        <v>266</v>
      </c>
      <c r="F91" s="26"/>
      <c r="G91" s="26" t="s">
        <v>967</v>
      </c>
      <c r="H91" s="27"/>
      <c r="I91" s="26"/>
      <c r="J91" s="15" t="s">
        <v>632</v>
      </c>
      <c r="K91" s="15" t="s">
        <v>294</v>
      </c>
      <c r="L91" s="15" t="s">
        <v>633</v>
      </c>
    </row>
    <row r="92" s="1" customFormat="1" spans="1:12">
      <c r="A92" s="33"/>
      <c r="B92" s="13" t="s">
        <v>763</v>
      </c>
      <c r="C92" s="13" t="s">
        <v>338</v>
      </c>
      <c r="D92" s="10" t="s">
        <v>764</v>
      </c>
      <c r="E92" s="25" t="s">
        <v>266</v>
      </c>
      <c r="F92" s="26"/>
      <c r="G92" s="26" t="s">
        <v>968</v>
      </c>
      <c r="H92" s="27"/>
      <c r="I92" s="26"/>
      <c r="J92" s="15" t="s">
        <v>632</v>
      </c>
      <c r="K92" s="15" t="s">
        <v>294</v>
      </c>
      <c r="L92" s="15" t="s">
        <v>633</v>
      </c>
    </row>
    <row r="93" s="1" customFormat="1" spans="1:12">
      <c r="A93" s="33"/>
      <c r="B93" s="13" t="s">
        <v>766</v>
      </c>
      <c r="C93" s="13" t="s">
        <v>338</v>
      </c>
      <c r="D93" s="10" t="s">
        <v>767</v>
      </c>
      <c r="E93" s="25" t="s">
        <v>266</v>
      </c>
      <c r="F93" s="26"/>
      <c r="G93" s="26" t="s">
        <v>969</v>
      </c>
      <c r="H93" s="27"/>
      <c r="I93" s="26"/>
      <c r="J93" s="15" t="s">
        <v>632</v>
      </c>
      <c r="K93" s="15" t="s">
        <v>294</v>
      </c>
      <c r="L93" s="15" t="s">
        <v>633</v>
      </c>
    </row>
    <row r="94" s="1" customFormat="1" spans="1:12">
      <c r="A94" s="33"/>
      <c r="B94" s="13" t="s">
        <v>769</v>
      </c>
      <c r="C94" s="13" t="s">
        <v>666</v>
      </c>
      <c r="D94" s="10" t="s">
        <v>770</v>
      </c>
      <c r="E94" s="25" t="s">
        <v>266</v>
      </c>
      <c r="F94" s="26"/>
      <c r="G94" s="26" t="s">
        <v>970</v>
      </c>
      <c r="H94" s="27"/>
      <c r="I94" s="26"/>
      <c r="J94" s="15" t="s">
        <v>632</v>
      </c>
      <c r="K94" s="15" t="s">
        <v>404</v>
      </c>
      <c r="L94" s="15" t="s">
        <v>633</v>
      </c>
    </row>
    <row r="95" s="1" customFormat="1" spans="1:12">
      <c r="A95" s="33"/>
      <c r="B95" s="13" t="s">
        <v>772</v>
      </c>
      <c r="C95" s="13" t="s">
        <v>666</v>
      </c>
      <c r="D95" s="10" t="s">
        <v>773</v>
      </c>
      <c r="E95" s="25" t="s">
        <v>266</v>
      </c>
      <c r="F95" s="26"/>
      <c r="G95" s="26" t="s">
        <v>971</v>
      </c>
      <c r="H95" s="2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775</v>
      </c>
      <c r="C96" s="13" t="s">
        <v>338</v>
      </c>
      <c r="D96" s="10" t="s">
        <v>776</v>
      </c>
      <c r="E96" s="25" t="s">
        <v>266</v>
      </c>
      <c r="F96" s="26"/>
      <c r="G96" s="26" t="s">
        <v>972</v>
      </c>
      <c r="H96" s="27"/>
      <c r="I96" s="26"/>
      <c r="J96" s="15" t="s">
        <v>632</v>
      </c>
      <c r="K96" s="15" t="s">
        <v>294</v>
      </c>
      <c r="L96" s="15" t="s">
        <v>633</v>
      </c>
    </row>
    <row r="97" s="1" customFormat="1" spans="1:12">
      <c r="A97" s="33"/>
      <c r="B97" s="13" t="s">
        <v>778</v>
      </c>
      <c r="C97" s="13" t="s">
        <v>338</v>
      </c>
      <c r="D97" s="10" t="s">
        <v>779</v>
      </c>
      <c r="E97" s="25" t="s">
        <v>266</v>
      </c>
      <c r="F97" s="26"/>
      <c r="G97" s="26" t="s">
        <v>973</v>
      </c>
      <c r="H97" s="2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781</v>
      </c>
      <c r="C98" s="13" t="s">
        <v>338</v>
      </c>
      <c r="D98" s="10" t="s">
        <v>782</v>
      </c>
      <c r="E98" s="25" t="s">
        <v>266</v>
      </c>
      <c r="F98" s="26"/>
      <c r="G98" s="26" t="s">
        <v>974</v>
      </c>
      <c r="H98" s="2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13" t="s">
        <v>784</v>
      </c>
      <c r="C99" s="13" t="s">
        <v>338</v>
      </c>
      <c r="D99" s="10" t="s">
        <v>785</v>
      </c>
      <c r="E99" s="25" t="s">
        <v>266</v>
      </c>
      <c r="F99" s="26"/>
      <c r="G99" s="26" t="s">
        <v>975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787</v>
      </c>
      <c r="C100" s="13" t="s">
        <v>338</v>
      </c>
      <c r="D100" s="10" t="s">
        <v>788</v>
      </c>
      <c r="E100" s="25" t="s">
        <v>266</v>
      </c>
      <c r="F100" s="26"/>
      <c r="G100" s="26" t="s">
        <v>976</v>
      </c>
      <c r="H100" s="2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413</v>
      </c>
      <c r="C101" s="13" t="s">
        <v>666</v>
      </c>
      <c r="D101" s="10" t="s">
        <v>790</v>
      </c>
      <c r="E101" s="25" t="s">
        <v>266</v>
      </c>
      <c r="F101" s="26"/>
      <c r="G101" s="26" t="s">
        <v>977</v>
      </c>
      <c r="H101" s="27"/>
      <c r="I101" s="26"/>
      <c r="J101" s="15" t="s">
        <v>632</v>
      </c>
      <c r="K101" s="15" t="s">
        <v>404</v>
      </c>
      <c r="L101" s="15" t="s">
        <v>633</v>
      </c>
    </row>
    <row r="102" s="1" customFormat="1" spans="1:12">
      <c r="A102" s="33"/>
      <c r="B102" s="13" t="s">
        <v>792</v>
      </c>
      <c r="C102" s="13" t="s">
        <v>338</v>
      </c>
      <c r="D102" s="10" t="s">
        <v>793</v>
      </c>
      <c r="E102" s="25" t="s">
        <v>266</v>
      </c>
      <c r="F102" s="26"/>
      <c r="G102" s="26" t="s">
        <v>978</v>
      </c>
      <c r="H102" s="27"/>
      <c r="I102" s="26"/>
      <c r="J102" s="15" t="s">
        <v>632</v>
      </c>
      <c r="K102" s="15" t="s">
        <v>294</v>
      </c>
      <c r="L102" s="15" t="s">
        <v>633</v>
      </c>
    </row>
    <row r="103" s="1" customFormat="1" spans="1:12">
      <c r="A103" s="33"/>
      <c r="B103" s="13" t="s">
        <v>418</v>
      </c>
      <c r="C103" s="13" t="s">
        <v>666</v>
      </c>
      <c r="D103" s="10" t="s">
        <v>795</v>
      </c>
      <c r="E103" s="25" t="s">
        <v>266</v>
      </c>
      <c r="F103" s="26"/>
      <c r="G103" s="26" t="s">
        <v>979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13" t="s">
        <v>797</v>
      </c>
      <c r="C104" s="13" t="s">
        <v>338</v>
      </c>
      <c r="D104" s="10" t="s">
        <v>798</v>
      </c>
      <c r="E104" s="25" t="s">
        <v>266</v>
      </c>
      <c r="F104" s="26"/>
      <c r="G104" s="26" t="s">
        <v>980</v>
      </c>
      <c r="H104" s="27"/>
      <c r="I104" s="26"/>
      <c r="J104" s="15" t="s">
        <v>632</v>
      </c>
      <c r="K104" s="15" t="s">
        <v>294</v>
      </c>
      <c r="L104" s="15" t="s">
        <v>633</v>
      </c>
    </row>
    <row r="105" s="1" customFormat="1" spans="1:12">
      <c r="A105" s="33"/>
      <c r="B105" s="13" t="s">
        <v>800</v>
      </c>
      <c r="C105" s="13" t="s">
        <v>338</v>
      </c>
      <c r="D105" s="10" t="s">
        <v>801</v>
      </c>
      <c r="E105" s="25" t="s">
        <v>266</v>
      </c>
      <c r="F105" s="26"/>
      <c r="G105" s="26" t="s">
        <v>981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551</v>
      </c>
      <c r="C106" s="13" t="s">
        <v>666</v>
      </c>
      <c r="D106" s="10" t="s">
        <v>552</v>
      </c>
      <c r="E106" s="25" t="s">
        <v>266</v>
      </c>
      <c r="F106" s="26"/>
      <c r="G106" s="26" t="s">
        <v>982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805</v>
      </c>
      <c r="C107" s="13" t="s">
        <v>338</v>
      </c>
      <c r="D107" s="10" t="s">
        <v>806</v>
      </c>
      <c r="E107" s="25" t="s">
        <v>266</v>
      </c>
      <c r="F107" s="26"/>
      <c r="G107" s="26" t="s">
        <v>983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808</v>
      </c>
      <c r="C108" s="13" t="s">
        <v>338</v>
      </c>
      <c r="D108" s="10" t="s">
        <v>809</v>
      </c>
      <c r="E108" s="25" t="s">
        <v>266</v>
      </c>
      <c r="F108" s="26"/>
      <c r="G108" s="26" t="s">
        <v>984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811</v>
      </c>
      <c r="C109" s="13" t="s">
        <v>338</v>
      </c>
      <c r="D109" s="10" t="s">
        <v>812</v>
      </c>
      <c r="E109" s="25" t="s">
        <v>266</v>
      </c>
      <c r="F109" s="26"/>
      <c r="G109" s="26" t="s">
        <v>985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814</v>
      </c>
      <c r="C110" s="13" t="s">
        <v>338</v>
      </c>
      <c r="D110" s="10" t="s">
        <v>815</v>
      </c>
      <c r="E110" s="25" t="s">
        <v>266</v>
      </c>
      <c r="F110" s="26"/>
      <c r="G110" s="26" t="s">
        <v>986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817</v>
      </c>
      <c r="C111" s="13" t="s">
        <v>338</v>
      </c>
      <c r="D111" s="10" t="s">
        <v>818</v>
      </c>
      <c r="E111" s="25" t="s">
        <v>266</v>
      </c>
      <c r="F111" s="26"/>
      <c r="G111" s="26" t="s">
        <v>987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820</v>
      </c>
      <c r="C112" s="13" t="s">
        <v>338</v>
      </c>
      <c r="D112" s="10" t="s">
        <v>821</v>
      </c>
      <c r="E112" s="25" t="s">
        <v>266</v>
      </c>
      <c r="F112" s="26"/>
      <c r="G112" s="26" t="s">
        <v>988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556</v>
      </c>
      <c r="C113" s="13" t="s">
        <v>666</v>
      </c>
      <c r="D113" s="10" t="s">
        <v>557</v>
      </c>
      <c r="E113" s="25" t="s">
        <v>266</v>
      </c>
      <c r="F113" s="26"/>
      <c r="G113" s="26" t="s">
        <v>989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824</v>
      </c>
      <c r="C114" s="13" t="s">
        <v>338</v>
      </c>
      <c r="D114" s="10" t="s">
        <v>825</v>
      </c>
      <c r="E114" s="25" t="s">
        <v>266</v>
      </c>
      <c r="F114" s="26"/>
      <c r="G114" s="26" t="s">
        <v>990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827</v>
      </c>
      <c r="C115" s="13" t="s">
        <v>338</v>
      </c>
      <c r="D115" s="10" t="s">
        <v>828</v>
      </c>
      <c r="E115" s="25" t="s">
        <v>266</v>
      </c>
      <c r="F115" s="26"/>
      <c r="G115" s="26" t="s">
        <v>991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830</v>
      </c>
      <c r="C116" s="13" t="s">
        <v>338</v>
      </c>
      <c r="D116" s="10" t="s">
        <v>831</v>
      </c>
      <c r="E116" s="25" t="s">
        <v>266</v>
      </c>
      <c r="F116" s="26"/>
      <c r="G116" s="26" t="s">
        <v>992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833</v>
      </c>
      <c r="C117" s="13" t="s">
        <v>338</v>
      </c>
      <c r="D117" s="10" t="s">
        <v>834</v>
      </c>
      <c r="E117" s="25" t="s">
        <v>266</v>
      </c>
      <c r="F117" s="26"/>
      <c r="G117" s="26" t="s">
        <v>993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836</v>
      </c>
      <c r="C118" s="13" t="s">
        <v>338</v>
      </c>
      <c r="D118" s="10" t="s">
        <v>837</v>
      </c>
      <c r="E118" s="25" t="s">
        <v>266</v>
      </c>
      <c r="F118" s="26"/>
      <c r="G118" s="26" t="s">
        <v>994</v>
      </c>
      <c r="H118" s="2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839</v>
      </c>
      <c r="C119" s="13" t="s">
        <v>338</v>
      </c>
      <c r="D119" s="10" t="s">
        <v>840</v>
      </c>
      <c r="E119" s="25" t="s">
        <v>266</v>
      </c>
      <c r="F119" s="26"/>
      <c r="G119" s="26" t="s">
        <v>995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560</v>
      </c>
      <c r="C120" s="13" t="s">
        <v>666</v>
      </c>
      <c r="D120" s="10" t="s">
        <v>842</v>
      </c>
      <c r="E120" s="25" t="s">
        <v>266</v>
      </c>
      <c r="F120" s="26"/>
      <c r="G120" s="26" t="s">
        <v>996</v>
      </c>
      <c r="H120" s="27"/>
      <c r="I120" s="26"/>
      <c r="J120" s="15" t="s">
        <v>632</v>
      </c>
      <c r="K120" s="15" t="s">
        <v>404</v>
      </c>
      <c r="L120" s="15" t="s">
        <v>633</v>
      </c>
    </row>
    <row r="121" s="1" customFormat="1" spans="1:12">
      <c r="A121" s="33"/>
      <c r="B121" s="75" t="s">
        <v>844</v>
      </c>
      <c r="C121" s="75" t="s">
        <v>338</v>
      </c>
      <c r="D121" s="76" t="s">
        <v>845</v>
      </c>
      <c r="E121" s="25" t="s">
        <v>266</v>
      </c>
      <c r="F121" s="26"/>
      <c r="G121" s="26" t="s">
        <v>997</v>
      </c>
      <c r="H121" s="2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75" t="s">
        <v>847</v>
      </c>
      <c r="C122" s="75" t="s">
        <v>338</v>
      </c>
      <c r="D122" s="76" t="s">
        <v>848</v>
      </c>
      <c r="E122" s="25" t="s">
        <v>266</v>
      </c>
      <c r="F122" s="26"/>
      <c r="G122" s="26" t="s">
        <v>998</v>
      </c>
      <c r="H122" s="2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75" t="s">
        <v>850</v>
      </c>
      <c r="C123" s="75" t="s">
        <v>338</v>
      </c>
      <c r="D123" s="76" t="s">
        <v>851</v>
      </c>
      <c r="E123" s="25" t="s">
        <v>266</v>
      </c>
      <c r="F123" s="26"/>
      <c r="G123" s="26" t="s">
        <v>999</v>
      </c>
      <c r="H123" s="2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75" t="s">
        <v>853</v>
      </c>
      <c r="C124" s="75" t="s">
        <v>338</v>
      </c>
      <c r="D124" s="76" t="s">
        <v>854</v>
      </c>
      <c r="E124" s="25" t="s">
        <v>266</v>
      </c>
      <c r="F124" s="26"/>
      <c r="G124" s="26" t="s">
        <v>1000</v>
      </c>
      <c r="H124" s="2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75" t="s">
        <v>856</v>
      </c>
      <c r="C125" s="75" t="s">
        <v>338</v>
      </c>
      <c r="D125" s="76" t="s">
        <v>857</v>
      </c>
      <c r="E125" s="25" t="s">
        <v>266</v>
      </c>
      <c r="F125" s="26"/>
      <c r="G125" s="26" t="s">
        <v>1001</v>
      </c>
      <c r="H125" s="2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13" t="s">
        <v>859</v>
      </c>
      <c r="C126" s="13" t="s">
        <v>338</v>
      </c>
      <c r="D126" s="10" t="s">
        <v>860</v>
      </c>
      <c r="E126" s="25" t="s">
        <v>266</v>
      </c>
      <c r="F126" s="26"/>
      <c r="G126" s="26" t="s">
        <v>1002</v>
      </c>
      <c r="H126" s="2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13" t="s">
        <v>862</v>
      </c>
      <c r="C127" s="13" t="s">
        <v>666</v>
      </c>
      <c r="D127" s="10" t="s">
        <v>863</v>
      </c>
      <c r="E127" s="25" t="s">
        <v>266</v>
      </c>
      <c r="F127" s="26"/>
      <c r="G127" s="26" t="s">
        <v>1003</v>
      </c>
      <c r="H127" s="27"/>
      <c r="I127" s="26"/>
      <c r="J127" s="15" t="s">
        <v>632</v>
      </c>
      <c r="K127" s="15" t="s">
        <v>404</v>
      </c>
      <c r="L127" s="15" t="s">
        <v>633</v>
      </c>
    </row>
    <row r="128" s="1" customFormat="1" spans="1:12">
      <c r="A128" s="33"/>
      <c r="B128" s="13" t="s">
        <v>462</v>
      </c>
      <c r="C128" s="13" t="s">
        <v>666</v>
      </c>
      <c r="D128" s="10" t="s">
        <v>865</v>
      </c>
      <c r="E128" s="25" t="s">
        <v>266</v>
      </c>
      <c r="F128" s="26"/>
      <c r="G128" s="26" t="s">
        <v>1004</v>
      </c>
      <c r="H128" s="27"/>
      <c r="I128" s="26"/>
      <c r="J128" s="15" t="s">
        <v>632</v>
      </c>
      <c r="K128" s="15" t="s">
        <v>404</v>
      </c>
      <c r="L128" s="15" t="s">
        <v>633</v>
      </c>
    </row>
    <row r="129" s="1" customFormat="1" spans="1:12">
      <c r="A129" s="33"/>
      <c r="B129" s="13" t="s">
        <v>538</v>
      </c>
      <c r="C129" s="13" t="s">
        <v>666</v>
      </c>
      <c r="D129" s="10" t="s">
        <v>539</v>
      </c>
      <c r="E129" s="25" t="s">
        <v>266</v>
      </c>
      <c r="F129" s="26"/>
      <c r="G129" s="26" t="s">
        <v>1005</v>
      </c>
      <c r="H129" s="27"/>
      <c r="I129" s="26"/>
      <c r="J129" s="15" t="s">
        <v>632</v>
      </c>
      <c r="K129" s="15" t="s">
        <v>404</v>
      </c>
      <c r="L129" s="15" t="s">
        <v>633</v>
      </c>
    </row>
    <row r="130" s="1" customFormat="1" spans="1:12">
      <c r="A130" s="33"/>
      <c r="B130" s="13" t="s">
        <v>868</v>
      </c>
      <c r="C130" s="13" t="s">
        <v>338</v>
      </c>
      <c r="D130" s="10" t="s">
        <v>869</v>
      </c>
      <c r="E130" s="25" t="s">
        <v>266</v>
      </c>
      <c r="F130" s="26"/>
      <c r="G130" s="26" t="s">
        <v>1006</v>
      </c>
      <c r="H130" s="2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13" t="s">
        <v>871</v>
      </c>
      <c r="C131" s="13" t="s">
        <v>338</v>
      </c>
      <c r="D131" s="10" t="s">
        <v>872</v>
      </c>
      <c r="E131" s="25" t="s">
        <v>266</v>
      </c>
      <c r="F131" s="26"/>
      <c r="G131" s="26" t="s">
        <v>1007</v>
      </c>
      <c r="H131" s="2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13" t="s">
        <v>543</v>
      </c>
      <c r="C132" s="13" t="s">
        <v>666</v>
      </c>
      <c r="D132" s="10" t="s">
        <v>544</v>
      </c>
      <c r="E132" s="25" t="s">
        <v>266</v>
      </c>
      <c r="F132" s="26"/>
      <c r="G132" s="26" t="s">
        <v>1008</v>
      </c>
      <c r="H132" s="27"/>
      <c r="I132" s="26"/>
      <c r="J132" s="15" t="s">
        <v>632</v>
      </c>
      <c r="K132" s="15" t="s">
        <v>404</v>
      </c>
      <c r="L132" s="15" t="s">
        <v>633</v>
      </c>
    </row>
    <row r="133" s="1" customFormat="1" spans="1:12">
      <c r="A133" s="33"/>
      <c r="B133" s="13" t="s">
        <v>875</v>
      </c>
      <c r="C133" s="13" t="s">
        <v>338</v>
      </c>
      <c r="D133" s="10" t="s">
        <v>876</v>
      </c>
      <c r="E133" s="25" t="s">
        <v>266</v>
      </c>
      <c r="F133" s="26"/>
      <c r="G133" s="26" t="s">
        <v>1009</v>
      </c>
      <c r="H133" s="2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13" t="s">
        <v>878</v>
      </c>
      <c r="C134" s="13" t="s">
        <v>666</v>
      </c>
      <c r="D134" s="10" t="s">
        <v>879</v>
      </c>
      <c r="E134" s="25" t="s">
        <v>266</v>
      </c>
      <c r="F134" s="26"/>
      <c r="G134" s="26" t="s">
        <v>1010</v>
      </c>
      <c r="H134" s="27"/>
      <c r="I134" s="26"/>
      <c r="J134" s="15" t="s">
        <v>632</v>
      </c>
      <c r="K134" s="15" t="s">
        <v>404</v>
      </c>
      <c r="L134" s="15" t="s">
        <v>633</v>
      </c>
    </row>
    <row r="135" s="1" customFormat="1" spans="1:12">
      <c r="A135" s="33"/>
      <c r="B135" s="13" t="s">
        <v>881</v>
      </c>
      <c r="C135" s="13" t="s">
        <v>666</v>
      </c>
      <c r="D135" s="10" t="s">
        <v>882</v>
      </c>
      <c r="E135" s="25" t="s">
        <v>266</v>
      </c>
      <c r="F135" s="26"/>
      <c r="G135" s="26" t="s">
        <v>1011</v>
      </c>
      <c r="H135" s="27"/>
      <c r="I135" s="26"/>
      <c r="J135" s="15" t="s">
        <v>632</v>
      </c>
      <c r="K135" s="15" t="s">
        <v>294</v>
      </c>
      <c r="L135" s="15" t="s">
        <v>633</v>
      </c>
    </row>
    <row r="136" s="1" customFormat="1" spans="1:12">
      <c r="A136" s="33"/>
      <c r="B136" s="13" t="s">
        <v>884</v>
      </c>
      <c r="C136" s="13" t="s">
        <v>666</v>
      </c>
      <c r="D136" s="10" t="s">
        <v>885</v>
      </c>
      <c r="E136" s="25" t="s">
        <v>266</v>
      </c>
      <c r="F136" s="26"/>
      <c r="G136" s="26" t="s">
        <v>1012</v>
      </c>
      <c r="H136" s="27"/>
      <c r="I136" s="26"/>
      <c r="J136" s="15" t="s">
        <v>632</v>
      </c>
      <c r="K136" s="15" t="s">
        <v>404</v>
      </c>
      <c r="L136" s="15" t="s">
        <v>633</v>
      </c>
    </row>
    <row r="137" s="1" customFormat="1" spans="1:12">
      <c r="A137" s="33"/>
      <c r="B137" s="13" t="s">
        <v>887</v>
      </c>
      <c r="C137" s="13" t="s">
        <v>338</v>
      </c>
      <c r="D137" s="10" t="s">
        <v>888</v>
      </c>
      <c r="E137" s="25" t="s">
        <v>266</v>
      </c>
      <c r="F137" s="26"/>
      <c r="G137" s="26" t="s">
        <v>1013</v>
      </c>
      <c r="H137" s="27"/>
      <c r="I137" s="26"/>
      <c r="J137" s="15" t="s">
        <v>632</v>
      </c>
      <c r="K137" s="15" t="s">
        <v>294</v>
      </c>
      <c r="L137" s="15" t="s">
        <v>633</v>
      </c>
    </row>
    <row r="138" s="1" customFormat="1" spans="1:12">
      <c r="A138" s="33"/>
      <c r="B138" s="13" t="s">
        <v>890</v>
      </c>
      <c r="C138" s="13" t="s">
        <v>338</v>
      </c>
      <c r="D138" s="10" t="s">
        <v>891</v>
      </c>
      <c r="E138" s="25" t="s">
        <v>266</v>
      </c>
      <c r="F138" s="26"/>
      <c r="G138" s="26" t="s">
        <v>1014</v>
      </c>
      <c r="H138" s="27"/>
      <c r="I138" s="26"/>
      <c r="J138" s="15" t="s">
        <v>632</v>
      </c>
      <c r="K138" s="15" t="s">
        <v>294</v>
      </c>
      <c r="L138" s="15" t="s">
        <v>633</v>
      </c>
    </row>
    <row r="139" s="1" customFormat="1" spans="1:12">
      <c r="A139" s="33"/>
      <c r="B139" s="13" t="s">
        <v>893</v>
      </c>
      <c r="C139" s="13" t="s">
        <v>338</v>
      </c>
      <c r="D139" s="10" t="s">
        <v>894</v>
      </c>
      <c r="E139" s="25" t="s">
        <v>266</v>
      </c>
      <c r="F139" s="26"/>
      <c r="G139" s="26" t="s">
        <v>1015</v>
      </c>
      <c r="H139" s="27"/>
      <c r="I139" s="26"/>
      <c r="J139" s="15" t="s">
        <v>632</v>
      </c>
      <c r="K139" s="15" t="s">
        <v>294</v>
      </c>
      <c r="L139" s="15" t="s">
        <v>633</v>
      </c>
    </row>
    <row r="140" s="1" customFormat="1" spans="1:12">
      <c r="A140" s="33"/>
      <c r="B140" s="13" t="s">
        <v>896</v>
      </c>
      <c r="C140" s="13" t="s">
        <v>338</v>
      </c>
      <c r="D140" s="10" t="s">
        <v>897</v>
      </c>
      <c r="E140" s="25" t="s">
        <v>266</v>
      </c>
      <c r="F140" s="26"/>
      <c r="G140" s="26" t="s">
        <v>1016</v>
      </c>
      <c r="H140" s="27"/>
      <c r="I140" s="26"/>
      <c r="J140" s="15" t="s">
        <v>632</v>
      </c>
      <c r="K140" s="15" t="s">
        <v>294</v>
      </c>
      <c r="L140" s="15" t="s">
        <v>633</v>
      </c>
    </row>
    <row r="141" s="1" customFormat="1" spans="1:12">
      <c r="A141" s="33"/>
      <c r="B141" s="13" t="s">
        <v>899</v>
      </c>
      <c r="C141" s="13" t="s">
        <v>338</v>
      </c>
      <c r="D141" s="10" t="s">
        <v>900</v>
      </c>
      <c r="E141" s="25" t="s">
        <v>266</v>
      </c>
      <c r="F141" s="26"/>
      <c r="G141" s="26" t="s">
        <v>1017</v>
      </c>
      <c r="H141" s="27"/>
      <c r="I141" s="26"/>
      <c r="J141" s="15" t="s">
        <v>632</v>
      </c>
      <c r="K141" s="15" t="s">
        <v>294</v>
      </c>
      <c r="L141" s="15" t="s">
        <v>633</v>
      </c>
    </row>
    <row r="142" s="1" customFormat="1" spans="1:12">
      <c r="A142" s="33"/>
      <c r="B142" s="13" t="s">
        <v>902</v>
      </c>
      <c r="C142" s="13" t="s">
        <v>338</v>
      </c>
      <c r="D142" s="10" t="s">
        <v>903</v>
      </c>
      <c r="E142" s="25" t="s">
        <v>266</v>
      </c>
      <c r="F142" s="26"/>
      <c r="G142" s="26" t="s">
        <v>1018</v>
      </c>
      <c r="H142" s="27"/>
      <c r="I142" s="26"/>
      <c r="J142" s="15" t="s">
        <v>632</v>
      </c>
      <c r="K142" s="15" t="s">
        <v>294</v>
      </c>
      <c r="L142" s="15" t="s">
        <v>633</v>
      </c>
    </row>
    <row r="143" s="1" customFormat="1" spans="1:12">
      <c r="A143" s="33"/>
      <c r="B143" s="13" t="s">
        <v>905</v>
      </c>
      <c r="C143" s="13" t="s">
        <v>338</v>
      </c>
      <c r="D143" s="10" t="s">
        <v>906</v>
      </c>
      <c r="E143" s="25" t="s">
        <v>266</v>
      </c>
      <c r="F143" s="26"/>
      <c r="G143" s="26" t="s">
        <v>1019</v>
      </c>
      <c r="H143" s="27"/>
      <c r="I143" s="26"/>
      <c r="J143" s="15" t="s">
        <v>632</v>
      </c>
      <c r="K143" s="15" t="s">
        <v>294</v>
      </c>
      <c r="L143" s="15" t="s">
        <v>633</v>
      </c>
    </row>
    <row r="144" s="1" customFormat="1" spans="1:12">
      <c r="A144" s="33"/>
      <c r="B144" s="13" t="s">
        <v>908</v>
      </c>
      <c r="C144" s="13" t="s">
        <v>338</v>
      </c>
      <c r="D144" s="10" t="s">
        <v>909</v>
      </c>
      <c r="E144" s="25" t="s">
        <v>266</v>
      </c>
      <c r="F144" s="26"/>
      <c r="G144" s="26" t="s">
        <v>1020</v>
      </c>
      <c r="H144" s="27"/>
      <c r="I144" s="26"/>
      <c r="J144" s="15" t="s">
        <v>632</v>
      </c>
      <c r="K144" s="15" t="s">
        <v>294</v>
      </c>
      <c r="L144" s="15" t="s">
        <v>633</v>
      </c>
    </row>
    <row r="145" s="1" customFormat="1" spans="1:12">
      <c r="A145" s="33"/>
      <c r="B145" s="13" t="s">
        <v>911</v>
      </c>
      <c r="C145" s="13" t="s">
        <v>338</v>
      </c>
      <c r="D145" s="10" t="s">
        <v>912</v>
      </c>
      <c r="E145" s="25" t="s">
        <v>266</v>
      </c>
      <c r="F145" s="26"/>
      <c r="G145" s="26" t="s">
        <v>1021</v>
      </c>
      <c r="H145" s="27"/>
      <c r="I145" s="26"/>
      <c r="J145" s="15" t="s">
        <v>632</v>
      </c>
      <c r="K145" s="15" t="s">
        <v>294</v>
      </c>
      <c r="L145" s="15" t="s">
        <v>633</v>
      </c>
    </row>
    <row r="146" s="1" customFormat="1" spans="1:12">
      <c r="A146" s="33"/>
      <c r="B146" s="13" t="s">
        <v>914</v>
      </c>
      <c r="C146" s="13" t="s">
        <v>338</v>
      </c>
      <c r="D146" s="10" t="s">
        <v>915</v>
      </c>
      <c r="E146" s="25" t="s">
        <v>266</v>
      </c>
      <c r="F146" s="26"/>
      <c r="G146" s="26" t="s">
        <v>1022</v>
      </c>
      <c r="H146" s="2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13" t="s">
        <v>917</v>
      </c>
      <c r="C147" s="13" t="s">
        <v>338</v>
      </c>
      <c r="D147" s="10" t="s">
        <v>918</v>
      </c>
      <c r="E147" s="25" t="s">
        <v>266</v>
      </c>
      <c r="F147" s="26"/>
      <c r="G147" s="26" t="s">
        <v>1023</v>
      </c>
      <c r="H147" s="27"/>
      <c r="I147" s="26"/>
      <c r="J147" s="15" t="s">
        <v>632</v>
      </c>
      <c r="K147" s="15" t="s">
        <v>294</v>
      </c>
      <c r="L147" s="15" t="s">
        <v>633</v>
      </c>
    </row>
    <row r="148" s="1" customFormat="1" spans="1:12">
      <c r="A148" s="33"/>
      <c r="B148" s="13" t="s">
        <v>920</v>
      </c>
      <c r="C148" s="13" t="s">
        <v>338</v>
      </c>
      <c r="D148" s="10" t="s">
        <v>921</v>
      </c>
      <c r="E148" s="25" t="s">
        <v>266</v>
      </c>
      <c r="F148" s="26"/>
      <c r="G148" s="26" t="s">
        <v>1024</v>
      </c>
      <c r="H148" s="27"/>
      <c r="I148" s="26"/>
      <c r="J148" s="15" t="s">
        <v>632</v>
      </c>
      <c r="K148" s="15" t="s">
        <v>294</v>
      </c>
      <c r="L148" s="15" t="s">
        <v>633</v>
      </c>
    </row>
    <row r="149" s="1" customFormat="1" spans="1:12">
      <c r="A149" s="33"/>
      <c r="B149" s="13" t="s">
        <v>923</v>
      </c>
      <c r="C149" s="13" t="s">
        <v>338</v>
      </c>
      <c r="D149" s="10" t="s">
        <v>924</v>
      </c>
      <c r="E149" s="25" t="s">
        <v>266</v>
      </c>
      <c r="F149" s="26"/>
      <c r="G149" s="26" t="s">
        <v>1025</v>
      </c>
      <c r="H149" s="27"/>
      <c r="I149" s="26"/>
      <c r="J149" s="15" t="s">
        <v>632</v>
      </c>
      <c r="K149" s="15" t="s">
        <v>294</v>
      </c>
      <c r="L149" s="15" t="s">
        <v>633</v>
      </c>
    </row>
    <row r="150" s="1" customFormat="1" spans="1:12">
      <c r="A150" s="33"/>
      <c r="B150" s="13" t="s">
        <v>926</v>
      </c>
      <c r="C150" s="13" t="s">
        <v>291</v>
      </c>
      <c r="D150" s="10" t="s">
        <v>927</v>
      </c>
      <c r="E150" s="25" t="s">
        <v>266</v>
      </c>
      <c r="F150" s="26"/>
      <c r="G150" s="35" t="s">
        <v>1026</v>
      </c>
      <c r="H150" s="27"/>
      <c r="I150" s="56">
        <v>20250415101139</v>
      </c>
      <c r="J150" s="15" t="s">
        <v>632</v>
      </c>
      <c r="K150" s="15" t="s">
        <v>294</v>
      </c>
      <c r="L150" s="15" t="s">
        <v>670</v>
      </c>
    </row>
    <row r="151" s="1" customFormat="1" spans="1:12">
      <c r="A151" s="33"/>
      <c r="B151" s="13" t="s">
        <v>929</v>
      </c>
      <c r="C151" s="13" t="s">
        <v>291</v>
      </c>
      <c r="D151" s="10" t="s">
        <v>930</v>
      </c>
      <c r="E151" s="25" t="s">
        <v>266</v>
      </c>
      <c r="F151" s="26"/>
      <c r="G151" s="35" t="s">
        <v>1027</v>
      </c>
      <c r="H151" s="27"/>
      <c r="I151" s="56">
        <v>20250415101024</v>
      </c>
      <c r="J151" s="15" t="s">
        <v>632</v>
      </c>
      <c r="K151" s="15" t="s">
        <v>294</v>
      </c>
      <c r="L151" s="15" t="s">
        <v>670</v>
      </c>
    </row>
    <row r="152" s="2" customFormat="1" spans="2:17">
      <c r="B152" s="17" t="s">
        <v>594</v>
      </c>
      <c r="C152" s="18" t="s">
        <v>307</v>
      </c>
      <c r="D152" s="19" t="s">
        <v>595</v>
      </c>
      <c r="E152" s="28"/>
      <c r="F152" s="28"/>
      <c r="G152" s="28" t="s">
        <v>932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="2" customFormat="1" spans="2:17">
      <c r="B153" s="17" t="s">
        <v>596</v>
      </c>
      <c r="C153" s="18" t="s">
        <v>291</v>
      </c>
      <c r="D153" s="19" t="s">
        <v>597</v>
      </c>
      <c r="E153" s="28"/>
      <c r="F153" s="28"/>
      <c r="G153" s="28" t="s">
        <v>932</v>
      </c>
      <c r="H153" s="17" t="s">
        <v>932</v>
      </c>
      <c r="I153" s="17"/>
      <c r="J153" s="17"/>
      <c r="K153" s="17"/>
      <c r="L153" s="17"/>
      <c r="M153" s="17"/>
      <c r="N153" s="17"/>
      <c r="O153" s="17"/>
      <c r="P153" s="17"/>
      <c r="Q153" s="17"/>
    </row>
    <row r="154" s="2" customFormat="1" spans="2:17">
      <c r="B154" s="17" t="s">
        <v>598</v>
      </c>
      <c r="C154" s="18" t="s">
        <v>307</v>
      </c>
      <c r="D154" s="19" t="s">
        <v>599</v>
      </c>
      <c r="E154" s="28"/>
      <c r="F154" s="28"/>
      <c r="G154" s="28" t="s">
        <v>932</v>
      </c>
      <c r="H154" s="17" t="s">
        <v>932</v>
      </c>
      <c r="I154" s="17"/>
      <c r="J154" s="17"/>
      <c r="K154" s="17"/>
      <c r="L154" s="17"/>
      <c r="M154" s="17"/>
      <c r="N154" s="17"/>
      <c r="O154" s="17"/>
      <c r="P154" s="17"/>
      <c r="Q154" s="17"/>
    </row>
  </sheetData>
  <autoFilter xmlns:etc="http://www.wps.cn/officeDocument/2017/etCustomData" ref="A13:Q154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3"/>
  <sheetViews>
    <sheetView zoomScale="85" zoomScaleNormal="85" workbookViewId="0">
      <pane ySplit="5" topLeftCell="A57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51" t="s">
        <v>50</v>
      </c>
      <c r="D5" s="10" t="s">
        <v>51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46</v>
      </c>
      <c r="D9" s="14" t="s">
        <v>47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1028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1029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613</v>
      </c>
      <c r="C16" s="32" t="s">
        <v>307</v>
      </c>
      <c r="D16" s="10" t="s">
        <v>1030</v>
      </c>
      <c r="E16" s="25" t="s">
        <v>266</v>
      </c>
      <c r="F16" s="26" t="s">
        <v>594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615</v>
      </c>
    </row>
    <row r="17" s="1" customFormat="1" spans="1:12">
      <c r="A17" s="33"/>
      <c r="B17" s="32" t="s">
        <v>517</v>
      </c>
      <c r="C17" s="32" t="s">
        <v>307</v>
      </c>
      <c r="D17" s="10" t="s">
        <v>1031</v>
      </c>
      <c r="E17" s="25" t="s">
        <v>266</v>
      </c>
      <c r="F17" s="26" t="s">
        <v>517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378</v>
      </c>
      <c r="C18" s="32" t="s">
        <v>307</v>
      </c>
      <c r="D18" s="10" t="s">
        <v>379</v>
      </c>
      <c r="E18" s="25" t="s">
        <v>266</v>
      </c>
      <c r="F18" s="26" t="s">
        <v>378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290</v>
      </c>
      <c r="C19" s="32" t="s">
        <v>307</v>
      </c>
      <c r="D19" s="10" t="s">
        <v>1032</v>
      </c>
      <c r="E19" s="25" t="s">
        <v>266</v>
      </c>
      <c r="F19" s="26" t="s">
        <v>290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610</v>
      </c>
    </row>
    <row r="20" s="1" customFormat="1" spans="1:12">
      <c r="A20" s="33"/>
      <c r="B20" s="13" t="s">
        <v>327</v>
      </c>
      <c r="C20" s="32" t="s">
        <v>307</v>
      </c>
      <c r="D20" s="10" t="s">
        <v>328</v>
      </c>
      <c r="E20" s="25" t="s">
        <v>266</v>
      </c>
      <c r="F20" s="26" t="s">
        <v>327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612</v>
      </c>
    </row>
    <row r="21" s="1" customFormat="1" spans="1:12">
      <c r="A21" s="33"/>
      <c r="B21" s="13" t="s">
        <v>1033</v>
      </c>
      <c r="C21" s="32" t="s">
        <v>338</v>
      </c>
      <c r="D21" s="10" t="s">
        <v>1034</v>
      </c>
      <c r="E21" s="25" t="s">
        <v>266</v>
      </c>
      <c r="F21" s="26"/>
      <c r="G21" s="26" t="s">
        <v>1035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1036</v>
      </c>
      <c r="C22" s="32" t="s">
        <v>338</v>
      </c>
      <c r="D22" s="10" t="s">
        <v>1037</v>
      </c>
      <c r="E22" s="25" t="s">
        <v>266</v>
      </c>
      <c r="F22" s="26"/>
      <c r="G22" s="26" t="s">
        <v>1038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32" t="s">
        <v>291</v>
      </c>
      <c r="D23" s="10" t="s">
        <v>515</v>
      </c>
      <c r="E23" s="25" t="s">
        <v>266</v>
      </c>
      <c r="F23" s="26" t="s">
        <v>514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295</v>
      </c>
      <c r="C24" s="13" t="s">
        <v>291</v>
      </c>
      <c r="D24" s="10" t="s">
        <v>1039</v>
      </c>
      <c r="E24" s="25" t="s">
        <v>266</v>
      </c>
      <c r="F24" s="26" t="s">
        <v>295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1040</v>
      </c>
      <c r="E25" s="25" t="s">
        <v>266</v>
      </c>
      <c r="F25" s="26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567</v>
      </c>
      <c r="C26" s="13" t="s">
        <v>291</v>
      </c>
      <c r="D26" s="10" t="s">
        <v>568</v>
      </c>
      <c r="E26" s="25" t="s">
        <v>266</v>
      </c>
      <c r="F26" s="26" t="s">
        <v>567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1041</v>
      </c>
      <c r="E27" s="25" t="s">
        <v>266</v>
      </c>
      <c r="F27" s="26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313</v>
      </c>
      <c r="C28" s="13" t="s">
        <v>291</v>
      </c>
      <c r="D28" s="10" t="s">
        <v>1042</v>
      </c>
      <c r="E28" s="25" t="s">
        <v>266</v>
      </c>
      <c r="F28" s="26" t="s">
        <v>313</v>
      </c>
      <c r="G28" s="26" t="s">
        <v>293</v>
      </c>
      <c r="H28" s="37"/>
      <c r="I28" s="30"/>
      <c r="J28" s="15" t="s">
        <v>604</v>
      </c>
      <c r="K28" s="15" t="s">
        <v>294</v>
      </c>
      <c r="L28" s="15" t="s">
        <v>294</v>
      </c>
    </row>
    <row r="29" s="1" customFormat="1" spans="2:12">
      <c r="B29" s="32" t="s">
        <v>356</v>
      </c>
      <c r="C29" s="32" t="s">
        <v>291</v>
      </c>
      <c r="D29" s="10" t="s">
        <v>357</v>
      </c>
      <c r="E29" s="25" t="s">
        <v>266</v>
      </c>
      <c r="F29" s="26" t="s">
        <v>356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294</v>
      </c>
    </row>
    <row r="30" s="1" customFormat="1" spans="2:12">
      <c r="B30" s="32" t="s">
        <v>302</v>
      </c>
      <c r="C30" s="32" t="s">
        <v>291</v>
      </c>
      <c r="D30" s="10" t="s">
        <v>1043</v>
      </c>
      <c r="E30" s="25" t="s">
        <v>266</v>
      </c>
      <c r="F30" s="26" t="s">
        <v>302</v>
      </c>
      <c r="G30" s="26" t="s">
        <v>293</v>
      </c>
      <c r="H30" s="37"/>
      <c r="I30" s="65"/>
      <c r="J30" s="15" t="s">
        <v>604</v>
      </c>
      <c r="K30" s="15" t="s">
        <v>294</v>
      </c>
      <c r="L30" s="15" t="s">
        <v>294</v>
      </c>
    </row>
    <row r="31" s="1" customFormat="1" spans="2:12">
      <c r="B31" s="32" t="s">
        <v>331</v>
      </c>
      <c r="C31" s="32" t="s">
        <v>307</v>
      </c>
      <c r="D31" s="10" t="s">
        <v>623</v>
      </c>
      <c r="E31" s="25" t="s">
        <v>266</v>
      </c>
      <c r="F31" s="26" t="s">
        <v>331</v>
      </c>
      <c r="G31" s="26" t="s">
        <v>293</v>
      </c>
      <c r="H31" s="37"/>
      <c r="I31" s="30"/>
      <c r="J31" s="15" t="s">
        <v>604</v>
      </c>
      <c r="K31" s="15" t="s">
        <v>294</v>
      </c>
      <c r="L31" s="15" t="s">
        <v>294</v>
      </c>
    </row>
    <row r="32" s="1" customFormat="1" spans="2:12">
      <c r="B32" s="32" t="s">
        <v>1044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37"/>
      <c r="I32" s="15"/>
      <c r="J32" s="15" t="s">
        <v>632</v>
      </c>
      <c r="K32" s="15" t="s">
        <v>644</v>
      </c>
      <c r="L32" s="15" t="s">
        <v>633</v>
      </c>
    </row>
    <row r="33" s="1" customFormat="1" spans="2:12">
      <c r="B33" s="32" t="s">
        <v>1045</v>
      </c>
      <c r="C33" s="34" t="s">
        <v>338</v>
      </c>
      <c r="D33" s="10" t="s">
        <v>645</v>
      </c>
      <c r="E33" s="25" t="s">
        <v>266</v>
      </c>
      <c r="F33" s="10"/>
      <c r="G33" s="26" t="s">
        <v>646</v>
      </c>
      <c r="H33" s="37"/>
      <c r="I33" s="15"/>
      <c r="J33" s="15" t="s">
        <v>632</v>
      </c>
      <c r="K33" s="15" t="s">
        <v>644</v>
      </c>
      <c r="L33" s="15" t="s">
        <v>633</v>
      </c>
    </row>
    <row r="34" s="1" customFormat="1" spans="2:12">
      <c r="B34" s="32" t="s">
        <v>1046</v>
      </c>
      <c r="C34" s="32" t="s">
        <v>338</v>
      </c>
      <c r="D34" s="10" t="s">
        <v>1047</v>
      </c>
      <c r="E34" s="25" t="s">
        <v>266</v>
      </c>
      <c r="F34" s="26"/>
      <c r="G34" s="26" t="s">
        <v>936</v>
      </c>
      <c r="H34" s="37"/>
      <c r="I34" s="15"/>
      <c r="J34" s="15" t="s">
        <v>632</v>
      </c>
      <c r="K34" s="15" t="s">
        <v>644</v>
      </c>
      <c r="L34" s="15" t="s">
        <v>633</v>
      </c>
    </row>
    <row r="35" s="33" customFormat="1" spans="2:13">
      <c r="B35" s="32" t="s">
        <v>1048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37"/>
      <c r="I35" s="30"/>
      <c r="J35" s="15" t="s">
        <v>632</v>
      </c>
      <c r="K35" s="15" t="s">
        <v>294</v>
      </c>
      <c r="L35" s="15" t="s">
        <v>633</v>
      </c>
      <c r="M35" s="1"/>
    </row>
    <row r="36" s="59" customFormat="1" spans="1:13">
      <c r="A36" s="60"/>
      <c r="B36" s="61" t="s">
        <v>1049</v>
      </c>
      <c r="C36" s="13" t="s">
        <v>338</v>
      </c>
      <c r="D36" s="10" t="s">
        <v>654</v>
      </c>
      <c r="E36" s="25" t="s">
        <v>266</v>
      </c>
      <c r="F36" s="26"/>
      <c r="G36" s="26" t="s">
        <v>938</v>
      </c>
      <c r="H36" s="37"/>
      <c r="I36" s="52"/>
      <c r="J36" s="15" t="s">
        <v>632</v>
      </c>
      <c r="K36" s="15" t="s">
        <v>294</v>
      </c>
      <c r="L36" s="15" t="s">
        <v>633</v>
      </c>
      <c r="M36" s="1"/>
    </row>
    <row r="37" s="1" customFormat="1" spans="2:12">
      <c r="B37" s="32" t="s">
        <v>1050</v>
      </c>
      <c r="C37" s="32" t="s">
        <v>338</v>
      </c>
      <c r="D37" s="10" t="s">
        <v>1051</v>
      </c>
      <c r="E37" s="25" t="s">
        <v>266</v>
      </c>
      <c r="F37" s="26"/>
      <c r="G37" s="26" t="s">
        <v>939</v>
      </c>
      <c r="H37" s="37"/>
      <c r="I37" s="15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1052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1053</v>
      </c>
      <c r="C39" s="13" t="s">
        <v>338</v>
      </c>
      <c r="D39" s="10" t="s">
        <v>663</v>
      </c>
      <c r="E39" s="25" t="s">
        <v>266</v>
      </c>
      <c r="F39" s="10"/>
      <c r="G39" s="26" t="s">
        <v>941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1054</v>
      </c>
      <c r="C40" s="13" t="s">
        <v>338</v>
      </c>
      <c r="D40" s="10" t="s">
        <v>345</v>
      </c>
      <c r="E40" s="25" t="s">
        <v>266</v>
      </c>
      <c r="F40" s="26"/>
      <c r="G40" s="26" t="s">
        <v>696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1055</v>
      </c>
      <c r="C41" s="13" t="s">
        <v>338</v>
      </c>
      <c r="D41" s="10" t="s">
        <v>347</v>
      </c>
      <c r="E41" s="25" t="s">
        <v>266</v>
      </c>
      <c r="F41" s="26"/>
      <c r="G41" s="26" t="s">
        <v>694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32" t="s">
        <v>1056</v>
      </c>
      <c r="C42" s="34" t="s">
        <v>338</v>
      </c>
      <c r="D42" s="10" t="s">
        <v>697</v>
      </c>
      <c r="E42" s="25" t="s">
        <v>266</v>
      </c>
      <c r="F42" s="26"/>
      <c r="G42" s="26" t="s">
        <v>698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32" t="s">
        <v>1057</v>
      </c>
      <c r="C43" s="34" t="s">
        <v>338</v>
      </c>
      <c r="D43" s="10" t="s">
        <v>699</v>
      </c>
      <c r="E43" s="25" t="s">
        <v>266</v>
      </c>
      <c r="F43" s="26"/>
      <c r="G43" s="26" t="s">
        <v>700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32" t="s">
        <v>1058</v>
      </c>
      <c r="C44" s="34" t="s">
        <v>338</v>
      </c>
      <c r="D44" s="10" t="s">
        <v>702</v>
      </c>
      <c r="E44" s="25" t="s">
        <v>266</v>
      </c>
      <c r="F44" s="26"/>
      <c r="G44" s="26" t="s">
        <v>950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1059</v>
      </c>
      <c r="C45" s="13" t="s">
        <v>338</v>
      </c>
      <c r="D45" s="10" t="s">
        <v>705</v>
      </c>
      <c r="E45" s="25" t="s">
        <v>266</v>
      </c>
      <c r="F45" s="26"/>
      <c r="G45" s="26" t="s">
        <v>951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1060</v>
      </c>
      <c r="C46" s="13" t="s">
        <v>338</v>
      </c>
      <c r="D46" s="10" t="s">
        <v>708</v>
      </c>
      <c r="E46" s="25" t="s">
        <v>266</v>
      </c>
      <c r="F46" s="26"/>
      <c r="G46" s="26" t="s">
        <v>952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1061</v>
      </c>
      <c r="C47" s="13" t="s">
        <v>338</v>
      </c>
      <c r="D47" s="10" t="s">
        <v>711</v>
      </c>
      <c r="E47" s="25" t="s">
        <v>266</v>
      </c>
      <c r="F47" s="26"/>
      <c r="G47" s="26" t="s">
        <v>953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32" t="s">
        <v>1062</v>
      </c>
      <c r="C48" s="32" t="s">
        <v>338</v>
      </c>
      <c r="D48" s="10" t="s">
        <v>714</v>
      </c>
      <c r="E48" s="25" t="s">
        <v>266</v>
      </c>
      <c r="F48" s="26"/>
      <c r="G48" s="26" t="s">
        <v>954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1063</v>
      </c>
      <c r="C49" s="13" t="s">
        <v>338</v>
      </c>
      <c r="D49" s="10" t="s">
        <v>717</v>
      </c>
      <c r="E49" s="25" t="s">
        <v>266</v>
      </c>
      <c r="F49" s="26"/>
      <c r="G49" s="26" t="s">
        <v>955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1064</v>
      </c>
      <c r="C50" s="13" t="s">
        <v>338</v>
      </c>
      <c r="D50" s="10" t="s">
        <v>1065</v>
      </c>
      <c r="E50" s="25" t="s">
        <v>266</v>
      </c>
      <c r="F50" s="26"/>
      <c r="G50" s="26" t="s">
        <v>720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1066</v>
      </c>
      <c r="C51" s="13" t="s">
        <v>338</v>
      </c>
      <c r="D51" s="10" t="s">
        <v>1067</v>
      </c>
      <c r="E51" s="25" t="s">
        <v>266</v>
      </c>
      <c r="F51" s="26"/>
      <c r="G51" s="26" t="s">
        <v>722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1068</v>
      </c>
      <c r="C52" s="13" t="s">
        <v>338</v>
      </c>
      <c r="D52" s="10" t="s">
        <v>723</v>
      </c>
      <c r="E52" s="25" t="s">
        <v>266</v>
      </c>
      <c r="F52" s="26"/>
      <c r="G52" s="26" t="s">
        <v>724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1069</v>
      </c>
      <c r="C53" s="13" t="s">
        <v>338</v>
      </c>
      <c r="D53" s="10" t="s">
        <v>725</v>
      </c>
      <c r="E53" s="25" t="s">
        <v>266</v>
      </c>
      <c r="F53" s="26"/>
      <c r="G53" s="26" t="s">
        <v>726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1070</v>
      </c>
      <c r="C54" s="13" t="s">
        <v>338</v>
      </c>
      <c r="D54" s="10" t="s">
        <v>1071</v>
      </c>
      <c r="E54" s="25" t="s">
        <v>266</v>
      </c>
      <c r="F54" s="26"/>
      <c r="G54" s="26" t="s">
        <v>1072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1073</v>
      </c>
      <c r="C55" s="13" t="s">
        <v>338</v>
      </c>
      <c r="D55" s="10" t="s">
        <v>1074</v>
      </c>
      <c r="E55" s="25" t="s">
        <v>266</v>
      </c>
      <c r="F55" s="26"/>
      <c r="G55" s="26" t="s">
        <v>1075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1076</v>
      </c>
      <c r="C56" s="13" t="s">
        <v>338</v>
      </c>
      <c r="D56" s="10" t="s">
        <v>1077</v>
      </c>
      <c r="E56" s="25" t="s">
        <v>266</v>
      </c>
      <c r="F56" s="26"/>
      <c r="G56" s="26" t="s">
        <v>1078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1079</v>
      </c>
      <c r="C57" s="13" t="s">
        <v>338</v>
      </c>
      <c r="D57" s="10" t="s">
        <v>1080</v>
      </c>
      <c r="E57" s="25" t="s">
        <v>266</v>
      </c>
      <c r="F57" s="26"/>
      <c r="G57" s="26" t="s">
        <v>1081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1082</v>
      </c>
      <c r="C58" s="13" t="s">
        <v>338</v>
      </c>
      <c r="D58" s="10" t="s">
        <v>1083</v>
      </c>
      <c r="E58" s="25" t="s">
        <v>266</v>
      </c>
      <c r="F58" s="26"/>
      <c r="G58" s="26" t="s">
        <v>1084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1085</v>
      </c>
      <c r="C59" s="13" t="s">
        <v>338</v>
      </c>
      <c r="D59" s="10" t="s">
        <v>1086</v>
      </c>
      <c r="E59" s="25" t="s">
        <v>266</v>
      </c>
      <c r="F59" s="26"/>
      <c r="G59" s="26" t="s">
        <v>1087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1088</v>
      </c>
      <c r="C60" s="13" t="s">
        <v>338</v>
      </c>
      <c r="D60" s="10" t="s">
        <v>1089</v>
      </c>
      <c r="E60" s="25" t="s">
        <v>266</v>
      </c>
      <c r="F60" s="26"/>
      <c r="G60" s="26" t="s">
        <v>1090</v>
      </c>
      <c r="H60" s="2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1091</v>
      </c>
      <c r="C61" s="13" t="s">
        <v>338</v>
      </c>
      <c r="D61" s="10" t="s">
        <v>1092</v>
      </c>
      <c r="E61" s="25" t="s">
        <v>266</v>
      </c>
      <c r="F61" s="26"/>
      <c r="G61" s="26" t="s">
        <v>958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1093</v>
      </c>
      <c r="C62" s="13" t="s">
        <v>338</v>
      </c>
      <c r="D62" s="10" t="s">
        <v>1094</v>
      </c>
      <c r="E62" s="25" t="s">
        <v>266</v>
      </c>
      <c r="F62" s="26"/>
      <c r="G62" s="26" t="s">
        <v>959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1095</v>
      </c>
      <c r="C63" s="13" t="s">
        <v>338</v>
      </c>
      <c r="D63" s="10" t="s">
        <v>1096</v>
      </c>
      <c r="E63" s="25" t="s">
        <v>266</v>
      </c>
      <c r="F63" s="26"/>
      <c r="G63" s="26" t="s">
        <v>960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1097</v>
      </c>
      <c r="C64" s="13" t="s">
        <v>338</v>
      </c>
      <c r="D64" s="10" t="s">
        <v>1098</v>
      </c>
      <c r="E64" s="25" t="s">
        <v>266</v>
      </c>
      <c r="F64" s="26"/>
      <c r="G64" s="26" t="s">
        <v>961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1099</v>
      </c>
      <c r="C65" s="13" t="s">
        <v>338</v>
      </c>
      <c r="D65" s="10" t="s">
        <v>1100</v>
      </c>
      <c r="E65" s="25" t="s">
        <v>266</v>
      </c>
      <c r="F65" s="26"/>
      <c r="G65" s="26" t="s">
        <v>962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1101</v>
      </c>
      <c r="C66" s="13" t="s">
        <v>338</v>
      </c>
      <c r="D66" s="10" t="s">
        <v>1102</v>
      </c>
      <c r="E66" s="25" t="s">
        <v>266</v>
      </c>
      <c r="F66" s="26"/>
      <c r="G66" s="26" t="s">
        <v>1103</v>
      </c>
      <c r="H66" s="27"/>
      <c r="I66" s="26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1104</v>
      </c>
      <c r="C67" s="13" t="s">
        <v>338</v>
      </c>
      <c r="D67" s="10" t="s">
        <v>1105</v>
      </c>
      <c r="E67" s="25" t="s">
        <v>266</v>
      </c>
      <c r="F67" s="26"/>
      <c r="G67" s="26" t="s">
        <v>965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1106</v>
      </c>
      <c r="C68" s="13" t="s">
        <v>338</v>
      </c>
      <c r="D68" s="10" t="s">
        <v>1107</v>
      </c>
      <c r="E68" s="25" t="s">
        <v>266</v>
      </c>
      <c r="F68" s="26"/>
      <c r="G68" s="26" t="s">
        <v>966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1108</v>
      </c>
      <c r="C69" s="13" t="s">
        <v>338</v>
      </c>
      <c r="D69" s="10" t="s">
        <v>1109</v>
      </c>
      <c r="E69" s="25" t="s">
        <v>266</v>
      </c>
      <c r="F69" s="26"/>
      <c r="G69" s="26" t="s">
        <v>967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1110</v>
      </c>
      <c r="C70" s="13" t="s">
        <v>338</v>
      </c>
      <c r="D70" s="10" t="s">
        <v>1111</v>
      </c>
      <c r="E70" s="25" t="s">
        <v>266</v>
      </c>
      <c r="F70" s="26"/>
      <c r="G70" s="26" t="s">
        <v>968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1112</v>
      </c>
      <c r="C71" s="13" t="s">
        <v>338</v>
      </c>
      <c r="D71" s="10" t="s">
        <v>1113</v>
      </c>
      <c r="E71" s="25" t="s">
        <v>266</v>
      </c>
      <c r="F71" s="26"/>
      <c r="G71" s="26" t="s">
        <v>969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1114</v>
      </c>
      <c r="C72" s="13" t="s">
        <v>338</v>
      </c>
      <c r="D72" s="10" t="s">
        <v>1115</v>
      </c>
      <c r="E72" s="25" t="s">
        <v>266</v>
      </c>
      <c r="F72" s="26"/>
      <c r="G72" s="26" t="s">
        <v>1116</v>
      </c>
      <c r="H72" s="2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1117</v>
      </c>
      <c r="C73" s="13" t="s">
        <v>338</v>
      </c>
      <c r="D73" s="10" t="s">
        <v>729</v>
      </c>
      <c r="E73" s="25" t="s">
        <v>266</v>
      </c>
      <c r="F73" s="26"/>
      <c r="G73" s="26" t="s">
        <v>956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1118</v>
      </c>
      <c r="C74" s="13" t="s">
        <v>338</v>
      </c>
      <c r="D74" s="10" t="s">
        <v>749</v>
      </c>
      <c r="E74" s="25" t="s">
        <v>266</v>
      </c>
      <c r="F74" s="26"/>
      <c r="G74" s="26" t="s">
        <v>963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1119</v>
      </c>
      <c r="C75" s="13" t="s">
        <v>338</v>
      </c>
      <c r="D75" s="10" t="s">
        <v>1120</v>
      </c>
      <c r="E75" s="25" t="s">
        <v>266</v>
      </c>
      <c r="F75" s="26"/>
      <c r="G75" s="26" t="s">
        <v>1121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1122</v>
      </c>
      <c r="C76" s="13" t="s">
        <v>338</v>
      </c>
      <c r="D76" s="10" t="s">
        <v>793</v>
      </c>
      <c r="E76" s="25" t="s">
        <v>266</v>
      </c>
      <c r="F76" s="26"/>
      <c r="G76" s="26" t="s">
        <v>978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1123</v>
      </c>
      <c r="C77" s="13" t="s">
        <v>338</v>
      </c>
      <c r="D77" s="10" t="s">
        <v>1124</v>
      </c>
      <c r="E77" s="25" t="s">
        <v>266</v>
      </c>
      <c r="F77" s="26"/>
      <c r="G77" s="26" t="s">
        <v>1125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1126</v>
      </c>
      <c r="C78" s="13" t="s">
        <v>338</v>
      </c>
      <c r="D78" s="10" t="s">
        <v>798</v>
      </c>
      <c r="E78" s="25" t="s">
        <v>266</v>
      </c>
      <c r="F78" s="26"/>
      <c r="G78" s="26" t="s">
        <v>980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1127</v>
      </c>
      <c r="C79" s="13" t="s">
        <v>338</v>
      </c>
      <c r="D79" s="10" t="s">
        <v>1128</v>
      </c>
      <c r="E79" s="25" t="s">
        <v>266</v>
      </c>
      <c r="F79" s="26"/>
      <c r="G79" s="26" t="s">
        <v>995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1129</v>
      </c>
      <c r="C80" s="13" t="s">
        <v>338</v>
      </c>
      <c r="D80" s="10" t="s">
        <v>1130</v>
      </c>
      <c r="E80" s="25" t="s">
        <v>266</v>
      </c>
      <c r="F80" s="26"/>
      <c r="G80" s="26" t="s">
        <v>1131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1132</v>
      </c>
      <c r="C81" s="13" t="s">
        <v>338</v>
      </c>
      <c r="D81" s="10" t="s">
        <v>1133</v>
      </c>
      <c r="E81" s="25" t="s">
        <v>266</v>
      </c>
      <c r="F81" s="26"/>
      <c r="G81" s="26" t="s">
        <v>1134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1135</v>
      </c>
      <c r="C82" s="13" t="s">
        <v>666</v>
      </c>
      <c r="D82" s="10" t="s">
        <v>879</v>
      </c>
      <c r="E82" s="25" t="s">
        <v>266</v>
      </c>
      <c r="F82" s="26"/>
      <c r="G82" s="26" t="s">
        <v>1010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1136</v>
      </c>
      <c r="C83" s="13" t="s">
        <v>666</v>
      </c>
      <c r="D83" s="10" t="s">
        <v>882</v>
      </c>
      <c r="E83" s="25" t="s">
        <v>266</v>
      </c>
      <c r="F83" s="26"/>
      <c r="G83" s="26" t="s">
        <v>1011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1137</v>
      </c>
      <c r="C84" s="13" t="s">
        <v>666</v>
      </c>
      <c r="D84" s="10" t="s">
        <v>1138</v>
      </c>
      <c r="E84" s="25" t="s">
        <v>266</v>
      </c>
      <c r="F84" s="26"/>
      <c r="G84" s="26" t="s">
        <v>1012</v>
      </c>
      <c r="H84" s="27"/>
      <c r="I84" s="26"/>
      <c r="J84" s="15" t="s">
        <v>632</v>
      </c>
      <c r="K84" s="15" t="s">
        <v>674</v>
      </c>
      <c r="L84" s="15" t="s">
        <v>633</v>
      </c>
    </row>
    <row r="85" s="1" customFormat="1" spans="1:12">
      <c r="A85" s="33"/>
      <c r="B85" s="13" t="s">
        <v>887</v>
      </c>
      <c r="C85" s="13" t="s">
        <v>338</v>
      </c>
      <c r="D85" s="10" t="s">
        <v>888</v>
      </c>
      <c r="E85" s="25" t="s">
        <v>266</v>
      </c>
      <c r="F85" s="26"/>
      <c r="G85" s="26" t="s">
        <v>1013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1139</v>
      </c>
      <c r="C86" s="13" t="s">
        <v>338</v>
      </c>
      <c r="D86" s="10" t="s">
        <v>1140</v>
      </c>
      <c r="E86" s="25" t="s">
        <v>266</v>
      </c>
      <c r="F86" s="26"/>
      <c r="G86" s="26" t="s">
        <v>1141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1142</v>
      </c>
      <c r="C87" s="13" t="s">
        <v>338</v>
      </c>
      <c r="D87" s="10" t="s">
        <v>1143</v>
      </c>
      <c r="E87" s="25" t="s">
        <v>266</v>
      </c>
      <c r="F87" s="26"/>
      <c r="G87" s="26" t="s">
        <v>1144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1145</v>
      </c>
      <c r="C88" s="13" t="s">
        <v>338</v>
      </c>
      <c r="D88" s="10" t="s">
        <v>1146</v>
      </c>
      <c r="E88" s="25" t="s">
        <v>266</v>
      </c>
      <c r="F88" s="26"/>
      <c r="G88" s="26" t="s">
        <v>1147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1148</v>
      </c>
      <c r="C89" s="13" t="s">
        <v>338</v>
      </c>
      <c r="D89" s="10" t="s">
        <v>1149</v>
      </c>
      <c r="E89" s="25" t="s">
        <v>266</v>
      </c>
      <c r="F89" s="26"/>
      <c r="G89" s="26" t="s">
        <v>1150</v>
      </c>
      <c r="H89" s="27"/>
      <c r="I89" s="26"/>
      <c r="J89" s="15" t="s">
        <v>632</v>
      </c>
      <c r="K89" s="15" t="s">
        <v>294</v>
      </c>
      <c r="L89" s="15" t="s">
        <v>633</v>
      </c>
    </row>
    <row r="90" s="1" customFormat="1" spans="1:12">
      <c r="A90" s="33"/>
      <c r="B90" s="13" t="s">
        <v>1151</v>
      </c>
      <c r="C90" s="13" t="s">
        <v>338</v>
      </c>
      <c r="D90" s="10" t="s">
        <v>1152</v>
      </c>
      <c r="E90" s="25" t="s">
        <v>266</v>
      </c>
      <c r="F90" s="26"/>
      <c r="G90" s="26" t="s">
        <v>1153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1154</v>
      </c>
      <c r="C91" s="13" t="s">
        <v>338</v>
      </c>
      <c r="D91" s="10" t="s">
        <v>1155</v>
      </c>
      <c r="E91" s="25" t="s">
        <v>266</v>
      </c>
      <c r="F91" s="26"/>
      <c r="G91" s="26" t="s">
        <v>1156</v>
      </c>
      <c r="H91" s="27"/>
      <c r="I91" s="26"/>
      <c r="J91" s="15" t="s">
        <v>632</v>
      </c>
      <c r="K91" s="15" t="s">
        <v>294</v>
      </c>
      <c r="L91" s="15" t="s">
        <v>633</v>
      </c>
    </row>
    <row r="92" s="1" customFormat="1" spans="1:12">
      <c r="A92" s="33"/>
      <c r="B92" s="13" t="s">
        <v>1157</v>
      </c>
      <c r="C92" s="13" t="s">
        <v>338</v>
      </c>
      <c r="D92" s="10" t="s">
        <v>1158</v>
      </c>
      <c r="E92" s="25" t="s">
        <v>266</v>
      </c>
      <c r="F92" s="26"/>
      <c r="G92" s="26" t="s">
        <v>1159</v>
      </c>
      <c r="H92" s="27"/>
      <c r="I92" s="26"/>
      <c r="J92" s="15" t="s">
        <v>632</v>
      </c>
      <c r="K92" s="15" t="s">
        <v>294</v>
      </c>
      <c r="L92" s="15" t="s">
        <v>633</v>
      </c>
    </row>
    <row r="93" s="1" customFormat="1" spans="1:12">
      <c r="A93" s="33"/>
      <c r="B93" s="13" t="s">
        <v>1160</v>
      </c>
      <c r="C93" s="13" t="s">
        <v>338</v>
      </c>
      <c r="D93" s="10" t="s">
        <v>1161</v>
      </c>
      <c r="E93" s="25" t="s">
        <v>266</v>
      </c>
      <c r="F93" s="26"/>
      <c r="G93" s="26" t="s">
        <v>1162</v>
      </c>
      <c r="H93" s="27"/>
      <c r="I93" s="26"/>
      <c r="J93" s="15" t="s">
        <v>632</v>
      </c>
      <c r="K93" s="15" t="s">
        <v>294</v>
      </c>
      <c r="L93" s="15" t="s">
        <v>633</v>
      </c>
    </row>
    <row r="94" s="1" customFormat="1" spans="1:12">
      <c r="A94" s="33"/>
      <c r="B94" s="13" t="s">
        <v>1163</v>
      </c>
      <c r="C94" s="13" t="s">
        <v>338</v>
      </c>
      <c r="D94" s="10" t="s">
        <v>1164</v>
      </c>
      <c r="E94" s="25" t="s">
        <v>266</v>
      </c>
      <c r="F94" s="26"/>
      <c r="G94" s="26" t="s">
        <v>1165</v>
      </c>
      <c r="H94" s="27"/>
      <c r="I94" s="26"/>
      <c r="J94" s="15" t="s">
        <v>632</v>
      </c>
      <c r="K94" s="15" t="s">
        <v>294</v>
      </c>
      <c r="L94" s="15" t="s">
        <v>633</v>
      </c>
    </row>
    <row r="95" s="1" customFormat="1" spans="1:12">
      <c r="A95" s="33"/>
      <c r="B95" s="13" t="s">
        <v>1166</v>
      </c>
      <c r="C95" s="13" t="s">
        <v>338</v>
      </c>
      <c r="D95" s="10" t="s">
        <v>1167</v>
      </c>
      <c r="E95" s="25" t="s">
        <v>266</v>
      </c>
      <c r="F95" s="26"/>
      <c r="G95" s="26" t="s">
        <v>1168</v>
      </c>
      <c r="H95" s="27"/>
      <c r="I95" s="26"/>
      <c r="J95" s="15" t="s">
        <v>632</v>
      </c>
      <c r="K95" s="15" t="s">
        <v>294</v>
      </c>
      <c r="L95" s="15" t="s">
        <v>633</v>
      </c>
    </row>
    <row r="96" s="1" customFormat="1" spans="1:12">
      <c r="A96" s="33"/>
      <c r="B96" s="13" t="s">
        <v>1169</v>
      </c>
      <c r="C96" s="13" t="s">
        <v>338</v>
      </c>
      <c r="D96" s="10" t="s">
        <v>1170</v>
      </c>
      <c r="E96" s="25" t="s">
        <v>266</v>
      </c>
      <c r="F96" s="26"/>
      <c r="G96" s="26" t="s">
        <v>1171</v>
      </c>
      <c r="H96" s="27"/>
      <c r="I96" s="26"/>
      <c r="J96" s="15" t="s">
        <v>632</v>
      </c>
      <c r="K96" s="15" t="s">
        <v>294</v>
      </c>
      <c r="L96" s="15" t="s">
        <v>633</v>
      </c>
    </row>
    <row r="97" s="1" customFormat="1" spans="1:12">
      <c r="A97" s="33"/>
      <c r="B97" s="13" t="s">
        <v>1172</v>
      </c>
      <c r="C97" s="13" t="s">
        <v>338</v>
      </c>
      <c r="D97" s="10" t="s">
        <v>1173</v>
      </c>
      <c r="E97" s="25" t="s">
        <v>266</v>
      </c>
      <c r="F97" s="26"/>
      <c r="G97" s="26" t="s">
        <v>1174</v>
      </c>
      <c r="H97" s="2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1175</v>
      </c>
      <c r="C98" s="13" t="s">
        <v>338</v>
      </c>
      <c r="D98" s="10" t="s">
        <v>1176</v>
      </c>
      <c r="E98" s="25" t="s">
        <v>266</v>
      </c>
      <c r="F98" s="26"/>
      <c r="G98" s="26" t="s">
        <v>1177</v>
      </c>
      <c r="H98" s="2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13" t="s">
        <v>1178</v>
      </c>
      <c r="C99" s="13" t="s">
        <v>338</v>
      </c>
      <c r="D99" s="10" t="s">
        <v>1179</v>
      </c>
      <c r="E99" s="25" t="s">
        <v>266</v>
      </c>
      <c r="F99" s="26"/>
      <c r="G99" s="26" t="s">
        <v>1180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1181</v>
      </c>
      <c r="C100" s="13" t="s">
        <v>338</v>
      </c>
      <c r="D100" s="10" t="s">
        <v>1182</v>
      </c>
      <c r="E100" s="25" t="s">
        <v>266</v>
      </c>
      <c r="F100" s="26"/>
      <c r="G100" s="26" t="s">
        <v>1183</v>
      </c>
      <c r="H100" s="2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1184</v>
      </c>
      <c r="C101" s="13" t="s">
        <v>338</v>
      </c>
      <c r="D101" s="10" t="s">
        <v>1185</v>
      </c>
      <c r="E101" s="25" t="s">
        <v>266</v>
      </c>
      <c r="F101" s="26"/>
      <c r="G101" s="26" t="s">
        <v>1186</v>
      </c>
      <c r="H101" s="27"/>
      <c r="I101" s="26"/>
      <c r="J101" s="15" t="s">
        <v>632</v>
      </c>
      <c r="K101" s="15" t="s">
        <v>294</v>
      </c>
      <c r="L101" s="15" t="s">
        <v>633</v>
      </c>
    </row>
    <row r="102" s="1" customFormat="1" spans="1:12">
      <c r="A102" s="33"/>
      <c r="B102" s="13" t="s">
        <v>1187</v>
      </c>
      <c r="C102" s="13" t="s">
        <v>338</v>
      </c>
      <c r="D102" s="10" t="s">
        <v>1188</v>
      </c>
      <c r="E102" s="25" t="s">
        <v>266</v>
      </c>
      <c r="F102" s="26"/>
      <c r="G102" s="26" t="s">
        <v>1189</v>
      </c>
      <c r="H102" s="27"/>
      <c r="I102" s="26"/>
      <c r="J102" s="15" t="s">
        <v>632</v>
      </c>
      <c r="K102" s="15" t="s">
        <v>294</v>
      </c>
      <c r="L102" s="15" t="s">
        <v>633</v>
      </c>
    </row>
    <row r="103" s="1" customFormat="1" spans="1:12">
      <c r="A103" s="33"/>
      <c r="B103" s="13" t="s">
        <v>1190</v>
      </c>
      <c r="C103" s="13" t="s">
        <v>338</v>
      </c>
      <c r="D103" s="10" t="s">
        <v>1191</v>
      </c>
      <c r="E103" s="25" t="s">
        <v>266</v>
      </c>
      <c r="F103" s="26"/>
      <c r="G103" s="26" t="s">
        <v>1192</v>
      </c>
      <c r="H103" s="27"/>
      <c r="I103" s="26"/>
      <c r="J103" s="15" t="s">
        <v>632</v>
      </c>
      <c r="K103" s="15" t="s">
        <v>294</v>
      </c>
      <c r="L103" s="15" t="s">
        <v>633</v>
      </c>
    </row>
    <row r="104" s="1" customFormat="1" spans="1:12">
      <c r="A104" s="33"/>
      <c r="B104" s="13" t="s">
        <v>1193</v>
      </c>
      <c r="C104" s="13" t="s">
        <v>338</v>
      </c>
      <c r="D104" s="10" t="s">
        <v>1194</v>
      </c>
      <c r="E104" s="25" t="s">
        <v>266</v>
      </c>
      <c r="F104" s="26"/>
      <c r="G104" s="26" t="s">
        <v>1195</v>
      </c>
      <c r="H104" s="27"/>
      <c r="I104" s="26"/>
      <c r="J104" s="15" t="s">
        <v>632</v>
      </c>
      <c r="K104" s="15" t="s">
        <v>294</v>
      </c>
      <c r="L104" s="15" t="s">
        <v>633</v>
      </c>
    </row>
    <row r="105" s="1" customFormat="1" spans="1:12">
      <c r="A105" s="33"/>
      <c r="B105" s="13" t="s">
        <v>1196</v>
      </c>
      <c r="C105" s="13" t="s">
        <v>338</v>
      </c>
      <c r="D105" s="10" t="s">
        <v>1197</v>
      </c>
      <c r="E105" s="25" t="s">
        <v>266</v>
      </c>
      <c r="F105" s="26"/>
      <c r="G105" s="26" t="s">
        <v>1198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1199</v>
      </c>
      <c r="C106" s="13" t="s">
        <v>338</v>
      </c>
      <c r="D106" s="10" t="s">
        <v>1200</v>
      </c>
      <c r="E106" s="25" t="s">
        <v>266</v>
      </c>
      <c r="F106" s="26"/>
      <c r="G106" s="26" t="s">
        <v>1201</v>
      </c>
      <c r="H106" s="27"/>
      <c r="I106" s="26"/>
      <c r="J106" s="15" t="s">
        <v>632</v>
      </c>
      <c r="K106" s="15" t="s">
        <v>294</v>
      </c>
      <c r="L106" s="15" t="s">
        <v>633</v>
      </c>
    </row>
    <row r="107" s="1" customFormat="1" spans="1:12">
      <c r="A107" s="33"/>
      <c r="B107" s="13" t="s">
        <v>1202</v>
      </c>
      <c r="C107" s="13" t="s">
        <v>338</v>
      </c>
      <c r="D107" s="10" t="s">
        <v>1203</v>
      </c>
      <c r="E107" s="25" t="s">
        <v>266</v>
      </c>
      <c r="F107" s="26"/>
      <c r="G107" s="26" t="s">
        <v>1204</v>
      </c>
      <c r="H107" s="27"/>
      <c r="I107" s="26"/>
      <c r="J107" s="15" t="s">
        <v>632</v>
      </c>
      <c r="K107" s="15" t="s">
        <v>294</v>
      </c>
      <c r="L107" s="15" t="s">
        <v>633</v>
      </c>
    </row>
    <row r="108" s="1" customFormat="1" spans="1:12">
      <c r="A108" s="33"/>
      <c r="B108" s="13" t="s">
        <v>1205</v>
      </c>
      <c r="C108" s="13" t="s">
        <v>338</v>
      </c>
      <c r="D108" s="10" t="s">
        <v>1206</v>
      </c>
      <c r="E108" s="25" t="s">
        <v>266</v>
      </c>
      <c r="F108" s="26"/>
      <c r="G108" s="26" t="s">
        <v>1207</v>
      </c>
      <c r="H108" s="27"/>
      <c r="I108" s="26"/>
      <c r="J108" s="15" t="s">
        <v>632</v>
      </c>
      <c r="K108" s="15" t="s">
        <v>294</v>
      </c>
      <c r="L108" s="15" t="s">
        <v>633</v>
      </c>
    </row>
    <row r="109" s="1" customFormat="1" spans="1:12">
      <c r="A109" s="33"/>
      <c r="B109" s="13" t="s">
        <v>1208</v>
      </c>
      <c r="C109" s="13" t="s">
        <v>338</v>
      </c>
      <c r="D109" s="10" t="s">
        <v>1209</v>
      </c>
      <c r="E109" s="25" t="s">
        <v>266</v>
      </c>
      <c r="F109" s="26"/>
      <c r="G109" s="26" t="s">
        <v>1210</v>
      </c>
      <c r="H109" s="27"/>
      <c r="I109" s="26"/>
      <c r="J109" s="15" t="s">
        <v>632</v>
      </c>
      <c r="K109" s="15" t="s">
        <v>294</v>
      </c>
      <c r="L109" s="15" t="s">
        <v>633</v>
      </c>
    </row>
    <row r="110" s="1" customFormat="1" spans="1:12">
      <c r="A110" s="33"/>
      <c r="B110" s="13" t="s">
        <v>1211</v>
      </c>
      <c r="C110" s="13" t="s">
        <v>338</v>
      </c>
      <c r="D110" s="10" t="s">
        <v>1212</v>
      </c>
      <c r="E110" s="25" t="s">
        <v>266</v>
      </c>
      <c r="F110" s="26"/>
      <c r="G110" s="26" t="s">
        <v>1213</v>
      </c>
      <c r="H110" s="27"/>
      <c r="I110" s="26"/>
      <c r="J110" s="15" t="s">
        <v>632</v>
      </c>
      <c r="K110" s="15" t="s">
        <v>294</v>
      </c>
      <c r="L110" s="15" t="s">
        <v>633</v>
      </c>
    </row>
    <row r="111" s="1" customFormat="1" spans="1:12">
      <c r="A111" s="33"/>
      <c r="B111" s="13" t="s">
        <v>1214</v>
      </c>
      <c r="C111" s="13" t="s">
        <v>338</v>
      </c>
      <c r="D111" s="10" t="s">
        <v>1215</v>
      </c>
      <c r="E111" s="25" t="s">
        <v>266</v>
      </c>
      <c r="F111" s="26"/>
      <c r="G111" s="26" t="s">
        <v>1216</v>
      </c>
      <c r="H111" s="27"/>
      <c r="I111" s="26"/>
      <c r="J111" s="15" t="s">
        <v>632</v>
      </c>
      <c r="K111" s="15" t="s">
        <v>294</v>
      </c>
      <c r="L111" s="15" t="s">
        <v>633</v>
      </c>
    </row>
    <row r="112" s="1" customFormat="1" spans="1:12">
      <c r="A112" s="33"/>
      <c r="B112" s="13" t="s">
        <v>1217</v>
      </c>
      <c r="C112" s="13" t="s">
        <v>338</v>
      </c>
      <c r="D112" s="10" t="s">
        <v>1218</v>
      </c>
      <c r="E112" s="25" t="s">
        <v>266</v>
      </c>
      <c r="F112" s="26"/>
      <c r="G112" s="26" t="s">
        <v>1219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="1" customFormat="1" spans="1:12">
      <c r="A113" s="33"/>
      <c r="B113" s="13" t="s">
        <v>1220</v>
      </c>
      <c r="C113" s="13" t="s">
        <v>338</v>
      </c>
      <c r="D113" s="10" t="s">
        <v>1221</v>
      </c>
      <c r="E113" s="25" t="s">
        <v>266</v>
      </c>
      <c r="F113" s="26"/>
      <c r="G113" s="26" t="s">
        <v>1222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="1" customFormat="1" spans="1:12">
      <c r="A114" s="33"/>
      <c r="B114" s="13" t="s">
        <v>1223</v>
      </c>
      <c r="C114" s="13" t="s">
        <v>338</v>
      </c>
      <c r="D114" s="10" t="s">
        <v>1224</v>
      </c>
      <c r="E114" s="25" t="s">
        <v>266</v>
      </c>
      <c r="F114" s="26"/>
      <c r="G114" s="26" t="s">
        <v>1225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="1" customFormat="1" spans="1:12">
      <c r="A115" s="33"/>
      <c r="B115" s="13" t="s">
        <v>1226</v>
      </c>
      <c r="C115" s="13" t="s">
        <v>338</v>
      </c>
      <c r="D115" s="10" t="s">
        <v>1227</v>
      </c>
      <c r="E115" s="25" t="s">
        <v>266</v>
      </c>
      <c r="F115" s="26"/>
      <c r="G115" s="26" t="s">
        <v>1228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1229</v>
      </c>
      <c r="C116" s="13" t="s">
        <v>338</v>
      </c>
      <c r="D116" s="10" t="s">
        <v>1230</v>
      </c>
      <c r="E116" s="25" t="s">
        <v>266</v>
      </c>
      <c r="F116" s="26"/>
      <c r="G116" s="26" t="s">
        <v>1231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1232</v>
      </c>
      <c r="C117" s="13" t="s">
        <v>338</v>
      </c>
      <c r="D117" s="10" t="s">
        <v>1233</v>
      </c>
      <c r="E117" s="25" t="s">
        <v>266</v>
      </c>
      <c r="F117" s="26"/>
      <c r="G117" s="26" t="s">
        <v>1234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1235</v>
      </c>
      <c r="C118" s="13" t="s">
        <v>338</v>
      </c>
      <c r="D118" s="10" t="s">
        <v>1236</v>
      </c>
      <c r="E118" s="25" t="s">
        <v>266</v>
      </c>
      <c r="F118" s="26"/>
      <c r="G118" s="26" t="s">
        <v>1237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1238</v>
      </c>
      <c r="C119" s="13" t="s">
        <v>338</v>
      </c>
      <c r="D119" s="10" t="s">
        <v>1239</v>
      </c>
      <c r="E119" s="25" t="s">
        <v>266</v>
      </c>
      <c r="F119" s="26"/>
      <c r="G119" s="26" t="s">
        <v>1240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1241</v>
      </c>
      <c r="C120" s="13" t="s">
        <v>338</v>
      </c>
      <c r="D120" s="10" t="s">
        <v>1242</v>
      </c>
      <c r="E120" s="25" t="s">
        <v>266</v>
      </c>
      <c r="F120" s="26"/>
      <c r="G120" s="26" t="s">
        <v>1243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="2" customFormat="1" spans="2:17">
      <c r="B121" s="17" t="s">
        <v>594</v>
      </c>
      <c r="C121" s="18" t="s">
        <v>307</v>
      </c>
      <c r="D121" s="19" t="s">
        <v>595</v>
      </c>
      <c r="E121" s="28"/>
      <c r="F121" s="28"/>
      <c r="G121" s="28" t="s">
        <v>932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="2" customFormat="1" spans="2:17">
      <c r="B122" s="17" t="s">
        <v>596</v>
      </c>
      <c r="C122" s="18" t="s">
        <v>291</v>
      </c>
      <c r="D122" s="19" t="s">
        <v>597</v>
      </c>
      <c r="E122" s="28"/>
      <c r="F122" s="28"/>
      <c r="G122" s="28" t="s">
        <v>932</v>
      </c>
      <c r="H122" s="17" t="s">
        <v>932</v>
      </c>
      <c r="I122" s="17"/>
      <c r="J122" s="17"/>
      <c r="K122" s="17"/>
      <c r="L122" s="17"/>
      <c r="M122" s="17"/>
      <c r="N122" s="17"/>
      <c r="O122" s="17"/>
      <c r="P122" s="17"/>
      <c r="Q122" s="17"/>
    </row>
    <row r="123" s="2" customFormat="1" spans="2:17">
      <c r="B123" s="17" t="s">
        <v>598</v>
      </c>
      <c r="C123" s="18" t="s">
        <v>307</v>
      </c>
      <c r="D123" s="19" t="s">
        <v>599</v>
      </c>
      <c r="E123" s="28"/>
      <c r="F123" s="28"/>
      <c r="G123" s="28" t="s">
        <v>932</v>
      </c>
      <c r="H123" s="17" t="s">
        <v>932</v>
      </c>
      <c r="I123" s="17"/>
      <c r="J123" s="17"/>
      <c r="K123" s="17"/>
      <c r="L123" s="17"/>
      <c r="M123" s="17"/>
      <c r="N123" s="17"/>
      <c r="O123" s="17"/>
      <c r="P123" s="17"/>
      <c r="Q123" s="17"/>
    </row>
  </sheetData>
  <autoFilter xmlns:etc="http://www.wps.cn/officeDocument/2017/etCustomData" ref="A13:Q123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137"/>
  <sheetViews>
    <sheetView zoomScale="85" zoomScaleNormal="85" workbookViewId="0">
      <pane ySplit="5" topLeftCell="A15" activePane="bottomLeft" state="frozen"/>
      <selection/>
      <selection pane="bottomLeft" activeCell="A30" sqref="$A14:$XFD30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55</v>
      </c>
      <c r="D5" s="14" t="s">
        <v>56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46</v>
      </c>
      <c r="D9" s="14" t="s">
        <v>47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32" t="s">
        <v>572</v>
      </c>
      <c r="C29" s="34" t="s">
        <v>291</v>
      </c>
      <c r="D29" s="10" t="s">
        <v>573</v>
      </c>
      <c r="E29" s="25" t="s">
        <v>266</v>
      </c>
      <c r="F29" s="10" t="s">
        <v>572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575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543</v>
      </c>
      <c r="C118" s="13" t="s">
        <v>666</v>
      </c>
      <c r="D118" s="10" t="s">
        <v>544</v>
      </c>
      <c r="E118" s="25" t="s">
        <v>266</v>
      </c>
      <c r="F118" s="26"/>
      <c r="G118" s="26" t="s">
        <v>1008</v>
      </c>
      <c r="H118" s="27"/>
      <c r="I118" s="26"/>
      <c r="J118" s="15" t="s">
        <v>632</v>
      </c>
      <c r="K118" s="15" t="s">
        <v>404</v>
      </c>
      <c r="L118" s="15" t="s">
        <v>633</v>
      </c>
    </row>
    <row r="119" spans="2:12">
      <c r="B119" s="13" t="s">
        <v>875</v>
      </c>
      <c r="C119" s="13" t="s">
        <v>338</v>
      </c>
      <c r="D119" s="10" t="s">
        <v>876</v>
      </c>
      <c r="E119" s="25" t="s">
        <v>266</v>
      </c>
      <c r="F119" s="26"/>
      <c r="G119" s="26" t="s">
        <v>1009</v>
      </c>
      <c r="H119" s="27"/>
      <c r="I119" s="26"/>
      <c r="J119" s="15" t="s">
        <v>632</v>
      </c>
      <c r="K119" s="15" t="s">
        <v>803</v>
      </c>
      <c r="L119" s="15" t="s">
        <v>633</v>
      </c>
    </row>
    <row r="120" spans="2:12">
      <c r="B120" s="13" t="s">
        <v>887</v>
      </c>
      <c r="C120" s="13" t="s">
        <v>338</v>
      </c>
      <c r="D120" s="10" t="s">
        <v>888</v>
      </c>
      <c r="E120" s="25" t="s">
        <v>266</v>
      </c>
      <c r="F120" s="26"/>
      <c r="G120" s="26" t="s">
        <v>1013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890</v>
      </c>
      <c r="C121" s="13" t="s">
        <v>338</v>
      </c>
      <c r="D121" s="10" t="s">
        <v>891</v>
      </c>
      <c r="E121" s="25" t="s">
        <v>266</v>
      </c>
      <c r="F121" s="26"/>
      <c r="G121" s="26" t="s">
        <v>1014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893</v>
      </c>
      <c r="C122" s="13" t="s">
        <v>338</v>
      </c>
      <c r="D122" s="10" t="s">
        <v>894</v>
      </c>
      <c r="E122" s="25" t="s">
        <v>266</v>
      </c>
      <c r="F122" s="26"/>
      <c r="G122" s="26" t="s">
        <v>1015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896</v>
      </c>
      <c r="C123" s="13" t="s">
        <v>338</v>
      </c>
      <c r="D123" s="10" t="s">
        <v>897</v>
      </c>
      <c r="E123" s="25" t="s">
        <v>266</v>
      </c>
      <c r="F123" s="26"/>
      <c r="G123" s="26" t="s">
        <v>1016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899</v>
      </c>
      <c r="C124" s="13" t="s">
        <v>338</v>
      </c>
      <c r="D124" s="10" t="s">
        <v>900</v>
      </c>
      <c r="E124" s="25" t="s">
        <v>266</v>
      </c>
      <c r="F124" s="26"/>
      <c r="G124" s="26" t="s">
        <v>1017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902</v>
      </c>
      <c r="C125" s="13" t="s">
        <v>338</v>
      </c>
      <c r="D125" s="10" t="s">
        <v>903</v>
      </c>
      <c r="E125" s="25" t="s">
        <v>266</v>
      </c>
      <c r="F125" s="26"/>
      <c r="G125" s="26" t="s">
        <v>1018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905</v>
      </c>
      <c r="C126" s="13" t="s">
        <v>338</v>
      </c>
      <c r="D126" s="10" t="s">
        <v>906</v>
      </c>
      <c r="E126" s="25" t="s">
        <v>266</v>
      </c>
      <c r="F126" s="26"/>
      <c r="G126" s="26" t="s">
        <v>1019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908</v>
      </c>
      <c r="C127" s="13" t="s">
        <v>338</v>
      </c>
      <c r="D127" s="10" t="s">
        <v>909</v>
      </c>
      <c r="E127" s="25" t="s">
        <v>266</v>
      </c>
      <c r="F127" s="26"/>
      <c r="G127" s="26" t="s">
        <v>1020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3" t="s">
        <v>911</v>
      </c>
      <c r="C128" s="13" t="s">
        <v>338</v>
      </c>
      <c r="D128" s="10" t="s">
        <v>912</v>
      </c>
      <c r="E128" s="25" t="s">
        <v>266</v>
      </c>
      <c r="F128" s="26"/>
      <c r="G128" s="26" t="s">
        <v>1021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pans="2:12">
      <c r="B129" s="13" t="s">
        <v>914</v>
      </c>
      <c r="C129" s="13" t="s">
        <v>338</v>
      </c>
      <c r="D129" s="10" t="s">
        <v>915</v>
      </c>
      <c r="E129" s="25" t="s">
        <v>266</v>
      </c>
      <c r="F129" s="26"/>
      <c r="G129" s="26" t="s">
        <v>1022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pans="2:12">
      <c r="B130" s="13" t="s">
        <v>917</v>
      </c>
      <c r="C130" s="13" t="s">
        <v>338</v>
      </c>
      <c r="D130" s="10" t="s">
        <v>918</v>
      </c>
      <c r="E130" s="25" t="s">
        <v>266</v>
      </c>
      <c r="F130" s="26"/>
      <c r="G130" s="26" t="s">
        <v>1023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pans="2:12">
      <c r="B131" s="13" t="s">
        <v>920</v>
      </c>
      <c r="C131" s="13" t="s">
        <v>338</v>
      </c>
      <c r="D131" s="10" t="s">
        <v>921</v>
      </c>
      <c r="E131" s="25" t="s">
        <v>266</v>
      </c>
      <c r="F131" s="26"/>
      <c r="G131" s="26" t="s">
        <v>1024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pans="2:12">
      <c r="B132" s="13" t="s">
        <v>923</v>
      </c>
      <c r="C132" s="13" t="s">
        <v>338</v>
      </c>
      <c r="D132" s="10" t="s">
        <v>924</v>
      </c>
      <c r="E132" s="25" t="s">
        <v>266</v>
      </c>
      <c r="F132" s="26"/>
      <c r="G132" s="26" t="s">
        <v>1025</v>
      </c>
      <c r="H132" s="27"/>
      <c r="I132" s="26"/>
      <c r="J132" s="15" t="s">
        <v>632</v>
      </c>
      <c r="K132" s="15" t="s">
        <v>294</v>
      </c>
      <c r="L132" s="15" t="s">
        <v>633</v>
      </c>
    </row>
    <row r="133" spans="2:12">
      <c r="B133" s="13" t="s">
        <v>926</v>
      </c>
      <c r="C133" s="13" t="s">
        <v>291</v>
      </c>
      <c r="D133" s="10" t="s">
        <v>927</v>
      </c>
      <c r="E133" s="25" t="s">
        <v>266</v>
      </c>
      <c r="F133" s="26"/>
      <c r="G133" s="35" t="s">
        <v>1026</v>
      </c>
      <c r="H133" s="27"/>
      <c r="I133" s="56">
        <v>20250415101139</v>
      </c>
      <c r="J133" s="15" t="s">
        <v>632</v>
      </c>
      <c r="K133" s="15" t="s">
        <v>294</v>
      </c>
      <c r="L133" s="15" t="s">
        <v>670</v>
      </c>
    </row>
    <row r="134" spans="2:12">
      <c r="B134" s="13" t="s">
        <v>929</v>
      </c>
      <c r="C134" s="13" t="s">
        <v>291</v>
      </c>
      <c r="D134" s="10" t="s">
        <v>930</v>
      </c>
      <c r="E134" s="25" t="s">
        <v>266</v>
      </c>
      <c r="F134" s="26"/>
      <c r="G134" s="35" t="s">
        <v>1027</v>
      </c>
      <c r="H134" s="27"/>
      <c r="I134" s="56">
        <v>20250415101024</v>
      </c>
      <c r="J134" s="15" t="s">
        <v>632</v>
      </c>
      <c r="K134" s="15" t="s">
        <v>294</v>
      </c>
      <c r="L134" s="15" t="s">
        <v>670</v>
      </c>
    </row>
    <row r="135" spans="2:12">
      <c r="B135" s="17" t="s">
        <v>594</v>
      </c>
      <c r="C135" s="18" t="s">
        <v>307</v>
      </c>
      <c r="D135" s="19" t="s">
        <v>595</v>
      </c>
      <c r="E135" s="28"/>
      <c r="F135" s="28"/>
      <c r="G135" s="28" t="s">
        <v>932</v>
      </c>
      <c r="H135" s="17"/>
      <c r="I135" s="17"/>
      <c r="J135" s="17"/>
      <c r="K135" s="17"/>
      <c r="L135" s="17"/>
    </row>
    <row r="136" spans="2:12">
      <c r="B136" s="17" t="s">
        <v>596</v>
      </c>
      <c r="C136" s="18" t="s">
        <v>291</v>
      </c>
      <c r="D136" s="19" t="s">
        <v>597</v>
      </c>
      <c r="E136" s="28"/>
      <c r="F136" s="28"/>
      <c r="G136" s="28" t="s">
        <v>932</v>
      </c>
      <c r="H136" s="17" t="s">
        <v>932</v>
      </c>
      <c r="I136" s="17"/>
      <c r="J136" s="17"/>
      <c r="K136" s="17"/>
      <c r="L136" s="17"/>
    </row>
    <row r="137" spans="2:12">
      <c r="B137" s="17" t="s">
        <v>598</v>
      </c>
      <c r="C137" s="18" t="s">
        <v>307</v>
      </c>
      <c r="D137" s="19" t="s">
        <v>599</v>
      </c>
      <c r="E137" s="28"/>
      <c r="F137" s="28"/>
      <c r="G137" s="28" t="s">
        <v>932</v>
      </c>
      <c r="H137" s="17" t="s">
        <v>932</v>
      </c>
      <c r="I137" s="17"/>
      <c r="J137" s="17"/>
      <c r="K137" s="17"/>
      <c r="L137" s="17"/>
    </row>
  </sheetData>
  <autoFilter xmlns:etc="http://www.wps.cn/officeDocument/2017/etCustomData" ref="A13:Q13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6"/>
  <sheetViews>
    <sheetView zoomScale="85" zoomScaleNormal="85" workbookViewId="0">
      <pane ySplit="5" topLeftCell="A15" activePane="bottomLeft" state="frozen"/>
      <selection/>
      <selection pane="bottomLeft" activeCell="C122" sqref="C122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58</v>
      </c>
      <c r="D5" s="10" t="s">
        <v>59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55</v>
      </c>
      <c r="D9" s="14" t="s">
        <v>56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2:12"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331</v>
      </c>
      <c r="C27" s="13" t="s">
        <v>291</v>
      </c>
      <c r="D27" s="10" t="s">
        <v>623</v>
      </c>
      <c r="E27" s="25" t="s">
        <v>266</v>
      </c>
      <c r="F27" s="26" t="s">
        <v>331</v>
      </c>
      <c r="G27" s="26" t="s">
        <v>293</v>
      </c>
      <c r="H27" s="37"/>
      <c r="I27" s="15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572</v>
      </c>
      <c r="C28" s="34" t="s">
        <v>291</v>
      </c>
      <c r="D28" s="10" t="s">
        <v>573</v>
      </c>
      <c r="E28" s="25" t="s">
        <v>266</v>
      </c>
      <c r="F28" s="10" t="s">
        <v>572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575</v>
      </c>
    </row>
    <row r="29" s="1" customFormat="1" spans="1:12">
      <c r="A29" s="33"/>
      <c r="B29" s="32" t="s">
        <v>378</v>
      </c>
      <c r="C29" s="13" t="s">
        <v>291</v>
      </c>
      <c r="D29" s="10" t="s">
        <v>624</v>
      </c>
      <c r="E29" s="25" t="s">
        <v>266</v>
      </c>
      <c r="F29" s="26" t="s">
        <v>378</v>
      </c>
      <c r="G29" s="26" t="s">
        <v>293</v>
      </c>
      <c r="H29" s="37"/>
      <c r="I29" s="30"/>
      <c r="J29" s="15" t="s">
        <v>604</v>
      </c>
      <c r="K29" s="15" t="s">
        <v>294</v>
      </c>
      <c r="L29" s="15" t="s">
        <v>615</v>
      </c>
    </row>
    <row r="30" s="1" customFormat="1" spans="1:12">
      <c r="A30" s="33"/>
      <c r="B30" s="13" t="s">
        <v>629</v>
      </c>
      <c r="C30" s="13" t="s">
        <v>338</v>
      </c>
      <c r="D30" s="10" t="s">
        <v>630</v>
      </c>
      <c r="E30" s="25" t="s">
        <v>266</v>
      </c>
      <c r="F30" s="26"/>
      <c r="G30" s="26" t="s">
        <v>933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13" t="s">
        <v>634</v>
      </c>
      <c r="C31" s="13" t="s">
        <v>338</v>
      </c>
      <c r="D31" s="10" t="s">
        <v>635</v>
      </c>
      <c r="E31" s="25" t="s">
        <v>266</v>
      </c>
      <c r="F31" s="26"/>
      <c r="G31" s="26" t="s">
        <v>934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637</v>
      </c>
      <c r="C32" s="13" t="s">
        <v>338</v>
      </c>
      <c r="D32" s="10" t="s">
        <v>638</v>
      </c>
      <c r="E32" s="25" t="s">
        <v>266</v>
      </c>
      <c r="F32" s="26"/>
      <c r="G32" s="26" t="s">
        <v>935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32" t="s">
        <v>337</v>
      </c>
      <c r="C33" s="32" t="s">
        <v>338</v>
      </c>
      <c r="D33" s="10" t="s">
        <v>640</v>
      </c>
      <c r="E33" s="25" t="s">
        <v>266</v>
      </c>
      <c r="F33" s="26"/>
      <c r="G33" s="26" t="s">
        <v>641</v>
      </c>
      <c r="H33" s="27"/>
      <c r="I33" s="26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342</v>
      </c>
      <c r="C34" s="13" t="s">
        <v>338</v>
      </c>
      <c r="D34" s="10" t="s">
        <v>642</v>
      </c>
      <c r="E34" s="25" t="s">
        <v>266</v>
      </c>
      <c r="F34" s="26"/>
      <c r="G34" s="26" t="s">
        <v>643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340</v>
      </c>
      <c r="C35" s="13" t="s">
        <v>338</v>
      </c>
      <c r="D35" s="10" t="s">
        <v>645</v>
      </c>
      <c r="E35" s="25" t="s">
        <v>266</v>
      </c>
      <c r="F35" s="26"/>
      <c r="G35" s="26" t="s">
        <v>646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647</v>
      </c>
      <c r="C36" s="13" t="s">
        <v>338</v>
      </c>
      <c r="D36" s="10" t="s">
        <v>648</v>
      </c>
      <c r="E36" s="25" t="s">
        <v>266</v>
      </c>
      <c r="F36" s="26"/>
      <c r="G36" s="26" t="s">
        <v>936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650</v>
      </c>
      <c r="C37" s="13" t="s">
        <v>338</v>
      </c>
      <c r="D37" s="10" t="s">
        <v>651</v>
      </c>
      <c r="E37" s="25" t="s">
        <v>266</v>
      </c>
      <c r="F37" s="26"/>
      <c r="G37" s="26" t="s">
        <v>937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653</v>
      </c>
      <c r="C38" s="13" t="s">
        <v>338</v>
      </c>
      <c r="D38" s="10" t="s">
        <v>654</v>
      </c>
      <c r="E38" s="25" t="s">
        <v>266</v>
      </c>
      <c r="F38" s="26"/>
      <c r="G38" s="26" t="s">
        <v>938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656</v>
      </c>
      <c r="C39" s="13" t="s">
        <v>338</v>
      </c>
      <c r="D39" s="10" t="s">
        <v>657</v>
      </c>
      <c r="E39" s="25" t="s">
        <v>266</v>
      </c>
      <c r="F39" s="26"/>
      <c r="G39" s="26" t="s">
        <v>939</v>
      </c>
      <c r="H39" s="27"/>
      <c r="I39" s="26"/>
      <c r="J39" s="15" t="s">
        <v>632</v>
      </c>
      <c r="K39" s="15" t="s">
        <v>644</v>
      </c>
      <c r="L39" s="15" t="s">
        <v>633</v>
      </c>
    </row>
    <row r="40" s="1" customFormat="1" spans="1:12">
      <c r="A40" s="33"/>
      <c r="B40" s="13" t="s">
        <v>659</v>
      </c>
      <c r="C40" s="13" t="s">
        <v>338</v>
      </c>
      <c r="D40" s="10" t="s">
        <v>660</v>
      </c>
      <c r="E40" s="25" t="s">
        <v>266</v>
      </c>
      <c r="F40" s="26"/>
      <c r="G40" s="26" t="s">
        <v>940</v>
      </c>
      <c r="H40" s="2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662</v>
      </c>
      <c r="C41" s="13" t="s">
        <v>338</v>
      </c>
      <c r="D41" s="10" t="s">
        <v>663</v>
      </c>
      <c r="E41" s="25" t="s">
        <v>266</v>
      </c>
      <c r="F41" s="26"/>
      <c r="G41" s="26" t="s">
        <v>941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665</v>
      </c>
      <c r="C42" s="13" t="s">
        <v>666</v>
      </c>
      <c r="D42" s="10" t="s">
        <v>667</v>
      </c>
      <c r="E42" s="25" t="s">
        <v>266</v>
      </c>
      <c r="F42" s="26"/>
      <c r="G42" s="26" t="s">
        <v>942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671</v>
      </c>
      <c r="C43" s="13" t="s">
        <v>666</v>
      </c>
      <c r="D43" s="10" t="s">
        <v>672</v>
      </c>
      <c r="E43" s="25" t="s">
        <v>266</v>
      </c>
      <c r="F43" s="26"/>
      <c r="G43" s="26" t="s">
        <v>943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675</v>
      </c>
      <c r="C44" s="13" t="s">
        <v>666</v>
      </c>
      <c r="D44" s="10" t="s">
        <v>676</v>
      </c>
      <c r="E44" s="25" t="s">
        <v>266</v>
      </c>
      <c r="F44" s="26"/>
      <c r="G44" s="26" t="s">
        <v>944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678</v>
      </c>
      <c r="C45" s="13" t="s">
        <v>666</v>
      </c>
      <c r="D45" s="10" t="s">
        <v>679</v>
      </c>
      <c r="E45" s="25" t="s">
        <v>266</v>
      </c>
      <c r="F45" s="26"/>
      <c r="G45" s="26" t="s">
        <v>945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681</v>
      </c>
      <c r="C46" s="13" t="s">
        <v>666</v>
      </c>
      <c r="D46" s="10" t="s">
        <v>682</v>
      </c>
      <c r="E46" s="25" t="s">
        <v>266</v>
      </c>
      <c r="F46" s="26"/>
      <c r="G46" s="26" t="s">
        <v>946</v>
      </c>
      <c r="H46" s="2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684</v>
      </c>
      <c r="C47" s="13" t="s">
        <v>666</v>
      </c>
      <c r="D47" s="10" t="s">
        <v>685</v>
      </c>
      <c r="E47" s="25" t="s">
        <v>266</v>
      </c>
      <c r="F47" s="26"/>
      <c r="G47" s="26" t="s">
        <v>947</v>
      </c>
      <c r="H47" s="27"/>
      <c r="I47" s="26"/>
      <c r="J47" s="15" t="s">
        <v>632</v>
      </c>
      <c r="K47" s="15" t="s">
        <v>674</v>
      </c>
      <c r="L47" s="15" t="s">
        <v>670</v>
      </c>
    </row>
    <row r="48" s="1" customFormat="1" spans="1:12">
      <c r="A48" s="33"/>
      <c r="B48" s="13" t="s">
        <v>687</v>
      </c>
      <c r="C48" s="13" t="s">
        <v>666</v>
      </c>
      <c r="D48" s="10" t="s">
        <v>688</v>
      </c>
      <c r="E48" s="25" t="s">
        <v>266</v>
      </c>
      <c r="F48" s="26"/>
      <c r="G48" s="26" t="s">
        <v>948</v>
      </c>
      <c r="H48" s="27"/>
      <c r="I48" s="26"/>
      <c r="J48" s="15" t="s">
        <v>632</v>
      </c>
      <c r="K48" s="15" t="s">
        <v>669</v>
      </c>
      <c r="L48" s="15" t="s">
        <v>670</v>
      </c>
    </row>
    <row r="49" s="1" customFormat="1" spans="1:12">
      <c r="A49" s="33"/>
      <c r="B49" s="13" t="s">
        <v>690</v>
      </c>
      <c r="C49" s="13" t="s">
        <v>666</v>
      </c>
      <c r="D49" s="10" t="s">
        <v>691</v>
      </c>
      <c r="E49" s="25" t="s">
        <v>266</v>
      </c>
      <c r="F49" s="26"/>
      <c r="G49" s="26" t="s">
        <v>949</v>
      </c>
      <c r="H49" s="27"/>
      <c r="I49" s="26"/>
      <c r="J49" s="15" t="s">
        <v>632</v>
      </c>
      <c r="K49" s="15" t="s">
        <v>674</v>
      </c>
      <c r="L49" s="15" t="s">
        <v>670</v>
      </c>
    </row>
    <row r="50" s="1" customFormat="1" spans="1:12">
      <c r="A50" s="33"/>
      <c r="B50" s="13" t="s">
        <v>346</v>
      </c>
      <c r="C50" s="13" t="s">
        <v>338</v>
      </c>
      <c r="D50" s="10" t="s">
        <v>693</v>
      </c>
      <c r="E50" s="25" t="s">
        <v>266</v>
      </c>
      <c r="F50" s="26"/>
      <c r="G50" s="26" t="s">
        <v>694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344</v>
      </c>
      <c r="C51" s="13" t="s">
        <v>338</v>
      </c>
      <c r="D51" s="10" t="s">
        <v>695</v>
      </c>
      <c r="E51" s="25" t="s">
        <v>266</v>
      </c>
      <c r="F51" s="26"/>
      <c r="G51" s="26" t="s">
        <v>696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392</v>
      </c>
      <c r="C52" s="13" t="s">
        <v>338</v>
      </c>
      <c r="D52" s="10" t="s">
        <v>697</v>
      </c>
      <c r="E52" s="25" t="s">
        <v>266</v>
      </c>
      <c r="F52" s="26"/>
      <c r="G52" s="26" t="s">
        <v>698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394</v>
      </c>
      <c r="C53" s="13" t="s">
        <v>338</v>
      </c>
      <c r="D53" s="10" t="s">
        <v>699</v>
      </c>
      <c r="E53" s="25" t="s">
        <v>266</v>
      </c>
      <c r="F53" s="26"/>
      <c r="G53" s="26" t="s">
        <v>700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701</v>
      </c>
      <c r="C54" s="13" t="s">
        <v>338</v>
      </c>
      <c r="D54" s="10" t="s">
        <v>702</v>
      </c>
      <c r="E54" s="25" t="s">
        <v>266</v>
      </c>
      <c r="F54" s="26"/>
      <c r="G54" s="26" t="s">
        <v>950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704</v>
      </c>
      <c r="C55" s="13" t="s">
        <v>338</v>
      </c>
      <c r="D55" s="10" t="s">
        <v>705</v>
      </c>
      <c r="E55" s="25" t="s">
        <v>266</v>
      </c>
      <c r="F55" s="26"/>
      <c r="G55" s="26" t="s">
        <v>951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707</v>
      </c>
      <c r="C56" s="13" t="s">
        <v>338</v>
      </c>
      <c r="D56" s="10" t="s">
        <v>708</v>
      </c>
      <c r="E56" s="25" t="s">
        <v>266</v>
      </c>
      <c r="F56" s="26"/>
      <c r="G56" s="26" t="s">
        <v>952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710</v>
      </c>
      <c r="C57" s="13" t="s">
        <v>338</v>
      </c>
      <c r="D57" s="10" t="s">
        <v>711</v>
      </c>
      <c r="E57" s="25" t="s">
        <v>266</v>
      </c>
      <c r="F57" s="26"/>
      <c r="G57" s="26" t="s">
        <v>953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713</v>
      </c>
      <c r="C58" s="13" t="s">
        <v>338</v>
      </c>
      <c r="D58" s="10" t="s">
        <v>714</v>
      </c>
      <c r="E58" s="25" t="s">
        <v>266</v>
      </c>
      <c r="F58" s="26"/>
      <c r="G58" s="26" t="s">
        <v>954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716</v>
      </c>
      <c r="C59" s="13" t="s">
        <v>338</v>
      </c>
      <c r="D59" s="10" t="s">
        <v>717</v>
      </c>
      <c r="E59" s="25" t="s">
        <v>266</v>
      </c>
      <c r="F59" s="26"/>
      <c r="G59" s="26" t="s">
        <v>955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410</v>
      </c>
      <c r="C60" s="13" t="s">
        <v>338</v>
      </c>
      <c r="D60" s="10" t="s">
        <v>719</v>
      </c>
      <c r="E60" s="25" t="s">
        <v>266</v>
      </c>
      <c r="F60" s="26"/>
      <c r="G60" s="26" t="s">
        <v>720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412</v>
      </c>
      <c r="C61" s="13" t="s">
        <v>338</v>
      </c>
      <c r="D61" s="10" t="s">
        <v>721</v>
      </c>
      <c r="E61" s="25" t="s">
        <v>266</v>
      </c>
      <c r="F61" s="26"/>
      <c r="G61" s="26" t="s">
        <v>722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528</v>
      </c>
      <c r="C62" s="13" t="s">
        <v>338</v>
      </c>
      <c r="D62" s="10" t="s">
        <v>723</v>
      </c>
      <c r="E62" s="25" t="s">
        <v>266</v>
      </c>
      <c r="F62" s="26"/>
      <c r="G62" s="26" t="s">
        <v>724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532</v>
      </c>
      <c r="C63" s="13" t="s">
        <v>338</v>
      </c>
      <c r="D63" s="10" t="s">
        <v>725</v>
      </c>
      <c r="E63" s="25" t="s">
        <v>266</v>
      </c>
      <c r="F63" s="26"/>
      <c r="G63" s="26" t="s">
        <v>726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535</v>
      </c>
      <c r="C64" s="13" t="s">
        <v>338</v>
      </c>
      <c r="D64" s="10" t="s">
        <v>536</v>
      </c>
      <c r="E64" s="25" t="s">
        <v>266</v>
      </c>
      <c r="F64" s="26"/>
      <c r="G64" s="26" t="s">
        <v>727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728</v>
      </c>
      <c r="C65" s="13" t="s">
        <v>338</v>
      </c>
      <c r="D65" s="10" t="s">
        <v>729</v>
      </c>
      <c r="E65" s="25" t="s">
        <v>266</v>
      </c>
      <c r="F65" s="26"/>
      <c r="G65" s="26" t="s">
        <v>956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730</v>
      </c>
      <c r="C66" s="13" t="s">
        <v>666</v>
      </c>
      <c r="D66" s="10" t="s">
        <v>731</v>
      </c>
      <c r="E66" s="25" t="s">
        <v>266</v>
      </c>
      <c r="F66" s="26"/>
      <c r="G66" s="26" t="s">
        <v>957</v>
      </c>
      <c r="H66" s="27"/>
      <c r="I66" s="26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733</v>
      </c>
      <c r="C67" s="13" t="s">
        <v>338</v>
      </c>
      <c r="D67" s="10" t="s">
        <v>734</v>
      </c>
      <c r="E67" s="25" t="s">
        <v>266</v>
      </c>
      <c r="F67" s="26"/>
      <c r="G67" s="26" t="s">
        <v>958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736</v>
      </c>
      <c r="C68" s="13" t="s">
        <v>338</v>
      </c>
      <c r="D68" s="10" t="s">
        <v>737</v>
      </c>
      <c r="E68" s="25" t="s">
        <v>266</v>
      </c>
      <c r="F68" s="26"/>
      <c r="G68" s="26" t="s">
        <v>959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739</v>
      </c>
      <c r="C69" s="13" t="s">
        <v>338</v>
      </c>
      <c r="D69" s="10" t="s">
        <v>740</v>
      </c>
      <c r="E69" s="25" t="s">
        <v>266</v>
      </c>
      <c r="F69" s="26"/>
      <c r="G69" s="26" t="s">
        <v>960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742</v>
      </c>
      <c r="C70" s="13" t="s">
        <v>338</v>
      </c>
      <c r="D70" s="10" t="s">
        <v>743</v>
      </c>
      <c r="E70" s="25" t="s">
        <v>266</v>
      </c>
      <c r="F70" s="26"/>
      <c r="G70" s="26" t="s">
        <v>961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745</v>
      </c>
      <c r="C71" s="13" t="s">
        <v>338</v>
      </c>
      <c r="D71" s="10" t="s">
        <v>746</v>
      </c>
      <c r="E71" s="25" t="s">
        <v>266</v>
      </c>
      <c r="F71" s="26"/>
      <c r="G71" s="26" t="s">
        <v>962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748</v>
      </c>
      <c r="C72" s="13" t="s">
        <v>338</v>
      </c>
      <c r="D72" s="10" t="s">
        <v>749</v>
      </c>
      <c r="E72" s="25" t="s">
        <v>266</v>
      </c>
      <c r="F72" s="26"/>
      <c r="G72" s="26" t="s">
        <v>963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751</v>
      </c>
      <c r="C73" s="13" t="s">
        <v>666</v>
      </c>
      <c r="D73" s="10" t="s">
        <v>752</v>
      </c>
      <c r="E73" s="25" t="s">
        <v>266</v>
      </c>
      <c r="F73" s="26"/>
      <c r="G73" s="26" t="s">
        <v>964</v>
      </c>
      <c r="H73" s="2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754</v>
      </c>
      <c r="C74" s="13" t="s">
        <v>338</v>
      </c>
      <c r="D74" s="10" t="s">
        <v>755</v>
      </c>
      <c r="E74" s="25" t="s">
        <v>266</v>
      </c>
      <c r="F74" s="26"/>
      <c r="G74" s="26" t="s">
        <v>965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757</v>
      </c>
      <c r="C75" s="13" t="s">
        <v>338</v>
      </c>
      <c r="D75" s="10" t="s">
        <v>758</v>
      </c>
      <c r="E75" s="25" t="s">
        <v>266</v>
      </c>
      <c r="F75" s="26"/>
      <c r="G75" s="26" t="s">
        <v>966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760</v>
      </c>
      <c r="C76" s="13" t="s">
        <v>338</v>
      </c>
      <c r="D76" s="10" t="s">
        <v>761</v>
      </c>
      <c r="E76" s="25" t="s">
        <v>266</v>
      </c>
      <c r="F76" s="26"/>
      <c r="G76" s="26" t="s">
        <v>967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763</v>
      </c>
      <c r="C77" s="13" t="s">
        <v>338</v>
      </c>
      <c r="D77" s="10" t="s">
        <v>764</v>
      </c>
      <c r="E77" s="25" t="s">
        <v>266</v>
      </c>
      <c r="F77" s="26"/>
      <c r="G77" s="26" t="s">
        <v>968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766</v>
      </c>
      <c r="C78" s="13" t="s">
        <v>338</v>
      </c>
      <c r="D78" s="10" t="s">
        <v>767</v>
      </c>
      <c r="E78" s="25" t="s">
        <v>266</v>
      </c>
      <c r="F78" s="26"/>
      <c r="G78" s="26" t="s">
        <v>969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769</v>
      </c>
      <c r="C79" s="13" t="s">
        <v>666</v>
      </c>
      <c r="D79" s="10" t="s">
        <v>770</v>
      </c>
      <c r="E79" s="25" t="s">
        <v>266</v>
      </c>
      <c r="F79" s="26"/>
      <c r="G79" s="26" t="s">
        <v>970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772</v>
      </c>
      <c r="C80" s="13" t="s">
        <v>666</v>
      </c>
      <c r="D80" s="10" t="s">
        <v>773</v>
      </c>
      <c r="E80" s="25" t="s">
        <v>266</v>
      </c>
      <c r="F80" s="26"/>
      <c r="G80" s="26" t="s">
        <v>971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775</v>
      </c>
      <c r="C81" s="13" t="s">
        <v>338</v>
      </c>
      <c r="D81" s="10" t="s">
        <v>776</v>
      </c>
      <c r="E81" s="25" t="s">
        <v>266</v>
      </c>
      <c r="F81" s="26"/>
      <c r="G81" s="26" t="s">
        <v>972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778</v>
      </c>
      <c r="C82" s="13" t="s">
        <v>338</v>
      </c>
      <c r="D82" s="10" t="s">
        <v>779</v>
      </c>
      <c r="E82" s="25" t="s">
        <v>266</v>
      </c>
      <c r="F82" s="26"/>
      <c r="G82" s="26" t="s">
        <v>973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781</v>
      </c>
      <c r="C83" s="13" t="s">
        <v>338</v>
      </c>
      <c r="D83" s="10" t="s">
        <v>782</v>
      </c>
      <c r="E83" s="25" t="s">
        <v>266</v>
      </c>
      <c r="F83" s="26"/>
      <c r="G83" s="26" t="s">
        <v>974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784</v>
      </c>
      <c r="C84" s="13" t="s">
        <v>338</v>
      </c>
      <c r="D84" s="10" t="s">
        <v>785</v>
      </c>
      <c r="E84" s="25" t="s">
        <v>266</v>
      </c>
      <c r="F84" s="26"/>
      <c r="G84" s="26" t="s">
        <v>975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787</v>
      </c>
      <c r="C85" s="13" t="s">
        <v>338</v>
      </c>
      <c r="D85" s="10" t="s">
        <v>788</v>
      </c>
      <c r="E85" s="25" t="s">
        <v>266</v>
      </c>
      <c r="F85" s="26"/>
      <c r="G85" s="26" t="s">
        <v>976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413</v>
      </c>
      <c r="C86" s="13" t="s">
        <v>666</v>
      </c>
      <c r="D86" s="10" t="s">
        <v>790</v>
      </c>
      <c r="E86" s="25" t="s">
        <v>266</v>
      </c>
      <c r="F86" s="26"/>
      <c r="G86" s="26" t="s">
        <v>977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792</v>
      </c>
      <c r="C87" s="13" t="s">
        <v>338</v>
      </c>
      <c r="D87" s="10" t="s">
        <v>793</v>
      </c>
      <c r="E87" s="25" t="s">
        <v>266</v>
      </c>
      <c r="F87" s="26"/>
      <c r="G87" s="26" t="s">
        <v>978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418</v>
      </c>
      <c r="C88" s="13" t="s">
        <v>666</v>
      </c>
      <c r="D88" s="10" t="s">
        <v>795</v>
      </c>
      <c r="E88" s="25" t="s">
        <v>266</v>
      </c>
      <c r="F88" s="26"/>
      <c r="G88" s="26" t="s">
        <v>979</v>
      </c>
      <c r="H88" s="2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797</v>
      </c>
      <c r="C89" s="13" t="s">
        <v>338</v>
      </c>
      <c r="D89" s="10" t="s">
        <v>798</v>
      </c>
      <c r="E89" s="25" t="s">
        <v>266</v>
      </c>
      <c r="F89" s="26"/>
      <c r="G89" s="26" t="s">
        <v>980</v>
      </c>
      <c r="H89" s="27"/>
      <c r="I89" s="26"/>
      <c r="J89" s="15" t="s">
        <v>632</v>
      </c>
      <c r="K89" s="15" t="s">
        <v>294</v>
      </c>
      <c r="L89" s="15" t="s">
        <v>633</v>
      </c>
    </row>
    <row r="90" s="1" customFormat="1" spans="1:12">
      <c r="A90" s="33"/>
      <c r="B90" s="13" t="s">
        <v>800</v>
      </c>
      <c r="C90" s="13" t="s">
        <v>338</v>
      </c>
      <c r="D90" s="10" t="s">
        <v>801</v>
      </c>
      <c r="E90" s="25" t="s">
        <v>266</v>
      </c>
      <c r="F90" s="26"/>
      <c r="G90" s="26" t="s">
        <v>981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551</v>
      </c>
      <c r="C91" s="13" t="s">
        <v>666</v>
      </c>
      <c r="D91" s="10" t="s">
        <v>552</v>
      </c>
      <c r="E91" s="25" t="s">
        <v>266</v>
      </c>
      <c r="F91" s="26"/>
      <c r="G91" s="26" t="s">
        <v>982</v>
      </c>
      <c r="H91" s="27"/>
      <c r="I91" s="26"/>
      <c r="J91" s="15" t="s">
        <v>632</v>
      </c>
      <c r="K91" s="15" t="s">
        <v>404</v>
      </c>
      <c r="L91" s="15" t="s">
        <v>633</v>
      </c>
    </row>
    <row r="92" s="1" customFormat="1" spans="1:12">
      <c r="A92" s="33"/>
      <c r="B92" s="13" t="s">
        <v>805</v>
      </c>
      <c r="C92" s="13" t="s">
        <v>338</v>
      </c>
      <c r="D92" s="10" t="s">
        <v>806</v>
      </c>
      <c r="E92" s="25" t="s">
        <v>266</v>
      </c>
      <c r="F92" s="26"/>
      <c r="G92" s="26" t="s">
        <v>983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808</v>
      </c>
      <c r="C93" s="13" t="s">
        <v>338</v>
      </c>
      <c r="D93" s="10" t="s">
        <v>809</v>
      </c>
      <c r="E93" s="25" t="s">
        <v>266</v>
      </c>
      <c r="F93" s="26"/>
      <c r="G93" s="26" t="s">
        <v>984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811</v>
      </c>
      <c r="C94" s="13" t="s">
        <v>338</v>
      </c>
      <c r="D94" s="10" t="s">
        <v>812</v>
      </c>
      <c r="E94" s="25" t="s">
        <v>266</v>
      </c>
      <c r="F94" s="26"/>
      <c r="G94" s="26" t="s">
        <v>985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814</v>
      </c>
      <c r="C95" s="13" t="s">
        <v>338</v>
      </c>
      <c r="D95" s="10" t="s">
        <v>815</v>
      </c>
      <c r="E95" s="25" t="s">
        <v>266</v>
      </c>
      <c r="F95" s="26"/>
      <c r="G95" s="26" t="s">
        <v>986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817</v>
      </c>
      <c r="C96" s="13" t="s">
        <v>338</v>
      </c>
      <c r="D96" s="10" t="s">
        <v>818</v>
      </c>
      <c r="E96" s="25" t="s">
        <v>266</v>
      </c>
      <c r="F96" s="26"/>
      <c r="G96" s="26" t="s">
        <v>987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820</v>
      </c>
      <c r="C97" s="13" t="s">
        <v>338</v>
      </c>
      <c r="D97" s="10" t="s">
        <v>821</v>
      </c>
      <c r="E97" s="25" t="s">
        <v>266</v>
      </c>
      <c r="F97" s="26"/>
      <c r="G97" s="26" t="s">
        <v>988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556</v>
      </c>
      <c r="C98" s="13" t="s">
        <v>666</v>
      </c>
      <c r="D98" s="10" t="s">
        <v>557</v>
      </c>
      <c r="E98" s="25" t="s">
        <v>266</v>
      </c>
      <c r="F98" s="26"/>
      <c r="G98" s="26" t="s">
        <v>989</v>
      </c>
      <c r="H98" s="27"/>
      <c r="I98" s="26"/>
      <c r="J98" s="15" t="s">
        <v>632</v>
      </c>
      <c r="K98" s="15" t="s">
        <v>404</v>
      </c>
      <c r="L98" s="15" t="s">
        <v>633</v>
      </c>
    </row>
    <row r="99" s="1" customFormat="1" spans="1:12">
      <c r="A99" s="33"/>
      <c r="B99" s="13" t="s">
        <v>824</v>
      </c>
      <c r="C99" s="13" t="s">
        <v>338</v>
      </c>
      <c r="D99" s="10" t="s">
        <v>825</v>
      </c>
      <c r="E99" s="25" t="s">
        <v>266</v>
      </c>
      <c r="F99" s="26"/>
      <c r="G99" s="26" t="s">
        <v>990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827</v>
      </c>
      <c r="C100" s="13" t="s">
        <v>338</v>
      </c>
      <c r="D100" s="10" t="s">
        <v>828</v>
      </c>
      <c r="E100" s="25" t="s">
        <v>266</v>
      </c>
      <c r="F100" s="26"/>
      <c r="G100" s="26" t="s">
        <v>991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830</v>
      </c>
      <c r="C101" s="13" t="s">
        <v>338</v>
      </c>
      <c r="D101" s="10" t="s">
        <v>831</v>
      </c>
      <c r="E101" s="25" t="s">
        <v>266</v>
      </c>
      <c r="F101" s="26"/>
      <c r="G101" s="26" t="s">
        <v>992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833</v>
      </c>
      <c r="C102" s="13" t="s">
        <v>338</v>
      </c>
      <c r="D102" s="10" t="s">
        <v>834</v>
      </c>
      <c r="E102" s="25" t="s">
        <v>266</v>
      </c>
      <c r="F102" s="26"/>
      <c r="G102" s="26" t="s">
        <v>993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836</v>
      </c>
      <c r="C103" s="13" t="s">
        <v>338</v>
      </c>
      <c r="D103" s="10" t="s">
        <v>837</v>
      </c>
      <c r="E103" s="25" t="s">
        <v>266</v>
      </c>
      <c r="F103" s="26"/>
      <c r="G103" s="26" t="s">
        <v>994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839</v>
      </c>
      <c r="C104" s="13" t="s">
        <v>338</v>
      </c>
      <c r="D104" s="10" t="s">
        <v>840</v>
      </c>
      <c r="E104" s="25" t="s">
        <v>266</v>
      </c>
      <c r="F104" s="26"/>
      <c r="G104" s="26" t="s">
        <v>995</v>
      </c>
      <c r="H104" s="27"/>
      <c r="I104" s="26"/>
      <c r="J104" s="15" t="s">
        <v>632</v>
      </c>
      <c r="K104" s="15" t="s">
        <v>294</v>
      </c>
      <c r="L104" s="15" t="s">
        <v>633</v>
      </c>
    </row>
    <row r="105" s="1" customFormat="1" spans="1:12">
      <c r="A105" s="33"/>
      <c r="B105" s="13" t="s">
        <v>560</v>
      </c>
      <c r="C105" s="13" t="s">
        <v>666</v>
      </c>
      <c r="D105" s="10" t="s">
        <v>842</v>
      </c>
      <c r="E105" s="25" t="s">
        <v>266</v>
      </c>
      <c r="F105" s="26"/>
      <c r="G105" s="26" t="s">
        <v>996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75" t="s">
        <v>844</v>
      </c>
      <c r="C106" s="75" t="s">
        <v>338</v>
      </c>
      <c r="D106" s="76" t="s">
        <v>845</v>
      </c>
      <c r="E106" s="25" t="s">
        <v>266</v>
      </c>
      <c r="F106" s="26"/>
      <c r="G106" s="26" t="s">
        <v>997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847</v>
      </c>
      <c r="C107" s="75" t="s">
        <v>338</v>
      </c>
      <c r="D107" s="76" t="s">
        <v>848</v>
      </c>
      <c r="E107" s="25" t="s">
        <v>266</v>
      </c>
      <c r="F107" s="26"/>
      <c r="G107" s="26" t="s">
        <v>998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850</v>
      </c>
      <c r="C108" s="75" t="s">
        <v>338</v>
      </c>
      <c r="D108" s="76" t="s">
        <v>851</v>
      </c>
      <c r="E108" s="25" t="s">
        <v>266</v>
      </c>
      <c r="F108" s="26"/>
      <c r="G108" s="26" t="s">
        <v>999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853</v>
      </c>
      <c r="C109" s="75" t="s">
        <v>338</v>
      </c>
      <c r="D109" s="76" t="s">
        <v>854</v>
      </c>
      <c r="E109" s="25" t="s">
        <v>266</v>
      </c>
      <c r="F109" s="26"/>
      <c r="G109" s="26" t="s">
        <v>1000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856</v>
      </c>
      <c r="C110" s="75" t="s">
        <v>338</v>
      </c>
      <c r="D110" s="76" t="s">
        <v>857</v>
      </c>
      <c r="E110" s="25" t="s">
        <v>266</v>
      </c>
      <c r="F110" s="26"/>
      <c r="G110" s="26" t="s">
        <v>1001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859</v>
      </c>
      <c r="C111" s="13" t="s">
        <v>338</v>
      </c>
      <c r="D111" s="10" t="s">
        <v>860</v>
      </c>
      <c r="E111" s="25" t="s">
        <v>266</v>
      </c>
      <c r="F111" s="26"/>
      <c r="G111" s="26" t="s">
        <v>1002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862</v>
      </c>
      <c r="C112" s="13" t="s">
        <v>666</v>
      </c>
      <c r="D112" s="10" t="s">
        <v>863</v>
      </c>
      <c r="E112" s="25" t="s">
        <v>266</v>
      </c>
      <c r="F112" s="26"/>
      <c r="G112" s="26" t="s">
        <v>1003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462</v>
      </c>
      <c r="C113" s="13" t="s">
        <v>666</v>
      </c>
      <c r="D113" s="10" t="s">
        <v>865</v>
      </c>
      <c r="E113" s="25" t="s">
        <v>266</v>
      </c>
      <c r="F113" s="26"/>
      <c r="G113" s="26" t="s">
        <v>1004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538</v>
      </c>
      <c r="C114" s="13" t="s">
        <v>666</v>
      </c>
      <c r="D114" s="10" t="s">
        <v>539</v>
      </c>
      <c r="E114" s="25" t="s">
        <v>266</v>
      </c>
      <c r="F114" s="26"/>
      <c r="G114" s="26" t="s">
        <v>1005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868</v>
      </c>
      <c r="C115" s="13" t="s">
        <v>338</v>
      </c>
      <c r="D115" s="10" t="s">
        <v>869</v>
      </c>
      <c r="E115" s="25" t="s">
        <v>266</v>
      </c>
      <c r="F115" s="26"/>
      <c r="G115" s="26" t="s">
        <v>1006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871</v>
      </c>
      <c r="C116" s="13" t="s">
        <v>338</v>
      </c>
      <c r="D116" s="10" t="s">
        <v>872</v>
      </c>
      <c r="E116" s="25" t="s">
        <v>266</v>
      </c>
      <c r="F116" s="26"/>
      <c r="G116" s="26" t="s">
        <v>1007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543</v>
      </c>
      <c r="C117" s="13" t="s">
        <v>666</v>
      </c>
      <c r="D117" s="10" t="s">
        <v>544</v>
      </c>
      <c r="E117" s="25" t="s">
        <v>266</v>
      </c>
      <c r="F117" s="26"/>
      <c r="G117" s="26" t="s">
        <v>1008</v>
      </c>
      <c r="H117" s="27"/>
      <c r="I117" s="26"/>
      <c r="J117" s="15" t="s">
        <v>632</v>
      </c>
      <c r="K117" s="15" t="s">
        <v>404</v>
      </c>
      <c r="L117" s="15" t="s">
        <v>633</v>
      </c>
    </row>
    <row r="118" s="1" customFormat="1" spans="1:12">
      <c r="A118" s="33"/>
      <c r="B118" s="13" t="s">
        <v>875</v>
      </c>
      <c r="C118" s="13" t="s">
        <v>338</v>
      </c>
      <c r="D118" s="10" t="s">
        <v>876</v>
      </c>
      <c r="E118" s="25" t="s">
        <v>266</v>
      </c>
      <c r="F118" s="26"/>
      <c r="G118" s="26" t="s">
        <v>1009</v>
      </c>
      <c r="H118" s="2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887</v>
      </c>
      <c r="C119" s="13" t="s">
        <v>338</v>
      </c>
      <c r="D119" s="10" t="s">
        <v>888</v>
      </c>
      <c r="E119" s="25" t="s">
        <v>266</v>
      </c>
      <c r="F119" s="26"/>
      <c r="G119" s="26" t="s">
        <v>1013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890</v>
      </c>
      <c r="C120" s="13" t="s">
        <v>338</v>
      </c>
      <c r="D120" s="10" t="s">
        <v>891</v>
      </c>
      <c r="E120" s="25" t="s">
        <v>266</v>
      </c>
      <c r="F120" s="26"/>
      <c r="G120" s="26" t="s">
        <v>1014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="1" customFormat="1" spans="1:12">
      <c r="A121" s="33"/>
      <c r="B121" s="13" t="s">
        <v>893</v>
      </c>
      <c r="C121" s="13" t="s">
        <v>338</v>
      </c>
      <c r="D121" s="10" t="s">
        <v>894</v>
      </c>
      <c r="E121" s="25" t="s">
        <v>266</v>
      </c>
      <c r="F121" s="26"/>
      <c r="G121" s="26" t="s">
        <v>1015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="1" customFormat="1" spans="1:12">
      <c r="A122" s="33"/>
      <c r="B122" s="13" t="s">
        <v>896</v>
      </c>
      <c r="C122" s="13" t="s">
        <v>338</v>
      </c>
      <c r="D122" s="10" t="s">
        <v>897</v>
      </c>
      <c r="E122" s="25" t="s">
        <v>266</v>
      </c>
      <c r="F122" s="26"/>
      <c r="G122" s="26" t="s">
        <v>1016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="1" customFormat="1" spans="1:12">
      <c r="A123" s="33"/>
      <c r="B123" s="13" t="s">
        <v>899</v>
      </c>
      <c r="C123" s="13" t="s">
        <v>338</v>
      </c>
      <c r="D123" s="10" t="s">
        <v>900</v>
      </c>
      <c r="E123" s="25" t="s">
        <v>266</v>
      </c>
      <c r="F123" s="26"/>
      <c r="G123" s="26" t="s">
        <v>1017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="1" customFormat="1" spans="1:12">
      <c r="A124" s="33"/>
      <c r="B124" s="13" t="s">
        <v>902</v>
      </c>
      <c r="C124" s="13" t="s">
        <v>338</v>
      </c>
      <c r="D124" s="10" t="s">
        <v>903</v>
      </c>
      <c r="E124" s="25" t="s">
        <v>266</v>
      </c>
      <c r="F124" s="26"/>
      <c r="G124" s="26" t="s">
        <v>1018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905</v>
      </c>
      <c r="C125" s="13" t="s">
        <v>338</v>
      </c>
      <c r="D125" s="10" t="s">
        <v>906</v>
      </c>
      <c r="E125" s="25" t="s">
        <v>266</v>
      </c>
      <c r="F125" s="26"/>
      <c r="G125" s="26" t="s">
        <v>1019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908</v>
      </c>
      <c r="C126" s="13" t="s">
        <v>338</v>
      </c>
      <c r="D126" s="10" t="s">
        <v>909</v>
      </c>
      <c r="E126" s="25" t="s">
        <v>266</v>
      </c>
      <c r="F126" s="26"/>
      <c r="G126" s="26" t="s">
        <v>1020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911</v>
      </c>
      <c r="C127" s="13" t="s">
        <v>338</v>
      </c>
      <c r="D127" s="10" t="s">
        <v>912</v>
      </c>
      <c r="E127" s="25" t="s">
        <v>266</v>
      </c>
      <c r="F127" s="26"/>
      <c r="G127" s="26" t="s">
        <v>1021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3" t="s">
        <v>914</v>
      </c>
      <c r="C128" s="13" t="s">
        <v>338</v>
      </c>
      <c r="D128" s="10" t="s">
        <v>915</v>
      </c>
      <c r="E128" s="25" t="s">
        <v>266</v>
      </c>
      <c r="F128" s="26"/>
      <c r="G128" s="26" t="s">
        <v>1022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pans="2:12">
      <c r="B129" s="13" t="s">
        <v>917</v>
      </c>
      <c r="C129" s="13" t="s">
        <v>338</v>
      </c>
      <c r="D129" s="10" t="s">
        <v>918</v>
      </c>
      <c r="E129" s="25" t="s">
        <v>266</v>
      </c>
      <c r="F129" s="26"/>
      <c r="G129" s="26" t="s">
        <v>1023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pans="2:12">
      <c r="B130" s="13" t="s">
        <v>920</v>
      </c>
      <c r="C130" s="13" t="s">
        <v>338</v>
      </c>
      <c r="D130" s="10" t="s">
        <v>921</v>
      </c>
      <c r="E130" s="25" t="s">
        <v>266</v>
      </c>
      <c r="F130" s="26"/>
      <c r="G130" s="26" t="s">
        <v>1024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pans="2:12">
      <c r="B131" s="13" t="s">
        <v>923</v>
      </c>
      <c r="C131" s="13" t="s">
        <v>338</v>
      </c>
      <c r="D131" s="10" t="s">
        <v>924</v>
      </c>
      <c r="E131" s="25" t="s">
        <v>266</v>
      </c>
      <c r="F131" s="26"/>
      <c r="G131" s="26" t="s">
        <v>1025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pans="2:12">
      <c r="B132" s="13" t="s">
        <v>926</v>
      </c>
      <c r="C132" s="13" t="s">
        <v>291</v>
      </c>
      <c r="D132" s="10" t="s">
        <v>927</v>
      </c>
      <c r="E132" s="25" t="s">
        <v>266</v>
      </c>
      <c r="F132" s="26"/>
      <c r="G132" s="35" t="s">
        <v>1026</v>
      </c>
      <c r="H132" s="27"/>
      <c r="I132" s="56">
        <v>20250415101139</v>
      </c>
      <c r="J132" s="15" t="s">
        <v>632</v>
      </c>
      <c r="K132" s="15" t="s">
        <v>294</v>
      </c>
      <c r="L132" s="15" t="s">
        <v>670</v>
      </c>
    </row>
    <row r="133" spans="2:12">
      <c r="B133" s="13" t="s">
        <v>929</v>
      </c>
      <c r="C133" s="13" t="s">
        <v>291</v>
      </c>
      <c r="D133" s="10" t="s">
        <v>930</v>
      </c>
      <c r="E133" s="25" t="s">
        <v>266</v>
      </c>
      <c r="F133" s="26"/>
      <c r="G133" s="35" t="s">
        <v>1027</v>
      </c>
      <c r="H133" s="27"/>
      <c r="I133" s="56">
        <v>20250415101024</v>
      </c>
      <c r="J133" s="15" t="s">
        <v>632</v>
      </c>
      <c r="K133" s="15" t="s">
        <v>294</v>
      </c>
      <c r="L133" s="15" t="s">
        <v>670</v>
      </c>
    </row>
    <row r="134" spans="2:12">
      <c r="B134" s="17" t="s">
        <v>594</v>
      </c>
      <c r="C134" s="18" t="s">
        <v>307</v>
      </c>
      <c r="D134" s="19" t="s">
        <v>595</v>
      </c>
      <c r="E134" s="28"/>
      <c r="F134" s="28"/>
      <c r="G134" s="28" t="s">
        <v>932</v>
      </c>
      <c r="H134" s="17"/>
      <c r="I134" s="17"/>
      <c r="J134" s="17"/>
      <c r="K134" s="17"/>
      <c r="L134" s="17"/>
    </row>
    <row r="135" spans="2:12">
      <c r="B135" s="17" t="s">
        <v>596</v>
      </c>
      <c r="C135" s="18" t="s">
        <v>291</v>
      </c>
      <c r="D135" s="19" t="s">
        <v>597</v>
      </c>
      <c r="E135" s="28"/>
      <c r="F135" s="28"/>
      <c r="G135" s="28" t="s">
        <v>932</v>
      </c>
      <c r="H135" s="17" t="s">
        <v>932</v>
      </c>
      <c r="I135" s="17"/>
      <c r="J135" s="17"/>
      <c r="K135" s="17"/>
      <c r="L135" s="17"/>
    </row>
    <row r="136" spans="2:12">
      <c r="B136" s="17" t="s">
        <v>598</v>
      </c>
      <c r="C136" s="18" t="s">
        <v>307</v>
      </c>
      <c r="D136" s="19" t="s">
        <v>599</v>
      </c>
      <c r="E136" s="28"/>
      <c r="F136" s="28"/>
      <c r="G136" s="28" t="s">
        <v>932</v>
      </c>
      <c r="H136" s="17" t="s">
        <v>932</v>
      </c>
      <c r="I136" s="17"/>
      <c r="J136" s="17"/>
      <c r="K136" s="17"/>
      <c r="L136" s="17"/>
    </row>
  </sheetData>
  <autoFilter xmlns:etc="http://www.wps.cn/officeDocument/2017/etCustomData" ref="A13:Q13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4"/>
  <sheetViews>
    <sheetView zoomScale="85" zoomScaleNormal="85" workbookViewId="0">
      <pane ySplit="5" topLeftCell="A108" activePane="bottomLeft" state="frozen"/>
      <selection/>
      <selection pane="bottomLeft" activeCell="C127" sqref="C12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61</v>
      </c>
      <c r="D5" s="10" t="s">
        <v>62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58</v>
      </c>
      <c r="D9" s="10" t="s">
        <v>59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295</v>
      </c>
      <c r="C23" s="13" t="s">
        <v>291</v>
      </c>
      <c r="D23" s="10" t="s">
        <v>618</v>
      </c>
      <c r="E23" s="25" t="s">
        <v>266</v>
      </c>
      <c r="F23" s="10" t="s">
        <v>295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297</v>
      </c>
      <c r="C24" s="13" t="s">
        <v>291</v>
      </c>
      <c r="D24" s="10" t="s">
        <v>298</v>
      </c>
      <c r="E24" s="25" t="s">
        <v>266</v>
      </c>
      <c r="F24" s="10" t="s">
        <v>297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300</v>
      </c>
      <c r="C25" s="13" t="s">
        <v>291</v>
      </c>
      <c r="D25" s="10" t="s">
        <v>619</v>
      </c>
      <c r="E25" s="25" t="s">
        <v>266</v>
      </c>
      <c r="F25" s="10" t="s">
        <v>300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331</v>
      </c>
      <c r="C26" s="13" t="s">
        <v>291</v>
      </c>
      <c r="D26" s="10" t="s">
        <v>623</v>
      </c>
      <c r="E26" s="25" t="s">
        <v>266</v>
      </c>
      <c r="F26" s="26" t="s">
        <v>331</v>
      </c>
      <c r="G26" s="26" t="s">
        <v>293</v>
      </c>
      <c r="H26" s="37"/>
      <c r="I26" s="15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572</v>
      </c>
      <c r="C27" s="34" t="s">
        <v>291</v>
      </c>
      <c r="D27" s="10" t="s">
        <v>573</v>
      </c>
      <c r="E27" s="25" t="s">
        <v>266</v>
      </c>
      <c r="F27" s="10" t="s">
        <v>572</v>
      </c>
      <c r="G27" s="26" t="s">
        <v>293</v>
      </c>
      <c r="H27" s="37"/>
      <c r="I27" s="15"/>
      <c r="J27" s="15" t="s">
        <v>604</v>
      </c>
      <c r="K27" s="15" t="s">
        <v>294</v>
      </c>
      <c r="L27" s="15" t="s">
        <v>575</v>
      </c>
    </row>
    <row r="28" s="1" customFormat="1" spans="1:12">
      <c r="A28" s="33"/>
      <c r="B28" s="32" t="s">
        <v>378</v>
      </c>
      <c r="C28" s="13" t="s">
        <v>291</v>
      </c>
      <c r="D28" s="10" t="s">
        <v>624</v>
      </c>
      <c r="E28" s="25" t="s">
        <v>266</v>
      </c>
      <c r="F28" s="26" t="s">
        <v>378</v>
      </c>
      <c r="G28" s="26" t="s">
        <v>293</v>
      </c>
      <c r="H28" s="37"/>
      <c r="I28" s="30"/>
      <c r="J28" s="15" t="s">
        <v>604</v>
      </c>
      <c r="K28" s="15" t="s">
        <v>294</v>
      </c>
      <c r="L28" s="15" t="s">
        <v>615</v>
      </c>
    </row>
    <row r="29" s="1" customFormat="1" spans="1:12">
      <c r="A29" s="33"/>
      <c r="B29" s="13" t="s">
        <v>629</v>
      </c>
      <c r="C29" s="13" t="s">
        <v>338</v>
      </c>
      <c r="D29" s="10" t="s">
        <v>630</v>
      </c>
      <c r="E29" s="25" t="s">
        <v>266</v>
      </c>
      <c r="F29" s="26"/>
      <c r="G29" s="26" t="s">
        <v>933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634</v>
      </c>
      <c r="C30" s="13" t="s">
        <v>338</v>
      </c>
      <c r="D30" s="10" t="s">
        <v>635</v>
      </c>
      <c r="E30" s="25" t="s">
        <v>266</v>
      </c>
      <c r="F30" s="26"/>
      <c r="G30" s="26" t="s">
        <v>934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13" t="s">
        <v>637</v>
      </c>
      <c r="C31" s="13" t="s">
        <v>338</v>
      </c>
      <c r="D31" s="10" t="s">
        <v>638</v>
      </c>
      <c r="E31" s="25" t="s">
        <v>266</v>
      </c>
      <c r="F31" s="26"/>
      <c r="G31" s="26" t="s">
        <v>935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32" t="s">
        <v>337</v>
      </c>
      <c r="C32" s="32" t="s">
        <v>338</v>
      </c>
      <c r="D32" s="10" t="s">
        <v>640</v>
      </c>
      <c r="E32" s="25" t="s">
        <v>266</v>
      </c>
      <c r="F32" s="26"/>
      <c r="G32" s="26" t="s">
        <v>641</v>
      </c>
      <c r="H32" s="27"/>
      <c r="I32" s="26"/>
      <c r="J32" s="15" t="s">
        <v>632</v>
      </c>
      <c r="K32" s="15" t="s">
        <v>404</v>
      </c>
      <c r="L32" s="15" t="s">
        <v>633</v>
      </c>
    </row>
    <row r="33" s="1" customFormat="1" spans="1:12">
      <c r="A33" s="33"/>
      <c r="B33" s="13" t="s">
        <v>342</v>
      </c>
      <c r="C33" s="13" t="s">
        <v>338</v>
      </c>
      <c r="D33" s="10" t="s">
        <v>642</v>
      </c>
      <c r="E33" s="25" t="s">
        <v>266</v>
      </c>
      <c r="F33" s="26"/>
      <c r="G33" s="26" t="s">
        <v>643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340</v>
      </c>
      <c r="C34" s="13" t="s">
        <v>338</v>
      </c>
      <c r="D34" s="10" t="s">
        <v>645</v>
      </c>
      <c r="E34" s="25" t="s">
        <v>266</v>
      </c>
      <c r="F34" s="26"/>
      <c r="G34" s="26" t="s">
        <v>646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647</v>
      </c>
      <c r="C35" s="13" t="s">
        <v>338</v>
      </c>
      <c r="D35" s="10" t="s">
        <v>648</v>
      </c>
      <c r="E35" s="25" t="s">
        <v>266</v>
      </c>
      <c r="F35" s="26"/>
      <c r="G35" s="26" t="s">
        <v>936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650</v>
      </c>
      <c r="C36" s="13" t="s">
        <v>338</v>
      </c>
      <c r="D36" s="10" t="s">
        <v>651</v>
      </c>
      <c r="E36" s="25" t="s">
        <v>266</v>
      </c>
      <c r="F36" s="26"/>
      <c r="G36" s="26" t="s">
        <v>937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653</v>
      </c>
      <c r="C37" s="13" t="s">
        <v>338</v>
      </c>
      <c r="D37" s="10" t="s">
        <v>654</v>
      </c>
      <c r="E37" s="25" t="s">
        <v>266</v>
      </c>
      <c r="F37" s="26"/>
      <c r="G37" s="26" t="s">
        <v>938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656</v>
      </c>
      <c r="C38" s="13" t="s">
        <v>338</v>
      </c>
      <c r="D38" s="10" t="s">
        <v>657</v>
      </c>
      <c r="E38" s="25" t="s">
        <v>266</v>
      </c>
      <c r="F38" s="26"/>
      <c r="G38" s="26" t="s">
        <v>939</v>
      </c>
      <c r="H38" s="27"/>
      <c r="I38" s="26"/>
      <c r="J38" s="15" t="s">
        <v>632</v>
      </c>
      <c r="K38" s="15" t="s">
        <v>644</v>
      </c>
      <c r="L38" s="15" t="s">
        <v>633</v>
      </c>
    </row>
    <row r="39" s="1" customFormat="1" spans="1:12">
      <c r="A39" s="33"/>
      <c r="B39" s="13" t="s">
        <v>659</v>
      </c>
      <c r="C39" s="13" t="s">
        <v>338</v>
      </c>
      <c r="D39" s="10" t="s">
        <v>660</v>
      </c>
      <c r="E39" s="25" t="s">
        <v>266</v>
      </c>
      <c r="F39" s="26"/>
      <c r="G39" s="26" t="s">
        <v>940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662</v>
      </c>
      <c r="C40" s="13" t="s">
        <v>338</v>
      </c>
      <c r="D40" s="10" t="s">
        <v>663</v>
      </c>
      <c r="E40" s="25" t="s">
        <v>266</v>
      </c>
      <c r="F40" s="26"/>
      <c r="G40" s="26" t="s">
        <v>941</v>
      </c>
      <c r="H40" s="2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665</v>
      </c>
      <c r="C41" s="13" t="s">
        <v>666</v>
      </c>
      <c r="D41" s="10" t="s">
        <v>667</v>
      </c>
      <c r="E41" s="25" t="s">
        <v>266</v>
      </c>
      <c r="F41" s="26"/>
      <c r="G41" s="26" t="s">
        <v>942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671</v>
      </c>
      <c r="C42" s="13" t="s">
        <v>666</v>
      </c>
      <c r="D42" s="10" t="s">
        <v>672</v>
      </c>
      <c r="E42" s="25" t="s">
        <v>266</v>
      </c>
      <c r="F42" s="26"/>
      <c r="G42" s="26" t="s">
        <v>943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675</v>
      </c>
      <c r="C43" s="13" t="s">
        <v>666</v>
      </c>
      <c r="D43" s="10" t="s">
        <v>676</v>
      </c>
      <c r="E43" s="25" t="s">
        <v>266</v>
      </c>
      <c r="F43" s="26"/>
      <c r="G43" s="26" t="s">
        <v>944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678</v>
      </c>
      <c r="C44" s="13" t="s">
        <v>666</v>
      </c>
      <c r="D44" s="10" t="s">
        <v>679</v>
      </c>
      <c r="E44" s="25" t="s">
        <v>266</v>
      </c>
      <c r="F44" s="26"/>
      <c r="G44" s="26" t="s">
        <v>945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681</v>
      </c>
      <c r="C45" s="13" t="s">
        <v>666</v>
      </c>
      <c r="D45" s="10" t="s">
        <v>682</v>
      </c>
      <c r="E45" s="25" t="s">
        <v>266</v>
      </c>
      <c r="F45" s="26"/>
      <c r="G45" s="26" t="s">
        <v>946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684</v>
      </c>
      <c r="C46" s="13" t="s">
        <v>666</v>
      </c>
      <c r="D46" s="10" t="s">
        <v>685</v>
      </c>
      <c r="E46" s="25" t="s">
        <v>266</v>
      </c>
      <c r="F46" s="26"/>
      <c r="G46" s="26" t="s">
        <v>947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687</v>
      </c>
      <c r="C47" s="13" t="s">
        <v>666</v>
      </c>
      <c r="D47" s="10" t="s">
        <v>688</v>
      </c>
      <c r="E47" s="25" t="s">
        <v>266</v>
      </c>
      <c r="F47" s="26"/>
      <c r="G47" s="26" t="s">
        <v>948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690</v>
      </c>
      <c r="C48" s="13" t="s">
        <v>666</v>
      </c>
      <c r="D48" s="10" t="s">
        <v>691</v>
      </c>
      <c r="E48" s="25" t="s">
        <v>266</v>
      </c>
      <c r="F48" s="26"/>
      <c r="G48" s="26" t="s">
        <v>949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346</v>
      </c>
      <c r="C49" s="13" t="s">
        <v>338</v>
      </c>
      <c r="D49" s="10" t="s">
        <v>693</v>
      </c>
      <c r="E49" s="25" t="s">
        <v>266</v>
      </c>
      <c r="F49" s="26"/>
      <c r="G49" s="26" t="s">
        <v>694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344</v>
      </c>
      <c r="C50" s="13" t="s">
        <v>338</v>
      </c>
      <c r="D50" s="10" t="s">
        <v>695</v>
      </c>
      <c r="E50" s="25" t="s">
        <v>266</v>
      </c>
      <c r="F50" s="26"/>
      <c r="G50" s="26" t="s">
        <v>696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392</v>
      </c>
      <c r="C51" s="13" t="s">
        <v>338</v>
      </c>
      <c r="D51" s="10" t="s">
        <v>697</v>
      </c>
      <c r="E51" s="25" t="s">
        <v>266</v>
      </c>
      <c r="F51" s="26"/>
      <c r="G51" s="26" t="s">
        <v>698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394</v>
      </c>
      <c r="C52" s="13" t="s">
        <v>338</v>
      </c>
      <c r="D52" s="10" t="s">
        <v>699</v>
      </c>
      <c r="E52" s="25" t="s">
        <v>266</v>
      </c>
      <c r="F52" s="26"/>
      <c r="G52" s="26" t="s">
        <v>700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701</v>
      </c>
      <c r="C53" s="13" t="s">
        <v>338</v>
      </c>
      <c r="D53" s="10" t="s">
        <v>702</v>
      </c>
      <c r="E53" s="25" t="s">
        <v>266</v>
      </c>
      <c r="F53" s="26"/>
      <c r="G53" s="26" t="s">
        <v>950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704</v>
      </c>
      <c r="C54" s="13" t="s">
        <v>338</v>
      </c>
      <c r="D54" s="10" t="s">
        <v>705</v>
      </c>
      <c r="E54" s="25" t="s">
        <v>266</v>
      </c>
      <c r="F54" s="26"/>
      <c r="G54" s="26" t="s">
        <v>951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707</v>
      </c>
      <c r="C55" s="13" t="s">
        <v>338</v>
      </c>
      <c r="D55" s="10" t="s">
        <v>708</v>
      </c>
      <c r="E55" s="25" t="s">
        <v>266</v>
      </c>
      <c r="F55" s="26"/>
      <c r="G55" s="26" t="s">
        <v>952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710</v>
      </c>
      <c r="C56" s="13" t="s">
        <v>338</v>
      </c>
      <c r="D56" s="10" t="s">
        <v>711</v>
      </c>
      <c r="E56" s="25" t="s">
        <v>266</v>
      </c>
      <c r="F56" s="26"/>
      <c r="G56" s="26" t="s">
        <v>953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713</v>
      </c>
      <c r="C57" s="13" t="s">
        <v>338</v>
      </c>
      <c r="D57" s="10" t="s">
        <v>714</v>
      </c>
      <c r="E57" s="25" t="s">
        <v>266</v>
      </c>
      <c r="F57" s="26"/>
      <c r="G57" s="26" t="s">
        <v>954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716</v>
      </c>
      <c r="C58" s="13" t="s">
        <v>338</v>
      </c>
      <c r="D58" s="10" t="s">
        <v>717</v>
      </c>
      <c r="E58" s="25" t="s">
        <v>266</v>
      </c>
      <c r="F58" s="26"/>
      <c r="G58" s="26" t="s">
        <v>955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410</v>
      </c>
      <c r="C59" s="13" t="s">
        <v>338</v>
      </c>
      <c r="D59" s="10" t="s">
        <v>719</v>
      </c>
      <c r="E59" s="25" t="s">
        <v>266</v>
      </c>
      <c r="F59" s="26"/>
      <c r="G59" s="26" t="s">
        <v>720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412</v>
      </c>
      <c r="C60" s="13" t="s">
        <v>338</v>
      </c>
      <c r="D60" s="10" t="s">
        <v>721</v>
      </c>
      <c r="E60" s="25" t="s">
        <v>266</v>
      </c>
      <c r="F60" s="26"/>
      <c r="G60" s="26" t="s">
        <v>722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528</v>
      </c>
      <c r="C61" s="13" t="s">
        <v>338</v>
      </c>
      <c r="D61" s="10" t="s">
        <v>723</v>
      </c>
      <c r="E61" s="25" t="s">
        <v>266</v>
      </c>
      <c r="F61" s="26"/>
      <c r="G61" s="26" t="s">
        <v>724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532</v>
      </c>
      <c r="C62" s="13" t="s">
        <v>338</v>
      </c>
      <c r="D62" s="10" t="s">
        <v>725</v>
      </c>
      <c r="E62" s="25" t="s">
        <v>266</v>
      </c>
      <c r="F62" s="26"/>
      <c r="G62" s="26" t="s">
        <v>726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535</v>
      </c>
      <c r="C63" s="13" t="s">
        <v>338</v>
      </c>
      <c r="D63" s="10" t="s">
        <v>536</v>
      </c>
      <c r="E63" s="25" t="s">
        <v>266</v>
      </c>
      <c r="F63" s="26"/>
      <c r="G63" s="26" t="s">
        <v>727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728</v>
      </c>
      <c r="C64" s="13" t="s">
        <v>338</v>
      </c>
      <c r="D64" s="10" t="s">
        <v>729</v>
      </c>
      <c r="E64" s="25" t="s">
        <v>266</v>
      </c>
      <c r="F64" s="26"/>
      <c r="G64" s="26" t="s">
        <v>956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730</v>
      </c>
      <c r="C65" s="13" t="s">
        <v>666</v>
      </c>
      <c r="D65" s="10" t="s">
        <v>731</v>
      </c>
      <c r="E65" s="25" t="s">
        <v>266</v>
      </c>
      <c r="F65" s="26"/>
      <c r="G65" s="26" t="s">
        <v>957</v>
      </c>
      <c r="H65" s="27"/>
      <c r="I65" s="26"/>
      <c r="J65" s="15" t="s">
        <v>632</v>
      </c>
      <c r="K65" s="15" t="s">
        <v>404</v>
      </c>
      <c r="L65" s="15" t="s">
        <v>633</v>
      </c>
    </row>
    <row r="66" s="1" customFormat="1" spans="1:12">
      <c r="A66" s="33"/>
      <c r="B66" s="13" t="s">
        <v>733</v>
      </c>
      <c r="C66" s="13" t="s">
        <v>338</v>
      </c>
      <c r="D66" s="10" t="s">
        <v>734</v>
      </c>
      <c r="E66" s="25" t="s">
        <v>266</v>
      </c>
      <c r="F66" s="26"/>
      <c r="G66" s="26" t="s">
        <v>958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736</v>
      </c>
      <c r="C67" s="13" t="s">
        <v>338</v>
      </c>
      <c r="D67" s="10" t="s">
        <v>737</v>
      </c>
      <c r="E67" s="25" t="s">
        <v>266</v>
      </c>
      <c r="F67" s="26"/>
      <c r="G67" s="26" t="s">
        <v>959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739</v>
      </c>
      <c r="C68" s="13" t="s">
        <v>338</v>
      </c>
      <c r="D68" s="10" t="s">
        <v>740</v>
      </c>
      <c r="E68" s="25" t="s">
        <v>266</v>
      </c>
      <c r="F68" s="26"/>
      <c r="G68" s="26" t="s">
        <v>960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742</v>
      </c>
      <c r="C69" s="13" t="s">
        <v>338</v>
      </c>
      <c r="D69" s="10" t="s">
        <v>743</v>
      </c>
      <c r="E69" s="25" t="s">
        <v>266</v>
      </c>
      <c r="F69" s="26"/>
      <c r="G69" s="26" t="s">
        <v>961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745</v>
      </c>
      <c r="C70" s="13" t="s">
        <v>338</v>
      </c>
      <c r="D70" s="10" t="s">
        <v>746</v>
      </c>
      <c r="E70" s="25" t="s">
        <v>266</v>
      </c>
      <c r="F70" s="26"/>
      <c r="G70" s="26" t="s">
        <v>962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748</v>
      </c>
      <c r="C71" s="13" t="s">
        <v>338</v>
      </c>
      <c r="D71" s="10" t="s">
        <v>749</v>
      </c>
      <c r="E71" s="25" t="s">
        <v>266</v>
      </c>
      <c r="F71" s="26"/>
      <c r="G71" s="26" t="s">
        <v>963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751</v>
      </c>
      <c r="C72" s="13" t="s">
        <v>666</v>
      </c>
      <c r="D72" s="10" t="s">
        <v>752</v>
      </c>
      <c r="E72" s="25" t="s">
        <v>266</v>
      </c>
      <c r="F72" s="26"/>
      <c r="G72" s="26" t="s">
        <v>964</v>
      </c>
      <c r="H72" s="2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754</v>
      </c>
      <c r="C73" s="13" t="s">
        <v>338</v>
      </c>
      <c r="D73" s="10" t="s">
        <v>755</v>
      </c>
      <c r="E73" s="25" t="s">
        <v>266</v>
      </c>
      <c r="F73" s="26"/>
      <c r="G73" s="26" t="s">
        <v>965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757</v>
      </c>
      <c r="C74" s="13" t="s">
        <v>338</v>
      </c>
      <c r="D74" s="10" t="s">
        <v>758</v>
      </c>
      <c r="E74" s="25" t="s">
        <v>266</v>
      </c>
      <c r="F74" s="26"/>
      <c r="G74" s="26" t="s">
        <v>966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760</v>
      </c>
      <c r="C75" s="13" t="s">
        <v>338</v>
      </c>
      <c r="D75" s="10" t="s">
        <v>761</v>
      </c>
      <c r="E75" s="25" t="s">
        <v>266</v>
      </c>
      <c r="F75" s="26"/>
      <c r="G75" s="26" t="s">
        <v>967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763</v>
      </c>
      <c r="C76" s="13" t="s">
        <v>338</v>
      </c>
      <c r="D76" s="10" t="s">
        <v>764</v>
      </c>
      <c r="E76" s="25" t="s">
        <v>266</v>
      </c>
      <c r="F76" s="26"/>
      <c r="G76" s="26" t="s">
        <v>968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766</v>
      </c>
      <c r="C77" s="13" t="s">
        <v>338</v>
      </c>
      <c r="D77" s="10" t="s">
        <v>767</v>
      </c>
      <c r="E77" s="25" t="s">
        <v>266</v>
      </c>
      <c r="F77" s="26"/>
      <c r="G77" s="26" t="s">
        <v>969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769</v>
      </c>
      <c r="C78" s="13" t="s">
        <v>666</v>
      </c>
      <c r="D78" s="10" t="s">
        <v>770</v>
      </c>
      <c r="E78" s="25" t="s">
        <v>266</v>
      </c>
      <c r="F78" s="26"/>
      <c r="G78" s="26" t="s">
        <v>970</v>
      </c>
      <c r="H78" s="2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772</v>
      </c>
      <c r="C79" s="13" t="s">
        <v>666</v>
      </c>
      <c r="D79" s="10" t="s">
        <v>773</v>
      </c>
      <c r="E79" s="25" t="s">
        <v>266</v>
      </c>
      <c r="F79" s="26"/>
      <c r="G79" s="26" t="s">
        <v>971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775</v>
      </c>
      <c r="C80" s="13" t="s">
        <v>338</v>
      </c>
      <c r="D80" s="10" t="s">
        <v>776</v>
      </c>
      <c r="E80" s="25" t="s">
        <v>266</v>
      </c>
      <c r="F80" s="26"/>
      <c r="G80" s="26" t="s">
        <v>972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778</v>
      </c>
      <c r="C81" s="13" t="s">
        <v>338</v>
      </c>
      <c r="D81" s="10" t="s">
        <v>779</v>
      </c>
      <c r="E81" s="25" t="s">
        <v>266</v>
      </c>
      <c r="F81" s="26"/>
      <c r="G81" s="26" t="s">
        <v>973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781</v>
      </c>
      <c r="C82" s="13" t="s">
        <v>338</v>
      </c>
      <c r="D82" s="10" t="s">
        <v>782</v>
      </c>
      <c r="E82" s="25" t="s">
        <v>266</v>
      </c>
      <c r="F82" s="26"/>
      <c r="G82" s="26" t="s">
        <v>974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784</v>
      </c>
      <c r="C83" s="13" t="s">
        <v>338</v>
      </c>
      <c r="D83" s="10" t="s">
        <v>785</v>
      </c>
      <c r="E83" s="25" t="s">
        <v>266</v>
      </c>
      <c r="F83" s="26"/>
      <c r="G83" s="26" t="s">
        <v>975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787</v>
      </c>
      <c r="C84" s="13" t="s">
        <v>338</v>
      </c>
      <c r="D84" s="10" t="s">
        <v>788</v>
      </c>
      <c r="E84" s="25" t="s">
        <v>266</v>
      </c>
      <c r="F84" s="26"/>
      <c r="G84" s="26" t="s">
        <v>976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413</v>
      </c>
      <c r="C85" s="13" t="s">
        <v>666</v>
      </c>
      <c r="D85" s="10" t="s">
        <v>790</v>
      </c>
      <c r="E85" s="25" t="s">
        <v>266</v>
      </c>
      <c r="F85" s="26"/>
      <c r="G85" s="26" t="s">
        <v>977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792</v>
      </c>
      <c r="C86" s="13" t="s">
        <v>338</v>
      </c>
      <c r="D86" s="10" t="s">
        <v>793</v>
      </c>
      <c r="E86" s="25" t="s">
        <v>266</v>
      </c>
      <c r="F86" s="26"/>
      <c r="G86" s="26" t="s">
        <v>978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418</v>
      </c>
      <c r="C87" s="13" t="s">
        <v>666</v>
      </c>
      <c r="D87" s="10" t="s">
        <v>795</v>
      </c>
      <c r="E87" s="25" t="s">
        <v>266</v>
      </c>
      <c r="F87" s="26"/>
      <c r="G87" s="26" t="s">
        <v>979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797</v>
      </c>
      <c r="C88" s="13" t="s">
        <v>338</v>
      </c>
      <c r="D88" s="10" t="s">
        <v>798</v>
      </c>
      <c r="E88" s="25" t="s">
        <v>266</v>
      </c>
      <c r="F88" s="26"/>
      <c r="G88" s="26" t="s">
        <v>980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800</v>
      </c>
      <c r="C89" s="13" t="s">
        <v>338</v>
      </c>
      <c r="D89" s="10" t="s">
        <v>801</v>
      </c>
      <c r="E89" s="25" t="s">
        <v>266</v>
      </c>
      <c r="F89" s="26"/>
      <c r="G89" s="26" t="s">
        <v>981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551</v>
      </c>
      <c r="C90" s="13" t="s">
        <v>666</v>
      </c>
      <c r="D90" s="10" t="s">
        <v>552</v>
      </c>
      <c r="E90" s="25" t="s">
        <v>266</v>
      </c>
      <c r="F90" s="26"/>
      <c r="G90" s="26" t="s">
        <v>982</v>
      </c>
      <c r="H90" s="27"/>
      <c r="I90" s="26"/>
      <c r="J90" s="15" t="s">
        <v>632</v>
      </c>
      <c r="K90" s="15" t="s">
        <v>404</v>
      </c>
      <c r="L90" s="15" t="s">
        <v>633</v>
      </c>
    </row>
    <row r="91" s="1" customFormat="1" spans="1:12">
      <c r="A91" s="33"/>
      <c r="B91" s="13" t="s">
        <v>805</v>
      </c>
      <c r="C91" s="13" t="s">
        <v>338</v>
      </c>
      <c r="D91" s="10" t="s">
        <v>806</v>
      </c>
      <c r="E91" s="25" t="s">
        <v>266</v>
      </c>
      <c r="F91" s="26"/>
      <c r="G91" s="26" t="s">
        <v>983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808</v>
      </c>
      <c r="C92" s="13" t="s">
        <v>338</v>
      </c>
      <c r="D92" s="10" t="s">
        <v>809</v>
      </c>
      <c r="E92" s="25" t="s">
        <v>266</v>
      </c>
      <c r="F92" s="26"/>
      <c r="G92" s="26" t="s">
        <v>984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811</v>
      </c>
      <c r="C93" s="13" t="s">
        <v>338</v>
      </c>
      <c r="D93" s="10" t="s">
        <v>812</v>
      </c>
      <c r="E93" s="25" t="s">
        <v>266</v>
      </c>
      <c r="F93" s="26"/>
      <c r="G93" s="26" t="s">
        <v>985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814</v>
      </c>
      <c r="C94" s="13" t="s">
        <v>338</v>
      </c>
      <c r="D94" s="10" t="s">
        <v>815</v>
      </c>
      <c r="E94" s="25" t="s">
        <v>266</v>
      </c>
      <c r="F94" s="26"/>
      <c r="G94" s="26" t="s">
        <v>986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817</v>
      </c>
      <c r="C95" s="13" t="s">
        <v>338</v>
      </c>
      <c r="D95" s="10" t="s">
        <v>818</v>
      </c>
      <c r="E95" s="25" t="s">
        <v>266</v>
      </c>
      <c r="F95" s="26"/>
      <c r="G95" s="26" t="s">
        <v>987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820</v>
      </c>
      <c r="C96" s="13" t="s">
        <v>338</v>
      </c>
      <c r="D96" s="10" t="s">
        <v>821</v>
      </c>
      <c r="E96" s="25" t="s">
        <v>266</v>
      </c>
      <c r="F96" s="26"/>
      <c r="G96" s="26" t="s">
        <v>988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556</v>
      </c>
      <c r="C97" s="13" t="s">
        <v>666</v>
      </c>
      <c r="D97" s="10" t="s">
        <v>557</v>
      </c>
      <c r="E97" s="25" t="s">
        <v>266</v>
      </c>
      <c r="F97" s="26"/>
      <c r="G97" s="26" t="s">
        <v>989</v>
      </c>
      <c r="H97" s="27"/>
      <c r="I97" s="26"/>
      <c r="J97" s="15" t="s">
        <v>632</v>
      </c>
      <c r="K97" s="15" t="s">
        <v>404</v>
      </c>
      <c r="L97" s="15" t="s">
        <v>633</v>
      </c>
    </row>
    <row r="98" s="1" customFormat="1" spans="1:12">
      <c r="A98" s="33"/>
      <c r="B98" s="13" t="s">
        <v>824</v>
      </c>
      <c r="C98" s="13" t="s">
        <v>338</v>
      </c>
      <c r="D98" s="10" t="s">
        <v>825</v>
      </c>
      <c r="E98" s="25" t="s">
        <v>266</v>
      </c>
      <c r="F98" s="26"/>
      <c r="G98" s="26" t="s">
        <v>990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827</v>
      </c>
      <c r="C99" s="13" t="s">
        <v>338</v>
      </c>
      <c r="D99" s="10" t="s">
        <v>828</v>
      </c>
      <c r="E99" s="25" t="s">
        <v>266</v>
      </c>
      <c r="F99" s="26"/>
      <c r="G99" s="26" t="s">
        <v>991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830</v>
      </c>
      <c r="C100" s="13" t="s">
        <v>338</v>
      </c>
      <c r="D100" s="10" t="s">
        <v>831</v>
      </c>
      <c r="E100" s="25" t="s">
        <v>266</v>
      </c>
      <c r="F100" s="26"/>
      <c r="G100" s="26" t="s">
        <v>992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833</v>
      </c>
      <c r="C101" s="13" t="s">
        <v>338</v>
      </c>
      <c r="D101" s="10" t="s">
        <v>834</v>
      </c>
      <c r="E101" s="25" t="s">
        <v>266</v>
      </c>
      <c r="F101" s="26"/>
      <c r="G101" s="26" t="s">
        <v>993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836</v>
      </c>
      <c r="C102" s="13" t="s">
        <v>338</v>
      </c>
      <c r="D102" s="10" t="s">
        <v>837</v>
      </c>
      <c r="E102" s="25" t="s">
        <v>266</v>
      </c>
      <c r="F102" s="26"/>
      <c r="G102" s="26" t="s">
        <v>994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839</v>
      </c>
      <c r="C103" s="13" t="s">
        <v>338</v>
      </c>
      <c r="D103" s="10" t="s">
        <v>840</v>
      </c>
      <c r="E103" s="25" t="s">
        <v>266</v>
      </c>
      <c r="F103" s="26"/>
      <c r="G103" s="26" t="s">
        <v>995</v>
      </c>
      <c r="H103" s="27"/>
      <c r="I103" s="26"/>
      <c r="J103" s="15" t="s">
        <v>632</v>
      </c>
      <c r="K103" s="15" t="s">
        <v>294</v>
      </c>
      <c r="L103" s="15" t="s">
        <v>633</v>
      </c>
    </row>
    <row r="104" s="1" customFormat="1" spans="1:12">
      <c r="A104" s="33"/>
      <c r="B104" s="13" t="s">
        <v>560</v>
      </c>
      <c r="C104" s="13" t="s">
        <v>666</v>
      </c>
      <c r="D104" s="10" t="s">
        <v>842</v>
      </c>
      <c r="E104" s="25" t="s">
        <v>266</v>
      </c>
      <c r="F104" s="26"/>
      <c r="G104" s="26" t="s">
        <v>996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75" t="s">
        <v>844</v>
      </c>
      <c r="C105" s="75" t="s">
        <v>338</v>
      </c>
      <c r="D105" s="76" t="s">
        <v>845</v>
      </c>
      <c r="E105" s="25" t="s">
        <v>266</v>
      </c>
      <c r="F105" s="26"/>
      <c r="G105" s="26" t="s">
        <v>997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847</v>
      </c>
      <c r="C106" s="75" t="s">
        <v>338</v>
      </c>
      <c r="D106" s="76" t="s">
        <v>848</v>
      </c>
      <c r="E106" s="25" t="s">
        <v>266</v>
      </c>
      <c r="F106" s="26"/>
      <c r="G106" s="26" t="s">
        <v>998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850</v>
      </c>
      <c r="C107" s="75" t="s">
        <v>338</v>
      </c>
      <c r="D107" s="76" t="s">
        <v>851</v>
      </c>
      <c r="E107" s="25" t="s">
        <v>266</v>
      </c>
      <c r="F107" s="26"/>
      <c r="G107" s="26" t="s">
        <v>999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853</v>
      </c>
      <c r="C108" s="75" t="s">
        <v>338</v>
      </c>
      <c r="D108" s="76" t="s">
        <v>854</v>
      </c>
      <c r="E108" s="25" t="s">
        <v>266</v>
      </c>
      <c r="F108" s="26"/>
      <c r="G108" s="26" t="s">
        <v>1000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856</v>
      </c>
      <c r="C109" s="75" t="s">
        <v>338</v>
      </c>
      <c r="D109" s="76" t="s">
        <v>857</v>
      </c>
      <c r="E109" s="25" t="s">
        <v>266</v>
      </c>
      <c r="F109" s="26"/>
      <c r="G109" s="26" t="s">
        <v>1001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859</v>
      </c>
      <c r="C110" s="13" t="s">
        <v>338</v>
      </c>
      <c r="D110" s="10" t="s">
        <v>860</v>
      </c>
      <c r="E110" s="25" t="s">
        <v>266</v>
      </c>
      <c r="F110" s="26"/>
      <c r="G110" s="26" t="s">
        <v>1002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862</v>
      </c>
      <c r="C111" s="13" t="s">
        <v>666</v>
      </c>
      <c r="D111" s="10" t="s">
        <v>863</v>
      </c>
      <c r="E111" s="25" t="s">
        <v>266</v>
      </c>
      <c r="F111" s="26"/>
      <c r="G111" s="26" t="s">
        <v>1003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462</v>
      </c>
      <c r="C112" s="13" t="s">
        <v>666</v>
      </c>
      <c r="D112" s="10" t="s">
        <v>865</v>
      </c>
      <c r="E112" s="25" t="s">
        <v>266</v>
      </c>
      <c r="F112" s="26"/>
      <c r="G112" s="26" t="s">
        <v>1004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538</v>
      </c>
      <c r="C113" s="13" t="s">
        <v>666</v>
      </c>
      <c r="D113" s="10" t="s">
        <v>539</v>
      </c>
      <c r="E113" s="25" t="s">
        <v>266</v>
      </c>
      <c r="F113" s="26"/>
      <c r="G113" s="26" t="s">
        <v>1005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868</v>
      </c>
      <c r="C114" s="13" t="s">
        <v>338</v>
      </c>
      <c r="D114" s="10" t="s">
        <v>869</v>
      </c>
      <c r="E114" s="25" t="s">
        <v>266</v>
      </c>
      <c r="F114" s="26"/>
      <c r="G114" s="26" t="s">
        <v>1006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871</v>
      </c>
      <c r="C115" s="13" t="s">
        <v>338</v>
      </c>
      <c r="D115" s="10" t="s">
        <v>872</v>
      </c>
      <c r="E115" s="25" t="s">
        <v>266</v>
      </c>
      <c r="F115" s="26"/>
      <c r="G115" s="26" t="s">
        <v>1007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543</v>
      </c>
      <c r="C116" s="13" t="s">
        <v>666</v>
      </c>
      <c r="D116" s="10" t="s">
        <v>544</v>
      </c>
      <c r="E116" s="25" t="s">
        <v>266</v>
      </c>
      <c r="F116" s="26"/>
      <c r="G116" s="26" t="s">
        <v>1008</v>
      </c>
      <c r="H116" s="27"/>
      <c r="I116" s="26"/>
      <c r="J116" s="15" t="s">
        <v>632</v>
      </c>
      <c r="K116" s="15" t="s">
        <v>404</v>
      </c>
      <c r="L116" s="15" t="s">
        <v>633</v>
      </c>
    </row>
    <row r="117" s="1" customFormat="1" spans="1:12">
      <c r="A117" s="33"/>
      <c r="B117" s="13" t="s">
        <v>875</v>
      </c>
      <c r="C117" s="13" t="s">
        <v>338</v>
      </c>
      <c r="D117" s="10" t="s">
        <v>876</v>
      </c>
      <c r="E117" s="25" t="s">
        <v>266</v>
      </c>
      <c r="F117" s="26"/>
      <c r="G117" s="26" t="s">
        <v>1009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887</v>
      </c>
      <c r="C118" s="13" t="s">
        <v>338</v>
      </c>
      <c r="D118" s="10" t="s">
        <v>888</v>
      </c>
      <c r="E118" s="25" t="s">
        <v>266</v>
      </c>
      <c r="F118" s="26"/>
      <c r="G118" s="26" t="s">
        <v>1013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890</v>
      </c>
      <c r="C119" s="13" t="s">
        <v>338</v>
      </c>
      <c r="D119" s="10" t="s">
        <v>891</v>
      </c>
      <c r="E119" s="25" t="s">
        <v>266</v>
      </c>
      <c r="F119" s="26"/>
      <c r="G119" s="26" t="s">
        <v>1014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893</v>
      </c>
      <c r="C120" s="13" t="s">
        <v>338</v>
      </c>
      <c r="D120" s="10" t="s">
        <v>894</v>
      </c>
      <c r="E120" s="25" t="s">
        <v>266</v>
      </c>
      <c r="F120" s="26"/>
      <c r="G120" s="26" t="s">
        <v>1015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="1" customFormat="1" spans="1:12">
      <c r="A121" s="33"/>
      <c r="B121" s="13" t="s">
        <v>896</v>
      </c>
      <c r="C121" s="13" t="s">
        <v>338</v>
      </c>
      <c r="D121" s="10" t="s">
        <v>897</v>
      </c>
      <c r="E121" s="25" t="s">
        <v>266</v>
      </c>
      <c r="F121" s="26"/>
      <c r="G121" s="26" t="s">
        <v>1016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="1" customFormat="1" spans="1:12">
      <c r="A122" s="33"/>
      <c r="B122" s="13" t="s">
        <v>899</v>
      </c>
      <c r="C122" s="13" t="s">
        <v>338</v>
      </c>
      <c r="D122" s="10" t="s">
        <v>900</v>
      </c>
      <c r="E122" s="25" t="s">
        <v>266</v>
      </c>
      <c r="F122" s="26"/>
      <c r="G122" s="26" t="s">
        <v>1017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="1" customFormat="1" spans="1:12">
      <c r="A123" s="33"/>
      <c r="B123" s="13" t="s">
        <v>902</v>
      </c>
      <c r="C123" s="13" t="s">
        <v>338</v>
      </c>
      <c r="D123" s="10" t="s">
        <v>903</v>
      </c>
      <c r="E123" s="25" t="s">
        <v>266</v>
      </c>
      <c r="F123" s="26"/>
      <c r="G123" s="26" t="s">
        <v>1018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905</v>
      </c>
      <c r="C124" s="13" t="s">
        <v>338</v>
      </c>
      <c r="D124" s="10" t="s">
        <v>906</v>
      </c>
      <c r="E124" s="25" t="s">
        <v>266</v>
      </c>
      <c r="F124" s="26"/>
      <c r="G124" s="26" t="s">
        <v>1019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908</v>
      </c>
      <c r="C125" s="13" t="s">
        <v>338</v>
      </c>
      <c r="D125" s="10" t="s">
        <v>909</v>
      </c>
      <c r="E125" s="25" t="s">
        <v>266</v>
      </c>
      <c r="F125" s="26"/>
      <c r="G125" s="26" t="s">
        <v>1020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911</v>
      </c>
      <c r="C126" s="13" t="s">
        <v>338</v>
      </c>
      <c r="D126" s="10" t="s">
        <v>912</v>
      </c>
      <c r="E126" s="25" t="s">
        <v>266</v>
      </c>
      <c r="F126" s="26"/>
      <c r="G126" s="26" t="s">
        <v>1021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914</v>
      </c>
      <c r="C127" s="13" t="s">
        <v>338</v>
      </c>
      <c r="D127" s="10" t="s">
        <v>915</v>
      </c>
      <c r="E127" s="25" t="s">
        <v>266</v>
      </c>
      <c r="F127" s="26"/>
      <c r="G127" s="26" t="s">
        <v>1022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3" t="s">
        <v>917</v>
      </c>
      <c r="C128" s="13" t="s">
        <v>338</v>
      </c>
      <c r="D128" s="10" t="s">
        <v>918</v>
      </c>
      <c r="E128" s="25" t="s">
        <v>266</v>
      </c>
      <c r="F128" s="26"/>
      <c r="G128" s="26" t="s">
        <v>1023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pans="2:12">
      <c r="B129" s="13" t="s">
        <v>920</v>
      </c>
      <c r="C129" s="13" t="s">
        <v>338</v>
      </c>
      <c r="D129" s="10" t="s">
        <v>921</v>
      </c>
      <c r="E129" s="25" t="s">
        <v>266</v>
      </c>
      <c r="F129" s="26"/>
      <c r="G129" s="26" t="s">
        <v>1024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pans="2:12">
      <c r="B130" s="13" t="s">
        <v>923</v>
      </c>
      <c r="C130" s="13" t="s">
        <v>338</v>
      </c>
      <c r="D130" s="10" t="s">
        <v>924</v>
      </c>
      <c r="E130" s="25" t="s">
        <v>266</v>
      </c>
      <c r="F130" s="26"/>
      <c r="G130" s="26" t="s">
        <v>1025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pans="2:12">
      <c r="B131" s="13" t="s">
        <v>926</v>
      </c>
      <c r="C131" s="13" t="s">
        <v>291</v>
      </c>
      <c r="D131" s="10" t="s">
        <v>927</v>
      </c>
      <c r="E131" s="25" t="s">
        <v>266</v>
      </c>
      <c r="F131" s="26"/>
      <c r="G131" s="35" t="s">
        <v>1026</v>
      </c>
      <c r="H131" s="27"/>
      <c r="I131" s="56">
        <v>20250415101139</v>
      </c>
      <c r="J131" s="15" t="s">
        <v>632</v>
      </c>
      <c r="K131" s="15" t="s">
        <v>294</v>
      </c>
      <c r="L131" s="15" t="s">
        <v>670</v>
      </c>
    </row>
    <row r="132" spans="2:12">
      <c r="B132" s="13" t="s">
        <v>929</v>
      </c>
      <c r="C132" s="13" t="s">
        <v>291</v>
      </c>
      <c r="D132" s="10" t="s">
        <v>930</v>
      </c>
      <c r="E132" s="25" t="s">
        <v>266</v>
      </c>
      <c r="F132" s="26"/>
      <c r="G132" s="35" t="s">
        <v>1027</v>
      </c>
      <c r="H132" s="27"/>
      <c r="I132" s="56">
        <v>20250415101024</v>
      </c>
      <c r="J132" s="15" t="s">
        <v>632</v>
      </c>
      <c r="K132" s="15" t="s">
        <v>294</v>
      </c>
      <c r="L132" s="15" t="s">
        <v>670</v>
      </c>
    </row>
    <row r="133" spans="2:12">
      <c r="B133" s="17" t="s">
        <v>594</v>
      </c>
      <c r="C133" s="18" t="s">
        <v>307</v>
      </c>
      <c r="D133" s="19" t="s">
        <v>595</v>
      </c>
      <c r="E133" s="28"/>
      <c r="F133" s="28"/>
      <c r="G133" s="28" t="s">
        <v>932</v>
      </c>
      <c r="H133" s="17"/>
      <c r="I133" s="17"/>
      <c r="J133" s="17"/>
      <c r="K133" s="17"/>
      <c r="L133" s="17"/>
    </row>
    <row r="134" spans="2:12">
      <c r="B134" s="17" t="s">
        <v>596</v>
      </c>
      <c r="C134" s="18" t="s">
        <v>291</v>
      </c>
      <c r="D134" s="19" t="s">
        <v>597</v>
      </c>
      <c r="E134" s="28"/>
      <c r="F134" s="28"/>
      <c r="G134" s="28" t="s">
        <v>932</v>
      </c>
      <c r="H134" s="17" t="s">
        <v>932</v>
      </c>
      <c r="I134" s="17"/>
      <c r="J134" s="17"/>
      <c r="K134" s="17"/>
      <c r="L134" s="17"/>
    </row>
  </sheetData>
  <autoFilter xmlns:etc="http://www.wps.cn/officeDocument/2017/etCustomData" ref="A13:Q134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Q37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63</v>
      </c>
      <c r="D5" s="14" t="s">
        <v>64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55</v>
      </c>
      <c r="D9" s="14" t="s">
        <v>56</v>
      </c>
      <c r="E9" s="13" t="s">
        <v>266</v>
      </c>
      <c r="F9" s="26"/>
      <c r="G9" s="26"/>
      <c r="H9" s="23" t="s">
        <v>44</v>
      </c>
    </row>
    <row r="10" spans="2:8">
      <c r="B10" s="13"/>
      <c r="C10" s="10" t="s">
        <v>1244</v>
      </c>
      <c r="D10" s="10" t="s">
        <v>1245</v>
      </c>
      <c r="E10" s="13" t="s">
        <v>269</v>
      </c>
      <c r="F10" s="13" t="s">
        <v>1246</v>
      </c>
      <c r="G10" s="13"/>
      <c r="H10" s="23"/>
    </row>
    <row r="11" spans="2:8">
      <c r="B11" s="13"/>
      <c r="C11" s="10" t="s">
        <v>1247</v>
      </c>
      <c r="D11" s="10" t="s">
        <v>1248</v>
      </c>
      <c r="E11" s="13" t="s">
        <v>273</v>
      </c>
      <c r="F11" s="13" t="s">
        <v>1249</v>
      </c>
      <c r="G11" s="13"/>
      <c r="H11" s="13"/>
    </row>
    <row r="13" spans="2:2">
      <c r="B13" s="3" t="s">
        <v>279</v>
      </c>
    </row>
    <row r="14" ht="13.5" spans="2:12">
      <c r="B14" s="7" t="s">
        <v>279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3.5" spans="2:12">
      <c r="B15" s="8" t="s">
        <v>280</v>
      </c>
      <c r="C15" s="8" t="s">
        <v>281</v>
      </c>
      <c r="D15" s="8" t="s">
        <v>282</v>
      </c>
      <c r="E15" s="8" t="s">
        <v>283</v>
      </c>
      <c r="F15" s="12" t="s">
        <v>284</v>
      </c>
      <c r="G15" s="12" t="s">
        <v>285</v>
      </c>
      <c r="H15" s="8" t="s">
        <v>286</v>
      </c>
      <c r="I15" s="8" t="s">
        <v>17</v>
      </c>
      <c r="J15" s="8" t="s">
        <v>287</v>
      </c>
      <c r="K15" s="8" t="s">
        <v>288</v>
      </c>
      <c r="L15" s="8" t="s">
        <v>289</v>
      </c>
    </row>
    <row r="16" s="1" customFormat="1" spans="2:12">
      <c r="B16" s="35" t="s">
        <v>602</v>
      </c>
      <c r="C16" s="35" t="s">
        <v>291</v>
      </c>
      <c r="D16" s="10" t="s">
        <v>603</v>
      </c>
      <c r="E16" s="77" t="s">
        <v>266</v>
      </c>
      <c r="F16" s="35" t="s">
        <v>596</v>
      </c>
      <c r="G16" s="35" t="s">
        <v>293</v>
      </c>
      <c r="H16" s="77"/>
      <c r="I16" s="58"/>
      <c r="J16" s="58" t="s">
        <v>604</v>
      </c>
      <c r="K16" s="58" t="s">
        <v>294</v>
      </c>
      <c r="L16" s="58" t="s">
        <v>294</v>
      </c>
    </row>
    <row r="17" s="1" customFormat="1" spans="2:12">
      <c r="B17" s="35" t="s">
        <v>606</v>
      </c>
      <c r="C17" s="35" t="s">
        <v>307</v>
      </c>
      <c r="D17" s="10" t="s">
        <v>48</v>
      </c>
      <c r="E17" s="77" t="s">
        <v>266</v>
      </c>
      <c r="F17" s="35" t="s">
        <v>598</v>
      </c>
      <c r="G17" s="35" t="s">
        <v>293</v>
      </c>
      <c r="H17" s="77"/>
      <c r="I17" s="58"/>
      <c r="J17" s="58" t="s">
        <v>604</v>
      </c>
      <c r="K17" s="58" t="s">
        <v>294</v>
      </c>
      <c r="L17" s="58" t="s">
        <v>294</v>
      </c>
    </row>
    <row r="18" s="1" customFormat="1" spans="1:12">
      <c r="A18" s="33"/>
      <c r="B18" s="35" t="s">
        <v>613</v>
      </c>
      <c r="C18" s="35" t="s">
        <v>307</v>
      </c>
      <c r="D18" s="10" t="s">
        <v>614</v>
      </c>
      <c r="E18" s="77" t="s">
        <v>266</v>
      </c>
      <c r="F18" s="35" t="s">
        <v>594</v>
      </c>
      <c r="G18" s="35" t="s">
        <v>293</v>
      </c>
      <c r="H18" s="77"/>
      <c r="I18" s="58"/>
      <c r="J18" s="58" t="s">
        <v>604</v>
      </c>
      <c r="K18" s="58" t="s">
        <v>294</v>
      </c>
      <c r="L18" s="58" t="s">
        <v>294</v>
      </c>
    </row>
    <row r="19" s="1" customFormat="1" spans="1:12">
      <c r="A19" s="33"/>
      <c r="B19" s="35" t="s">
        <v>517</v>
      </c>
      <c r="C19" s="35" t="s">
        <v>307</v>
      </c>
      <c r="D19" s="10" t="s">
        <v>616</v>
      </c>
      <c r="E19" s="77" t="s">
        <v>266</v>
      </c>
      <c r="F19" s="35" t="s">
        <v>517</v>
      </c>
      <c r="G19" s="35" t="s">
        <v>293</v>
      </c>
      <c r="H19" s="77"/>
      <c r="I19" s="58"/>
      <c r="J19" s="58" t="s">
        <v>604</v>
      </c>
      <c r="K19" s="58" t="s">
        <v>294</v>
      </c>
      <c r="L19" s="58" t="s">
        <v>294</v>
      </c>
    </row>
    <row r="20" s="1" customFormat="1" spans="1:12">
      <c r="A20" s="33"/>
      <c r="B20" s="35" t="s">
        <v>520</v>
      </c>
      <c r="C20" s="35" t="s">
        <v>307</v>
      </c>
      <c r="D20" s="10" t="s">
        <v>521</v>
      </c>
      <c r="E20" s="77" t="s">
        <v>266</v>
      </c>
      <c r="F20" s="35" t="s">
        <v>520</v>
      </c>
      <c r="G20" s="35" t="s">
        <v>293</v>
      </c>
      <c r="H20" s="77"/>
      <c r="I20" s="58"/>
      <c r="J20" s="58" t="s">
        <v>604</v>
      </c>
      <c r="K20" s="58" t="s">
        <v>294</v>
      </c>
      <c r="L20" s="58" t="s">
        <v>294</v>
      </c>
    </row>
    <row r="21" s="1" customFormat="1" spans="1:12">
      <c r="A21" s="33"/>
      <c r="B21" s="35" t="s">
        <v>514</v>
      </c>
      <c r="C21" s="35" t="s">
        <v>291</v>
      </c>
      <c r="D21" s="10" t="s">
        <v>1250</v>
      </c>
      <c r="E21" s="77" t="s">
        <v>266</v>
      </c>
      <c r="F21" s="35" t="s">
        <v>514</v>
      </c>
      <c r="G21" s="35" t="s">
        <v>293</v>
      </c>
      <c r="H21" s="77"/>
      <c r="I21" s="58"/>
      <c r="J21" s="58" t="s">
        <v>604</v>
      </c>
      <c r="K21" s="58" t="s">
        <v>294</v>
      </c>
      <c r="L21" s="58" t="s">
        <v>294</v>
      </c>
    </row>
    <row r="22" s="1" customFormat="1" spans="1:12">
      <c r="A22" s="33"/>
      <c r="B22" s="35" t="s">
        <v>295</v>
      </c>
      <c r="C22" s="35" t="s">
        <v>291</v>
      </c>
      <c r="D22" s="10" t="s">
        <v>296</v>
      </c>
      <c r="E22" s="77" t="s">
        <v>266</v>
      </c>
      <c r="F22" s="35" t="s">
        <v>295</v>
      </c>
      <c r="G22" s="35" t="s">
        <v>293</v>
      </c>
      <c r="H22" s="77"/>
      <c r="I22" s="58"/>
      <c r="J22" s="58" t="s">
        <v>604</v>
      </c>
      <c r="K22" s="58" t="s">
        <v>294</v>
      </c>
      <c r="L22" s="58" t="s">
        <v>294</v>
      </c>
    </row>
    <row r="23" s="1" customFormat="1" spans="1:12">
      <c r="A23" s="33"/>
      <c r="B23" s="35" t="s">
        <v>297</v>
      </c>
      <c r="C23" s="35" t="s">
        <v>291</v>
      </c>
      <c r="D23" s="10" t="s">
        <v>298</v>
      </c>
      <c r="E23" s="77" t="s">
        <v>266</v>
      </c>
      <c r="F23" s="35" t="s">
        <v>297</v>
      </c>
      <c r="G23" s="35" t="s">
        <v>293</v>
      </c>
      <c r="H23" s="77"/>
      <c r="I23" s="58"/>
      <c r="J23" s="58" t="s">
        <v>604</v>
      </c>
      <c r="K23" s="58" t="s">
        <v>294</v>
      </c>
      <c r="L23" s="58" t="s">
        <v>294</v>
      </c>
    </row>
    <row r="24" s="1" customFormat="1" spans="1:12">
      <c r="A24" s="33"/>
      <c r="B24" s="35" t="s">
        <v>300</v>
      </c>
      <c r="C24" s="35" t="s">
        <v>291</v>
      </c>
      <c r="D24" s="10" t="s">
        <v>1251</v>
      </c>
      <c r="E24" s="77" t="s">
        <v>266</v>
      </c>
      <c r="F24" s="35" t="s">
        <v>300</v>
      </c>
      <c r="G24" s="35" t="s">
        <v>293</v>
      </c>
      <c r="H24" s="77"/>
      <c r="I24" s="58"/>
      <c r="J24" s="58" t="s">
        <v>604</v>
      </c>
      <c r="K24" s="58" t="s">
        <v>294</v>
      </c>
      <c r="L24" s="58" t="s">
        <v>294</v>
      </c>
    </row>
    <row r="25" s="1" customFormat="1" spans="1:12">
      <c r="A25" s="33"/>
      <c r="B25" s="35" t="s">
        <v>331</v>
      </c>
      <c r="C25" s="35" t="s">
        <v>291</v>
      </c>
      <c r="D25" s="10" t="s">
        <v>332</v>
      </c>
      <c r="E25" s="77" t="s">
        <v>266</v>
      </c>
      <c r="F25" s="35" t="s">
        <v>331</v>
      </c>
      <c r="G25" s="35" t="s">
        <v>293</v>
      </c>
      <c r="H25" s="77"/>
      <c r="I25" s="58"/>
      <c r="J25" s="58" t="s">
        <v>604</v>
      </c>
      <c r="K25" s="58" t="s">
        <v>294</v>
      </c>
      <c r="L25" s="58" t="s">
        <v>294</v>
      </c>
    </row>
    <row r="26" s="1" customFormat="1" spans="1:12">
      <c r="A26" s="33"/>
      <c r="B26" s="35" t="s">
        <v>1252</v>
      </c>
      <c r="C26" s="35" t="s">
        <v>291</v>
      </c>
      <c r="D26" s="10" t="s">
        <v>1253</v>
      </c>
      <c r="E26" s="77" t="s">
        <v>266</v>
      </c>
      <c r="F26" s="35"/>
      <c r="G26" s="35" t="s">
        <v>1254</v>
      </c>
      <c r="H26" s="77"/>
      <c r="I26" s="58"/>
      <c r="J26" s="58" t="s">
        <v>604</v>
      </c>
      <c r="K26" s="58" t="s">
        <v>294</v>
      </c>
      <c r="L26" s="58" t="s">
        <v>294</v>
      </c>
    </row>
    <row r="27" s="1" customFormat="1" spans="1:12">
      <c r="A27" s="33"/>
      <c r="B27" s="35" t="s">
        <v>1255</v>
      </c>
      <c r="C27" s="35" t="s">
        <v>291</v>
      </c>
      <c r="D27" s="10" t="s">
        <v>1256</v>
      </c>
      <c r="E27" s="77" t="s">
        <v>269</v>
      </c>
      <c r="F27" s="35" t="s">
        <v>1257</v>
      </c>
      <c r="G27" s="35" t="s">
        <v>293</v>
      </c>
      <c r="H27" s="77"/>
      <c r="I27" s="58"/>
      <c r="J27" s="58" t="s">
        <v>604</v>
      </c>
      <c r="K27" s="58" t="s">
        <v>294</v>
      </c>
      <c r="L27" s="58" t="s">
        <v>294</v>
      </c>
    </row>
    <row r="28" s="1" customFormat="1" spans="1:12">
      <c r="A28" s="33"/>
      <c r="B28" s="35" t="s">
        <v>926</v>
      </c>
      <c r="C28" s="35" t="s">
        <v>291</v>
      </c>
      <c r="D28" s="10" t="s">
        <v>927</v>
      </c>
      <c r="E28" s="77" t="s">
        <v>266</v>
      </c>
      <c r="F28" s="35"/>
      <c r="G28" s="35" t="s">
        <v>1026</v>
      </c>
      <c r="H28" s="77"/>
      <c r="I28" s="58"/>
      <c r="J28" s="58" t="s">
        <v>632</v>
      </c>
      <c r="K28" s="58" t="s">
        <v>294</v>
      </c>
      <c r="L28" s="58" t="s">
        <v>294</v>
      </c>
    </row>
    <row r="29" s="1" customFormat="1" spans="1:12">
      <c r="A29" s="33"/>
      <c r="B29" s="35" t="s">
        <v>929</v>
      </c>
      <c r="C29" s="35" t="s">
        <v>291</v>
      </c>
      <c r="D29" s="10" t="s">
        <v>930</v>
      </c>
      <c r="E29" s="77" t="s">
        <v>266</v>
      </c>
      <c r="F29" s="35"/>
      <c r="G29" s="35" t="s">
        <v>1027</v>
      </c>
      <c r="H29" s="77"/>
      <c r="I29" s="58"/>
      <c r="J29" s="58" t="s">
        <v>632</v>
      </c>
      <c r="K29" s="58" t="s">
        <v>294</v>
      </c>
      <c r="L29" s="58" t="s">
        <v>294</v>
      </c>
    </row>
    <row r="30" s="1" customFormat="1" spans="1:12">
      <c r="A30" s="33"/>
      <c r="B30" s="35" t="s">
        <v>1258</v>
      </c>
      <c r="C30" s="35" t="s">
        <v>338</v>
      </c>
      <c r="D30" s="10" t="s">
        <v>1259</v>
      </c>
      <c r="E30" s="77" t="s">
        <v>266</v>
      </c>
      <c r="F30" s="35"/>
      <c r="G30" s="35" t="s">
        <v>934</v>
      </c>
      <c r="H30" s="77"/>
      <c r="I30" s="58"/>
      <c r="J30" s="58" t="s">
        <v>632</v>
      </c>
      <c r="K30" s="58" t="s">
        <v>294</v>
      </c>
      <c r="L30" s="58" t="s">
        <v>633</v>
      </c>
    </row>
    <row r="31" s="1" customFormat="1" spans="1:12">
      <c r="A31" s="33"/>
      <c r="B31" s="35" t="s">
        <v>629</v>
      </c>
      <c r="C31" s="35" t="s">
        <v>338</v>
      </c>
      <c r="D31" s="10" t="s">
        <v>1260</v>
      </c>
      <c r="E31" s="77" t="s">
        <v>266</v>
      </c>
      <c r="F31" s="35"/>
      <c r="G31" s="35" t="s">
        <v>933</v>
      </c>
      <c r="H31" s="77"/>
      <c r="I31" s="58"/>
      <c r="J31" s="58" t="s">
        <v>632</v>
      </c>
      <c r="K31" s="58" t="s">
        <v>294</v>
      </c>
      <c r="L31" s="58" t="s">
        <v>633</v>
      </c>
    </row>
    <row r="32" s="1" customFormat="1" spans="1:12">
      <c r="A32" s="33"/>
      <c r="B32" s="35" t="s">
        <v>1261</v>
      </c>
      <c r="C32" s="35" t="s">
        <v>666</v>
      </c>
      <c r="D32" s="10" t="s">
        <v>1262</v>
      </c>
      <c r="E32" s="77" t="s">
        <v>266</v>
      </c>
      <c r="F32" s="35"/>
      <c r="G32" s="35" t="s">
        <v>1263</v>
      </c>
      <c r="H32" s="77"/>
      <c r="I32" s="58"/>
      <c r="J32" s="58" t="s">
        <v>632</v>
      </c>
      <c r="K32" s="58" t="s">
        <v>294</v>
      </c>
      <c r="L32" s="58" t="s">
        <v>1264</v>
      </c>
    </row>
    <row r="33" s="1" customFormat="1" spans="1:12">
      <c r="A33" s="33"/>
      <c r="B33" s="35" t="s">
        <v>337</v>
      </c>
      <c r="C33" s="35" t="s">
        <v>338</v>
      </c>
      <c r="D33" s="10" t="s">
        <v>1265</v>
      </c>
      <c r="E33" s="77" t="s">
        <v>266</v>
      </c>
      <c r="F33" s="35"/>
      <c r="G33" s="35" t="s">
        <v>641</v>
      </c>
      <c r="H33" s="77"/>
      <c r="I33" s="58"/>
      <c r="J33" s="58" t="s">
        <v>632</v>
      </c>
      <c r="K33" s="58" t="s">
        <v>404</v>
      </c>
      <c r="L33" s="58" t="s">
        <v>633</v>
      </c>
    </row>
    <row r="34" s="1" customFormat="1" spans="1:12">
      <c r="A34" s="33"/>
      <c r="B34" s="35" t="s">
        <v>1266</v>
      </c>
      <c r="C34" s="35" t="s">
        <v>338</v>
      </c>
      <c r="D34" s="10" t="s">
        <v>1267</v>
      </c>
      <c r="E34" s="77" t="s">
        <v>266</v>
      </c>
      <c r="F34" s="35"/>
      <c r="G34" s="35" t="s">
        <v>1268</v>
      </c>
      <c r="H34" s="77"/>
      <c r="I34" s="58"/>
      <c r="J34" s="58" t="s">
        <v>632</v>
      </c>
      <c r="K34" s="58" t="s">
        <v>644</v>
      </c>
      <c r="L34" s="58" t="s">
        <v>633</v>
      </c>
    </row>
    <row r="35" s="2" customFormat="1" spans="2:17">
      <c r="B35" s="17" t="s">
        <v>594</v>
      </c>
      <c r="C35" s="18" t="s">
        <v>307</v>
      </c>
      <c r="D35" s="19" t="s">
        <v>595</v>
      </c>
      <c r="E35" s="28"/>
      <c r="F35" s="28"/>
      <c r="G35" s="28" t="s">
        <v>932</v>
      </c>
      <c r="H35" s="17" t="s">
        <v>932</v>
      </c>
      <c r="I35" s="17"/>
      <c r="J35" s="17"/>
      <c r="K35" s="17"/>
      <c r="L35" s="17"/>
      <c r="M35" s="17"/>
      <c r="N35" s="17"/>
      <c r="O35" s="17"/>
      <c r="P35" s="17"/>
      <c r="Q35" s="17"/>
    </row>
    <row r="36" s="2" customFormat="1" spans="2:17">
      <c r="B36" s="17" t="s">
        <v>596</v>
      </c>
      <c r="C36" s="18" t="s">
        <v>291</v>
      </c>
      <c r="D36" s="19" t="s">
        <v>597</v>
      </c>
      <c r="E36" s="28"/>
      <c r="F36" s="28"/>
      <c r="G36" s="28" t="s">
        <v>932</v>
      </c>
      <c r="H36" s="17" t="s">
        <v>932</v>
      </c>
      <c r="I36" s="17"/>
      <c r="J36" s="17"/>
      <c r="K36" s="17"/>
      <c r="L36" s="17"/>
      <c r="M36" s="17"/>
      <c r="N36" s="17"/>
      <c r="O36" s="17"/>
      <c r="P36" s="17"/>
      <c r="Q36" s="17"/>
    </row>
    <row r="37" s="2" customFormat="1" spans="2:17">
      <c r="B37" s="17" t="s">
        <v>598</v>
      </c>
      <c r="C37" s="18" t="s">
        <v>307</v>
      </c>
      <c r="D37" s="19" t="s">
        <v>599</v>
      </c>
      <c r="E37" s="28"/>
      <c r="F37" s="28"/>
      <c r="G37" s="28" t="s">
        <v>932</v>
      </c>
      <c r="H37" s="17" t="s">
        <v>932</v>
      </c>
      <c r="I37" s="17"/>
      <c r="J37" s="17"/>
      <c r="K37" s="17"/>
      <c r="L37" s="17"/>
      <c r="M37" s="17"/>
      <c r="N37" s="17"/>
      <c r="O37" s="17"/>
      <c r="P37" s="17"/>
      <c r="Q37" s="17"/>
    </row>
  </sheetData>
  <autoFilter xmlns:etc="http://www.wps.cn/officeDocument/2017/etCustomData" ref="A15:Q37" etc:filterBottomFollowUsedRange="0">
    <extLst/>
  </autoFilter>
  <mergeCells count="6">
    <mergeCell ref="B2:H2"/>
    <mergeCell ref="B3:H3"/>
    <mergeCell ref="B7:H7"/>
    <mergeCell ref="F10:G10"/>
    <mergeCell ref="F11:G11"/>
    <mergeCell ref="B14:L14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133"/>
  <sheetViews>
    <sheetView zoomScale="85" zoomScaleNormal="85" workbookViewId="0">
      <pane ySplit="5" topLeftCell="A105" activePane="bottomLeft" state="frozen"/>
      <selection/>
      <selection pane="bottomLeft" activeCell="A118" sqref="$A116:$XFD118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68</v>
      </c>
      <c r="D5" s="14" t="s">
        <v>69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55</v>
      </c>
      <c r="D9" s="14" t="s">
        <v>56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3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572</v>
      </c>
      <c r="C26" s="34" t="s">
        <v>291</v>
      </c>
      <c r="D26" s="10" t="s">
        <v>573</v>
      </c>
      <c r="E26" s="25" t="s">
        <v>266</v>
      </c>
      <c r="F26" s="10" t="s">
        <v>572</v>
      </c>
      <c r="G26" s="26" t="s">
        <v>293</v>
      </c>
      <c r="H26" s="37"/>
      <c r="I26" s="15"/>
      <c r="J26" s="15" t="s">
        <v>604</v>
      </c>
      <c r="K26" s="15" t="s">
        <v>294</v>
      </c>
      <c r="L26" s="15" t="s">
        <v>575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634</v>
      </c>
      <c r="C28" s="13" t="s">
        <v>338</v>
      </c>
      <c r="D28" s="10" t="s">
        <v>635</v>
      </c>
      <c r="E28" s="25" t="s">
        <v>266</v>
      </c>
      <c r="F28" s="26"/>
      <c r="G28" s="26" t="s">
        <v>934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337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2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342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340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653</v>
      </c>
      <c r="C35" s="13" t="s">
        <v>338</v>
      </c>
      <c r="D35" s="10" t="s">
        <v>654</v>
      </c>
      <c r="E35" s="25" t="s">
        <v>266</v>
      </c>
      <c r="F35" s="26"/>
      <c r="G35" s="26" t="s">
        <v>938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662</v>
      </c>
      <c r="C38" s="13" t="s">
        <v>338</v>
      </c>
      <c r="D38" s="10" t="s">
        <v>663</v>
      </c>
      <c r="E38" s="25" t="s">
        <v>266</v>
      </c>
      <c r="F38" s="26"/>
      <c r="G38" s="26" t="s">
        <v>941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665</v>
      </c>
      <c r="C39" s="13" t="s">
        <v>666</v>
      </c>
      <c r="D39" s="10" t="s">
        <v>667</v>
      </c>
      <c r="E39" s="25" t="s">
        <v>266</v>
      </c>
      <c r="F39" s="26"/>
      <c r="G39" s="26" t="s">
        <v>942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671</v>
      </c>
      <c r="C40" s="13" t="s">
        <v>666</v>
      </c>
      <c r="D40" s="10" t="s">
        <v>672</v>
      </c>
      <c r="E40" s="25" t="s">
        <v>266</v>
      </c>
      <c r="F40" s="26"/>
      <c r="G40" s="26" t="s">
        <v>943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675</v>
      </c>
      <c r="C41" s="13" t="s">
        <v>666</v>
      </c>
      <c r="D41" s="10" t="s">
        <v>676</v>
      </c>
      <c r="E41" s="25" t="s">
        <v>266</v>
      </c>
      <c r="F41" s="26"/>
      <c r="G41" s="26" t="s">
        <v>944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678</v>
      </c>
      <c r="C42" s="13" t="s">
        <v>666</v>
      </c>
      <c r="D42" s="10" t="s">
        <v>679</v>
      </c>
      <c r="E42" s="25" t="s">
        <v>266</v>
      </c>
      <c r="F42" s="26"/>
      <c r="G42" s="26" t="s">
        <v>945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681</v>
      </c>
      <c r="C43" s="13" t="s">
        <v>666</v>
      </c>
      <c r="D43" s="10" t="s">
        <v>682</v>
      </c>
      <c r="E43" s="25" t="s">
        <v>266</v>
      </c>
      <c r="F43" s="26"/>
      <c r="G43" s="26" t="s">
        <v>946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684</v>
      </c>
      <c r="C44" s="13" t="s">
        <v>666</v>
      </c>
      <c r="D44" s="10" t="s">
        <v>685</v>
      </c>
      <c r="E44" s="25" t="s">
        <v>266</v>
      </c>
      <c r="F44" s="26"/>
      <c r="G44" s="26" t="s">
        <v>947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687</v>
      </c>
      <c r="C45" s="13" t="s">
        <v>666</v>
      </c>
      <c r="D45" s="10" t="s">
        <v>688</v>
      </c>
      <c r="E45" s="25" t="s">
        <v>266</v>
      </c>
      <c r="F45" s="26"/>
      <c r="G45" s="26" t="s">
        <v>948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690</v>
      </c>
      <c r="C46" s="13" t="s">
        <v>666</v>
      </c>
      <c r="D46" s="10" t="s">
        <v>691</v>
      </c>
      <c r="E46" s="25" t="s">
        <v>266</v>
      </c>
      <c r="F46" s="26"/>
      <c r="G46" s="26" t="s">
        <v>949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346</v>
      </c>
      <c r="C47" s="13" t="s">
        <v>338</v>
      </c>
      <c r="D47" s="10" t="s">
        <v>693</v>
      </c>
      <c r="E47" s="25" t="s">
        <v>266</v>
      </c>
      <c r="F47" s="26"/>
      <c r="G47" s="26" t="s">
        <v>694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344</v>
      </c>
      <c r="C48" s="13" t="s">
        <v>338</v>
      </c>
      <c r="D48" s="10" t="s">
        <v>695</v>
      </c>
      <c r="E48" s="25" t="s">
        <v>266</v>
      </c>
      <c r="F48" s="26"/>
      <c r="G48" s="26" t="s">
        <v>696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392</v>
      </c>
      <c r="C49" s="13" t="s">
        <v>338</v>
      </c>
      <c r="D49" s="10" t="s">
        <v>697</v>
      </c>
      <c r="E49" s="25" t="s">
        <v>266</v>
      </c>
      <c r="F49" s="26"/>
      <c r="G49" s="26" t="s">
        <v>698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394</v>
      </c>
      <c r="C50" s="13" t="s">
        <v>338</v>
      </c>
      <c r="D50" s="10" t="s">
        <v>699</v>
      </c>
      <c r="E50" s="25" t="s">
        <v>266</v>
      </c>
      <c r="F50" s="26"/>
      <c r="G50" s="26" t="s">
        <v>700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701</v>
      </c>
      <c r="C51" s="13" t="s">
        <v>338</v>
      </c>
      <c r="D51" s="10" t="s">
        <v>702</v>
      </c>
      <c r="E51" s="25" t="s">
        <v>266</v>
      </c>
      <c r="F51" s="26"/>
      <c r="G51" s="26" t="s">
        <v>950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704</v>
      </c>
      <c r="C52" s="13" t="s">
        <v>338</v>
      </c>
      <c r="D52" s="10" t="s">
        <v>705</v>
      </c>
      <c r="E52" s="25" t="s">
        <v>266</v>
      </c>
      <c r="F52" s="26"/>
      <c r="G52" s="26" t="s">
        <v>951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707</v>
      </c>
      <c r="C53" s="13" t="s">
        <v>338</v>
      </c>
      <c r="D53" s="10" t="s">
        <v>708</v>
      </c>
      <c r="E53" s="25" t="s">
        <v>266</v>
      </c>
      <c r="F53" s="26"/>
      <c r="G53" s="26" t="s">
        <v>952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710</v>
      </c>
      <c r="C54" s="13" t="s">
        <v>338</v>
      </c>
      <c r="D54" s="10" t="s">
        <v>711</v>
      </c>
      <c r="E54" s="25" t="s">
        <v>266</v>
      </c>
      <c r="F54" s="26"/>
      <c r="G54" s="26" t="s">
        <v>953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713</v>
      </c>
      <c r="C55" s="13" t="s">
        <v>338</v>
      </c>
      <c r="D55" s="10" t="s">
        <v>714</v>
      </c>
      <c r="E55" s="25" t="s">
        <v>266</v>
      </c>
      <c r="F55" s="26"/>
      <c r="G55" s="26" t="s">
        <v>954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716</v>
      </c>
      <c r="C56" s="13" t="s">
        <v>338</v>
      </c>
      <c r="D56" s="10" t="s">
        <v>717</v>
      </c>
      <c r="E56" s="25" t="s">
        <v>266</v>
      </c>
      <c r="F56" s="26"/>
      <c r="G56" s="26" t="s">
        <v>955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410</v>
      </c>
      <c r="C57" s="13" t="s">
        <v>338</v>
      </c>
      <c r="D57" s="10" t="s">
        <v>719</v>
      </c>
      <c r="E57" s="25" t="s">
        <v>266</v>
      </c>
      <c r="F57" s="26"/>
      <c r="G57" s="26" t="s">
        <v>720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412</v>
      </c>
      <c r="C58" s="13" t="s">
        <v>338</v>
      </c>
      <c r="D58" s="10" t="s">
        <v>721</v>
      </c>
      <c r="E58" s="25" t="s">
        <v>266</v>
      </c>
      <c r="F58" s="26"/>
      <c r="G58" s="26" t="s">
        <v>722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528</v>
      </c>
      <c r="C59" s="13" t="s">
        <v>338</v>
      </c>
      <c r="D59" s="10" t="s">
        <v>723</v>
      </c>
      <c r="E59" s="25" t="s">
        <v>266</v>
      </c>
      <c r="F59" s="26"/>
      <c r="G59" s="26" t="s">
        <v>724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532</v>
      </c>
      <c r="C60" s="13" t="s">
        <v>338</v>
      </c>
      <c r="D60" s="10" t="s">
        <v>725</v>
      </c>
      <c r="E60" s="25" t="s">
        <v>266</v>
      </c>
      <c r="F60" s="26"/>
      <c r="G60" s="26" t="s">
        <v>726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535</v>
      </c>
      <c r="C61" s="13" t="s">
        <v>338</v>
      </c>
      <c r="D61" s="10" t="s">
        <v>536</v>
      </c>
      <c r="E61" s="25" t="s">
        <v>266</v>
      </c>
      <c r="F61" s="26"/>
      <c r="G61" s="26" t="s">
        <v>727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728</v>
      </c>
      <c r="C62" s="13" t="s">
        <v>338</v>
      </c>
      <c r="D62" s="10" t="s">
        <v>729</v>
      </c>
      <c r="E62" s="25" t="s">
        <v>266</v>
      </c>
      <c r="F62" s="26"/>
      <c r="G62" s="26" t="s">
        <v>956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730</v>
      </c>
      <c r="C63" s="13" t="s">
        <v>666</v>
      </c>
      <c r="D63" s="10" t="s">
        <v>731</v>
      </c>
      <c r="E63" s="25" t="s">
        <v>266</v>
      </c>
      <c r="F63" s="26"/>
      <c r="G63" s="26" t="s">
        <v>957</v>
      </c>
      <c r="H63" s="2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733</v>
      </c>
      <c r="C64" s="13" t="s">
        <v>338</v>
      </c>
      <c r="D64" s="10" t="s">
        <v>734</v>
      </c>
      <c r="E64" s="25" t="s">
        <v>266</v>
      </c>
      <c r="F64" s="26"/>
      <c r="G64" s="26" t="s">
        <v>958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736</v>
      </c>
      <c r="C65" s="13" t="s">
        <v>338</v>
      </c>
      <c r="D65" s="10" t="s">
        <v>737</v>
      </c>
      <c r="E65" s="25" t="s">
        <v>266</v>
      </c>
      <c r="F65" s="26"/>
      <c r="G65" s="26" t="s">
        <v>959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739</v>
      </c>
      <c r="C66" s="13" t="s">
        <v>338</v>
      </c>
      <c r="D66" s="10" t="s">
        <v>740</v>
      </c>
      <c r="E66" s="25" t="s">
        <v>266</v>
      </c>
      <c r="F66" s="26"/>
      <c r="G66" s="26" t="s">
        <v>960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742</v>
      </c>
      <c r="C67" s="13" t="s">
        <v>338</v>
      </c>
      <c r="D67" s="10" t="s">
        <v>743</v>
      </c>
      <c r="E67" s="25" t="s">
        <v>266</v>
      </c>
      <c r="F67" s="26"/>
      <c r="G67" s="26" t="s">
        <v>961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745</v>
      </c>
      <c r="C68" s="13" t="s">
        <v>338</v>
      </c>
      <c r="D68" s="10" t="s">
        <v>746</v>
      </c>
      <c r="E68" s="25" t="s">
        <v>266</v>
      </c>
      <c r="F68" s="26"/>
      <c r="G68" s="26" t="s">
        <v>962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748</v>
      </c>
      <c r="C69" s="13" t="s">
        <v>338</v>
      </c>
      <c r="D69" s="10" t="s">
        <v>749</v>
      </c>
      <c r="E69" s="25" t="s">
        <v>266</v>
      </c>
      <c r="F69" s="26"/>
      <c r="G69" s="26" t="s">
        <v>963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751</v>
      </c>
      <c r="C70" s="13" t="s">
        <v>666</v>
      </c>
      <c r="D70" s="10" t="s">
        <v>752</v>
      </c>
      <c r="E70" s="25" t="s">
        <v>266</v>
      </c>
      <c r="F70" s="26"/>
      <c r="G70" s="26" t="s">
        <v>964</v>
      </c>
      <c r="H70" s="2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754</v>
      </c>
      <c r="C71" s="13" t="s">
        <v>338</v>
      </c>
      <c r="D71" s="10" t="s">
        <v>755</v>
      </c>
      <c r="E71" s="25" t="s">
        <v>266</v>
      </c>
      <c r="F71" s="26"/>
      <c r="G71" s="26" t="s">
        <v>965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757</v>
      </c>
      <c r="C72" s="13" t="s">
        <v>338</v>
      </c>
      <c r="D72" s="10" t="s">
        <v>758</v>
      </c>
      <c r="E72" s="25" t="s">
        <v>266</v>
      </c>
      <c r="F72" s="26"/>
      <c r="G72" s="26" t="s">
        <v>966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760</v>
      </c>
      <c r="C73" s="13" t="s">
        <v>338</v>
      </c>
      <c r="D73" s="10" t="s">
        <v>761</v>
      </c>
      <c r="E73" s="25" t="s">
        <v>266</v>
      </c>
      <c r="F73" s="26"/>
      <c r="G73" s="26" t="s">
        <v>967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763</v>
      </c>
      <c r="C74" s="13" t="s">
        <v>338</v>
      </c>
      <c r="D74" s="10" t="s">
        <v>764</v>
      </c>
      <c r="E74" s="25" t="s">
        <v>266</v>
      </c>
      <c r="F74" s="26"/>
      <c r="G74" s="26" t="s">
        <v>968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766</v>
      </c>
      <c r="C75" s="13" t="s">
        <v>338</v>
      </c>
      <c r="D75" s="10" t="s">
        <v>767</v>
      </c>
      <c r="E75" s="25" t="s">
        <v>266</v>
      </c>
      <c r="F75" s="26"/>
      <c r="G75" s="26" t="s">
        <v>969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769</v>
      </c>
      <c r="C76" s="13" t="s">
        <v>666</v>
      </c>
      <c r="D76" s="10" t="s">
        <v>770</v>
      </c>
      <c r="E76" s="25" t="s">
        <v>266</v>
      </c>
      <c r="F76" s="26"/>
      <c r="G76" s="26" t="s">
        <v>970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772</v>
      </c>
      <c r="C77" s="13" t="s">
        <v>666</v>
      </c>
      <c r="D77" s="10" t="s">
        <v>773</v>
      </c>
      <c r="E77" s="25" t="s">
        <v>266</v>
      </c>
      <c r="F77" s="26"/>
      <c r="G77" s="26" t="s">
        <v>971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775</v>
      </c>
      <c r="C78" s="13" t="s">
        <v>338</v>
      </c>
      <c r="D78" s="10" t="s">
        <v>776</v>
      </c>
      <c r="E78" s="25" t="s">
        <v>266</v>
      </c>
      <c r="F78" s="26"/>
      <c r="G78" s="26" t="s">
        <v>972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778</v>
      </c>
      <c r="C79" s="13" t="s">
        <v>338</v>
      </c>
      <c r="D79" s="10" t="s">
        <v>779</v>
      </c>
      <c r="E79" s="25" t="s">
        <v>266</v>
      </c>
      <c r="F79" s="26"/>
      <c r="G79" s="26" t="s">
        <v>973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781</v>
      </c>
      <c r="C80" s="13" t="s">
        <v>338</v>
      </c>
      <c r="D80" s="10" t="s">
        <v>782</v>
      </c>
      <c r="E80" s="25" t="s">
        <v>266</v>
      </c>
      <c r="F80" s="26"/>
      <c r="G80" s="26" t="s">
        <v>974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784</v>
      </c>
      <c r="C81" s="13" t="s">
        <v>338</v>
      </c>
      <c r="D81" s="10" t="s">
        <v>785</v>
      </c>
      <c r="E81" s="25" t="s">
        <v>266</v>
      </c>
      <c r="F81" s="26"/>
      <c r="G81" s="26" t="s">
        <v>975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787</v>
      </c>
      <c r="C82" s="13" t="s">
        <v>338</v>
      </c>
      <c r="D82" s="10" t="s">
        <v>788</v>
      </c>
      <c r="E82" s="25" t="s">
        <v>266</v>
      </c>
      <c r="F82" s="26"/>
      <c r="G82" s="26" t="s">
        <v>976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413</v>
      </c>
      <c r="C83" s="13" t="s">
        <v>666</v>
      </c>
      <c r="D83" s="10" t="s">
        <v>790</v>
      </c>
      <c r="E83" s="25" t="s">
        <v>266</v>
      </c>
      <c r="F83" s="26"/>
      <c r="G83" s="26" t="s">
        <v>977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792</v>
      </c>
      <c r="C84" s="13" t="s">
        <v>338</v>
      </c>
      <c r="D84" s="10" t="s">
        <v>793</v>
      </c>
      <c r="E84" s="25" t="s">
        <v>266</v>
      </c>
      <c r="F84" s="26"/>
      <c r="G84" s="26" t="s">
        <v>978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418</v>
      </c>
      <c r="C85" s="13" t="s">
        <v>666</v>
      </c>
      <c r="D85" s="10" t="s">
        <v>795</v>
      </c>
      <c r="E85" s="25" t="s">
        <v>266</v>
      </c>
      <c r="F85" s="26"/>
      <c r="G85" s="26" t="s">
        <v>979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797</v>
      </c>
      <c r="C86" s="13" t="s">
        <v>338</v>
      </c>
      <c r="D86" s="10" t="s">
        <v>798</v>
      </c>
      <c r="E86" s="25" t="s">
        <v>266</v>
      </c>
      <c r="F86" s="26"/>
      <c r="G86" s="26" t="s">
        <v>980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800</v>
      </c>
      <c r="C87" s="13" t="s">
        <v>338</v>
      </c>
      <c r="D87" s="10" t="s">
        <v>801</v>
      </c>
      <c r="E87" s="25" t="s">
        <v>266</v>
      </c>
      <c r="F87" s="26"/>
      <c r="G87" s="26" t="s">
        <v>981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551</v>
      </c>
      <c r="C88" s="13" t="s">
        <v>666</v>
      </c>
      <c r="D88" s="10" t="s">
        <v>552</v>
      </c>
      <c r="E88" s="25" t="s">
        <v>266</v>
      </c>
      <c r="F88" s="26"/>
      <c r="G88" s="26" t="s">
        <v>982</v>
      </c>
      <c r="H88" s="2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805</v>
      </c>
      <c r="C89" s="13" t="s">
        <v>338</v>
      </c>
      <c r="D89" s="10" t="s">
        <v>806</v>
      </c>
      <c r="E89" s="25" t="s">
        <v>266</v>
      </c>
      <c r="F89" s="26"/>
      <c r="G89" s="26" t="s">
        <v>983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808</v>
      </c>
      <c r="C90" s="13" t="s">
        <v>338</v>
      </c>
      <c r="D90" s="10" t="s">
        <v>809</v>
      </c>
      <c r="E90" s="25" t="s">
        <v>266</v>
      </c>
      <c r="F90" s="26"/>
      <c r="G90" s="26" t="s">
        <v>984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811</v>
      </c>
      <c r="C91" s="13" t="s">
        <v>338</v>
      </c>
      <c r="D91" s="10" t="s">
        <v>812</v>
      </c>
      <c r="E91" s="25" t="s">
        <v>266</v>
      </c>
      <c r="F91" s="26"/>
      <c r="G91" s="26" t="s">
        <v>985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814</v>
      </c>
      <c r="C92" s="13" t="s">
        <v>338</v>
      </c>
      <c r="D92" s="10" t="s">
        <v>815</v>
      </c>
      <c r="E92" s="25" t="s">
        <v>266</v>
      </c>
      <c r="F92" s="26"/>
      <c r="G92" s="26" t="s">
        <v>986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817</v>
      </c>
      <c r="C93" s="13" t="s">
        <v>338</v>
      </c>
      <c r="D93" s="10" t="s">
        <v>818</v>
      </c>
      <c r="E93" s="25" t="s">
        <v>266</v>
      </c>
      <c r="F93" s="26"/>
      <c r="G93" s="26" t="s">
        <v>987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820</v>
      </c>
      <c r="C94" s="13" t="s">
        <v>338</v>
      </c>
      <c r="D94" s="10" t="s">
        <v>821</v>
      </c>
      <c r="E94" s="25" t="s">
        <v>266</v>
      </c>
      <c r="F94" s="26"/>
      <c r="G94" s="26" t="s">
        <v>988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556</v>
      </c>
      <c r="C95" s="13" t="s">
        <v>666</v>
      </c>
      <c r="D95" s="10" t="s">
        <v>557</v>
      </c>
      <c r="E95" s="25" t="s">
        <v>266</v>
      </c>
      <c r="F95" s="26"/>
      <c r="G95" s="26" t="s">
        <v>989</v>
      </c>
      <c r="H95" s="2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824</v>
      </c>
      <c r="C96" s="13" t="s">
        <v>338</v>
      </c>
      <c r="D96" s="10" t="s">
        <v>825</v>
      </c>
      <c r="E96" s="25" t="s">
        <v>266</v>
      </c>
      <c r="F96" s="26"/>
      <c r="G96" s="26" t="s">
        <v>990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827</v>
      </c>
      <c r="C97" s="13" t="s">
        <v>338</v>
      </c>
      <c r="D97" s="10" t="s">
        <v>828</v>
      </c>
      <c r="E97" s="25" t="s">
        <v>266</v>
      </c>
      <c r="F97" s="26"/>
      <c r="G97" s="26" t="s">
        <v>991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830</v>
      </c>
      <c r="C98" s="13" t="s">
        <v>338</v>
      </c>
      <c r="D98" s="10" t="s">
        <v>831</v>
      </c>
      <c r="E98" s="25" t="s">
        <v>266</v>
      </c>
      <c r="F98" s="26"/>
      <c r="G98" s="26" t="s">
        <v>992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833</v>
      </c>
      <c r="C99" s="13" t="s">
        <v>338</v>
      </c>
      <c r="D99" s="10" t="s">
        <v>834</v>
      </c>
      <c r="E99" s="25" t="s">
        <v>266</v>
      </c>
      <c r="F99" s="26"/>
      <c r="G99" s="26" t="s">
        <v>993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836</v>
      </c>
      <c r="C100" s="13" t="s">
        <v>338</v>
      </c>
      <c r="D100" s="10" t="s">
        <v>837</v>
      </c>
      <c r="E100" s="25" t="s">
        <v>266</v>
      </c>
      <c r="F100" s="26"/>
      <c r="G100" s="26" t="s">
        <v>994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839</v>
      </c>
      <c r="C101" s="13" t="s">
        <v>338</v>
      </c>
      <c r="D101" s="10" t="s">
        <v>840</v>
      </c>
      <c r="E101" s="25" t="s">
        <v>266</v>
      </c>
      <c r="F101" s="26"/>
      <c r="G101" s="26" t="s">
        <v>995</v>
      </c>
      <c r="H101" s="27"/>
      <c r="I101" s="26"/>
      <c r="J101" s="15" t="s">
        <v>632</v>
      </c>
      <c r="K101" s="15" t="s">
        <v>294</v>
      </c>
      <c r="L101" s="15" t="s">
        <v>633</v>
      </c>
    </row>
    <row r="102" s="1" customFormat="1" spans="1:12">
      <c r="A102" s="33"/>
      <c r="B102" s="13" t="s">
        <v>560</v>
      </c>
      <c r="C102" s="13" t="s">
        <v>666</v>
      </c>
      <c r="D102" s="10" t="s">
        <v>842</v>
      </c>
      <c r="E102" s="25" t="s">
        <v>266</v>
      </c>
      <c r="F102" s="26"/>
      <c r="G102" s="26" t="s">
        <v>996</v>
      </c>
      <c r="H102" s="27"/>
      <c r="I102" s="26"/>
      <c r="J102" s="15" t="s">
        <v>632</v>
      </c>
      <c r="K102" s="15" t="s">
        <v>404</v>
      </c>
      <c r="L102" s="15" t="s">
        <v>633</v>
      </c>
    </row>
    <row r="103" s="1" customFormat="1" spans="1:12">
      <c r="A103" s="33"/>
      <c r="B103" s="75" t="s">
        <v>844</v>
      </c>
      <c r="C103" s="75" t="s">
        <v>338</v>
      </c>
      <c r="D103" s="76" t="s">
        <v>845</v>
      </c>
      <c r="E103" s="25" t="s">
        <v>266</v>
      </c>
      <c r="F103" s="26"/>
      <c r="G103" s="26" t="s">
        <v>997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847</v>
      </c>
      <c r="C104" s="75" t="s">
        <v>338</v>
      </c>
      <c r="D104" s="76" t="s">
        <v>848</v>
      </c>
      <c r="E104" s="25" t="s">
        <v>266</v>
      </c>
      <c r="F104" s="26"/>
      <c r="G104" s="26" t="s">
        <v>998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850</v>
      </c>
      <c r="C105" s="75" t="s">
        <v>338</v>
      </c>
      <c r="D105" s="76" t="s">
        <v>851</v>
      </c>
      <c r="E105" s="25" t="s">
        <v>266</v>
      </c>
      <c r="F105" s="26"/>
      <c r="G105" s="26" t="s">
        <v>999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853</v>
      </c>
      <c r="C106" s="75" t="s">
        <v>338</v>
      </c>
      <c r="D106" s="76" t="s">
        <v>854</v>
      </c>
      <c r="E106" s="25" t="s">
        <v>266</v>
      </c>
      <c r="F106" s="26"/>
      <c r="G106" s="26" t="s">
        <v>1000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856</v>
      </c>
      <c r="C107" s="75" t="s">
        <v>338</v>
      </c>
      <c r="D107" s="76" t="s">
        <v>857</v>
      </c>
      <c r="E107" s="25" t="s">
        <v>266</v>
      </c>
      <c r="F107" s="26"/>
      <c r="G107" s="26" t="s">
        <v>1001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859</v>
      </c>
      <c r="C108" s="13" t="s">
        <v>338</v>
      </c>
      <c r="D108" s="10" t="s">
        <v>860</v>
      </c>
      <c r="E108" s="25" t="s">
        <v>266</v>
      </c>
      <c r="F108" s="26"/>
      <c r="G108" s="26" t="s">
        <v>1002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862</v>
      </c>
      <c r="C109" s="13" t="s">
        <v>666</v>
      </c>
      <c r="D109" s="10" t="s">
        <v>863</v>
      </c>
      <c r="E109" s="25" t="s">
        <v>266</v>
      </c>
      <c r="F109" s="26"/>
      <c r="G109" s="26" t="s">
        <v>1003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462</v>
      </c>
      <c r="C110" s="13" t="s">
        <v>666</v>
      </c>
      <c r="D110" s="10" t="s">
        <v>865</v>
      </c>
      <c r="E110" s="25" t="s">
        <v>266</v>
      </c>
      <c r="F110" s="26"/>
      <c r="G110" s="26" t="s">
        <v>1004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538</v>
      </c>
      <c r="C111" s="13" t="s">
        <v>666</v>
      </c>
      <c r="D111" s="10" t="s">
        <v>539</v>
      </c>
      <c r="E111" s="25" t="s">
        <v>266</v>
      </c>
      <c r="F111" s="26"/>
      <c r="G111" s="26" t="s">
        <v>1005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868</v>
      </c>
      <c r="C112" s="13" t="s">
        <v>338</v>
      </c>
      <c r="D112" s="10" t="s">
        <v>869</v>
      </c>
      <c r="E112" s="25" t="s">
        <v>266</v>
      </c>
      <c r="F112" s="26"/>
      <c r="G112" s="26" t="s">
        <v>1006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871</v>
      </c>
      <c r="C113" s="13" t="s">
        <v>338</v>
      </c>
      <c r="D113" s="10" t="s">
        <v>872</v>
      </c>
      <c r="E113" s="25" t="s">
        <v>266</v>
      </c>
      <c r="F113" s="26"/>
      <c r="G113" s="26" t="s">
        <v>1007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543</v>
      </c>
      <c r="C114" s="13" t="s">
        <v>666</v>
      </c>
      <c r="D114" s="10" t="s">
        <v>544</v>
      </c>
      <c r="E114" s="25" t="s">
        <v>266</v>
      </c>
      <c r="F114" s="26"/>
      <c r="G114" s="26" t="s">
        <v>1008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875</v>
      </c>
      <c r="C115" s="13" t="s">
        <v>338</v>
      </c>
      <c r="D115" s="10" t="s">
        <v>876</v>
      </c>
      <c r="E115" s="25" t="s">
        <v>266</v>
      </c>
      <c r="F115" s="26"/>
      <c r="G115" s="26" t="s">
        <v>1009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887</v>
      </c>
      <c r="C116" s="13" t="s">
        <v>338</v>
      </c>
      <c r="D116" s="10" t="s">
        <v>888</v>
      </c>
      <c r="E116" s="25" t="s">
        <v>266</v>
      </c>
      <c r="F116" s="26"/>
      <c r="G116" s="26" t="s">
        <v>1013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890</v>
      </c>
      <c r="C117" s="13" t="s">
        <v>338</v>
      </c>
      <c r="D117" s="10" t="s">
        <v>891</v>
      </c>
      <c r="E117" s="25" t="s">
        <v>266</v>
      </c>
      <c r="F117" s="26"/>
      <c r="G117" s="26" t="s">
        <v>1014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893</v>
      </c>
      <c r="C118" s="13" t="s">
        <v>338</v>
      </c>
      <c r="D118" s="10" t="s">
        <v>894</v>
      </c>
      <c r="E118" s="25" t="s">
        <v>266</v>
      </c>
      <c r="F118" s="26"/>
      <c r="G118" s="26" t="s">
        <v>1015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896</v>
      </c>
      <c r="C119" s="13" t="s">
        <v>338</v>
      </c>
      <c r="D119" s="10" t="s">
        <v>897</v>
      </c>
      <c r="E119" s="25" t="s">
        <v>266</v>
      </c>
      <c r="F119" s="26"/>
      <c r="G119" s="26" t="s">
        <v>1016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899</v>
      </c>
      <c r="C120" s="13" t="s">
        <v>338</v>
      </c>
      <c r="D120" s="10" t="s">
        <v>900</v>
      </c>
      <c r="E120" s="25" t="s">
        <v>266</v>
      </c>
      <c r="F120" s="26"/>
      <c r="G120" s="26" t="s">
        <v>1017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902</v>
      </c>
      <c r="C121" s="13" t="s">
        <v>338</v>
      </c>
      <c r="D121" s="10" t="s">
        <v>903</v>
      </c>
      <c r="E121" s="25" t="s">
        <v>266</v>
      </c>
      <c r="F121" s="26"/>
      <c r="G121" s="26" t="s">
        <v>1018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905</v>
      </c>
      <c r="C122" s="13" t="s">
        <v>338</v>
      </c>
      <c r="D122" s="10" t="s">
        <v>906</v>
      </c>
      <c r="E122" s="25" t="s">
        <v>266</v>
      </c>
      <c r="F122" s="26"/>
      <c r="G122" s="26" t="s">
        <v>1019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908</v>
      </c>
      <c r="C123" s="13" t="s">
        <v>338</v>
      </c>
      <c r="D123" s="10" t="s">
        <v>909</v>
      </c>
      <c r="E123" s="25" t="s">
        <v>266</v>
      </c>
      <c r="F123" s="26"/>
      <c r="G123" s="26" t="s">
        <v>1020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911</v>
      </c>
      <c r="C124" s="13" t="s">
        <v>338</v>
      </c>
      <c r="D124" s="10" t="s">
        <v>912</v>
      </c>
      <c r="E124" s="25" t="s">
        <v>266</v>
      </c>
      <c r="F124" s="26"/>
      <c r="G124" s="26" t="s">
        <v>1021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914</v>
      </c>
      <c r="C125" s="13" t="s">
        <v>338</v>
      </c>
      <c r="D125" s="10" t="s">
        <v>915</v>
      </c>
      <c r="E125" s="25" t="s">
        <v>266</v>
      </c>
      <c r="F125" s="26"/>
      <c r="G125" s="26" t="s">
        <v>1022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917</v>
      </c>
      <c r="C126" s="13" t="s">
        <v>338</v>
      </c>
      <c r="D126" s="10" t="s">
        <v>918</v>
      </c>
      <c r="E126" s="25" t="s">
        <v>266</v>
      </c>
      <c r="F126" s="26"/>
      <c r="G126" s="26" t="s">
        <v>1023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920</v>
      </c>
      <c r="C127" s="13" t="s">
        <v>338</v>
      </c>
      <c r="D127" s="10" t="s">
        <v>921</v>
      </c>
      <c r="E127" s="25" t="s">
        <v>266</v>
      </c>
      <c r="F127" s="26"/>
      <c r="G127" s="26" t="s">
        <v>1024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3" t="s">
        <v>923</v>
      </c>
      <c r="C128" s="13" t="s">
        <v>338</v>
      </c>
      <c r="D128" s="10" t="s">
        <v>924</v>
      </c>
      <c r="E128" s="25" t="s">
        <v>266</v>
      </c>
      <c r="F128" s="26"/>
      <c r="G128" s="26" t="s">
        <v>1025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pans="2:12">
      <c r="B129" s="13" t="s">
        <v>926</v>
      </c>
      <c r="C129" s="13" t="s">
        <v>291</v>
      </c>
      <c r="D129" s="10" t="s">
        <v>927</v>
      </c>
      <c r="E129" s="25" t="s">
        <v>266</v>
      </c>
      <c r="F129" s="26"/>
      <c r="G129" s="35" t="s">
        <v>1026</v>
      </c>
      <c r="H129" s="27"/>
      <c r="I129" s="56">
        <v>20250415101139</v>
      </c>
      <c r="J129" s="15" t="s">
        <v>632</v>
      </c>
      <c r="K129" s="15" t="s">
        <v>294</v>
      </c>
      <c r="L129" s="15" t="s">
        <v>670</v>
      </c>
    </row>
    <row r="130" spans="2:12">
      <c r="B130" s="13" t="s">
        <v>929</v>
      </c>
      <c r="C130" s="13" t="s">
        <v>291</v>
      </c>
      <c r="D130" s="10" t="s">
        <v>930</v>
      </c>
      <c r="E130" s="25" t="s">
        <v>266</v>
      </c>
      <c r="F130" s="26"/>
      <c r="G130" s="35" t="s">
        <v>1027</v>
      </c>
      <c r="H130" s="27"/>
      <c r="I130" s="56">
        <v>20250415101024</v>
      </c>
      <c r="J130" s="15" t="s">
        <v>632</v>
      </c>
      <c r="K130" s="15" t="s">
        <v>294</v>
      </c>
      <c r="L130" s="15" t="s">
        <v>670</v>
      </c>
    </row>
    <row r="131" spans="2:12">
      <c r="B131" s="17" t="s">
        <v>594</v>
      </c>
      <c r="C131" s="18" t="s">
        <v>307</v>
      </c>
      <c r="D131" s="19" t="s">
        <v>595</v>
      </c>
      <c r="E131" s="28"/>
      <c r="F131" s="28"/>
      <c r="G131" s="28" t="s">
        <v>932</v>
      </c>
      <c r="H131" s="17"/>
      <c r="I131" s="17"/>
      <c r="J131" s="17"/>
      <c r="K131" s="17"/>
      <c r="L131" s="17"/>
    </row>
    <row r="132" spans="2:12">
      <c r="B132" s="17" t="s">
        <v>596</v>
      </c>
      <c r="C132" s="18" t="s">
        <v>291</v>
      </c>
      <c r="D132" s="19" t="s">
        <v>597</v>
      </c>
      <c r="E132" s="28"/>
      <c r="F132" s="28"/>
      <c r="G132" s="28" t="s">
        <v>932</v>
      </c>
      <c r="H132" s="17" t="s">
        <v>932</v>
      </c>
      <c r="I132" s="17"/>
      <c r="J132" s="17"/>
      <c r="K132" s="17"/>
      <c r="L132" s="17"/>
    </row>
    <row r="133" spans="2:12">
      <c r="B133" s="17" t="s">
        <v>598</v>
      </c>
      <c r="C133" s="18" t="s">
        <v>307</v>
      </c>
      <c r="D133" s="19" t="s">
        <v>599</v>
      </c>
      <c r="E133" s="28"/>
      <c r="F133" s="28"/>
      <c r="G133" s="28" t="s">
        <v>932</v>
      </c>
      <c r="H133" s="17" t="s">
        <v>932</v>
      </c>
      <c r="I133" s="17"/>
      <c r="J133" s="17"/>
      <c r="K133" s="17"/>
      <c r="L133" s="17"/>
    </row>
  </sheetData>
  <autoFilter xmlns:etc="http://www.wps.cn/officeDocument/2017/etCustomData" ref="A13:Q133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zoomScale="85" zoomScaleNormal="85" workbookViewId="0">
      <pane ySplit="5" topLeftCell="A105" activePane="bottomLeft" state="frozen"/>
      <selection/>
      <selection pane="bottomLeft" activeCell="D124" sqref="D124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71</v>
      </c>
      <c r="D5" s="14" t="s">
        <v>72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68</v>
      </c>
      <c r="D9" s="14" t="s">
        <v>69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3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32" t="s">
        <v>572</v>
      </c>
      <c r="C25" s="34" t="s">
        <v>291</v>
      </c>
      <c r="D25" s="10" t="s">
        <v>573</v>
      </c>
      <c r="E25" s="25" t="s">
        <v>266</v>
      </c>
      <c r="F25" s="10" t="s">
        <v>572</v>
      </c>
      <c r="G25" s="26" t="s">
        <v>293</v>
      </c>
      <c r="H25" s="37"/>
      <c r="I25" s="15"/>
      <c r="J25" s="15" t="s">
        <v>604</v>
      </c>
      <c r="K25" s="15" t="s">
        <v>294</v>
      </c>
      <c r="L25" s="15" t="s">
        <v>575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634</v>
      </c>
      <c r="C27" s="13" t="s">
        <v>338</v>
      </c>
      <c r="D27" s="10" t="s">
        <v>635</v>
      </c>
      <c r="E27" s="25" t="s">
        <v>266</v>
      </c>
      <c r="F27" s="26"/>
      <c r="G27" s="26" t="s">
        <v>934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637</v>
      </c>
      <c r="C28" s="13" t="s">
        <v>338</v>
      </c>
      <c r="D28" s="10" t="s">
        <v>638</v>
      </c>
      <c r="E28" s="25" t="s">
        <v>266</v>
      </c>
      <c r="F28" s="26"/>
      <c r="G28" s="26" t="s">
        <v>935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32" t="s">
        <v>337</v>
      </c>
      <c r="C29" s="32" t="s">
        <v>338</v>
      </c>
      <c r="D29" s="10" t="s">
        <v>640</v>
      </c>
      <c r="E29" s="25" t="s">
        <v>266</v>
      </c>
      <c r="F29" s="26"/>
      <c r="G29" s="26" t="s">
        <v>641</v>
      </c>
      <c r="H29" s="27"/>
      <c r="I29" s="26"/>
      <c r="J29" s="15" t="s">
        <v>632</v>
      </c>
      <c r="K29" s="15" t="s">
        <v>404</v>
      </c>
      <c r="L29" s="15" t="s">
        <v>633</v>
      </c>
    </row>
    <row r="30" s="1" customFormat="1" spans="1:12">
      <c r="A30" s="33"/>
      <c r="B30" s="13" t="s">
        <v>342</v>
      </c>
      <c r="C30" s="13" t="s">
        <v>338</v>
      </c>
      <c r="D30" s="10" t="s">
        <v>642</v>
      </c>
      <c r="E30" s="25" t="s">
        <v>266</v>
      </c>
      <c r="F30" s="26"/>
      <c r="G30" s="26" t="s">
        <v>643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340</v>
      </c>
      <c r="C31" s="13" t="s">
        <v>338</v>
      </c>
      <c r="D31" s="10" t="s">
        <v>645</v>
      </c>
      <c r="E31" s="25" t="s">
        <v>266</v>
      </c>
      <c r="F31" s="26"/>
      <c r="G31" s="26" t="s">
        <v>646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647</v>
      </c>
      <c r="C32" s="13" t="s">
        <v>338</v>
      </c>
      <c r="D32" s="10" t="s">
        <v>648</v>
      </c>
      <c r="E32" s="25" t="s">
        <v>266</v>
      </c>
      <c r="F32" s="26"/>
      <c r="G32" s="26" t="s">
        <v>936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650</v>
      </c>
      <c r="C33" s="13" t="s">
        <v>338</v>
      </c>
      <c r="D33" s="10" t="s">
        <v>651</v>
      </c>
      <c r="E33" s="25" t="s">
        <v>266</v>
      </c>
      <c r="F33" s="26"/>
      <c r="G33" s="26" t="s">
        <v>937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653</v>
      </c>
      <c r="C34" s="13" t="s">
        <v>338</v>
      </c>
      <c r="D34" s="10" t="s">
        <v>654</v>
      </c>
      <c r="E34" s="25" t="s">
        <v>266</v>
      </c>
      <c r="F34" s="26"/>
      <c r="G34" s="26" t="s">
        <v>938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662</v>
      </c>
      <c r="C37" s="13" t="s">
        <v>338</v>
      </c>
      <c r="D37" s="10" t="s">
        <v>663</v>
      </c>
      <c r="E37" s="25" t="s">
        <v>266</v>
      </c>
      <c r="F37" s="26"/>
      <c r="G37" s="26" t="s">
        <v>941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665</v>
      </c>
      <c r="C38" s="13" t="s">
        <v>666</v>
      </c>
      <c r="D38" s="10" t="s">
        <v>667</v>
      </c>
      <c r="E38" s="25" t="s">
        <v>266</v>
      </c>
      <c r="F38" s="26"/>
      <c r="G38" s="26" t="s">
        <v>942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671</v>
      </c>
      <c r="C39" s="13" t="s">
        <v>666</v>
      </c>
      <c r="D39" s="10" t="s">
        <v>672</v>
      </c>
      <c r="E39" s="25" t="s">
        <v>266</v>
      </c>
      <c r="F39" s="26"/>
      <c r="G39" s="26" t="s">
        <v>943</v>
      </c>
      <c r="H39" s="27"/>
      <c r="I39" s="26"/>
      <c r="J39" s="15" t="s">
        <v>632</v>
      </c>
      <c r="K39" s="15" t="s">
        <v>674</v>
      </c>
      <c r="L39" s="15" t="s">
        <v>670</v>
      </c>
    </row>
    <row r="40" s="1" customFormat="1" spans="1:12">
      <c r="A40" s="33"/>
      <c r="B40" s="13" t="s">
        <v>675</v>
      </c>
      <c r="C40" s="13" t="s">
        <v>666</v>
      </c>
      <c r="D40" s="10" t="s">
        <v>676</v>
      </c>
      <c r="E40" s="25" t="s">
        <v>266</v>
      </c>
      <c r="F40" s="26"/>
      <c r="G40" s="26" t="s">
        <v>944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678</v>
      </c>
      <c r="C41" s="13" t="s">
        <v>666</v>
      </c>
      <c r="D41" s="10" t="s">
        <v>679</v>
      </c>
      <c r="E41" s="25" t="s">
        <v>266</v>
      </c>
      <c r="F41" s="26"/>
      <c r="G41" s="26" t="s">
        <v>945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681</v>
      </c>
      <c r="C42" s="13" t="s">
        <v>666</v>
      </c>
      <c r="D42" s="10" t="s">
        <v>682</v>
      </c>
      <c r="E42" s="25" t="s">
        <v>266</v>
      </c>
      <c r="F42" s="26"/>
      <c r="G42" s="26" t="s">
        <v>946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684</v>
      </c>
      <c r="C43" s="13" t="s">
        <v>666</v>
      </c>
      <c r="D43" s="10" t="s">
        <v>685</v>
      </c>
      <c r="E43" s="25" t="s">
        <v>266</v>
      </c>
      <c r="F43" s="26"/>
      <c r="G43" s="26" t="s">
        <v>947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687</v>
      </c>
      <c r="C44" s="13" t="s">
        <v>666</v>
      </c>
      <c r="D44" s="10" t="s">
        <v>688</v>
      </c>
      <c r="E44" s="25" t="s">
        <v>266</v>
      </c>
      <c r="F44" s="26"/>
      <c r="G44" s="26" t="s">
        <v>948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690</v>
      </c>
      <c r="C45" s="13" t="s">
        <v>666</v>
      </c>
      <c r="D45" s="10" t="s">
        <v>691</v>
      </c>
      <c r="E45" s="25" t="s">
        <v>266</v>
      </c>
      <c r="F45" s="26"/>
      <c r="G45" s="26" t="s">
        <v>949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346</v>
      </c>
      <c r="C46" s="13" t="s">
        <v>338</v>
      </c>
      <c r="D46" s="10" t="s">
        <v>693</v>
      </c>
      <c r="E46" s="25" t="s">
        <v>266</v>
      </c>
      <c r="F46" s="26"/>
      <c r="G46" s="26" t="s">
        <v>694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344</v>
      </c>
      <c r="C47" s="13" t="s">
        <v>338</v>
      </c>
      <c r="D47" s="10" t="s">
        <v>695</v>
      </c>
      <c r="E47" s="25" t="s">
        <v>266</v>
      </c>
      <c r="F47" s="26"/>
      <c r="G47" s="26" t="s">
        <v>696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392</v>
      </c>
      <c r="C48" s="13" t="s">
        <v>338</v>
      </c>
      <c r="D48" s="10" t="s">
        <v>697</v>
      </c>
      <c r="E48" s="25" t="s">
        <v>266</v>
      </c>
      <c r="F48" s="26"/>
      <c r="G48" s="26" t="s">
        <v>698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394</v>
      </c>
      <c r="C49" s="13" t="s">
        <v>338</v>
      </c>
      <c r="D49" s="10" t="s">
        <v>699</v>
      </c>
      <c r="E49" s="25" t="s">
        <v>266</v>
      </c>
      <c r="F49" s="26"/>
      <c r="G49" s="26" t="s">
        <v>700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701</v>
      </c>
      <c r="C50" s="13" t="s">
        <v>338</v>
      </c>
      <c r="D50" s="10" t="s">
        <v>702</v>
      </c>
      <c r="E50" s="25" t="s">
        <v>266</v>
      </c>
      <c r="F50" s="26"/>
      <c r="G50" s="26" t="s">
        <v>950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704</v>
      </c>
      <c r="C51" s="13" t="s">
        <v>338</v>
      </c>
      <c r="D51" s="10" t="s">
        <v>705</v>
      </c>
      <c r="E51" s="25" t="s">
        <v>266</v>
      </c>
      <c r="F51" s="26"/>
      <c r="G51" s="26" t="s">
        <v>951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707</v>
      </c>
      <c r="C52" s="13" t="s">
        <v>338</v>
      </c>
      <c r="D52" s="10" t="s">
        <v>708</v>
      </c>
      <c r="E52" s="25" t="s">
        <v>266</v>
      </c>
      <c r="F52" s="26"/>
      <c r="G52" s="26" t="s">
        <v>952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710</v>
      </c>
      <c r="C53" s="13" t="s">
        <v>338</v>
      </c>
      <c r="D53" s="10" t="s">
        <v>711</v>
      </c>
      <c r="E53" s="25" t="s">
        <v>266</v>
      </c>
      <c r="F53" s="26"/>
      <c r="G53" s="26" t="s">
        <v>953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713</v>
      </c>
      <c r="C54" s="13" t="s">
        <v>338</v>
      </c>
      <c r="D54" s="10" t="s">
        <v>714</v>
      </c>
      <c r="E54" s="25" t="s">
        <v>266</v>
      </c>
      <c r="F54" s="26"/>
      <c r="G54" s="26" t="s">
        <v>954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716</v>
      </c>
      <c r="C55" s="13" t="s">
        <v>338</v>
      </c>
      <c r="D55" s="10" t="s">
        <v>717</v>
      </c>
      <c r="E55" s="25" t="s">
        <v>266</v>
      </c>
      <c r="F55" s="26"/>
      <c r="G55" s="26" t="s">
        <v>955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410</v>
      </c>
      <c r="C56" s="13" t="s">
        <v>338</v>
      </c>
      <c r="D56" s="10" t="s">
        <v>719</v>
      </c>
      <c r="E56" s="25" t="s">
        <v>266</v>
      </c>
      <c r="F56" s="26"/>
      <c r="G56" s="26" t="s">
        <v>720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412</v>
      </c>
      <c r="C57" s="13" t="s">
        <v>338</v>
      </c>
      <c r="D57" s="10" t="s">
        <v>721</v>
      </c>
      <c r="E57" s="25" t="s">
        <v>266</v>
      </c>
      <c r="F57" s="26"/>
      <c r="G57" s="26" t="s">
        <v>722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528</v>
      </c>
      <c r="C58" s="13" t="s">
        <v>338</v>
      </c>
      <c r="D58" s="10" t="s">
        <v>723</v>
      </c>
      <c r="E58" s="25" t="s">
        <v>266</v>
      </c>
      <c r="F58" s="26"/>
      <c r="G58" s="26" t="s">
        <v>724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532</v>
      </c>
      <c r="C59" s="13" t="s">
        <v>338</v>
      </c>
      <c r="D59" s="10" t="s">
        <v>725</v>
      </c>
      <c r="E59" s="25" t="s">
        <v>266</v>
      </c>
      <c r="F59" s="26"/>
      <c r="G59" s="26" t="s">
        <v>726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535</v>
      </c>
      <c r="C60" s="13" t="s">
        <v>338</v>
      </c>
      <c r="D60" s="10" t="s">
        <v>536</v>
      </c>
      <c r="E60" s="25" t="s">
        <v>266</v>
      </c>
      <c r="F60" s="26"/>
      <c r="G60" s="26" t="s">
        <v>727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26"/>
      <c r="G62" s="26" t="s">
        <v>957</v>
      </c>
      <c r="H62" s="2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733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736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739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742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745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26"/>
      <c r="G69" s="26" t="s">
        <v>964</v>
      </c>
      <c r="H69" s="2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754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757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760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763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766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26"/>
      <c r="G76" s="26" t="s">
        <v>971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775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778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784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787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413</v>
      </c>
      <c r="C82" s="13" t="s">
        <v>666</v>
      </c>
      <c r="D82" s="10" t="s">
        <v>790</v>
      </c>
      <c r="E82" s="25" t="s">
        <v>266</v>
      </c>
      <c r="F82" s="26"/>
      <c r="G82" s="26" t="s">
        <v>977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418</v>
      </c>
      <c r="C84" s="13" t="s">
        <v>666</v>
      </c>
      <c r="D84" s="10" t="s">
        <v>795</v>
      </c>
      <c r="E84" s="25" t="s">
        <v>266</v>
      </c>
      <c r="F84" s="26"/>
      <c r="G84" s="26" t="s">
        <v>979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800</v>
      </c>
      <c r="C86" s="13" t="s">
        <v>338</v>
      </c>
      <c r="D86" s="10" t="s">
        <v>801</v>
      </c>
      <c r="E86" s="25" t="s">
        <v>266</v>
      </c>
      <c r="F86" s="26"/>
      <c r="G86" s="26" t="s">
        <v>981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551</v>
      </c>
      <c r="C87" s="13" t="s">
        <v>666</v>
      </c>
      <c r="D87" s="10" t="s">
        <v>552</v>
      </c>
      <c r="E87" s="25" t="s">
        <v>266</v>
      </c>
      <c r="F87" s="26"/>
      <c r="G87" s="26" t="s">
        <v>982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805</v>
      </c>
      <c r="C88" s="13" t="s">
        <v>338</v>
      </c>
      <c r="D88" s="10" t="s">
        <v>806</v>
      </c>
      <c r="E88" s="25" t="s">
        <v>266</v>
      </c>
      <c r="F88" s="26"/>
      <c r="G88" s="26" t="s">
        <v>983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808</v>
      </c>
      <c r="C89" s="13" t="s">
        <v>338</v>
      </c>
      <c r="D89" s="10" t="s">
        <v>809</v>
      </c>
      <c r="E89" s="25" t="s">
        <v>266</v>
      </c>
      <c r="F89" s="26"/>
      <c r="G89" s="26" t="s">
        <v>984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811</v>
      </c>
      <c r="C90" s="13" t="s">
        <v>338</v>
      </c>
      <c r="D90" s="10" t="s">
        <v>812</v>
      </c>
      <c r="E90" s="25" t="s">
        <v>266</v>
      </c>
      <c r="F90" s="26"/>
      <c r="G90" s="26" t="s">
        <v>985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814</v>
      </c>
      <c r="C91" s="13" t="s">
        <v>338</v>
      </c>
      <c r="D91" s="10" t="s">
        <v>815</v>
      </c>
      <c r="E91" s="25" t="s">
        <v>266</v>
      </c>
      <c r="F91" s="26"/>
      <c r="G91" s="26" t="s">
        <v>986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817</v>
      </c>
      <c r="C92" s="13" t="s">
        <v>338</v>
      </c>
      <c r="D92" s="10" t="s">
        <v>818</v>
      </c>
      <c r="E92" s="25" t="s">
        <v>266</v>
      </c>
      <c r="F92" s="26"/>
      <c r="G92" s="26" t="s">
        <v>987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820</v>
      </c>
      <c r="C93" s="13" t="s">
        <v>338</v>
      </c>
      <c r="D93" s="10" t="s">
        <v>821</v>
      </c>
      <c r="E93" s="25" t="s">
        <v>266</v>
      </c>
      <c r="F93" s="26"/>
      <c r="G93" s="26" t="s">
        <v>988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556</v>
      </c>
      <c r="C94" s="13" t="s">
        <v>666</v>
      </c>
      <c r="D94" s="10" t="s">
        <v>557</v>
      </c>
      <c r="E94" s="25" t="s">
        <v>266</v>
      </c>
      <c r="F94" s="26"/>
      <c r="G94" s="26" t="s">
        <v>989</v>
      </c>
      <c r="H94" s="27"/>
      <c r="I94" s="26"/>
      <c r="J94" s="15" t="s">
        <v>632</v>
      </c>
      <c r="K94" s="15" t="s">
        <v>404</v>
      </c>
      <c r="L94" s="15" t="s">
        <v>633</v>
      </c>
    </row>
    <row r="95" s="1" customFormat="1" spans="1:12">
      <c r="A95" s="33"/>
      <c r="B95" s="13" t="s">
        <v>824</v>
      </c>
      <c r="C95" s="13" t="s">
        <v>338</v>
      </c>
      <c r="D95" s="10" t="s">
        <v>825</v>
      </c>
      <c r="E95" s="25" t="s">
        <v>266</v>
      </c>
      <c r="F95" s="26"/>
      <c r="G95" s="26" t="s">
        <v>990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827</v>
      </c>
      <c r="C96" s="13" t="s">
        <v>338</v>
      </c>
      <c r="D96" s="10" t="s">
        <v>828</v>
      </c>
      <c r="E96" s="25" t="s">
        <v>266</v>
      </c>
      <c r="F96" s="26"/>
      <c r="G96" s="26" t="s">
        <v>991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830</v>
      </c>
      <c r="C97" s="13" t="s">
        <v>338</v>
      </c>
      <c r="D97" s="10" t="s">
        <v>831</v>
      </c>
      <c r="E97" s="25" t="s">
        <v>266</v>
      </c>
      <c r="F97" s="26"/>
      <c r="G97" s="26" t="s">
        <v>992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833</v>
      </c>
      <c r="C98" s="13" t="s">
        <v>338</v>
      </c>
      <c r="D98" s="10" t="s">
        <v>834</v>
      </c>
      <c r="E98" s="25" t="s">
        <v>266</v>
      </c>
      <c r="F98" s="26"/>
      <c r="G98" s="26" t="s">
        <v>993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836</v>
      </c>
      <c r="C99" s="13" t="s">
        <v>338</v>
      </c>
      <c r="D99" s="10" t="s">
        <v>837</v>
      </c>
      <c r="E99" s="25" t="s">
        <v>266</v>
      </c>
      <c r="F99" s="26"/>
      <c r="G99" s="26" t="s">
        <v>994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839</v>
      </c>
      <c r="C100" s="13" t="s">
        <v>338</v>
      </c>
      <c r="D100" s="10" t="s">
        <v>840</v>
      </c>
      <c r="E100" s="25" t="s">
        <v>266</v>
      </c>
      <c r="F100" s="26"/>
      <c r="G100" s="26" t="s">
        <v>995</v>
      </c>
      <c r="H100" s="2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560</v>
      </c>
      <c r="C101" s="13" t="s">
        <v>666</v>
      </c>
      <c r="D101" s="10" t="s">
        <v>842</v>
      </c>
      <c r="E101" s="25" t="s">
        <v>266</v>
      </c>
      <c r="F101" s="26"/>
      <c r="G101" s="26" t="s">
        <v>996</v>
      </c>
      <c r="H101" s="27"/>
      <c r="I101" s="26"/>
      <c r="J101" s="15" t="s">
        <v>632</v>
      </c>
      <c r="K101" s="15" t="s">
        <v>404</v>
      </c>
      <c r="L101" s="15" t="s">
        <v>633</v>
      </c>
    </row>
    <row r="102" s="1" customFormat="1" spans="1:12">
      <c r="A102" s="33"/>
      <c r="B102" s="75" t="s">
        <v>844</v>
      </c>
      <c r="C102" s="75" t="s">
        <v>338</v>
      </c>
      <c r="D102" s="76" t="s">
        <v>845</v>
      </c>
      <c r="E102" s="25" t="s">
        <v>266</v>
      </c>
      <c r="F102" s="26"/>
      <c r="G102" s="26" t="s">
        <v>997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847</v>
      </c>
      <c r="C103" s="75" t="s">
        <v>338</v>
      </c>
      <c r="D103" s="76" t="s">
        <v>848</v>
      </c>
      <c r="E103" s="25" t="s">
        <v>266</v>
      </c>
      <c r="F103" s="26"/>
      <c r="G103" s="26" t="s">
        <v>998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850</v>
      </c>
      <c r="C104" s="75" t="s">
        <v>338</v>
      </c>
      <c r="D104" s="76" t="s">
        <v>851</v>
      </c>
      <c r="E104" s="25" t="s">
        <v>266</v>
      </c>
      <c r="F104" s="26"/>
      <c r="G104" s="26" t="s">
        <v>999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853</v>
      </c>
      <c r="C105" s="75" t="s">
        <v>338</v>
      </c>
      <c r="D105" s="76" t="s">
        <v>854</v>
      </c>
      <c r="E105" s="25" t="s">
        <v>266</v>
      </c>
      <c r="F105" s="26"/>
      <c r="G105" s="26" t="s">
        <v>1000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856</v>
      </c>
      <c r="C106" s="75" t="s">
        <v>338</v>
      </c>
      <c r="D106" s="76" t="s">
        <v>857</v>
      </c>
      <c r="E106" s="25" t="s">
        <v>266</v>
      </c>
      <c r="F106" s="26"/>
      <c r="G106" s="26" t="s">
        <v>1001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859</v>
      </c>
      <c r="C107" s="13" t="s">
        <v>338</v>
      </c>
      <c r="D107" s="10" t="s">
        <v>860</v>
      </c>
      <c r="E107" s="25" t="s">
        <v>266</v>
      </c>
      <c r="F107" s="26"/>
      <c r="G107" s="26" t="s">
        <v>1002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862</v>
      </c>
      <c r="C108" s="13" t="s">
        <v>666</v>
      </c>
      <c r="D108" s="10" t="s">
        <v>863</v>
      </c>
      <c r="E108" s="25" t="s">
        <v>266</v>
      </c>
      <c r="F108" s="26"/>
      <c r="G108" s="26" t="s">
        <v>1003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462</v>
      </c>
      <c r="C109" s="13" t="s">
        <v>666</v>
      </c>
      <c r="D109" s="10" t="s">
        <v>865</v>
      </c>
      <c r="E109" s="25" t="s">
        <v>266</v>
      </c>
      <c r="F109" s="26"/>
      <c r="G109" s="26" t="s">
        <v>1004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538</v>
      </c>
      <c r="C110" s="13" t="s">
        <v>666</v>
      </c>
      <c r="D110" s="10" t="s">
        <v>539</v>
      </c>
      <c r="E110" s="25" t="s">
        <v>266</v>
      </c>
      <c r="F110" s="26"/>
      <c r="G110" s="26" t="s">
        <v>1005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868</v>
      </c>
      <c r="C111" s="13" t="s">
        <v>338</v>
      </c>
      <c r="D111" s="10" t="s">
        <v>869</v>
      </c>
      <c r="E111" s="25" t="s">
        <v>266</v>
      </c>
      <c r="F111" s="26"/>
      <c r="G111" s="26" t="s">
        <v>1006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871</v>
      </c>
      <c r="C112" s="13" t="s">
        <v>338</v>
      </c>
      <c r="D112" s="10" t="s">
        <v>872</v>
      </c>
      <c r="E112" s="25" t="s">
        <v>266</v>
      </c>
      <c r="F112" s="26"/>
      <c r="G112" s="26" t="s">
        <v>1007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543</v>
      </c>
      <c r="C113" s="13" t="s">
        <v>666</v>
      </c>
      <c r="D113" s="10" t="s">
        <v>544</v>
      </c>
      <c r="E113" s="25" t="s">
        <v>266</v>
      </c>
      <c r="F113" s="26"/>
      <c r="G113" s="26" t="s">
        <v>1008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875</v>
      </c>
      <c r="C114" s="13" t="s">
        <v>338</v>
      </c>
      <c r="D114" s="10" t="s">
        <v>876</v>
      </c>
      <c r="E114" s="25" t="s">
        <v>266</v>
      </c>
      <c r="F114" s="26"/>
      <c r="G114" s="26" t="s">
        <v>1009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887</v>
      </c>
      <c r="C115" s="13" t="s">
        <v>338</v>
      </c>
      <c r="D115" s="10" t="s">
        <v>888</v>
      </c>
      <c r="E115" s="25" t="s">
        <v>266</v>
      </c>
      <c r="F115" s="26"/>
      <c r="G115" s="26" t="s">
        <v>1013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890</v>
      </c>
      <c r="C116" s="13" t="s">
        <v>338</v>
      </c>
      <c r="D116" s="10" t="s">
        <v>891</v>
      </c>
      <c r="E116" s="25" t="s">
        <v>266</v>
      </c>
      <c r="F116" s="26"/>
      <c r="G116" s="26" t="s">
        <v>1014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893</v>
      </c>
      <c r="C117" s="13" t="s">
        <v>338</v>
      </c>
      <c r="D117" s="10" t="s">
        <v>894</v>
      </c>
      <c r="E117" s="25" t="s">
        <v>266</v>
      </c>
      <c r="F117" s="26"/>
      <c r="G117" s="26" t="s">
        <v>1015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896</v>
      </c>
      <c r="C118" s="13" t="s">
        <v>338</v>
      </c>
      <c r="D118" s="10" t="s">
        <v>897</v>
      </c>
      <c r="E118" s="25" t="s">
        <v>266</v>
      </c>
      <c r="F118" s="26"/>
      <c r="G118" s="26" t="s">
        <v>1016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899</v>
      </c>
      <c r="C119" s="13" t="s">
        <v>338</v>
      </c>
      <c r="D119" s="10" t="s">
        <v>900</v>
      </c>
      <c r="E119" s="25" t="s">
        <v>266</v>
      </c>
      <c r="F119" s="26"/>
      <c r="G119" s="26" t="s">
        <v>1017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902</v>
      </c>
      <c r="C120" s="13" t="s">
        <v>338</v>
      </c>
      <c r="D120" s="10" t="s">
        <v>903</v>
      </c>
      <c r="E120" s="25" t="s">
        <v>266</v>
      </c>
      <c r="F120" s="26"/>
      <c r="G120" s="26" t="s">
        <v>1018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905</v>
      </c>
      <c r="C121" s="13" t="s">
        <v>338</v>
      </c>
      <c r="D121" s="10" t="s">
        <v>906</v>
      </c>
      <c r="E121" s="25" t="s">
        <v>266</v>
      </c>
      <c r="F121" s="26"/>
      <c r="G121" s="26" t="s">
        <v>1019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908</v>
      </c>
      <c r="C122" s="13" t="s">
        <v>338</v>
      </c>
      <c r="D122" s="10" t="s">
        <v>909</v>
      </c>
      <c r="E122" s="25" t="s">
        <v>266</v>
      </c>
      <c r="F122" s="26"/>
      <c r="G122" s="26" t="s">
        <v>1020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911</v>
      </c>
      <c r="C123" s="13" t="s">
        <v>338</v>
      </c>
      <c r="D123" s="10" t="s">
        <v>912</v>
      </c>
      <c r="E123" s="25" t="s">
        <v>266</v>
      </c>
      <c r="F123" s="26"/>
      <c r="G123" s="26" t="s">
        <v>1021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914</v>
      </c>
      <c r="C124" s="13" t="s">
        <v>338</v>
      </c>
      <c r="D124" s="10" t="s">
        <v>915</v>
      </c>
      <c r="E124" s="25" t="s">
        <v>266</v>
      </c>
      <c r="F124" s="26"/>
      <c r="G124" s="26" t="s">
        <v>1022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917</v>
      </c>
      <c r="C125" s="13" t="s">
        <v>338</v>
      </c>
      <c r="D125" s="10" t="s">
        <v>918</v>
      </c>
      <c r="E125" s="25" t="s">
        <v>266</v>
      </c>
      <c r="F125" s="26"/>
      <c r="G125" s="26" t="s">
        <v>1023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920</v>
      </c>
      <c r="C126" s="13" t="s">
        <v>338</v>
      </c>
      <c r="D126" s="10" t="s">
        <v>921</v>
      </c>
      <c r="E126" s="25" t="s">
        <v>266</v>
      </c>
      <c r="F126" s="26"/>
      <c r="G126" s="26" t="s">
        <v>1024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923</v>
      </c>
      <c r="C127" s="13" t="s">
        <v>338</v>
      </c>
      <c r="D127" s="10" t="s">
        <v>924</v>
      </c>
      <c r="E127" s="25" t="s">
        <v>266</v>
      </c>
      <c r="F127" s="26"/>
      <c r="G127" s="26" t="s">
        <v>1025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7" t="s">
        <v>594</v>
      </c>
      <c r="C128" s="18" t="s">
        <v>307</v>
      </c>
      <c r="D128" s="19" t="s">
        <v>595</v>
      </c>
      <c r="E128" s="28"/>
      <c r="F128" s="28"/>
      <c r="G128" s="28" t="s">
        <v>932</v>
      </c>
      <c r="H128" s="17"/>
      <c r="I128" s="17"/>
      <c r="J128" s="17"/>
      <c r="K128" s="17"/>
      <c r="L128" s="17"/>
    </row>
    <row r="129" spans="2:12">
      <c r="B129" s="17" t="s">
        <v>596</v>
      </c>
      <c r="C129" s="18" t="s">
        <v>291</v>
      </c>
      <c r="D129" s="19" t="s">
        <v>597</v>
      </c>
      <c r="E129" s="28"/>
      <c r="F129" s="28"/>
      <c r="G129" s="28" t="s">
        <v>932</v>
      </c>
      <c r="H129" s="17" t="s">
        <v>932</v>
      </c>
      <c r="I129" s="17"/>
      <c r="J129" s="17"/>
      <c r="K129" s="17"/>
      <c r="L129" s="17"/>
    </row>
  </sheetData>
  <autoFilter xmlns:etc="http://www.wps.cn/officeDocument/2017/etCustomData" ref="A13:Q129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zoomScale="85" zoomScaleNormal="85" workbookViewId="0">
      <pane ySplit="5" topLeftCell="A6" activePane="bottomLeft" state="frozen"/>
      <selection/>
      <selection pane="bottomLeft" activeCell="B24" sqref="B24:B12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73</v>
      </c>
      <c r="D5" s="14" t="s">
        <v>74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71</v>
      </c>
      <c r="D9" s="14" t="s">
        <v>72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629</v>
      </c>
      <c r="C24" s="13" t="s">
        <v>338</v>
      </c>
      <c r="D24" s="10" t="s">
        <v>630</v>
      </c>
      <c r="E24" s="25" t="s">
        <v>266</v>
      </c>
      <c r="F24" s="26"/>
      <c r="G24" s="26" t="s">
        <v>933</v>
      </c>
      <c r="H24" s="27"/>
      <c r="I24" s="26"/>
      <c r="J24" s="15" t="s">
        <v>632</v>
      </c>
      <c r="K24" s="15" t="s">
        <v>294</v>
      </c>
      <c r="L24" s="15" t="s">
        <v>633</v>
      </c>
    </row>
    <row r="25" s="1" customFormat="1" spans="1:12">
      <c r="A25" s="33"/>
      <c r="B25" s="13" t="s">
        <v>634</v>
      </c>
      <c r="C25" s="13" t="s">
        <v>338</v>
      </c>
      <c r="D25" s="10" t="s">
        <v>635</v>
      </c>
      <c r="E25" s="25" t="s">
        <v>266</v>
      </c>
      <c r="F25" s="26"/>
      <c r="G25" s="26" t="s">
        <v>934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637</v>
      </c>
      <c r="C26" s="13" t="s">
        <v>338</v>
      </c>
      <c r="D26" s="10" t="s">
        <v>638</v>
      </c>
      <c r="E26" s="25" t="s">
        <v>266</v>
      </c>
      <c r="F26" s="26"/>
      <c r="G26" s="26" t="s">
        <v>935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32" t="s">
        <v>337</v>
      </c>
      <c r="C27" s="32" t="s">
        <v>338</v>
      </c>
      <c r="D27" s="10" t="s">
        <v>640</v>
      </c>
      <c r="E27" s="25" t="s">
        <v>266</v>
      </c>
      <c r="F27" s="26"/>
      <c r="G27" s="26" t="s">
        <v>641</v>
      </c>
      <c r="H27" s="27"/>
      <c r="I27" s="26"/>
      <c r="J27" s="15" t="s">
        <v>632</v>
      </c>
      <c r="K27" s="15" t="s">
        <v>404</v>
      </c>
      <c r="L27" s="15" t="s">
        <v>633</v>
      </c>
    </row>
    <row r="28" s="1" customFormat="1" spans="1:12">
      <c r="A28" s="33"/>
      <c r="B28" s="13" t="s">
        <v>342</v>
      </c>
      <c r="C28" s="13" t="s">
        <v>338</v>
      </c>
      <c r="D28" s="10" t="s">
        <v>642</v>
      </c>
      <c r="E28" s="25" t="s">
        <v>266</v>
      </c>
      <c r="F28" s="26"/>
      <c r="G28" s="26" t="s">
        <v>643</v>
      </c>
      <c r="H28" s="27"/>
      <c r="I28" s="26"/>
      <c r="J28" s="15" t="s">
        <v>632</v>
      </c>
      <c r="K28" s="15" t="s">
        <v>644</v>
      </c>
      <c r="L28" s="15" t="s">
        <v>633</v>
      </c>
    </row>
    <row r="29" s="1" customFormat="1" spans="1:12">
      <c r="A29" s="33"/>
      <c r="B29" s="13" t="s">
        <v>340</v>
      </c>
      <c r="C29" s="13" t="s">
        <v>338</v>
      </c>
      <c r="D29" s="10" t="s">
        <v>645</v>
      </c>
      <c r="E29" s="25" t="s">
        <v>266</v>
      </c>
      <c r="F29" s="26"/>
      <c r="G29" s="26" t="s">
        <v>646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647</v>
      </c>
      <c r="C30" s="13" t="s">
        <v>338</v>
      </c>
      <c r="D30" s="10" t="s">
        <v>648</v>
      </c>
      <c r="E30" s="25" t="s">
        <v>266</v>
      </c>
      <c r="F30" s="26"/>
      <c r="G30" s="26" t="s">
        <v>936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650</v>
      </c>
      <c r="C31" s="13" t="s">
        <v>338</v>
      </c>
      <c r="D31" s="10" t="s">
        <v>651</v>
      </c>
      <c r="E31" s="25" t="s">
        <v>266</v>
      </c>
      <c r="F31" s="26"/>
      <c r="G31" s="26" t="s">
        <v>937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653</v>
      </c>
      <c r="C32" s="13" t="s">
        <v>338</v>
      </c>
      <c r="D32" s="10" t="s">
        <v>654</v>
      </c>
      <c r="E32" s="25" t="s">
        <v>266</v>
      </c>
      <c r="F32" s="26"/>
      <c r="G32" s="26" t="s">
        <v>938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656</v>
      </c>
      <c r="C33" s="13" t="s">
        <v>338</v>
      </c>
      <c r="D33" s="10" t="s">
        <v>657</v>
      </c>
      <c r="E33" s="25" t="s">
        <v>266</v>
      </c>
      <c r="F33" s="26"/>
      <c r="G33" s="26" t="s">
        <v>939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659</v>
      </c>
      <c r="C34" s="13" t="s">
        <v>338</v>
      </c>
      <c r="D34" s="10" t="s">
        <v>660</v>
      </c>
      <c r="E34" s="25" t="s">
        <v>266</v>
      </c>
      <c r="F34" s="26"/>
      <c r="G34" s="26" t="s">
        <v>940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662</v>
      </c>
      <c r="C35" s="13" t="s">
        <v>338</v>
      </c>
      <c r="D35" s="10" t="s">
        <v>663</v>
      </c>
      <c r="E35" s="25" t="s">
        <v>266</v>
      </c>
      <c r="F35" s="26"/>
      <c r="G35" s="26" t="s">
        <v>941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665</v>
      </c>
      <c r="C36" s="13" t="s">
        <v>666</v>
      </c>
      <c r="D36" s="10" t="s">
        <v>667</v>
      </c>
      <c r="E36" s="25" t="s">
        <v>266</v>
      </c>
      <c r="F36" s="26"/>
      <c r="G36" s="26" t="s">
        <v>942</v>
      </c>
      <c r="H36" s="27"/>
      <c r="I36" s="26"/>
      <c r="J36" s="15" t="s">
        <v>632</v>
      </c>
      <c r="K36" s="15" t="s">
        <v>669</v>
      </c>
      <c r="L36" s="15" t="s">
        <v>670</v>
      </c>
    </row>
    <row r="37" s="1" customFormat="1" spans="1:12">
      <c r="A37" s="33"/>
      <c r="B37" s="13" t="s">
        <v>671</v>
      </c>
      <c r="C37" s="13" t="s">
        <v>666</v>
      </c>
      <c r="D37" s="10" t="s">
        <v>672</v>
      </c>
      <c r="E37" s="25" t="s">
        <v>266</v>
      </c>
      <c r="F37" s="26"/>
      <c r="G37" s="26" t="s">
        <v>943</v>
      </c>
      <c r="H37" s="27"/>
      <c r="I37" s="26"/>
      <c r="J37" s="15" t="s">
        <v>632</v>
      </c>
      <c r="K37" s="15" t="s">
        <v>674</v>
      </c>
      <c r="L37" s="15" t="s">
        <v>670</v>
      </c>
    </row>
    <row r="38" s="1" customFormat="1" spans="1:12">
      <c r="A38" s="33"/>
      <c r="B38" s="13" t="s">
        <v>675</v>
      </c>
      <c r="C38" s="13" t="s">
        <v>666</v>
      </c>
      <c r="D38" s="10" t="s">
        <v>676</v>
      </c>
      <c r="E38" s="25" t="s">
        <v>266</v>
      </c>
      <c r="F38" s="26"/>
      <c r="G38" s="26" t="s">
        <v>944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678</v>
      </c>
      <c r="C39" s="13" t="s">
        <v>666</v>
      </c>
      <c r="D39" s="10" t="s">
        <v>679</v>
      </c>
      <c r="E39" s="25" t="s">
        <v>266</v>
      </c>
      <c r="F39" s="26"/>
      <c r="G39" s="26" t="s">
        <v>945</v>
      </c>
      <c r="H39" s="27"/>
      <c r="I39" s="26"/>
      <c r="J39" s="15" t="s">
        <v>632</v>
      </c>
      <c r="K39" s="15" t="s">
        <v>674</v>
      </c>
      <c r="L39" s="15" t="s">
        <v>670</v>
      </c>
    </row>
    <row r="40" s="1" customFormat="1" spans="1:12">
      <c r="A40" s="33"/>
      <c r="B40" s="13" t="s">
        <v>681</v>
      </c>
      <c r="C40" s="13" t="s">
        <v>666</v>
      </c>
      <c r="D40" s="10" t="s">
        <v>682</v>
      </c>
      <c r="E40" s="25" t="s">
        <v>266</v>
      </c>
      <c r="F40" s="26"/>
      <c r="G40" s="26" t="s">
        <v>946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684</v>
      </c>
      <c r="C41" s="13" t="s">
        <v>666</v>
      </c>
      <c r="D41" s="10" t="s">
        <v>685</v>
      </c>
      <c r="E41" s="25" t="s">
        <v>266</v>
      </c>
      <c r="F41" s="26"/>
      <c r="G41" s="26" t="s">
        <v>947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687</v>
      </c>
      <c r="C42" s="13" t="s">
        <v>666</v>
      </c>
      <c r="D42" s="10" t="s">
        <v>688</v>
      </c>
      <c r="E42" s="25" t="s">
        <v>266</v>
      </c>
      <c r="F42" s="26"/>
      <c r="G42" s="26" t="s">
        <v>948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690</v>
      </c>
      <c r="C43" s="13" t="s">
        <v>666</v>
      </c>
      <c r="D43" s="10" t="s">
        <v>691</v>
      </c>
      <c r="E43" s="25" t="s">
        <v>266</v>
      </c>
      <c r="F43" s="26"/>
      <c r="G43" s="26" t="s">
        <v>949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346</v>
      </c>
      <c r="C44" s="13" t="s">
        <v>338</v>
      </c>
      <c r="D44" s="10" t="s">
        <v>693</v>
      </c>
      <c r="E44" s="25" t="s">
        <v>266</v>
      </c>
      <c r="F44" s="26"/>
      <c r="G44" s="26" t="s">
        <v>694</v>
      </c>
      <c r="H44" s="2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344</v>
      </c>
      <c r="C45" s="13" t="s">
        <v>338</v>
      </c>
      <c r="D45" s="10" t="s">
        <v>695</v>
      </c>
      <c r="E45" s="25" t="s">
        <v>266</v>
      </c>
      <c r="F45" s="26"/>
      <c r="G45" s="26" t="s">
        <v>696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392</v>
      </c>
      <c r="C46" s="13" t="s">
        <v>338</v>
      </c>
      <c r="D46" s="10" t="s">
        <v>697</v>
      </c>
      <c r="E46" s="25" t="s">
        <v>266</v>
      </c>
      <c r="F46" s="26"/>
      <c r="G46" s="26" t="s">
        <v>698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394</v>
      </c>
      <c r="C47" s="13" t="s">
        <v>338</v>
      </c>
      <c r="D47" s="10" t="s">
        <v>699</v>
      </c>
      <c r="E47" s="25" t="s">
        <v>266</v>
      </c>
      <c r="F47" s="26"/>
      <c r="G47" s="26" t="s">
        <v>700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701</v>
      </c>
      <c r="C48" s="13" t="s">
        <v>338</v>
      </c>
      <c r="D48" s="10" t="s">
        <v>702</v>
      </c>
      <c r="E48" s="25" t="s">
        <v>266</v>
      </c>
      <c r="F48" s="26"/>
      <c r="G48" s="26" t="s">
        <v>950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704</v>
      </c>
      <c r="C49" s="13" t="s">
        <v>338</v>
      </c>
      <c r="D49" s="10" t="s">
        <v>705</v>
      </c>
      <c r="E49" s="25" t="s">
        <v>266</v>
      </c>
      <c r="F49" s="26"/>
      <c r="G49" s="26" t="s">
        <v>951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707</v>
      </c>
      <c r="C50" s="13" t="s">
        <v>338</v>
      </c>
      <c r="D50" s="10" t="s">
        <v>708</v>
      </c>
      <c r="E50" s="25" t="s">
        <v>266</v>
      </c>
      <c r="F50" s="26"/>
      <c r="G50" s="26" t="s">
        <v>952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710</v>
      </c>
      <c r="C51" s="13" t="s">
        <v>338</v>
      </c>
      <c r="D51" s="10" t="s">
        <v>711</v>
      </c>
      <c r="E51" s="25" t="s">
        <v>266</v>
      </c>
      <c r="F51" s="26"/>
      <c r="G51" s="26" t="s">
        <v>953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713</v>
      </c>
      <c r="C52" s="13" t="s">
        <v>338</v>
      </c>
      <c r="D52" s="10" t="s">
        <v>714</v>
      </c>
      <c r="E52" s="25" t="s">
        <v>266</v>
      </c>
      <c r="F52" s="26"/>
      <c r="G52" s="26" t="s">
        <v>954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716</v>
      </c>
      <c r="C53" s="13" t="s">
        <v>338</v>
      </c>
      <c r="D53" s="10" t="s">
        <v>717</v>
      </c>
      <c r="E53" s="25" t="s">
        <v>266</v>
      </c>
      <c r="F53" s="26"/>
      <c r="G53" s="26" t="s">
        <v>955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410</v>
      </c>
      <c r="C54" s="13" t="s">
        <v>338</v>
      </c>
      <c r="D54" s="10" t="s">
        <v>719</v>
      </c>
      <c r="E54" s="25" t="s">
        <v>266</v>
      </c>
      <c r="F54" s="26"/>
      <c r="G54" s="26" t="s">
        <v>720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412</v>
      </c>
      <c r="C55" s="13" t="s">
        <v>338</v>
      </c>
      <c r="D55" s="10" t="s">
        <v>721</v>
      </c>
      <c r="E55" s="25" t="s">
        <v>266</v>
      </c>
      <c r="F55" s="26"/>
      <c r="G55" s="26" t="s">
        <v>722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528</v>
      </c>
      <c r="C56" s="13" t="s">
        <v>338</v>
      </c>
      <c r="D56" s="10" t="s">
        <v>723</v>
      </c>
      <c r="E56" s="25" t="s">
        <v>266</v>
      </c>
      <c r="F56" s="26"/>
      <c r="G56" s="26" t="s">
        <v>724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532</v>
      </c>
      <c r="C57" s="13" t="s">
        <v>338</v>
      </c>
      <c r="D57" s="10" t="s">
        <v>725</v>
      </c>
      <c r="E57" s="25" t="s">
        <v>266</v>
      </c>
      <c r="F57" s="26"/>
      <c r="G57" s="26" t="s">
        <v>726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535</v>
      </c>
      <c r="C58" s="13" t="s">
        <v>338</v>
      </c>
      <c r="D58" s="10" t="s">
        <v>536</v>
      </c>
      <c r="E58" s="25" t="s">
        <v>266</v>
      </c>
      <c r="F58" s="26"/>
      <c r="G58" s="26" t="s">
        <v>727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728</v>
      </c>
      <c r="C59" s="13" t="s">
        <v>338</v>
      </c>
      <c r="D59" s="10" t="s">
        <v>729</v>
      </c>
      <c r="E59" s="25" t="s">
        <v>266</v>
      </c>
      <c r="F59" s="26"/>
      <c r="G59" s="26" t="s">
        <v>956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730</v>
      </c>
      <c r="C60" s="13" t="s">
        <v>666</v>
      </c>
      <c r="D60" s="10" t="s">
        <v>731</v>
      </c>
      <c r="E60" s="25" t="s">
        <v>266</v>
      </c>
      <c r="F60" s="26"/>
      <c r="G60" s="26" t="s">
        <v>957</v>
      </c>
      <c r="H60" s="2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733</v>
      </c>
      <c r="C61" s="13" t="s">
        <v>338</v>
      </c>
      <c r="D61" s="10" t="s">
        <v>734</v>
      </c>
      <c r="E61" s="25" t="s">
        <v>266</v>
      </c>
      <c r="F61" s="26"/>
      <c r="G61" s="26" t="s">
        <v>958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736</v>
      </c>
      <c r="C62" s="13" t="s">
        <v>338</v>
      </c>
      <c r="D62" s="10" t="s">
        <v>737</v>
      </c>
      <c r="E62" s="25" t="s">
        <v>266</v>
      </c>
      <c r="F62" s="26"/>
      <c r="G62" s="26" t="s">
        <v>959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739</v>
      </c>
      <c r="C63" s="13" t="s">
        <v>338</v>
      </c>
      <c r="D63" s="10" t="s">
        <v>740</v>
      </c>
      <c r="E63" s="25" t="s">
        <v>266</v>
      </c>
      <c r="F63" s="26"/>
      <c r="G63" s="26" t="s">
        <v>960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742</v>
      </c>
      <c r="C64" s="13" t="s">
        <v>338</v>
      </c>
      <c r="D64" s="10" t="s">
        <v>743</v>
      </c>
      <c r="E64" s="25" t="s">
        <v>266</v>
      </c>
      <c r="F64" s="26"/>
      <c r="G64" s="26" t="s">
        <v>961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745</v>
      </c>
      <c r="C65" s="13" t="s">
        <v>338</v>
      </c>
      <c r="D65" s="10" t="s">
        <v>746</v>
      </c>
      <c r="E65" s="25" t="s">
        <v>266</v>
      </c>
      <c r="F65" s="26"/>
      <c r="G65" s="26" t="s">
        <v>962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748</v>
      </c>
      <c r="C66" s="13" t="s">
        <v>338</v>
      </c>
      <c r="D66" s="10" t="s">
        <v>749</v>
      </c>
      <c r="E66" s="25" t="s">
        <v>266</v>
      </c>
      <c r="F66" s="26"/>
      <c r="G66" s="26" t="s">
        <v>963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751</v>
      </c>
      <c r="C67" s="13" t="s">
        <v>666</v>
      </c>
      <c r="D67" s="10" t="s">
        <v>752</v>
      </c>
      <c r="E67" s="25" t="s">
        <v>266</v>
      </c>
      <c r="F67" s="26"/>
      <c r="G67" s="26" t="s">
        <v>964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754</v>
      </c>
      <c r="C68" s="13" t="s">
        <v>338</v>
      </c>
      <c r="D68" s="10" t="s">
        <v>755</v>
      </c>
      <c r="E68" s="25" t="s">
        <v>266</v>
      </c>
      <c r="F68" s="26"/>
      <c r="G68" s="26" t="s">
        <v>965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757</v>
      </c>
      <c r="C69" s="13" t="s">
        <v>338</v>
      </c>
      <c r="D69" s="10" t="s">
        <v>758</v>
      </c>
      <c r="E69" s="25" t="s">
        <v>266</v>
      </c>
      <c r="F69" s="26"/>
      <c r="G69" s="26" t="s">
        <v>966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760</v>
      </c>
      <c r="C70" s="13" t="s">
        <v>338</v>
      </c>
      <c r="D70" s="10" t="s">
        <v>761</v>
      </c>
      <c r="E70" s="25" t="s">
        <v>266</v>
      </c>
      <c r="F70" s="26"/>
      <c r="G70" s="26" t="s">
        <v>967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763</v>
      </c>
      <c r="C71" s="13" t="s">
        <v>338</v>
      </c>
      <c r="D71" s="10" t="s">
        <v>764</v>
      </c>
      <c r="E71" s="25" t="s">
        <v>266</v>
      </c>
      <c r="F71" s="26"/>
      <c r="G71" s="26" t="s">
        <v>968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766</v>
      </c>
      <c r="C72" s="13" t="s">
        <v>338</v>
      </c>
      <c r="D72" s="10" t="s">
        <v>767</v>
      </c>
      <c r="E72" s="25" t="s">
        <v>266</v>
      </c>
      <c r="F72" s="26"/>
      <c r="G72" s="26" t="s">
        <v>969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769</v>
      </c>
      <c r="C73" s="13" t="s">
        <v>666</v>
      </c>
      <c r="D73" s="10" t="s">
        <v>770</v>
      </c>
      <c r="E73" s="25" t="s">
        <v>266</v>
      </c>
      <c r="F73" s="26"/>
      <c r="G73" s="26" t="s">
        <v>970</v>
      </c>
      <c r="H73" s="2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772</v>
      </c>
      <c r="C74" s="13" t="s">
        <v>666</v>
      </c>
      <c r="D74" s="10" t="s">
        <v>773</v>
      </c>
      <c r="E74" s="25" t="s">
        <v>266</v>
      </c>
      <c r="F74" s="26"/>
      <c r="G74" s="26" t="s">
        <v>971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775</v>
      </c>
      <c r="C75" s="13" t="s">
        <v>338</v>
      </c>
      <c r="D75" s="10" t="s">
        <v>776</v>
      </c>
      <c r="E75" s="25" t="s">
        <v>266</v>
      </c>
      <c r="F75" s="26"/>
      <c r="G75" s="26" t="s">
        <v>972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778</v>
      </c>
      <c r="C76" s="13" t="s">
        <v>338</v>
      </c>
      <c r="D76" s="10" t="s">
        <v>779</v>
      </c>
      <c r="E76" s="25" t="s">
        <v>266</v>
      </c>
      <c r="F76" s="26"/>
      <c r="G76" s="26" t="s">
        <v>973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781</v>
      </c>
      <c r="C77" s="13" t="s">
        <v>338</v>
      </c>
      <c r="D77" s="10" t="s">
        <v>782</v>
      </c>
      <c r="E77" s="25" t="s">
        <v>266</v>
      </c>
      <c r="F77" s="26"/>
      <c r="G77" s="26" t="s">
        <v>974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784</v>
      </c>
      <c r="C78" s="13" t="s">
        <v>338</v>
      </c>
      <c r="D78" s="10" t="s">
        <v>785</v>
      </c>
      <c r="E78" s="25" t="s">
        <v>266</v>
      </c>
      <c r="F78" s="26"/>
      <c r="G78" s="26" t="s">
        <v>975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787</v>
      </c>
      <c r="C79" s="13" t="s">
        <v>338</v>
      </c>
      <c r="D79" s="10" t="s">
        <v>788</v>
      </c>
      <c r="E79" s="25" t="s">
        <v>266</v>
      </c>
      <c r="F79" s="26"/>
      <c r="G79" s="26" t="s">
        <v>976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413</v>
      </c>
      <c r="C80" s="13" t="s">
        <v>666</v>
      </c>
      <c r="D80" s="10" t="s">
        <v>790</v>
      </c>
      <c r="E80" s="25" t="s">
        <v>266</v>
      </c>
      <c r="F80" s="26"/>
      <c r="G80" s="26" t="s">
        <v>977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792</v>
      </c>
      <c r="C81" s="13" t="s">
        <v>338</v>
      </c>
      <c r="D81" s="10" t="s">
        <v>793</v>
      </c>
      <c r="E81" s="25" t="s">
        <v>266</v>
      </c>
      <c r="F81" s="26"/>
      <c r="G81" s="26" t="s">
        <v>978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418</v>
      </c>
      <c r="C82" s="13" t="s">
        <v>666</v>
      </c>
      <c r="D82" s="10" t="s">
        <v>795</v>
      </c>
      <c r="E82" s="25" t="s">
        <v>266</v>
      </c>
      <c r="F82" s="26"/>
      <c r="G82" s="26" t="s">
        <v>979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797</v>
      </c>
      <c r="C83" s="13" t="s">
        <v>338</v>
      </c>
      <c r="D83" s="10" t="s">
        <v>798</v>
      </c>
      <c r="E83" s="25" t="s">
        <v>266</v>
      </c>
      <c r="F83" s="26"/>
      <c r="G83" s="26" t="s">
        <v>980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800</v>
      </c>
      <c r="C84" s="13" t="s">
        <v>338</v>
      </c>
      <c r="D84" s="10" t="s">
        <v>801</v>
      </c>
      <c r="E84" s="25" t="s">
        <v>266</v>
      </c>
      <c r="F84" s="26"/>
      <c r="G84" s="26" t="s">
        <v>981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551</v>
      </c>
      <c r="C85" s="13" t="s">
        <v>666</v>
      </c>
      <c r="D85" s="10" t="s">
        <v>552</v>
      </c>
      <c r="E85" s="25" t="s">
        <v>266</v>
      </c>
      <c r="F85" s="26"/>
      <c r="G85" s="26" t="s">
        <v>982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805</v>
      </c>
      <c r="C86" s="13" t="s">
        <v>338</v>
      </c>
      <c r="D86" s="10" t="s">
        <v>806</v>
      </c>
      <c r="E86" s="25" t="s">
        <v>266</v>
      </c>
      <c r="F86" s="26"/>
      <c r="G86" s="26" t="s">
        <v>983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808</v>
      </c>
      <c r="C87" s="13" t="s">
        <v>338</v>
      </c>
      <c r="D87" s="10" t="s">
        <v>809</v>
      </c>
      <c r="E87" s="25" t="s">
        <v>266</v>
      </c>
      <c r="F87" s="26"/>
      <c r="G87" s="26" t="s">
        <v>984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811</v>
      </c>
      <c r="C88" s="13" t="s">
        <v>338</v>
      </c>
      <c r="D88" s="10" t="s">
        <v>812</v>
      </c>
      <c r="E88" s="25" t="s">
        <v>266</v>
      </c>
      <c r="F88" s="26"/>
      <c r="G88" s="26" t="s">
        <v>985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814</v>
      </c>
      <c r="C89" s="13" t="s">
        <v>338</v>
      </c>
      <c r="D89" s="10" t="s">
        <v>815</v>
      </c>
      <c r="E89" s="25" t="s">
        <v>266</v>
      </c>
      <c r="F89" s="26"/>
      <c r="G89" s="26" t="s">
        <v>986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817</v>
      </c>
      <c r="C90" s="13" t="s">
        <v>338</v>
      </c>
      <c r="D90" s="10" t="s">
        <v>818</v>
      </c>
      <c r="E90" s="25" t="s">
        <v>266</v>
      </c>
      <c r="F90" s="26"/>
      <c r="G90" s="26" t="s">
        <v>987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820</v>
      </c>
      <c r="C91" s="13" t="s">
        <v>338</v>
      </c>
      <c r="D91" s="10" t="s">
        <v>821</v>
      </c>
      <c r="E91" s="25" t="s">
        <v>266</v>
      </c>
      <c r="F91" s="26"/>
      <c r="G91" s="26" t="s">
        <v>988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556</v>
      </c>
      <c r="C92" s="13" t="s">
        <v>666</v>
      </c>
      <c r="D92" s="10" t="s">
        <v>557</v>
      </c>
      <c r="E92" s="25" t="s">
        <v>266</v>
      </c>
      <c r="F92" s="26"/>
      <c r="G92" s="26" t="s">
        <v>989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824</v>
      </c>
      <c r="C93" s="13" t="s">
        <v>338</v>
      </c>
      <c r="D93" s="10" t="s">
        <v>825</v>
      </c>
      <c r="E93" s="25" t="s">
        <v>266</v>
      </c>
      <c r="F93" s="26"/>
      <c r="G93" s="26" t="s">
        <v>990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827</v>
      </c>
      <c r="C94" s="13" t="s">
        <v>338</v>
      </c>
      <c r="D94" s="10" t="s">
        <v>828</v>
      </c>
      <c r="E94" s="25" t="s">
        <v>266</v>
      </c>
      <c r="F94" s="26"/>
      <c r="G94" s="26" t="s">
        <v>991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830</v>
      </c>
      <c r="C95" s="13" t="s">
        <v>338</v>
      </c>
      <c r="D95" s="10" t="s">
        <v>831</v>
      </c>
      <c r="E95" s="25" t="s">
        <v>266</v>
      </c>
      <c r="F95" s="26"/>
      <c r="G95" s="26" t="s">
        <v>992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833</v>
      </c>
      <c r="C96" s="13" t="s">
        <v>338</v>
      </c>
      <c r="D96" s="10" t="s">
        <v>834</v>
      </c>
      <c r="E96" s="25" t="s">
        <v>266</v>
      </c>
      <c r="F96" s="26"/>
      <c r="G96" s="26" t="s">
        <v>993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836</v>
      </c>
      <c r="C97" s="13" t="s">
        <v>338</v>
      </c>
      <c r="D97" s="10" t="s">
        <v>837</v>
      </c>
      <c r="E97" s="25" t="s">
        <v>266</v>
      </c>
      <c r="F97" s="26"/>
      <c r="G97" s="26" t="s">
        <v>994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839</v>
      </c>
      <c r="C98" s="13" t="s">
        <v>338</v>
      </c>
      <c r="D98" s="10" t="s">
        <v>840</v>
      </c>
      <c r="E98" s="25" t="s">
        <v>266</v>
      </c>
      <c r="F98" s="26"/>
      <c r="G98" s="26" t="s">
        <v>995</v>
      </c>
      <c r="H98" s="2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13" t="s">
        <v>560</v>
      </c>
      <c r="C99" s="13" t="s">
        <v>666</v>
      </c>
      <c r="D99" s="10" t="s">
        <v>842</v>
      </c>
      <c r="E99" s="25" t="s">
        <v>266</v>
      </c>
      <c r="F99" s="26"/>
      <c r="G99" s="26" t="s">
        <v>996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75" t="s">
        <v>844</v>
      </c>
      <c r="C100" s="75" t="s">
        <v>338</v>
      </c>
      <c r="D100" s="76" t="s">
        <v>845</v>
      </c>
      <c r="E100" s="25" t="s">
        <v>266</v>
      </c>
      <c r="F100" s="26"/>
      <c r="G100" s="26" t="s">
        <v>997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847</v>
      </c>
      <c r="C101" s="75" t="s">
        <v>338</v>
      </c>
      <c r="D101" s="76" t="s">
        <v>848</v>
      </c>
      <c r="E101" s="25" t="s">
        <v>266</v>
      </c>
      <c r="F101" s="26"/>
      <c r="G101" s="26" t="s">
        <v>998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850</v>
      </c>
      <c r="C102" s="75" t="s">
        <v>338</v>
      </c>
      <c r="D102" s="76" t="s">
        <v>851</v>
      </c>
      <c r="E102" s="25" t="s">
        <v>266</v>
      </c>
      <c r="F102" s="26"/>
      <c r="G102" s="26" t="s">
        <v>999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853</v>
      </c>
      <c r="C103" s="75" t="s">
        <v>338</v>
      </c>
      <c r="D103" s="76" t="s">
        <v>854</v>
      </c>
      <c r="E103" s="25" t="s">
        <v>266</v>
      </c>
      <c r="F103" s="26"/>
      <c r="G103" s="26" t="s">
        <v>1000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856</v>
      </c>
      <c r="C104" s="75" t="s">
        <v>338</v>
      </c>
      <c r="D104" s="76" t="s">
        <v>857</v>
      </c>
      <c r="E104" s="25" t="s">
        <v>266</v>
      </c>
      <c r="F104" s="26"/>
      <c r="G104" s="26" t="s">
        <v>1001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859</v>
      </c>
      <c r="C105" s="13" t="s">
        <v>338</v>
      </c>
      <c r="D105" s="10" t="s">
        <v>860</v>
      </c>
      <c r="E105" s="25" t="s">
        <v>266</v>
      </c>
      <c r="F105" s="26"/>
      <c r="G105" s="26" t="s">
        <v>1002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862</v>
      </c>
      <c r="C106" s="13" t="s">
        <v>666</v>
      </c>
      <c r="D106" s="10" t="s">
        <v>863</v>
      </c>
      <c r="E106" s="25" t="s">
        <v>266</v>
      </c>
      <c r="F106" s="26"/>
      <c r="G106" s="26" t="s">
        <v>1003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462</v>
      </c>
      <c r="C107" s="13" t="s">
        <v>666</v>
      </c>
      <c r="D107" s="10" t="s">
        <v>865</v>
      </c>
      <c r="E107" s="25" t="s">
        <v>266</v>
      </c>
      <c r="F107" s="26"/>
      <c r="G107" s="26" t="s">
        <v>1004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538</v>
      </c>
      <c r="C108" s="13" t="s">
        <v>666</v>
      </c>
      <c r="D108" s="10" t="s">
        <v>539</v>
      </c>
      <c r="E108" s="25" t="s">
        <v>266</v>
      </c>
      <c r="F108" s="26"/>
      <c r="G108" s="26" t="s">
        <v>1005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868</v>
      </c>
      <c r="C109" s="13" t="s">
        <v>338</v>
      </c>
      <c r="D109" s="10" t="s">
        <v>869</v>
      </c>
      <c r="E109" s="25" t="s">
        <v>266</v>
      </c>
      <c r="F109" s="26"/>
      <c r="G109" s="26" t="s">
        <v>1006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871</v>
      </c>
      <c r="C110" s="13" t="s">
        <v>338</v>
      </c>
      <c r="D110" s="10" t="s">
        <v>872</v>
      </c>
      <c r="E110" s="25" t="s">
        <v>266</v>
      </c>
      <c r="F110" s="26"/>
      <c r="G110" s="26" t="s">
        <v>1007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543</v>
      </c>
      <c r="C111" s="13" t="s">
        <v>666</v>
      </c>
      <c r="D111" s="10" t="s">
        <v>544</v>
      </c>
      <c r="E111" s="25" t="s">
        <v>266</v>
      </c>
      <c r="F111" s="26"/>
      <c r="G111" s="26" t="s">
        <v>1008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875</v>
      </c>
      <c r="C112" s="13" t="s">
        <v>338</v>
      </c>
      <c r="D112" s="10" t="s">
        <v>876</v>
      </c>
      <c r="E112" s="25" t="s">
        <v>266</v>
      </c>
      <c r="F112" s="26"/>
      <c r="G112" s="26" t="s">
        <v>1009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887</v>
      </c>
      <c r="C113" s="13" t="s">
        <v>338</v>
      </c>
      <c r="D113" s="10" t="s">
        <v>888</v>
      </c>
      <c r="E113" s="25" t="s">
        <v>266</v>
      </c>
      <c r="F113" s="26"/>
      <c r="G113" s="26" t="s">
        <v>1013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="1" customFormat="1" spans="1:12">
      <c r="A114" s="33"/>
      <c r="B114" s="13" t="s">
        <v>890</v>
      </c>
      <c r="C114" s="13" t="s">
        <v>338</v>
      </c>
      <c r="D114" s="10" t="s">
        <v>891</v>
      </c>
      <c r="E114" s="25" t="s">
        <v>266</v>
      </c>
      <c r="F114" s="26"/>
      <c r="G114" s="26" t="s">
        <v>1014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="1" customFormat="1" spans="1:12">
      <c r="A115" s="33"/>
      <c r="B115" s="13" t="s">
        <v>893</v>
      </c>
      <c r="C115" s="13" t="s">
        <v>338</v>
      </c>
      <c r="D115" s="10" t="s">
        <v>894</v>
      </c>
      <c r="E115" s="25" t="s">
        <v>266</v>
      </c>
      <c r="F115" s="26"/>
      <c r="G115" s="26" t="s">
        <v>1015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896</v>
      </c>
      <c r="C116" s="13" t="s">
        <v>338</v>
      </c>
      <c r="D116" s="10" t="s">
        <v>897</v>
      </c>
      <c r="E116" s="25" t="s">
        <v>266</v>
      </c>
      <c r="F116" s="26"/>
      <c r="G116" s="26" t="s">
        <v>1016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pans="2:12">
      <c r="B117" s="13" t="s">
        <v>899</v>
      </c>
      <c r="C117" s="13" t="s">
        <v>338</v>
      </c>
      <c r="D117" s="10" t="s">
        <v>900</v>
      </c>
      <c r="E117" s="25" t="s">
        <v>266</v>
      </c>
      <c r="F117" s="26"/>
      <c r="G117" s="26" t="s">
        <v>1017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pans="2:12">
      <c r="B118" s="13" t="s">
        <v>902</v>
      </c>
      <c r="C118" s="13" t="s">
        <v>338</v>
      </c>
      <c r="D118" s="10" t="s">
        <v>903</v>
      </c>
      <c r="E118" s="25" t="s">
        <v>266</v>
      </c>
      <c r="F118" s="26"/>
      <c r="G118" s="26" t="s">
        <v>1018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905</v>
      </c>
      <c r="C119" s="13" t="s">
        <v>338</v>
      </c>
      <c r="D119" s="10" t="s">
        <v>906</v>
      </c>
      <c r="E119" s="25" t="s">
        <v>266</v>
      </c>
      <c r="F119" s="26"/>
      <c r="G119" s="26" t="s">
        <v>1019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908</v>
      </c>
      <c r="C120" s="13" t="s">
        <v>338</v>
      </c>
      <c r="D120" s="10" t="s">
        <v>909</v>
      </c>
      <c r="E120" s="25" t="s">
        <v>266</v>
      </c>
      <c r="F120" s="26"/>
      <c r="G120" s="26" t="s">
        <v>1020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911</v>
      </c>
      <c r="C121" s="13" t="s">
        <v>338</v>
      </c>
      <c r="D121" s="10" t="s">
        <v>912</v>
      </c>
      <c r="E121" s="25" t="s">
        <v>266</v>
      </c>
      <c r="F121" s="26"/>
      <c r="G121" s="26" t="s">
        <v>1021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914</v>
      </c>
      <c r="C122" s="13" t="s">
        <v>338</v>
      </c>
      <c r="D122" s="10" t="s">
        <v>915</v>
      </c>
      <c r="E122" s="25" t="s">
        <v>266</v>
      </c>
      <c r="F122" s="26"/>
      <c r="G122" s="26" t="s">
        <v>1022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917</v>
      </c>
      <c r="C123" s="13" t="s">
        <v>338</v>
      </c>
      <c r="D123" s="10" t="s">
        <v>918</v>
      </c>
      <c r="E123" s="25" t="s">
        <v>266</v>
      </c>
      <c r="F123" s="26"/>
      <c r="G123" s="26" t="s">
        <v>1023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920</v>
      </c>
      <c r="C124" s="13" t="s">
        <v>338</v>
      </c>
      <c r="D124" s="10" t="s">
        <v>921</v>
      </c>
      <c r="E124" s="25" t="s">
        <v>266</v>
      </c>
      <c r="F124" s="26"/>
      <c r="G124" s="26" t="s">
        <v>1024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923</v>
      </c>
      <c r="C125" s="13" t="s">
        <v>338</v>
      </c>
      <c r="D125" s="10" t="s">
        <v>924</v>
      </c>
      <c r="E125" s="25" t="s">
        <v>266</v>
      </c>
      <c r="F125" s="26"/>
      <c r="G125" s="26" t="s">
        <v>1025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7" t="s">
        <v>594</v>
      </c>
      <c r="C126" s="18" t="s">
        <v>307</v>
      </c>
      <c r="D126" s="19" t="s">
        <v>595</v>
      </c>
      <c r="E126" s="28"/>
      <c r="F126" s="28"/>
      <c r="G126" s="28" t="s">
        <v>932</v>
      </c>
      <c r="H126" s="17"/>
      <c r="I126" s="17"/>
      <c r="J126" s="17"/>
      <c r="K126" s="17"/>
      <c r="L126" s="17"/>
    </row>
    <row r="127" spans="2:12">
      <c r="B127" s="17" t="s">
        <v>596</v>
      </c>
      <c r="C127" s="18" t="s">
        <v>291</v>
      </c>
      <c r="D127" s="19" t="s">
        <v>597</v>
      </c>
      <c r="E127" s="28"/>
      <c r="F127" s="28"/>
      <c r="G127" s="28" t="s">
        <v>932</v>
      </c>
      <c r="H127" s="17" t="s">
        <v>932</v>
      </c>
      <c r="I127" s="17"/>
      <c r="J127" s="17"/>
      <c r="K127" s="17"/>
      <c r="L127" s="17"/>
    </row>
  </sheetData>
  <autoFilter xmlns:etc="http://www.wps.cn/officeDocument/2017/etCustomData" ref="A13:Q12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zoomScale="85" zoomScaleNormal="85" workbookViewId="0">
      <pane ySplit="5" topLeftCell="A12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76</v>
      </c>
      <c r="D5" s="14" t="s">
        <v>77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68</v>
      </c>
      <c r="D9" s="14" t="s">
        <v>69</v>
      </c>
      <c r="E9" s="13" t="s">
        <v>266</v>
      </c>
      <c r="F9" s="26"/>
      <c r="G9" s="26" t="s">
        <v>1269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3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634</v>
      </c>
      <c r="C27" s="13" t="s">
        <v>338</v>
      </c>
      <c r="D27" s="10" t="s">
        <v>635</v>
      </c>
      <c r="E27" s="25" t="s">
        <v>266</v>
      </c>
      <c r="F27" s="26"/>
      <c r="G27" s="26" t="s">
        <v>934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637</v>
      </c>
      <c r="C28" s="13" t="s">
        <v>338</v>
      </c>
      <c r="D28" s="10" t="s">
        <v>638</v>
      </c>
      <c r="E28" s="25" t="s">
        <v>266</v>
      </c>
      <c r="F28" s="26"/>
      <c r="G28" s="26" t="s">
        <v>935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32" t="s">
        <v>337</v>
      </c>
      <c r="C29" s="32" t="s">
        <v>338</v>
      </c>
      <c r="D29" s="10" t="s">
        <v>640</v>
      </c>
      <c r="E29" s="25" t="s">
        <v>266</v>
      </c>
      <c r="F29" s="26"/>
      <c r="G29" s="26" t="s">
        <v>641</v>
      </c>
      <c r="H29" s="27"/>
      <c r="I29" s="26"/>
      <c r="J29" s="15" t="s">
        <v>632</v>
      </c>
      <c r="K29" s="15" t="s">
        <v>404</v>
      </c>
      <c r="L29" s="15" t="s">
        <v>633</v>
      </c>
    </row>
    <row r="30" s="1" customFormat="1" spans="1:12">
      <c r="A30" s="33"/>
      <c r="B30" s="13" t="s">
        <v>342</v>
      </c>
      <c r="C30" s="13" t="s">
        <v>338</v>
      </c>
      <c r="D30" s="10" t="s">
        <v>642</v>
      </c>
      <c r="E30" s="25" t="s">
        <v>266</v>
      </c>
      <c r="F30" s="26"/>
      <c r="G30" s="26" t="s">
        <v>643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340</v>
      </c>
      <c r="C31" s="13" t="s">
        <v>338</v>
      </c>
      <c r="D31" s="10" t="s">
        <v>645</v>
      </c>
      <c r="E31" s="25" t="s">
        <v>266</v>
      </c>
      <c r="F31" s="26"/>
      <c r="G31" s="26" t="s">
        <v>646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647</v>
      </c>
      <c r="C32" s="13" t="s">
        <v>338</v>
      </c>
      <c r="D32" s="10" t="s">
        <v>648</v>
      </c>
      <c r="E32" s="25" t="s">
        <v>266</v>
      </c>
      <c r="F32" s="26"/>
      <c r="G32" s="26" t="s">
        <v>936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650</v>
      </c>
      <c r="C33" s="13" t="s">
        <v>338</v>
      </c>
      <c r="D33" s="10" t="s">
        <v>651</v>
      </c>
      <c r="E33" s="25" t="s">
        <v>266</v>
      </c>
      <c r="F33" s="26"/>
      <c r="G33" s="26" t="s">
        <v>937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653</v>
      </c>
      <c r="C34" s="13" t="s">
        <v>338</v>
      </c>
      <c r="D34" s="10" t="s">
        <v>654</v>
      </c>
      <c r="E34" s="25" t="s">
        <v>266</v>
      </c>
      <c r="F34" s="26"/>
      <c r="G34" s="26" t="s">
        <v>938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662</v>
      </c>
      <c r="C37" s="13" t="s">
        <v>338</v>
      </c>
      <c r="D37" s="10" t="s">
        <v>663</v>
      </c>
      <c r="E37" s="25" t="s">
        <v>266</v>
      </c>
      <c r="F37" s="26"/>
      <c r="G37" s="26" t="s">
        <v>941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665</v>
      </c>
      <c r="C38" s="13" t="s">
        <v>666</v>
      </c>
      <c r="D38" s="10" t="s">
        <v>667</v>
      </c>
      <c r="E38" s="25" t="s">
        <v>266</v>
      </c>
      <c r="F38" s="26"/>
      <c r="G38" s="26" t="s">
        <v>942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671</v>
      </c>
      <c r="C39" s="13" t="s">
        <v>666</v>
      </c>
      <c r="D39" s="10" t="s">
        <v>672</v>
      </c>
      <c r="E39" s="25" t="s">
        <v>266</v>
      </c>
      <c r="F39" s="26"/>
      <c r="G39" s="26" t="s">
        <v>943</v>
      </c>
      <c r="H39" s="27"/>
      <c r="I39" s="26"/>
      <c r="J39" s="15" t="s">
        <v>632</v>
      </c>
      <c r="K39" s="15" t="s">
        <v>674</v>
      </c>
      <c r="L39" s="15" t="s">
        <v>670</v>
      </c>
    </row>
    <row r="40" s="1" customFormat="1" spans="1:12">
      <c r="A40" s="33"/>
      <c r="B40" s="13" t="s">
        <v>675</v>
      </c>
      <c r="C40" s="13" t="s">
        <v>666</v>
      </c>
      <c r="D40" s="10" t="s">
        <v>676</v>
      </c>
      <c r="E40" s="25" t="s">
        <v>266</v>
      </c>
      <c r="F40" s="26"/>
      <c r="G40" s="26" t="s">
        <v>944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678</v>
      </c>
      <c r="C41" s="13" t="s">
        <v>666</v>
      </c>
      <c r="D41" s="10" t="s">
        <v>679</v>
      </c>
      <c r="E41" s="25" t="s">
        <v>266</v>
      </c>
      <c r="F41" s="26"/>
      <c r="G41" s="26" t="s">
        <v>945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681</v>
      </c>
      <c r="C42" s="13" t="s">
        <v>666</v>
      </c>
      <c r="D42" s="10" t="s">
        <v>682</v>
      </c>
      <c r="E42" s="25" t="s">
        <v>266</v>
      </c>
      <c r="F42" s="26"/>
      <c r="G42" s="26" t="s">
        <v>946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684</v>
      </c>
      <c r="C43" s="13" t="s">
        <v>666</v>
      </c>
      <c r="D43" s="10" t="s">
        <v>685</v>
      </c>
      <c r="E43" s="25" t="s">
        <v>266</v>
      </c>
      <c r="F43" s="26"/>
      <c r="G43" s="26" t="s">
        <v>947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687</v>
      </c>
      <c r="C44" s="13" t="s">
        <v>666</v>
      </c>
      <c r="D44" s="10" t="s">
        <v>688</v>
      </c>
      <c r="E44" s="25" t="s">
        <v>266</v>
      </c>
      <c r="F44" s="26"/>
      <c r="G44" s="26" t="s">
        <v>948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690</v>
      </c>
      <c r="C45" s="13" t="s">
        <v>666</v>
      </c>
      <c r="D45" s="10" t="s">
        <v>691</v>
      </c>
      <c r="E45" s="25" t="s">
        <v>266</v>
      </c>
      <c r="F45" s="26"/>
      <c r="G45" s="26" t="s">
        <v>949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346</v>
      </c>
      <c r="C46" s="13" t="s">
        <v>338</v>
      </c>
      <c r="D46" s="10" t="s">
        <v>693</v>
      </c>
      <c r="E46" s="25" t="s">
        <v>266</v>
      </c>
      <c r="F46" s="26"/>
      <c r="G46" s="26" t="s">
        <v>694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344</v>
      </c>
      <c r="C47" s="13" t="s">
        <v>338</v>
      </c>
      <c r="D47" s="10" t="s">
        <v>695</v>
      </c>
      <c r="E47" s="25" t="s">
        <v>266</v>
      </c>
      <c r="F47" s="26"/>
      <c r="G47" s="26" t="s">
        <v>696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392</v>
      </c>
      <c r="C48" s="13" t="s">
        <v>338</v>
      </c>
      <c r="D48" s="10" t="s">
        <v>697</v>
      </c>
      <c r="E48" s="25" t="s">
        <v>266</v>
      </c>
      <c r="F48" s="26"/>
      <c r="G48" s="26" t="s">
        <v>698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394</v>
      </c>
      <c r="C49" s="13" t="s">
        <v>338</v>
      </c>
      <c r="D49" s="10" t="s">
        <v>699</v>
      </c>
      <c r="E49" s="25" t="s">
        <v>266</v>
      </c>
      <c r="F49" s="26"/>
      <c r="G49" s="26" t="s">
        <v>700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701</v>
      </c>
      <c r="C50" s="13" t="s">
        <v>338</v>
      </c>
      <c r="D50" s="10" t="s">
        <v>702</v>
      </c>
      <c r="E50" s="25" t="s">
        <v>266</v>
      </c>
      <c r="F50" s="26"/>
      <c r="G50" s="26" t="s">
        <v>950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704</v>
      </c>
      <c r="C51" s="13" t="s">
        <v>338</v>
      </c>
      <c r="D51" s="10" t="s">
        <v>705</v>
      </c>
      <c r="E51" s="25" t="s">
        <v>266</v>
      </c>
      <c r="F51" s="26"/>
      <c r="G51" s="26" t="s">
        <v>951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707</v>
      </c>
      <c r="C52" s="13" t="s">
        <v>338</v>
      </c>
      <c r="D52" s="10" t="s">
        <v>708</v>
      </c>
      <c r="E52" s="25" t="s">
        <v>266</v>
      </c>
      <c r="F52" s="26"/>
      <c r="G52" s="26" t="s">
        <v>952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710</v>
      </c>
      <c r="C53" s="13" t="s">
        <v>338</v>
      </c>
      <c r="D53" s="10" t="s">
        <v>711</v>
      </c>
      <c r="E53" s="25" t="s">
        <v>266</v>
      </c>
      <c r="F53" s="26"/>
      <c r="G53" s="26" t="s">
        <v>953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713</v>
      </c>
      <c r="C54" s="13" t="s">
        <v>338</v>
      </c>
      <c r="D54" s="10" t="s">
        <v>714</v>
      </c>
      <c r="E54" s="25" t="s">
        <v>266</v>
      </c>
      <c r="F54" s="26"/>
      <c r="G54" s="26" t="s">
        <v>954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716</v>
      </c>
      <c r="C55" s="13" t="s">
        <v>338</v>
      </c>
      <c r="D55" s="10" t="s">
        <v>717</v>
      </c>
      <c r="E55" s="25" t="s">
        <v>266</v>
      </c>
      <c r="F55" s="26"/>
      <c r="G55" s="26" t="s">
        <v>955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410</v>
      </c>
      <c r="C56" s="13" t="s">
        <v>338</v>
      </c>
      <c r="D56" s="10" t="s">
        <v>719</v>
      </c>
      <c r="E56" s="25" t="s">
        <v>266</v>
      </c>
      <c r="F56" s="26"/>
      <c r="G56" s="26" t="s">
        <v>720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412</v>
      </c>
      <c r="C57" s="13" t="s">
        <v>338</v>
      </c>
      <c r="D57" s="10" t="s">
        <v>721</v>
      </c>
      <c r="E57" s="25" t="s">
        <v>266</v>
      </c>
      <c r="F57" s="26"/>
      <c r="G57" s="26" t="s">
        <v>722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528</v>
      </c>
      <c r="C58" s="13" t="s">
        <v>338</v>
      </c>
      <c r="D58" s="10" t="s">
        <v>723</v>
      </c>
      <c r="E58" s="25" t="s">
        <v>266</v>
      </c>
      <c r="F58" s="26"/>
      <c r="G58" s="26" t="s">
        <v>724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532</v>
      </c>
      <c r="C59" s="13" t="s">
        <v>338</v>
      </c>
      <c r="D59" s="10" t="s">
        <v>725</v>
      </c>
      <c r="E59" s="25" t="s">
        <v>266</v>
      </c>
      <c r="F59" s="26"/>
      <c r="G59" s="26" t="s">
        <v>726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535</v>
      </c>
      <c r="C60" s="13" t="s">
        <v>338</v>
      </c>
      <c r="D60" s="10" t="s">
        <v>536</v>
      </c>
      <c r="E60" s="25" t="s">
        <v>266</v>
      </c>
      <c r="F60" s="26"/>
      <c r="G60" s="26" t="s">
        <v>727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26"/>
      <c r="G62" s="26" t="s">
        <v>957</v>
      </c>
      <c r="H62" s="2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733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736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739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742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745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26"/>
      <c r="G69" s="26" t="s">
        <v>964</v>
      </c>
      <c r="H69" s="2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754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757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760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763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766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26"/>
      <c r="G76" s="26" t="s">
        <v>971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775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778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784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787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413</v>
      </c>
      <c r="C82" s="13" t="s">
        <v>666</v>
      </c>
      <c r="D82" s="10" t="s">
        <v>790</v>
      </c>
      <c r="E82" s="25" t="s">
        <v>266</v>
      </c>
      <c r="F82" s="26"/>
      <c r="G82" s="26" t="s">
        <v>977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418</v>
      </c>
      <c r="C84" s="13" t="s">
        <v>666</v>
      </c>
      <c r="D84" s="10" t="s">
        <v>795</v>
      </c>
      <c r="E84" s="25" t="s">
        <v>266</v>
      </c>
      <c r="F84" s="26"/>
      <c r="G84" s="26" t="s">
        <v>979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800</v>
      </c>
      <c r="C86" s="13" t="s">
        <v>338</v>
      </c>
      <c r="D86" s="10" t="s">
        <v>801</v>
      </c>
      <c r="E86" s="25" t="s">
        <v>266</v>
      </c>
      <c r="F86" s="26"/>
      <c r="G86" s="26" t="s">
        <v>981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551</v>
      </c>
      <c r="C87" s="13" t="s">
        <v>666</v>
      </c>
      <c r="D87" s="10" t="s">
        <v>552</v>
      </c>
      <c r="E87" s="25" t="s">
        <v>266</v>
      </c>
      <c r="F87" s="26"/>
      <c r="G87" s="26" t="s">
        <v>982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805</v>
      </c>
      <c r="C88" s="13" t="s">
        <v>338</v>
      </c>
      <c r="D88" s="10" t="s">
        <v>806</v>
      </c>
      <c r="E88" s="25" t="s">
        <v>266</v>
      </c>
      <c r="F88" s="26"/>
      <c r="G88" s="26" t="s">
        <v>983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808</v>
      </c>
      <c r="C89" s="13" t="s">
        <v>338</v>
      </c>
      <c r="D89" s="10" t="s">
        <v>809</v>
      </c>
      <c r="E89" s="25" t="s">
        <v>266</v>
      </c>
      <c r="F89" s="26"/>
      <c r="G89" s="26" t="s">
        <v>984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811</v>
      </c>
      <c r="C90" s="13" t="s">
        <v>338</v>
      </c>
      <c r="D90" s="10" t="s">
        <v>812</v>
      </c>
      <c r="E90" s="25" t="s">
        <v>266</v>
      </c>
      <c r="F90" s="26"/>
      <c r="G90" s="26" t="s">
        <v>985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814</v>
      </c>
      <c r="C91" s="13" t="s">
        <v>338</v>
      </c>
      <c r="D91" s="10" t="s">
        <v>815</v>
      </c>
      <c r="E91" s="25" t="s">
        <v>266</v>
      </c>
      <c r="F91" s="26"/>
      <c r="G91" s="26" t="s">
        <v>986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817</v>
      </c>
      <c r="C92" s="13" t="s">
        <v>338</v>
      </c>
      <c r="D92" s="10" t="s">
        <v>818</v>
      </c>
      <c r="E92" s="25" t="s">
        <v>266</v>
      </c>
      <c r="F92" s="26"/>
      <c r="G92" s="26" t="s">
        <v>987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820</v>
      </c>
      <c r="C93" s="13" t="s">
        <v>338</v>
      </c>
      <c r="D93" s="10" t="s">
        <v>821</v>
      </c>
      <c r="E93" s="25" t="s">
        <v>266</v>
      </c>
      <c r="F93" s="26"/>
      <c r="G93" s="26" t="s">
        <v>988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556</v>
      </c>
      <c r="C94" s="13" t="s">
        <v>666</v>
      </c>
      <c r="D94" s="10" t="s">
        <v>557</v>
      </c>
      <c r="E94" s="25" t="s">
        <v>266</v>
      </c>
      <c r="F94" s="26"/>
      <c r="G94" s="26" t="s">
        <v>989</v>
      </c>
      <c r="H94" s="27"/>
      <c r="I94" s="26"/>
      <c r="J94" s="15" t="s">
        <v>632</v>
      </c>
      <c r="K94" s="15" t="s">
        <v>404</v>
      </c>
      <c r="L94" s="15" t="s">
        <v>633</v>
      </c>
    </row>
    <row r="95" s="1" customFormat="1" spans="1:12">
      <c r="A95" s="33"/>
      <c r="B95" s="13" t="s">
        <v>824</v>
      </c>
      <c r="C95" s="13" t="s">
        <v>338</v>
      </c>
      <c r="D95" s="10" t="s">
        <v>825</v>
      </c>
      <c r="E95" s="25" t="s">
        <v>266</v>
      </c>
      <c r="F95" s="26"/>
      <c r="G95" s="26" t="s">
        <v>990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827</v>
      </c>
      <c r="C96" s="13" t="s">
        <v>338</v>
      </c>
      <c r="D96" s="10" t="s">
        <v>828</v>
      </c>
      <c r="E96" s="25" t="s">
        <v>266</v>
      </c>
      <c r="F96" s="26"/>
      <c r="G96" s="26" t="s">
        <v>991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830</v>
      </c>
      <c r="C97" s="13" t="s">
        <v>338</v>
      </c>
      <c r="D97" s="10" t="s">
        <v>831</v>
      </c>
      <c r="E97" s="25" t="s">
        <v>266</v>
      </c>
      <c r="F97" s="26"/>
      <c r="G97" s="26" t="s">
        <v>992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833</v>
      </c>
      <c r="C98" s="13" t="s">
        <v>338</v>
      </c>
      <c r="D98" s="10" t="s">
        <v>834</v>
      </c>
      <c r="E98" s="25" t="s">
        <v>266</v>
      </c>
      <c r="F98" s="26"/>
      <c r="G98" s="26" t="s">
        <v>993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836</v>
      </c>
      <c r="C99" s="13" t="s">
        <v>338</v>
      </c>
      <c r="D99" s="10" t="s">
        <v>837</v>
      </c>
      <c r="E99" s="25" t="s">
        <v>266</v>
      </c>
      <c r="F99" s="26"/>
      <c r="G99" s="26" t="s">
        <v>994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839</v>
      </c>
      <c r="C100" s="13" t="s">
        <v>338</v>
      </c>
      <c r="D100" s="10" t="s">
        <v>840</v>
      </c>
      <c r="E100" s="25" t="s">
        <v>266</v>
      </c>
      <c r="F100" s="26"/>
      <c r="G100" s="26" t="s">
        <v>995</v>
      </c>
      <c r="H100" s="2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560</v>
      </c>
      <c r="C101" s="13" t="s">
        <v>666</v>
      </c>
      <c r="D101" s="10" t="s">
        <v>842</v>
      </c>
      <c r="E101" s="25" t="s">
        <v>266</v>
      </c>
      <c r="F101" s="26"/>
      <c r="G101" s="26" t="s">
        <v>996</v>
      </c>
      <c r="H101" s="27"/>
      <c r="I101" s="26"/>
      <c r="J101" s="15" t="s">
        <v>632</v>
      </c>
      <c r="K101" s="15" t="s">
        <v>404</v>
      </c>
      <c r="L101" s="15" t="s">
        <v>633</v>
      </c>
    </row>
    <row r="102" s="1" customFormat="1" spans="1:12">
      <c r="A102" s="33"/>
      <c r="B102" s="75" t="s">
        <v>844</v>
      </c>
      <c r="C102" s="75" t="s">
        <v>338</v>
      </c>
      <c r="D102" s="76" t="s">
        <v>845</v>
      </c>
      <c r="E102" s="25" t="s">
        <v>266</v>
      </c>
      <c r="F102" s="26"/>
      <c r="G102" s="26" t="s">
        <v>997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847</v>
      </c>
      <c r="C103" s="75" t="s">
        <v>338</v>
      </c>
      <c r="D103" s="76" t="s">
        <v>848</v>
      </c>
      <c r="E103" s="25" t="s">
        <v>266</v>
      </c>
      <c r="F103" s="26"/>
      <c r="G103" s="26" t="s">
        <v>998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850</v>
      </c>
      <c r="C104" s="75" t="s">
        <v>338</v>
      </c>
      <c r="D104" s="76" t="s">
        <v>851</v>
      </c>
      <c r="E104" s="25" t="s">
        <v>266</v>
      </c>
      <c r="F104" s="26"/>
      <c r="G104" s="26" t="s">
        <v>999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853</v>
      </c>
      <c r="C105" s="75" t="s">
        <v>338</v>
      </c>
      <c r="D105" s="76" t="s">
        <v>854</v>
      </c>
      <c r="E105" s="25" t="s">
        <v>266</v>
      </c>
      <c r="F105" s="26"/>
      <c r="G105" s="26" t="s">
        <v>1000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856</v>
      </c>
      <c r="C106" s="75" t="s">
        <v>338</v>
      </c>
      <c r="D106" s="76" t="s">
        <v>857</v>
      </c>
      <c r="E106" s="25" t="s">
        <v>266</v>
      </c>
      <c r="F106" s="26"/>
      <c r="G106" s="26" t="s">
        <v>1001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859</v>
      </c>
      <c r="C107" s="13" t="s">
        <v>338</v>
      </c>
      <c r="D107" s="10" t="s">
        <v>860</v>
      </c>
      <c r="E107" s="25" t="s">
        <v>266</v>
      </c>
      <c r="F107" s="26"/>
      <c r="G107" s="26" t="s">
        <v>1002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862</v>
      </c>
      <c r="C108" s="13" t="s">
        <v>666</v>
      </c>
      <c r="D108" s="10" t="s">
        <v>863</v>
      </c>
      <c r="E108" s="25" t="s">
        <v>266</v>
      </c>
      <c r="F108" s="26"/>
      <c r="G108" s="26" t="s">
        <v>1003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462</v>
      </c>
      <c r="C109" s="13" t="s">
        <v>666</v>
      </c>
      <c r="D109" s="10" t="s">
        <v>865</v>
      </c>
      <c r="E109" s="25" t="s">
        <v>266</v>
      </c>
      <c r="F109" s="26"/>
      <c r="G109" s="26" t="s">
        <v>1004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538</v>
      </c>
      <c r="C110" s="13" t="s">
        <v>666</v>
      </c>
      <c r="D110" s="10" t="s">
        <v>539</v>
      </c>
      <c r="E110" s="25" t="s">
        <v>266</v>
      </c>
      <c r="F110" s="26"/>
      <c r="G110" s="26" t="s">
        <v>1005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868</v>
      </c>
      <c r="C111" s="13" t="s">
        <v>338</v>
      </c>
      <c r="D111" s="10" t="s">
        <v>869</v>
      </c>
      <c r="E111" s="25" t="s">
        <v>266</v>
      </c>
      <c r="F111" s="26"/>
      <c r="G111" s="26" t="s">
        <v>1006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871</v>
      </c>
      <c r="C112" s="13" t="s">
        <v>338</v>
      </c>
      <c r="D112" s="10" t="s">
        <v>872</v>
      </c>
      <c r="E112" s="25" t="s">
        <v>266</v>
      </c>
      <c r="F112" s="26"/>
      <c r="G112" s="26" t="s">
        <v>1007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543</v>
      </c>
      <c r="C113" s="13" t="s">
        <v>666</v>
      </c>
      <c r="D113" s="10" t="s">
        <v>544</v>
      </c>
      <c r="E113" s="25" t="s">
        <v>266</v>
      </c>
      <c r="F113" s="26"/>
      <c r="G113" s="26" t="s">
        <v>1008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875</v>
      </c>
      <c r="C114" s="13" t="s">
        <v>338</v>
      </c>
      <c r="D114" s="10" t="s">
        <v>876</v>
      </c>
      <c r="E114" s="25" t="s">
        <v>266</v>
      </c>
      <c r="F114" s="26"/>
      <c r="G114" s="26" t="s">
        <v>1009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887</v>
      </c>
      <c r="C115" s="13" t="s">
        <v>338</v>
      </c>
      <c r="D115" s="10" t="s">
        <v>888</v>
      </c>
      <c r="E115" s="25" t="s">
        <v>266</v>
      </c>
      <c r="F115" s="26"/>
      <c r="G115" s="26" t="s">
        <v>1013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890</v>
      </c>
      <c r="C116" s="13" t="s">
        <v>338</v>
      </c>
      <c r="D116" s="10" t="s">
        <v>891</v>
      </c>
      <c r="E116" s="25" t="s">
        <v>266</v>
      </c>
      <c r="F116" s="26"/>
      <c r="G116" s="26" t="s">
        <v>1014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893</v>
      </c>
      <c r="C117" s="13" t="s">
        <v>338</v>
      </c>
      <c r="D117" s="10" t="s">
        <v>894</v>
      </c>
      <c r="E117" s="25" t="s">
        <v>266</v>
      </c>
      <c r="F117" s="26"/>
      <c r="G117" s="26" t="s">
        <v>1015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896</v>
      </c>
      <c r="C118" s="13" t="s">
        <v>338</v>
      </c>
      <c r="D118" s="10" t="s">
        <v>897</v>
      </c>
      <c r="E118" s="25" t="s">
        <v>266</v>
      </c>
      <c r="F118" s="26"/>
      <c r="G118" s="26" t="s">
        <v>1016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899</v>
      </c>
      <c r="C119" s="13" t="s">
        <v>338</v>
      </c>
      <c r="D119" s="10" t="s">
        <v>900</v>
      </c>
      <c r="E119" s="25" t="s">
        <v>266</v>
      </c>
      <c r="F119" s="26"/>
      <c r="G119" s="26" t="s">
        <v>1017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902</v>
      </c>
      <c r="C120" s="13" t="s">
        <v>338</v>
      </c>
      <c r="D120" s="10" t="s">
        <v>903</v>
      </c>
      <c r="E120" s="25" t="s">
        <v>266</v>
      </c>
      <c r="F120" s="26"/>
      <c r="G120" s="26" t="s">
        <v>1018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905</v>
      </c>
      <c r="C121" s="13" t="s">
        <v>338</v>
      </c>
      <c r="D121" s="10" t="s">
        <v>906</v>
      </c>
      <c r="E121" s="25" t="s">
        <v>266</v>
      </c>
      <c r="F121" s="26"/>
      <c r="G121" s="26" t="s">
        <v>1019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908</v>
      </c>
      <c r="C122" s="13" t="s">
        <v>338</v>
      </c>
      <c r="D122" s="10" t="s">
        <v>909</v>
      </c>
      <c r="E122" s="25" t="s">
        <v>266</v>
      </c>
      <c r="F122" s="26"/>
      <c r="G122" s="26" t="s">
        <v>1020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911</v>
      </c>
      <c r="C123" s="13" t="s">
        <v>338</v>
      </c>
      <c r="D123" s="10" t="s">
        <v>912</v>
      </c>
      <c r="E123" s="25" t="s">
        <v>266</v>
      </c>
      <c r="F123" s="26"/>
      <c r="G123" s="26" t="s">
        <v>1021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914</v>
      </c>
      <c r="C124" s="13" t="s">
        <v>338</v>
      </c>
      <c r="D124" s="10" t="s">
        <v>915</v>
      </c>
      <c r="E124" s="25" t="s">
        <v>266</v>
      </c>
      <c r="F124" s="26"/>
      <c r="G124" s="26" t="s">
        <v>1022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7" t="s">
        <v>594</v>
      </c>
      <c r="C125" s="18" t="s">
        <v>307</v>
      </c>
      <c r="D125" s="19" t="s">
        <v>595</v>
      </c>
      <c r="E125" s="28"/>
      <c r="F125" s="28"/>
      <c r="G125" s="28" t="s">
        <v>932</v>
      </c>
      <c r="H125" s="17"/>
      <c r="I125" s="17"/>
      <c r="J125" s="17"/>
      <c r="K125" s="17"/>
      <c r="L125" s="17"/>
    </row>
    <row r="126" spans="2:12">
      <c r="B126" s="17" t="s">
        <v>596</v>
      </c>
      <c r="C126" s="18" t="s">
        <v>291</v>
      </c>
      <c r="D126" s="19" t="s">
        <v>597</v>
      </c>
      <c r="E126" s="28"/>
      <c r="F126" s="28"/>
      <c r="G126" s="28" t="s">
        <v>932</v>
      </c>
      <c r="H126" s="17" t="s">
        <v>932</v>
      </c>
      <c r="I126" s="17"/>
      <c r="J126" s="17"/>
      <c r="K126" s="17"/>
      <c r="L126" s="17"/>
    </row>
    <row r="127" spans="2:12">
      <c r="B127" s="17" t="s">
        <v>598</v>
      </c>
      <c r="C127" s="18" t="s">
        <v>307</v>
      </c>
      <c r="D127" s="19" t="s">
        <v>599</v>
      </c>
      <c r="E127" s="28"/>
      <c r="F127" s="28"/>
      <c r="G127" s="28" t="s">
        <v>932</v>
      </c>
      <c r="H127" s="17" t="s">
        <v>932</v>
      </c>
      <c r="I127" s="17"/>
      <c r="J127" s="17"/>
      <c r="K127" s="17"/>
      <c r="L127" s="17"/>
    </row>
  </sheetData>
  <autoFilter xmlns:etc="http://www.wps.cn/officeDocument/2017/etCustomData" ref="A13:Q12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zoomScale="85" zoomScaleNormal="85" workbookViewId="0">
      <pane ySplit="5" topLeftCell="A6" activePane="bottomLeft" state="frozen"/>
      <selection/>
      <selection pane="bottomLeft" activeCell="A15" sqref="$A15:$XFD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79</v>
      </c>
      <c r="D5" s="14" t="s">
        <v>80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76</v>
      </c>
      <c r="D9" s="14" t="s">
        <v>77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3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410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412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528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532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535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733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736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739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742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745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754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757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760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763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766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775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778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784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787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413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418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551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556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560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862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538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868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871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543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="1" customFormat="1" spans="1:12">
      <c r="A115" s="33"/>
      <c r="B115" s="13" t="s">
        <v>890</v>
      </c>
      <c r="C115" s="13" t="s">
        <v>338</v>
      </c>
      <c r="D115" s="10" t="s">
        <v>891</v>
      </c>
      <c r="E115" s="25" t="s">
        <v>266</v>
      </c>
      <c r="F115" s="26"/>
      <c r="G115" s="26" t="s">
        <v>1014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893</v>
      </c>
      <c r="C116" s="13" t="s">
        <v>338</v>
      </c>
      <c r="D116" s="10" t="s">
        <v>894</v>
      </c>
      <c r="E116" s="25" t="s">
        <v>266</v>
      </c>
      <c r="F116" s="26"/>
      <c r="G116" s="26" t="s">
        <v>1015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896</v>
      </c>
      <c r="C117" s="13" t="s">
        <v>338</v>
      </c>
      <c r="D117" s="10" t="s">
        <v>897</v>
      </c>
      <c r="E117" s="25" t="s">
        <v>266</v>
      </c>
      <c r="F117" s="26"/>
      <c r="G117" s="26" t="s">
        <v>1016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pans="2:12">
      <c r="B118" s="13" t="s">
        <v>899</v>
      </c>
      <c r="C118" s="13" t="s">
        <v>338</v>
      </c>
      <c r="D118" s="10" t="s">
        <v>900</v>
      </c>
      <c r="E118" s="25" t="s">
        <v>266</v>
      </c>
      <c r="F118" s="26"/>
      <c r="G118" s="26" t="s">
        <v>1017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902</v>
      </c>
      <c r="C119" s="13" t="s">
        <v>338</v>
      </c>
      <c r="D119" s="10" t="s">
        <v>903</v>
      </c>
      <c r="E119" s="25" t="s">
        <v>266</v>
      </c>
      <c r="F119" s="26"/>
      <c r="G119" s="26" t="s">
        <v>1018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905</v>
      </c>
      <c r="C120" s="13" t="s">
        <v>338</v>
      </c>
      <c r="D120" s="10" t="s">
        <v>906</v>
      </c>
      <c r="E120" s="25" t="s">
        <v>266</v>
      </c>
      <c r="F120" s="26"/>
      <c r="G120" s="26" t="s">
        <v>1019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908</v>
      </c>
      <c r="C121" s="13" t="s">
        <v>338</v>
      </c>
      <c r="D121" s="10" t="s">
        <v>909</v>
      </c>
      <c r="E121" s="25" t="s">
        <v>266</v>
      </c>
      <c r="F121" s="26"/>
      <c r="G121" s="26" t="s">
        <v>1020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911</v>
      </c>
      <c r="C122" s="13" t="s">
        <v>338</v>
      </c>
      <c r="D122" s="10" t="s">
        <v>912</v>
      </c>
      <c r="E122" s="25" t="s">
        <v>266</v>
      </c>
      <c r="F122" s="26"/>
      <c r="G122" s="26" t="s">
        <v>1021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914</v>
      </c>
      <c r="C123" s="13" t="s">
        <v>338</v>
      </c>
      <c r="D123" s="10" t="s">
        <v>915</v>
      </c>
      <c r="E123" s="25" t="s">
        <v>266</v>
      </c>
      <c r="F123" s="26"/>
      <c r="G123" s="26" t="s">
        <v>1022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7" t="s">
        <v>594</v>
      </c>
      <c r="C124" s="18" t="s">
        <v>307</v>
      </c>
      <c r="D124" s="19" t="s">
        <v>595</v>
      </c>
      <c r="E124" s="28"/>
      <c r="F124" s="28"/>
      <c r="G124" s="28" t="s">
        <v>932</v>
      </c>
      <c r="H124" s="17"/>
      <c r="I124" s="17"/>
      <c r="J124" s="17"/>
      <c r="K124" s="17"/>
      <c r="L124" s="17"/>
    </row>
    <row r="125" spans="2:12">
      <c r="B125" s="17" t="s">
        <v>596</v>
      </c>
      <c r="C125" s="18" t="s">
        <v>291</v>
      </c>
      <c r="D125" s="19" t="s">
        <v>597</v>
      </c>
      <c r="E125" s="28"/>
      <c r="F125" s="28"/>
      <c r="G125" s="28" t="s">
        <v>932</v>
      </c>
      <c r="H125" s="17" t="s">
        <v>932</v>
      </c>
      <c r="I125" s="17"/>
      <c r="J125" s="17"/>
      <c r="K125" s="17"/>
      <c r="L125" s="17"/>
    </row>
  </sheetData>
  <autoFilter xmlns:etc="http://www.wps.cn/officeDocument/2017/etCustomData" ref="A13:Q12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zoomScale="85" zoomScaleNormal="85" workbookViewId="0">
      <pane ySplit="5" topLeftCell="A6" activePane="bottomLeft" state="frozen"/>
      <selection/>
      <selection pane="bottomLeft" activeCell="A16" sqref="$A16:$XFD1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81</v>
      </c>
      <c r="D5" s="14" t="s">
        <v>82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76</v>
      </c>
      <c r="D9" s="14" t="s">
        <v>77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410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412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528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532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535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733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736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739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742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745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754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757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760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763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766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775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778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784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787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413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418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551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556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560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862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538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868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871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543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="1" customFormat="1" spans="1:12">
      <c r="A115" s="33"/>
      <c r="B115" s="13" t="s">
        <v>890</v>
      </c>
      <c r="C115" s="13" t="s">
        <v>338</v>
      </c>
      <c r="D115" s="10" t="s">
        <v>891</v>
      </c>
      <c r="E115" s="25" t="s">
        <v>266</v>
      </c>
      <c r="F115" s="26"/>
      <c r="G115" s="26" t="s">
        <v>1014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893</v>
      </c>
      <c r="C116" s="13" t="s">
        <v>338</v>
      </c>
      <c r="D116" s="10" t="s">
        <v>894</v>
      </c>
      <c r="E116" s="25" t="s">
        <v>266</v>
      </c>
      <c r="F116" s="26"/>
      <c r="G116" s="26" t="s">
        <v>1015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896</v>
      </c>
      <c r="C117" s="13" t="s">
        <v>338</v>
      </c>
      <c r="D117" s="10" t="s">
        <v>897</v>
      </c>
      <c r="E117" s="25" t="s">
        <v>266</v>
      </c>
      <c r="F117" s="26"/>
      <c r="G117" s="26" t="s">
        <v>1016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pans="2:12">
      <c r="B118" s="13" t="s">
        <v>899</v>
      </c>
      <c r="C118" s="13" t="s">
        <v>338</v>
      </c>
      <c r="D118" s="10" t="s">
        <v>900</v>
      </c>
      <c r="E118" s="25" t="s">
        <v>266</v>
      </c>
      <c r="F118" s="26"/>
      <c r="G118" s="26" t="s">
        <v>1017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902</v>
      </c>
      <c r="C119" s="13" t="s">
        <v>338</v>
      </c>
      <c r="D119" s="10" t="s">
        <v>903</v>
      </c>
      <c r="E119" s="25" t="s">
        <v>266</v>
      </c>
      <c r="F119" s="26"/>
      <c r="G119" s="26" t="s">
        <v>1018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905</v>
      </c>
      <c r="C120" s="13" t="s">
        <v>338</v>
      </c>
      <c r="D120" s="10" t="s">
        <v>906</v>
      </c>
      <c r="E120" s="25" t="s">
        <v>266</v>
      </c>
      <c r="F120" s="26"/>
      <c r="G120" s="26" t="s">
        <v>1019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908</v>
      </c>
      <c r="C121" s="13" t="s">
        <v>338</v>
      </c>
      <c r="D121" s="10" t="s">
        <v>909</v>
      </c>
      <c r="E121" s="25" t="s">
        <v>266</v>
      </c>
      <c r="F121" s="26"/>
      <c r="G121" s="26" t="s">
        <v>1020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911</v>
      </c>
      <c r="C122" s="13" t="s">
        <v>338</v>
      </c>
      <c r="D122" s="10" t="s">
        <v>912</v>
      </c>
      <c r="E122" s="25" t="s">
        <v>266</v>
      </c>
      <c r="F122" s="26"/>
      <c r="G122" s="26" t="s">
        <v>1021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914</v>
      </c>
      <c r="C123" s="13" t="s">
        <v>338</v>
      </c>
      <c r="D123" s="10" t="s">
        <v>915</v>
      </c>
      <c r="E123" s="25" t="s">
        <v>266</v>
      </c>
      <c r="F123" s="26"/>
      <c r="G123" s="26" t="s">
        <v>1022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7" t="s">
        <v>594</v>
      </c>
      <c r="C124" s="18" t="s">
        <v>307</v>
      </c>
      <c r="D124" s="19" t="s">
        <v>595</v>
      </c>
      <c r="E124" s="28"/>
      <c r="F124" s="28"/>
      <c r="G124" s="28" t="s">
        <v>932</v>
      </c>
      <c r="H124" s="17"/>
      <c r="I124" s="17"/>
      <c r="J124" s="17"/>
      <c r="K124" s="17"/>
      <c r="L124" s="17"/>
    </row>
    <row r="125" spans="2:12">
      <c r="B125" s="17" t="s">
        <v>596</v>
      </c>
      <c r="C125" s="18" t="s">
        <v>291</v>
      </c>
      <c r="D125" s="19" t="s">
        <v>597</v>
      </c>
      <c r="E125" s="28"/>
      <c r="F125" s="28"/>
      <c r="G125" s="28" t="s">
        <v>932</v>
      </c>
      <c r="H125" s="17" t="s">
        <v>932</v>
      </c>
      <c r="I125" s="17"/>
      <c r="J125" s="17"/>
      <c r="K125" s="17"/>
      <c r="L125" s="17"/>
    </row>
    <row r="126" spans="2:12">
      <c r="B126" s="17" t="s">
        <v>598</v>
      </c>
      <c r="C126" s="18" t="s">
        <v>307</v>
      </c>
      <c r="D126" s="19" t="s">
        <v>599</v>
      </c>
      <c r="E126" s="28"/>
      <c r="F126" s="28"/>
      <c r="G126" s="28" t="s">
        <v>932</v>
      </c>
      <c r="H126" s="17" t="s">
        <v>932</v>
      </c>
      <c r="I126" s="17"/>
      <c r="J126" s="17"/>
      <c r="K126" s="17"/>
      <c r="L126" s="17"/>
    </row>
  </sheetData>
  <autoFilter xmlns:etc="http://www.wps.cn/officeDocument/2017/etCustomData" ref="A13:Q12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zoomScale="85" zoomScaleNormal="85" workbookViewId="0">
      <pane ySplit="5" topLeftCell="A6" activePane="bottomLeft" state="frozen"/>
      <selection/>
      <selection pane="bottomLeft" activeCell="A15" sqref="$A15:$XFD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83</v>
      </c>
      <c r="D5" s="14" t="s">
        <v>84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81</v>
      </c>
      <c r="D9" s="14" t="s">
        <v>82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629</v>
      </c>
      <c r="C24" s="13" t="s">
        <v>338</v>
      </c>
      <c r="D24" s="10" t="s">
        <v>630</v>
      </c>
      <c r="E24" s="25" t="s">
        <v>266</v>
      </c>
      <c r="F24" s="26"/>
      <c r="G24" s="26" t="s">
        <v>933</v>
      </c>
      <c r="H24" s="27"/>
      <c r="I24" s="26"/>
      <c r="J24" s="15" t="s">
        <v>632</v>
      </c>
      <c r="K24" s="15" t="s">
        <v>294</v>
      </c>
      <c r="L24" s="15" t="s">
        <v>633</v>
      </c>
    </row>
    <row r="25" s="1" customFormat="1" spans="1:12">
      <c r="A25" s="33"/>
      <c r="B25" s="13" t="s">
        <v>1270</v>
      </c>
      <c r="C25" s="13" t="s">
        <v>338</v>
      </c>
      <c r="D25" s="10" t="s">
        <v>1271</v>
      </c>
      <c r="E25" s="25" t="s">
        <v>266</v>
      </c>
      <c r="F25" s="26"/>
      <c r="G25" s="26" t="s">
        <v>1272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1273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1044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1045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1055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1054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1056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1057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1274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1275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1064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1066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1276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1277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1278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1091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1093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1095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1097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1099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1104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1106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1108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1110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1112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1279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1280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1282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1283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1284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1285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1286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1287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1288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1289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1290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1291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1292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1293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="1" customFormat="1" spans="1:12">
      <c r="A115" s="33"/>
      <c r="B115" s="13" t="s">
        <v>1294</v>
      </c>
      <c r="C115" s="13" t="s">
        <v>338</v>
      </c>
      <c r="D115" s="10" t="s">
        <v>891</v>
      </c>
      <c r="E115" s="25" t="s">
        <v>266</v>
      </c>
      <c r="F115" s="26"/>
      <c r="G115" s="26" t="s">
        <v>1014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="1" customFormat="1" spans="1:12">
      <c r="A116" s="33"/>
      <c r="B116" s="13" t="s">
        <v>1295</v>
      </c>
      <c r="C116" s="13" t="s">
        <v>338</v>
      </c>
      <c r="D116" s="10" t="s">
        <v>894</v>
      </c>
      <c r="E116" s="25" t="s">
        <v>266</v>
      </c>
      <c r="F116" s="26"/>
      <c r="G116" s="26" t="s">
        <v>1015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1296</v>
      </c>
      <c r="C117" s="13" t="s">
        <v>338</v>
      </c>
      <c r="D117" s="10" t="s">
        <v>897</v>
      </c>
      <c r="E117" s="25" t="s">
        <v>266</v>
      </c>
      <c r="F117" s="26"/>
      <c r="G117" s="26" t="s">
        <v>1016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pans="2:12">
      <c r="B118" s="13" t="s">
        <v>899</v>
      </c>
      <c r="C118" s="13" t="s">
        <v>338</v>
      </c>
      <c r="D118" s="10" t="s">
        <v>900</v>
      </c>
      <c r="E118" s="25" t="s">
        <v>266</v>
      </c>
      <c r="F118" s="26"/>
      <c r="G118" s="26" t="s">
        <v>1017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3" t="s">
        <v>902</v>
      </c>
      <c r="C119" s="13" t="s">
        <v>338</v>
      </c>
      <c r="D119" s="10" t="s">
        <v>903</v>
      </c>
      <c r="E119" s="25" t="s">
        <v>266</v>
      </c>
      <c r="F119" s="26"/>
      <c r="G119" s="26" t="s">
        <v>1018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905</v>
      </c>
      <c r="C120" s="13" t="s">
        <v>338</v>
      </c>
      <c r="D120" s="10" t="s">
        <v>906</v>
      </c>
      <c r="E120" s="25" t="s">
        <v>266</v>
      </c>
      <c r="F120" s="26"/>
      <c r="G120" s="26" t="s">
        <v>1019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1297</v>
      </c>
      <c r="C121" s="13" t="s">
        <v>338</v>
      </c>
      <c r="D121" s="10" t="s">
        <v>909</v>
      </c>
      <c r="E121" s="25" t="s">
        <v>266</v>
      </c>
      <c r="F121" s="26"/>
      <c r="G121" s="26" t="s">
        <v>1020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1298</v>
      </c>
      <c r="C122" s="13" t="s">
        <v>338</v>
      </c>
      <c r="D122" s="10" t="s">
        <v>912</v>
      </c>
      <c r="E122" s="25" t="s">
        <v>266</v>
      </c>
      <c r="F122" s="26"/>
      <c r="G122" s="26" t="s">
        <v>1021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1299</v>
      </c>
      <c r="C123" s="13" t="s">
        <v>338</v>
      </c>
      <c r="D123" s="10" t="s">
        <v>915</v>
      </c>
      <c r="E123" s="25" t="s">
        <v>266</v>
      </c>
      <c r="F123" s="26"/>
      <c r="G123" s="26" t="s">
        <v>1022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7" t="s">
        <v>594</v>
      </c>
      <c r="C124" s="18" t="s">
        <v>307</v>
      </c>
      <c r="D124" s="19" t="s">
        <v>595</v>
      </c>
      <c r="E124" s="28"/>
      <c r="F124" s="28"/>
      <c r="G124" s="28" t="s">
        <v>932</v>
      </c>
      <c r="H124" s="17"/>
      <c r="I124" s="17"/>
      <c r="J124" s="17"/>
      <c r="K124" s="17"/>
      <c r="L124" s="17"/>
    </row>
    <row r="125" spans="2:12">
      <c r="B125" s="17" t="s">
        <v>596</v>
      </c>
      <c r="C125" s="18" t="s">
        <v>291</v>
      </c>
      <c r="D125" s="19" t="s">
        <v>597</v>
      </c>
      <c r="E125" s="28"/>
      <c r="F125" s="28"/>
      <c r="G125" s="28" t="s">
        <v>932</v>
      </c>
      <c r="H125" s="17" t="s">
        <v>932</v>
      </c>
      <c r="I125" s="17"/>
      <c r="J125" s="17"/>
      <c r="K125" s="17"/>
      <c r="L125" s="17"/>
    </row>
  </sheetData>
  <autoFilter xmlns:etc="http://www.wps.cn/officeDocument/2017/etCustomData" ref="A13:Q12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zoomScale="85" zoomScaleNormal="85" workbookViewId="0">
      <pane ySplit="5" topLeftCell="A6" activePane="bottomLeft" state="frozen"/>
      <selection/>
      <selection pane="bottomLeft" activeCell="B17" sqref="B1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86</v>
      </c>
      <c r="D5" s="14" t="s">
        <v>87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68</v>
      </c>
      <c r="D9" s="14" t="s">
        <v>69</v>
      </c>
      <c r="E9" s="13" t="s">
        <v>266</v>
      </c>
      <c r="F9" s="26"/>
      <c r="G9" s="26" t="s">
        <v>1300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3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634</v>
      </c>
      <c r="C27" s="13" t="s">
        <v>338</v>
      </c>
      <c r="D27" s="10" t="s">
        <v>635</v>
      </c>
      <c r="E27" s="25" t="s">
        <v>266</v>
      </c>
      <c r="F27" s="26"/>
      <c r="G27" s="26" t="s">
        <v>934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637</v>
      </c>
      <c r="C28" s="13" t="s">
        <v>338</v>
      </c>
      <c r="D28" s="10" t="s">
        <v>638</v>
      </c>
      <c r="E28" s="25" t="s">
        <v>266</v>
      </c>
      <c r="F28" s="26"/>
      <c r="G28" s="26" t="s">
        <v>935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32" t="s">
        <v>337</v>
      </c>
      <c r="C29" s="32" t="s">
        <v>338</v>
      </c>
      <c r="D29" s="10" t="s">
        <v>640</v>
      </c>
      <c r="E29" s="25" t="s">
        <v>266</v>
      </c>
      <c r="F29" s="26"/>
      <c r="G29" s="26" t="s">
        <v>641</v>
      </c>
      <c r="H29" s="27"/>
      <c r="I29" s="26"/>
      <c r="J29" s="15" t="s">
        <v>632</v>
      </c>
      <c r="K29" s="15" t="s">
        <v>404</v>
      </c>
      <c r="L29" s="15" t="s">
        <v>633</v>
      </c>
    </row>
    <row r="30" s="1" customFormat="1" spans="1:12">
      <c r="A30" s="33"/>
      <c r="B30" s="13" t="s">
        <v>342</v>
      </c>
      <c r="C30" s="13" t="s">
        <v>338</v>
      </c>
      <c r="D30" s="10" t="s">
        <v>642</v>
      </c>
      <c r="E30" s="25" t="s">
        <v>266</v>
      </c>
      <c r="F30" s="26"/>
      <c r="G30" s="26" t="s">
        <v>643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340</v>
      </c>
      <c r="C31" s="13" t="s">
        <v>338</v>
      </c>
      <c r="D31" s="10" t="s">
        <v>645</v>
      </c>
      <c r="E31" s="25" t="s">
        <v>266</v>
      </c>
      <c r="F31" s="26"/>
      <c r="G31" s="26" t="s">
        <v>646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647</v>
      </c>
      <c r="C32" s="13" t="s">
        <v>338</v>
      </c>
      <c r="D32" s="10" t="s">
        <v>648</v>
      </c>
      <c r="E32" s="25" t="s">
        <v>266</v>
      </c>
      <c r="F32" s="26"/>
      <c r="G32" s="26" t="s">
        <v>936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650</v>
      </c>
      <c r="C33" s="13" t="s">
        <v>338</v>
      </c>
      <c r="D33" s="10" t="s">
        <v>651</v>
      </c>
      <c r="E33" s="25" t="s">
        <v>266</v>
      </c>
      <c r="F33" s="26"/>
      <c r="G33" s="26" t="s">
        <v>937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653</v>
      </c>
      <c r="C34" s="13" t="s">
        <v>338</v>
      </c>
      <c r="D34" s="10" t="s">
        <v>654</v>
      </c>
      <c r="E34" s="25" t="s">
        <v>266</v>
      </c>
      <c r="F34" s="26"/>
      <c r="G34" s="26" t="s">
        <v>938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662</v>
      </c>
      <c r="C37" s="13" t="s">
        <v>338</v>
      </c>
      <c r="D37" s="10" t="s">
        <v>663</v>
      </c>
      <c r="E37" s="25" t="s">
        <v>266</v>
      </c>
      <c r="F37" s="26"/>
      <c r="G37" s="26" t="s">
        <v>941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665</v>
      </c>
      <c r="C38" s="13" t="s">
        <v>666</v>
      </c>
      <c r="D38" s="10" t="s">
        <v>667</v>
      </c>
      <c r="E38" s="25" t="s">
        <v>266</v>
      </c>
      <c r="F38" s="26"/>
      <c r="G38" s="26" t="s">
        <v>942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671</v>
      </c>
      <c r="C39" s="13" t="s">
        <v>666</v>
      </c>
      <c r="D39" s="10" t="s">
        <v>672</v>
      </c>
      <c r="E39" s="25" t="s">
        <v>266</v>
      </c>
      <c r="F39" s="26"/>
      <c r="G39" s="26" t="s">
        <v>943</v>
      </c>
      <c r="H39" s="27"/>
      <c r="I39" s="26"/>
      <c r="J39" s="15" t="s">
        <v>632</v>
      </c>
      <c r="K39" s="15" t="s">
        <v>674</v>
      </c>
      <c r="L39" s="15" t="s">
        <v>670</v>
      </c>
    </row>
    <row r="40" s="1" customFormat="1" spans="1:12">
      <c r="A40" s="33"/>
      <c r="B40" s="13" t="s">
        <v>675</v>
      </c>
      <c r="C40" s="13" t="s">
        <v>666</v>
      </c>
      <c r="D40" s="10" t="s">
        <v>676</v>
      </c>
      <c r="E40" s="25" t="s">
        <v>266</v>
      </c>
      <c r="F40" s="26"/>
      <c r="G40" s="26" t="s">
        <v>944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678</v>
      </c>
      <c r="C41" s="13" t="s">
        <v>666</v>
      </c>
      <c r="D41" s="10" t="s">
        <v>679</v>
      </c>
      <c r="E41" s="25" t="s">
        <v>266</v>
      </c>
      <c r="F41" s="26"/>
      <c r="G41" s="26" t="s">
        <v>945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681</v>
      </c>
      <c r="C42" s="13" t="s">
        <v>666</v>
      </c>
      <c r="D42" s="10" t="s">
        <v>682</v>
      </c>
      <c r="E42" s="25" t="s">
        <v>266</v>
      </c>
      <c r="F42" s="26"/>
      <c r="G42" s="26" t="s">
        <v>946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684</v>
      </c>
      <c r="C43" s="13" t="s">
        <v>666</v>
      </c>
      <c r="D43" s="10" t="s">
        <v>685</v>
      </c>
      <c r="E43" s="25" t="s">
        <v>266</v>
      </c>
      <c r="F43" s="26"/>
      <c r="G43" s="26" t="s">
        <v>947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687</v>
      </c>
      <c r="C44" s="13" t="s">
        <v>666</v>
      </c>
      <c r="D44" s="10" t="s">
        <v>688</v>
      </c>
      <c r="E44" s="25" t="s">
        <v>266</v>
      </c>
      <c r="F44" s="26"/>
      <c r="G44" s="26" t="s">
        <v>948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690</v>
      </c>
      <c r="C45" s="13" t="s">
        <v>666</v>
      </c>
      <c r="D45" s="10" t="s">
        <v>691</v>
      </c>
      <c r="E45" s="25" t="s">
        <v>266</v>
      </c>
      <c r="F45" s="26"/>
      <c r="G45" s="26" t="s">
        <v>949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346</v>
      </c>
      <c r="C46" s="13" t="s">
        <v>338</v>
      </c>
      <c r="D46" s="10" t="s">
        <v>693</v>
      </c>
      <c r="E46" s="25" t="s">
        <v>266</v>
      </c>
      <c r="F46" s="26"/>
      <c r="G46" s="26" t="s">
        <v>694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344</v>
      </c>
      <c r="C47" s="13" t="s">
        <v>338</v>
      </c>
      <c r="D47" s="10" t="s">
        <v>695</v>
      </c>
      <c r="E47" s="25" t="s">
        <v>266</v>
      </c>
      <c r="F47" s="26"/>
      <c r="G47" s="26" t="s">
        <v>696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392</v>
      </c>
      <c r="C48" s="13" t="s">
        <v>338</v>
      </c>
      <c r="D48" s="10" t="s">
        <v>697</v>
      </c>
      <c r="E48" s="25" t="s">
        <v>266</v>
      </c>
      <c r="F48" s="26"/>
      <c r="G48" s="26" t="s">
        <v>698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394</v>
      </c>
      <c r="C49" s="13" t="s">
        <v>338</v>
      </c>
      <c r="D49" s="10" t="s">
        <v>699</v>
      </c>
      <c r="E49" s="25" t="s">
        <v>266</v>
      </c>
      <c r="F49" s="26"/>
      <c r="G49" s="26" t="s">
        <v>700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701</v>
      </c>
      <c r="C50" s="13" t="s">
        <v>338</v>
      </c>
      <c r="D50" s="10" t="s">
        <v>702</v>
      </c>
      <c r="E50" s="25" t="s">
        <v>266</v>
      </c>
      <c r="F50" s="26"/>
      <c r="G50" s="26" t="s">
        <v>950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704</v>
      </c>
      <c r="C51" s="13" t="s">
        <v>338</v>
      </c>
      <c r="D51" s="10" t="s">
        <v>705</v>
      </c>
      <c r="E51" s="25" t="s">
        <v>266</v>
      </c>
      <c r="F51" s="26"/>
      <c r="G51" s="26" t="s">
        <v>951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707</v>
      </c>
      <c r="C52" s="13" t="s">
        <v>338</v>
      </c>
      <c r="D52" s="10" t="s">
        <v>708</v>
      </c>
      <c r="E52" s="25" t="s">
        <v>266</v>
      </c>
      <c r="F52" s="26"/>
      <c r="G52" s="26" t="s">
        <v>952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710</v>
      </c>
      <c r="C53" s="13" t="s">
        <v>338</v>
      </c>
      <c r="D53" s="10" t="s">
        <v>711</v>
      </c>
      <c r="E53" s="25" t="s">
        <v>266</v>
      </c>
      <c r="F53" s="26"/>
      <c r="G53" s="26" t="s">
        <v>953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713</v>
      </c>
      <c r="C54" s="13" t="s">
        <v>338</v>
      </c>
      <c r="D54" s="10" t="s">
        <v>714</v>
      </c>
      <c r="E54" s="25" t="s">
        <v>266</v>
      </c>
      <c r="F54" s="26"/>
      <c r="G54" s="26" t="s">
        <v>954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716</v>
      </c>
      <c r="C55" s="13" t="s">
        <v>338</v>
      </c>
      <c r="D55" s="10" t="s">
        <v>717</v>
      </c>
      <c r="E55" s="25" t="s">
        <v>266</v>
      </c>
      <c r="F55" s="26"/>
      <c r="G55" s="26" t="s">
        <v>955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410</v>
      </c>
      <c r="C56" s="13" t="s">
        <v>338</v>
      </c>
      <c r="D56" s="10" t="s">
        <v>719</v>
      </c>
      <c r="E56" s="25" t="s">
        <v>266</v>
      </c>
      <c r="F56" s="26"/>
      <c r="G56" s="26" t="s">
        <v>720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412</v>
      </c>
      <c r="C57" s="13" t="s">
        <v>338</v>
      </c>
      <c r="D57" s="10" t="s">
        <v>721</v>
      </c>
      <c r="E57" s="25" t="s">
        <v>266</v>
      </c>
      <c r="F57" s="26"/>
      <c r="G57" s="26" t="s">
        <v>722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528</v>
      </c>
      <c r="C58" s="13" t="s">
        <v>338</v>
      </c>
      <c r="D58" s="10" t="s">
        <v>723</v>
      </c>
      <c r="E58" s="25" t="s">
        <v>266</v>
      </c>
      <c r="F58" s="26"/>
      <c r="G58" s="26" t="s">
        <v>724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532</v>
      </c>
      <c r="C59" s="13" t="s">
        <v>338</v>
      </c>
      <c r="D59" s="10" t="s">
        <v>725</v>
      </c>
      <c r="E59" s="25" t="s">
        <v>266</v>
      </c>
      <c r="F59" s="26"/>
      <c r="G59" s="26" t="s">
        <v>726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535</v>
      </c>
      <c r="C60" s="13" t="s">
        <v>338</v>
      </c>
      <c r="D60" s="10" t="s">
        <v>536</v>
      </c>
      <c r="E60" s="25" t="s">
        <v>266</v>
      </c>
      <c r="F60" s="26"/>
      <c r="G60" s="26" t="s">
        <v>727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26"/>
      <c r="G62" s="26" t="s">
        <v>957</v>
      </c>
      <c r="H62" s="2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733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736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739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742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745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26"/>
      <c r="G69" s="26" t="s">
        <v>964</v>
      </c>
      <c r="H69" s="2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754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757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760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763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766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26"/>
      <c r="G76" s="26" t="s">
        <v>971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775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778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784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787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413</v>
      </c>
      <c r="C82" s="13" t="s">
        <v>666</v>
      </c>
      <c r="D82" s="10" t="s">
        <v>790</v>
      </c>
      <c r="E82" s="25" t="s">
        <v>266</v>
      </c>
      <c r="F82" s="26"/>
      <c r="G82" s="26" t="s">
        <v>977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418</v>
      </c>
      <c r="C84" s="13" t="s">
        <v>666</v>
      </c>
      <c r="D84" s="10" t="s">
        <v>795</v>
      </c>
      <c r="E84" s="25" t="s">
        <v>266</v>
      </c>
      <c r="F84" s="26"/>
      <c r="G84" s="26" t="s">
        <v>979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800</v>
      </c>
      <c r="C86" s="13" t="s">
        <v>338</v>
      </c>
      <c r="D86" s="10" t="s">
        <v>801</v>
      </c>
      <c r="E86" s="25" t="s">
        <v>266</v>
      </c>
      <c r="F86" s="26"/>
      <c r="G86" s="26" t="s">
        <v>981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551</v>
      </c>
      <c r="C87" s="13" t="s">
        <v>666</v>
      </c>
      <c r="D87" s="10" t="s">
        <v>552</v>
      </c>
      <c r="E87" s="25" t="s">
        <v>266</v>
      </c>
      <c r="F87" s="26"/>
      <c r="G87" s="26" t="s">
        <v>982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805</v>
      </c>
      <c r="C88" s="13" t="s">
        <v>338</v>
      </c>
      <c r="D88" s="10" t="s">
        <v>806</v>
      </c>
      <c r="E88" s="25" t="s">
        <v>266</v>
      </c>
      <c r="F88" s="26"/>
      <c r="G88" s="26" t="s">
        <v>983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808</v>
      </c>
      <c r="C89" s="13" t="s">
        <v>338</v>
      </c>
      <c r="D89" s="10" t="s">
        <v>809</v>
      </c>
      <c r="E89" s="25" t="s">
        <v>266</v>
      </c>
      <c r="F89" s="26"/>
      <c r="G89" s="26" t="s">
        <v>984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811</v>
      </c>
      <c r="C90" s="13" t="s">
        <v>338</v>
      </c>
      <c r="D90" s="10" t="s">
        <v>812</v>
      </c>
      <c r="E90" s="25" t="s">
        <v>266</v>
      </c>
      <c r="F90" s="26"/>
      <c r="G90" s="26" t="s">
        <v>985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814</v>
      </c>
      <c r="C91" s="13" t="s">
        <v>338</v>
      </c>
      <c r="D91" s="10" t="s">
        <v>815</v>
      </c>
      <c r="E91" s="25" t="s">
        <v>266</v>
      </c>
      <c r="F91" s="26"/>
      <c r="G91" s="26" t="s">
        <v>986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817</v>
      </c>
      <c r="C92" s="13" t="s">
        <v>338</v>
      </c>
      <c r="D92" s="10" t="s">
        <v>818</v>
      </c>
      <c r="E92" s="25" t="s">
        <v>266</v>
      </c>
      <c r="F92" s="26"/>
      <c r="G92" s="26" t="s">
        <v>987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820</v>
      </c>
      <c r="C93" s="13" t="s">
        <v>338</v>
      </c>
      <c r="D93" s="10" t="s">
        <v>821</v>
      </c>
      <c r="E93" s="25" t="s">
        <v>266</v>
      </c>
      <c r="F93" s="26"/>
      <c r="G93" s="26" t="s">
        <v>988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556</v>
      </c>
      <c r="C94" s="13" t="s">
        <v>666</v>
      </c>
      <c r="D94" s="10" t="s">
        <v>557</v>
      </c>
      <c r="E94" s="25" t="s">
        <v>266</v>
      </c>
      <c r="F94" s="26"/>
      <c r="G94" s="26" t="s">
        <v>989</v>
      </c>
      <c r="H94" s="27"/>
      <c r="I94" s="26"/>
      <c r="J94" s="15" t="s">
        <v>632</v>
      </c>
      <c r="K94" s="15" t="s">
        <v>404</v>
      </c>
      <c r="L94" s="15" t="s">
        <v>633</v>
      </c>
    </row>
    <row r="95" s="1" customFormat="1" spans="1:12">
      <c r="A95" s="33"/>
      <c r="B95" s="13" t="s">
        <v>824</v>
      </c>
      <c r="C95" s="13" t="s">
        <v>338</v>
      </c>
      <c r="D95" s="10" t="s">
        <v>825</v>
      </c>
      <c r="E95" s="25" t="s">
        <v>266</v>
      </c>
      <c r="F95" s="26"/>
      <c r="G95" s="26" t="s">
        <v>990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827</v>
      </c>
      <c r="C96" s="13" t="s">
        <v>338</v>
      </c>
      <c r="D96" s="10" t="s">
        <v>828</v>
      </c>
      <c r="E96" s="25" t="s">
        <v>266</v>
      </c>
      <c r="F96" s="26"/>
      <c r="G96" s="26" t="s">
        <v>991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830</v>
      </c>
      <c r="C97" s="13" t="s">
        <v>338</v>
      </c>
      <c r="D97" s="10" t="s">
        <v>831</v>
      </c>
      <c r="E97" s="25" t="s">
        <v>266</v>
      </c>
      <c r="F97" s="26"/>
      <c r="G97" s="26" t="s">
        <v>992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833</v>
      </c>
      <c r="C98" s="13" t="s">
        <v>338</v>
      </c>
      <c r="D98" s="10" t="s">
        <v>834</v>
      </c>
      <c r="E98" s="25" t="s">
        <v>266</v>
      </c>
      <c r="F98" s="26"/>
      <c r="G98" s="26" t="s">
        <v>993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836</v>
      </c>
      <c r="C99" s="13" t="s">
        <v>338</v>
      </c>
      <c r="D99" s="10" t="s">
        <v>837</v>
      </c>
      <c r="E99" s="25" t="s">
        <v>266</v>
      </c>
      <c r="F99" s="26"/>
      <c r="G99" s="26" t="s">
        <v>994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839</v>
      </c>
      <c r="C100" s="13" t="s">
        <v>338</v>
      </c>
      <c r="D100" s="10" t="s">
        <v>840</v>
      </c>
      <c r="E100" s="25" t="s">
        <v>266</v>
      </c>
      <c r="F100" s="26"/>
      <c r="G100" s="26" t="s">
        <v>995</v>
      </c>
      <c r="H100" s="27"/>
      <c r="I100" s="26"/>
      <c r="J100" s="15" t="s">
        <v>632</v>
      </c>
      <c r="K100" s="15" t="s">
        <v>294</v>
      </c>
      <c r="L100" s="15" t="s">
        <v>633</v>
      </c>
    </row>
    <row r="101" s="1" customFormat="1" spans="1:12">
      <c r="A101" s="33"/>
      <c r="B101" s="13" t="s">
        <v>560</v>
      </c>
      <c r="C101" s="13" t="s">
        <v>666</v>
      </c>
      <c r="D101" s="10" t="s">
        <v>842</v>
      </c>
      <c r="E101" s="25" t="s">
        <v>266</v>
      </c>
      <c r="F101" s="26"/>
      <c r="G101" s="26" t="s">
        <v>996</v>
      </c>
      <c r="H101" s="27"/>
      <c r="I101" s="26"/>
      <c r="J101" s="15" t="s">
        <v>632</v>
      </c>
      <c r="K101" s="15" t="s">
        <v>404</v>
      </c>
      <c r="L101" s="15" t="s">
        <v>633</v>
      </c>
    </row>
    <row r="102" s="1" customFormat="1" spans="1:12">
      <c r="A102" s="33"/>
      <c r="B102" s="75" t="s">
        <v>844</v>
      </c>
      <c r="C102" s="75" t="s">
        <v>338</v>
      </c>
      <c r="D102" s="76" t="s">
        <v>845</v>
      </c>
      <c r="E102" s="25" t="s">
        <v>266</v>
      </c>
      <c r="F102" s="26"/>
      <c r="G102" s="26" t="s">
        <v>997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847</v>
      </c>
      <c r="C103" s="75" t="s">
        <v>338</v>
      </c>
      <c r="D103" s="76" t="s">
        <v>848</v>
      </c>
      <c r="E103" s="25" t="s">
        <v>266</v>
      </c>
      <c r="F103" s="26"/>
      <c r="G103" s="26" t="s">
        <v>998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850</v>
      </c>
      <c r="C104" s="75" t="s">
        <v>338</v>
      </c>
      <c r="D104" s="76" t="s">
        <v>851</v>
      </c>
      <c r="E104" s="25" t="s">
        <v>266</v>
      </c>
      <c r="F104" s="26"/>
      <c r="G104" s="26" t="s">
        <v>999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853</v>
      </c>
      <c r="C105" s="75" t="s">
        <v>338</v>
      </c>
      <c r="D105" s="76" t="s">
        <v>854</v>
      </c>
      <c r="E105" s="25" t="s">
        <v>266</v>
      </c>
      <c r="F105" s="26"/>
      <c r="G105" s="26" t="s">
        <v>1000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856</v>
      </c>
      <c r="C106" s="75" t="s">
        <v>338</v>
      </c>
      <c r="D106" s="76" t="s">
        <v>857</v>
      </c>
      <c r="E106" s="25" t="s">
        <v>266</v>
      </c>
      <c r="F106" s="26"/>
      <c r="G106" s="26" t="s">
        <v>1001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859</v>
      </c>
      <c r="C107" s="13" t="s">
        <v>338</v>
      </c>
      <c r="D107" s="10" t="s">
        <v>860</v>
      </c>
      <c r="E107" s="25" t="s">
        <v>266</v>
      </c>
      <c r="F107" s="26"/>
      <c r="G107" s="26" t="s">
        <v>1002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862</v>
      </c>
      <c r="C108" s="13" t="s">
        <v>666</v>
      </c>
      <c r="D108" s="10" t="s">
        <v>863</v>
      </c>
      <c r="E108" s="25" t="s">
        <v>266</v>
      </c>
      <c r="F108" s="26"/>
      <c r="G108" s="26" t="s">
        <v>1003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462</v>
      </c>
      <c r="C109" s="13" t="s">
        <v>666</v>
      </c>
      <c r="D109" s="10" t="s">
        <v>865</v>
      </c>
      <c r="E109" s="25" t="s">
        <v>266</v>
      </c>
      <c r="F109" s="26"/>
      <c r="G109" s="26" t="s">
        <v>1004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538</v>
      </c>
      <c r="C110" s="13" t="s">
        <v>666</v>
      </c>
      <c r="D110" s="10" t="s">
        <v>539</v>
      </c>
      <c r="E110" s="25" t="s">
        <v>266</v>
      </c>
      <c r="F110" s="26"/>
      <c r="G110" s="26" t="s">
        <v>1005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868</v>
      </c>
      <c r="C111" s="13" t="s">
        <v>338</v>
      </c>
      <c r="D111" s="10" t="s">
        <v>869</v>
      </c>
      <c r="E111" s="25" t="s">
        <v>266</v>
      </c>
      <c r="F111" s="26"/>
      <c r="G111" s="26" t="s">
        <v>1006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871</v>
      </c>
      <c r="C112" s="13" t="s">
        <v>338</v>
      </c>
      <c r="D112" s="10" t="s">
        <v>872</v>
      </c>
      <c r="E112" s="25" t="s">
        <v>266</v>
      </c>
      <c r="F112" s="26"/>
      <c r="G112" s="26" t="s">
        <v>1007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543</v>
      </c>
      <c r="C113" s="13" t="s">
        <v>666</v>
      </c>
      <c r="D113" s="10" t="s">
        <v>544</v>
      </c>
      <c r="E113" s="25" t="s">
        <v>266</v>
      </c>
      <c r="F113" s="26"/>
      <c r="G113" s="26" t="s">
        <v>1008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875</v>
      </c>
      <c r="C114" s="13" t="s">
        <v>338</v>
      </c>
      <c r="D114" s="10" t="s">
        <v>876</v>
      </c>
      <c r="E114" s="25" t="s">
        <v>266</v>
      </c>
      <c r="F114" s="26"/>
      <c r="G114" s="26" t="s">
        <v>1009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887</v>
      </c>
      <c r="C115" s="13" t="s">
        <v>338</v>
      </c>
      <c r="D115" s="10" t="s">
        <v>888</v>
      </c>
      <c r="E115" s="25" t="s">
        <v>266</v>
      </c>
      <c r="F115" s="26"/>
      <c r="G115" s="26" t="s">
        <v>1013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pans="2:12">
      <c r="B116" s="17" t="s">
        <v>594</v>
      </c>
      <c r="C116" s="18" t="s">
        <v>307</v>
      </c>
      <c r="D116" s="19" t="s">
        <v>595</v>
      </c>
      <c r="E116" s="28"/>
      <c r="F116" s="28"/>
      <c r="G116" s="28" t="s">
        <v>932</v>
      </c>
      <c r="H116" s="17"/>
      <c r="I116" s="17"/>
      <c r="J116" s="17"/>
      <c r="K116" s="17"/>
      <c r="L116" s="17"/>
    </row>
    <row r="117" spans="2:12">
      <c r="B117" s="17" t="s">
        <v>596</v>
      </c>
      <c r="C117" s="18" t="s">
        <v>291</v>
      </c>
      <c r="D117" s="19" t="s">
        <v>597</v>
      </c>
      <c r="E117" s="28"/>
      <c r="F117" s="28"/>
      <c r="G117" s="28" t="s">
        <v>932</v>
      </c>
      <c r="H117" s="17" t="s">
        <v>932</v>
      </c>
      <c r="I117" s="17"/>
      <c r="J117" s="17"/>
      <c r="K117" s="17"/>
      <c r="L117" s="17"/>
    </row>
    <row r="118" spans="2:12">
      <c r="B118" s="17" t="s">
        <v>598</v>
      </c>
      <c r="C118" s="18" t="s">
        <v>307</v>
      </c>
      <c r="D118" s="19" t="s">
        <v>599</v>
      </c>
      <c r="E118" s="28"/>
      <c r="F118" s="28"/>
      <c r="G118" s="28" t="s">
        <v>932</v>
      </c>
      <c r="H118" s="17" t="s">
        <v>932</v>
      </c>
      <c r="I118" s="17"/>
      <c r="J118" s="17"/>
      <c r="K118" s="17"/>
      <c r="L118" s="17"/>
    </row>
  </sheetData>
  <autoFilter xmlns:etc="http://www.wps.cn/officeDocument/2017/etCustomData" ref="A13:Q11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6"/>
  <sheetViews>
    <sheetView zoomScale="85" zoomScaleNormal="85" workbookViewId="0">
      <pane ySplit="5" topLeftCell="A6" activePane="bottomLeft" state="frozen"/>
      <selection/>
      <selection pane="bottomLeft" activeCell="B16" sqref="B15:B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88</v>
      </c>
      <c r="D5" s="14" t="s">
        <v>89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86</v>
      </c>
      <c r="D9" s="14" t="s">
        <v>87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3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410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412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528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532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535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733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736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739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742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745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754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757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760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763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766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775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778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784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787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413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418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551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556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560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862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538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868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871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543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7" t="s">
        <v>594</v>
      </c>
      <c r="C115" s="18" t="s">
        <v>307</v>
      </c>
      <c r="D115" s="19" t="s">
        <v>595</v>
      </c>
      <c r="E115" s="28"/>
      <c r="F115" s="28"/>
      <c r="G115" s="28" t="s">
        <v>932</v>
      </c>
      <c r="H115" s="17"/>
      <c r="I115" s="17"/>
      <c r="J115" s="17"/>
      <c r="K115" s="17"/>
      <c r="L115" s="17"/>
    </row>
    <row r="116" spans="2:12">
      <c r="B116" s="17" t="s">
        <v>596</v>
      </c>
      <c r="C116" s="18" t="s">
        <v>291</v>
      </c>
      <c r="D116" s="19" t="s">
        <v>597</v>
      </c>
      <c r="E116" s="28"/>
      <c r="F116" s="28"/>
      <c r="G116" s="28" t="s">
        <v>932</v>
      </c>
      <c r="H116" s="17" t="s">
        <v>932</v>
      </c>
      <c r="I116" s="17"/>
      <c r="J116" s="17"/>
      <c r="K116" s="17"/>
      <c r="L116" s="17"/>
    </row>
  </sheetData>
  <autoFilter xmlns:etc="http://www.wps.cn/officeDocument/2017/etCustomData" ref="A13:Q11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zoomScale="85" zoomScaleNormal="85" workbookViewId="0">
      <pane ySplit="5" topLeftCell="A6" activePane="bottomLeft" state="frozen"/>
      <selection/>
      <selection pane="bottomLeft" activeCell="A16" sqref="$A16:$XFD1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90</v>
      </c>
      <c r="D5" s="14" t="s">
        <v>91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86</v>
      </c>
      <c r="D9" s="14" t="s">
        <v>87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410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412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528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532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535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733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736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739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742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745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754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757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760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763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766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775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778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784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787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413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418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551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556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560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862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538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868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871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543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7" t="s">
        <v>594</v>
      </c>
      <c r="C115" s="18" t="s">
        <v>307</v>
      </c>
      <c r="D115" s="19" t="s">
        <v>595</v>
      </c>
      <c r="E115" s="28"/>
      <c r="F115" s="28"/>
      <c r="G115" s="28" t="s">
        <v>932</v>
      </c>
      <c r="H115" s="17"/>
      <c r="I115" s="17"/>
      <c r="J115" s="17"/>
      <c r="K115" s="17"/>
      <c r="L115" s="17"/>
    </row>
    <row r="116" spans="2:12">
      <c r="B116" s="17" t="s">
        <v>596</v>
      </c>
      <c r="C116" s="18" t="s">
        <v>291</v>
      </c>
      <c r="D116" s="19" t="s">
        <v>597</v>
      </c>
      <c r="E116" s="28"/>
      <c r="F116" s="28"/>
      <c r="G116" s="28" t="s">
        <v>932</v>
      </c>
      <c r="H116" s="17" t="s">
        <v>932</v>
      </c>
      <c r="I116" s="17"/>
      <c r="J116" s="17"/>
      <c r="K116" s="17"/>
      <c r="L116" s="17"/>
    </row>
    <row r="117" spans="2:12">
      <c r="B117" s="17" t="s">
        <v>598</v>
      </c>
      <c r="C117" s="18" t="s">
        <v>307</v>
      </c>
      <c r="D117" s="19" t="s">
        <v>599</v>
      </c>
      <c r="E117" s="28"/>
      <c r="F117" s="28"/>
      <c r="G117" s="28" t="s">
        <v>932</v>
      </c>
      <c r="H117" s="17" t="s">
        <v>932</v>
      </c>
      <c r="I117" s="17"/>
      <c r="J117" s="17"/>
      <c r="K117" s="17"/>
      <c r="L117" s="17"/>
    </row>
  </sheetData>
  <autoFilter xmlns:etc="http://www.wps.cn/officeDocument/2017/etCustomData" ref="A13:Q11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6"/>
  <sheetViews>
    <sheetView zoomScale="85" zoomScaleNormal="85" workbookViewId="0">
      <pane ySplit="5" topLeftCell="A6" activePane="bottomLeft" state="frozen"/>
      <selection/>
      <selection pane="bottomLeft" activeCell="A15" sqref="$A15:$XFD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92</v>
      </c>
      <c r="D5" s="14" t="s">
        <v>93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90</v>
      </c>
      <c r="D9" s="14" t="s">
        <v>91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629</v>
      </c>
      <c r="C24" s="13" t="s">
        <v>338</v>
      </c>
      <c r="D24" s="10" t="s">
        <v>630</v>
      </c>
      <c r="E24" s="25" t="s">
        <v>266</v>
      </c>
      <c r="F24" s="26"/>
      <c r="G24" s="26" t="s">
        <v>933</v>
      </c>
      <c r="H24" s="27"/>
      <c r="I24" s="26"/>
      <c r="J24" s="15" t="s">
        <v>632</v>
      </c>
      <c r="K24" s="15" t="s">
        <v>294</v>
      </c>
      <c r="L24" s="15" t="s">
        <v>633</v>
      </c>
    </row>
    <row r="25" s="1" customFormat="1" spans="1:12">
      <c r="A25" s="33"/>
      <c r="B25" s="13" t="s">
        <v>1270</v>
      </c>
      <c r="C25" s="13" t="s">
        <v>338</v>
      </c>
      <c r="D25" s="10" t="s">
        <v>1271</v>
      </c>
      <c r="E25" s="25" t="s">
        <v>266</v>
      </c>
      <c r="F25" s="26"/>
      <c r="G25" s="26" t="s">
        <v>1272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1273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1044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1045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1055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1054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1056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1057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1274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1275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707</v>
      </c>
      <c r="C51" s="13" t="s">
        <v>338</v>
      </c>
      <c r="D51" s="10" t="s">
        <v>708</v>
      </c>
      <c r="E51" s="25" t="s">
        <v>266</v>
      </c>
      <c r="F51" s="26"/>
      <c r="G51" s="26" t="s">
        <v>952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710</v>
      </c>
      <c r="C52" s="13" t="s">
        <v>338</v>
      </c>
      <c r="D52" s="10" t="s">
        <v>711</v>
      </c>
      <c r="E52" s="25" t="s">
        <v>266</v>
      </c>
      <c r="F52" s="26"/>
      <c r="G52" s="26" t="s">
        <v>953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713</v>
      </c>
      <c r="C53" s="13" t="s">
        <v>338</v>
      </c>
      <c r="D53" s="10" t="s">
        <v>714</v>
      </c>
      <c r="E53" s="25" t="s">
        <v>266</v>
      </c>
      <c r="F53" s="26"/>
      <c r="G53" s="26" t="s">
        <v>954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716</v>
      </c>
      <c r="C54" s="13" t="s">
        <v>338</v>
      </c>
      <c r="D54" s="10" t="s">
        <v>717</v>
      </c>
      <c r="E54" s="25" t="s">
        <v>266</v>
      </c>
      <c r="F54" s="26"/>
      <c r="G54" s="26" t="s">
        <v>955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1064</v>
      </c>
      <c r="C55" s="13" t="s">
        <v>338</v>
      </c>
      <c r="D55" s="10" t="s">
        <v>719</v>
      </c>
      <c r="E55" s="25" t="s">
        <v>266</v>
      </c>
      <c r="F55" s="26"/>
      <c r="G55" s="26" t="s">
        <v>720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1066</v>
      </c>
      <c r="C56" s="13" t="s">
        <v>338</v>
      </c>
      <c r="D56" s="10" t="s">
        <v>721</v>
      </c>
      <c r="E56" s="25" t="s">
        <v>266</v>
      </c>
      <c r="F56" s="26"/>
      <c r="G56" s="26" t="s">
        <v>722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1276</v>
      </c>
      <c r="C57" s="13" t="s">
        <v>338</v>
      </c>
      <c r="D57" s="10" t="s">
        <v>723</v>
      </c>
      <c r="E57" s="25" t="s">
        <v>266</v>
      </c>
      <c r="F57" s="26"/>
      <c r="G57" s="26" t="s">
        <v>724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1277</v>
      </c>
      <c r="C58" s="13" t="s">
        <v>338</v>
      </c>
      <c r="D58" s="10" t="s">
        <v>725</v>
      </c>
      <c r="E58" s="25" t="s">
        <v>266</v>
      </c>
      <c r="F58" s="26"/>
      <c r="G58" s="26" t="s">
        <v>726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1278</v>
      </c>
      <c r="C59" s="13" t="s">
        <v>338</v>
      </c>
      <c r="D59" s="10" t="s">
        <v>536</v>
      </c>
      <c r="E59" s="25" t="s">
        <v>266</v>
      </c>
      <c r="F59" s="26"/>
      <c r="G59" s="26" t="s">
        <v>727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728</v>
      </c>
      <c r="C60" s="13" t="s">
        <v>338</v>
      </c>
      <c r="D60" s="10" t="s">
        <v>729</v>
      </c>
      <c r="E60" s="25" t="s">
        <v>266</v>
      </c>
      <c r="F60" s="26"/>
      <c r="G60" s="26" t="s">
        <v>956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730</v>
      </c>
      <c r="C61" s="13" t="s">
        <v>666</v>
      </c>
      <c r="D61" s="10" t="s">
        <v>731</v>
      </c>
      <c r="E61" s="25" t="s">
        <v>266</v>
      </c>
      <c r="F61" s="26"/>
      <c r="G61" s="26" t="s">
        <v>957</v>
      </c>
      <c r="H61" s="2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1091</v>
      </c>
      <c r="C62" s="13" t="s">
        <v>338</v>
      </c>
      <c r="D62" s="10" t="s">
        <v>734</v>
      </c>
      <c r="E62" s="25" t="s">
        <v>266</v>
      </c>
      <c r="F62" s="26"/>
      <c r="G62" s="26" t="s">
        <v>958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1093</v>
      </c>
      <c r="C63" s="13" t="s">
        <v>338</v>
      </c>
      <c r="D63" s="10" t="s">
        <v>737</v>
      </c>
      <c r="E63" s="25" t="s">
        <v>266</v>
      </c>
      <c r="F63" s="26"/>
      <c r="G63" s="26" t="s">
        <v>959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1095</v>
      </c>
      <c r="C64" s="13" t="s">
        <v>338</v>
      </c>
      <c r="D64" s="10" t="s">
        <v>740</v>
      </c>
      <c r="E64" s="25" t="s">
        <v>266</v>
      </c>
      <c r="F64" s="26"/>
      <c r="G64" s="26" t="s">
        <v>960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1097</v>
      </c>
      <c r="C65" s="13" t="s">
        <v>338</v>
      </c>
      <c r="D65" s="10" t="s">
        <v>743</v>
      </c>
      <c r="E65" s="25" t="s">
        <v>266</v>
      </c>
      <c r="F65" s="26"/>
      <c r="G65" s="26" t="s">
        <v>961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1099</v>
      </c>
      <c r="C66" s="13" t="s">
        <v>338</v>
      </c>
      <c r="D66" s="10" t="s">
        <v>746</v>
      </c>
      <c r="E66" s="25" t="s">
        <v>266</v>
      </c>
      <c r="F66" s="26"/>
      <c r="G66" s="26" t="s">
        <v>962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748</v>
      </c>
      <c r="C67" s="13" t="s">
        <v>338</v>
      </c>
      <c r="D67" s="10" t="s">
        <v>749</v>
      </c>
      <c r="E67" s="25" t="s">
        <v>266</v>
      </c>
      <c r="F67" s="26"/>
      <c r="G67" s="26" t="s">
        <v>963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751</v>
      </c>
      <c r="C68" s="13" t="s">
        <v>666</v>
      </c>
      <c r="D68" s="10" t="s">
        <v>752</v>
      </c>
      <c r="E68" s="25" t="s">
        <v>266</v>
      </c>
      <c r="F68" s="26"/>
      <c r="G68" s="26" t="s">
        <v>964</v>
      </c>
      <c r="H68" s="27"/>
      <c r="I68" s="26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1104</v>
      </c>
      <c r="C69" s="13" t="s">
        <v>338</v>
      </c>
      <c r="D69" s="10" t="s">
        <v>755</v>
      </c>
      <c r="E69" s="25" t="s">
        <v>266</v>
      </c>
      <c r="F69" s="26"/>
      <c r="G69" s="26" t="s">
        <v>965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1106</v>
      </c>
      <c r="C70" s="13" t="s">
        <v>338</v>
      </c>
      <c r="D70" s="10" t="s">
        <v>758</v>
      </c>
      <c r="E70" s="25" t="s">
        <v>266</v>
      </c>
      <c r="F70" s="26"/>
      <c r="G70" s="26" t="s">
        <v>966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1108</v>
      </c>
      <c r="C71" s="13" t="s">
        <v>338</v>
      </c>
      <c r="D71" s="10" t="s">
        <v>761</v>
      </c>
      <c r="E71" s="25" t="s">
        <v>266</v>
      </c>
      <c r="F71" s="26"/>
      <c r="G71" s="26" t="s">
        <v>967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1110</v>
      </c>
      <c r="C72" s="13" t="s">
        <v>338</v>
      </c>
      <c r="D72" s="10" t="s">
        <v>764</v>
      </c>
      <c r="E72" s="25" t="s">
        <v>266</v>
      </c>
      <c r="F72" s="26"/>
      <c r="G72" s="26" t="s">
        <v>968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1112</v>
      </c>
      <c r="C73" s="13" t="s">
        <v>338</v>
      </c>
      <c r="D73" s="10" t="s">
        <v>767</v>
      </c>
      <c r="E73" s="25" t="s">
        <v>266</v>
      </c>
      <c r="F73" s="26"/>
      <c r="G73" s="26" t="s">
        <v>969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769</v>
      </c>
      <c r="C74" s="13" t="s">
        <v>666</v>
      </c>
      <c r="D74" s="10" t="s">
        <v>770</v>
      </c>
      <c r="E74" s="25" t="s">
        <v>266</v>
      </c>
      <c r="F74" s="26"/>
      <c r="G74" s="26" t="s">
        <v>970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772</v>
      </c>
      <c r="C75" s="13" t="s">
        <v>666</v>
      </c>
      <c r="D75" s="10" t="s">
        <v>773</v>
      </c>
      <c r="E75" s="25" t="s">
        <v>266</v>
      </c>
      <c r="F75" s="26"/>
      <c r="G75" s="26" t="s">
        <v>971</v>
      </c>
      <c r="H75" s="2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1279</v>
      </c>
      <c r="C76" s="13" t="s">
        <v>338</v>
      </c>
      <c r="D76" s="10" t="s">
        <v>776</v>
      </c>
      <c r="E76" s="25" t="s">
        <v>266</v>
      </c>
      <c r="F76" s="26"/>
      <c r="G76" s="26" t="s">
        <v>972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1280</v>
      </c>
      <c r="C77" s="13" t="s">
        <v>338</v>
      </c>
      <c r="D77" s="10" t="s">
        <v>779</v>
      </c>
      <c r="E77" s="25" t="s">
        <v>266</v>
      </c>
      <c r="F77" s="26"/>
      <c r="G77" s="26" t="s">
        <v>973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1281</v>
      </c>
      <c r="C78" s="13" t="s">
        <v>338</v>
      </c>
      <c r="D78" s="10" t="s">
        <v>782</v>
      </c>
      <c r="E78" s="25" t="s">
        <v>266</v>
      </c>
      <c r="F78" s="26"/>
      <c r="G78" s="26" t="s">
        <v>974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1282</v>
      </c>
      <c r="C79" s="13" t="s">
        <v>338</v>
      </c>
      <c r="D79" s="10" t="s">
        <v>785</v>
      </c>
      <c r="E79" s="25" t="s">
        <v>266</v>
      </c>
      <c r="F79" s="26"/>
      <c r="G79" s="26" t="s">
        <v>975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1283</v>
      </c>
      <c r="C80" s="13" t="s">
        <v>338</v>
      </c>
      <c r="D80" s="10" t="s">
        <v>788</v>
      </c>
      <c r="E80" s="25" t="s">
        <v>266</v>
      </c>
      <c r="F80" s="26"/>
      <c r="G80" s="26" t="s">
        <v>976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1284</v>
      </c>
      <c r="C81" s="13" t="s">
        <v>666</v>
      </c>
      <c r="D81" s="10" t="s">
        <v>790</v>
      </c>
      <c r="E81" s="25" t="s">
        <v>266</v>
      </c>
      <c r="F81" s="26"/>
      <c r="G81" s="26" t="s">
        <v>977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792</v>
      </c>
      <c r="C82" s="13" t="s">
        <v>338</v>
      </c>
      <c r="D82" s="10" t="s">
        <v>793</v>
      </c>
      <c r="E82" s="25" t="s">
        <v>266</v>
      </c>
      <c r="F82" s="26"/>
      <c r="G82" s="26" t="s">
        <v>978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1285</v>
      </c>
      <c r="C83" s="13" t="s">
        <v>666</v>
      </c>
      <c r="D83" s="10" t="s">
        <v>795</v>
      </c>
      <c r="E83" s="25" t="s">
        <v>266</v>
      </c>
      <c r="F83" s="26"/>
      <c r="G83" s="26" t="s">
        <v>979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797</v>
      </c>
      <c r="C84" s="13" t="s">
        <v>338</v>
      </c>
      <c r="D84" s="10" t="s">
        <v>798</v>
      </c>
      <c r="E84" s="25" t="s">
        <v>266</v>
      </c>
      <c r="F84" s="26"/>
      <c r="G84" s="26" t="s">
        <v>980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800</v>
      </c>
      <c r="C85" s="13" t="s">
        <v>338</v>
      </c>
      <c r="D85" s="10" t="s">
        <v>801</v>
      </c>
      <c r="E85" s="25" t="s">
        <v>266</v>
      </c>
      <c r="F85" s="26"/>
      <c r="G85" s="26" t="s">
        <v>981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1286</v>
      </c>
      <c r="C86" s="13" t="s">
        <v>666</v>
      </c>
      <c r="D86" s="10" t="s">
        <v>552</v>
      </c>
      <c r="E86" s="25" t="s">
        <v>266</v>
      </c>
      <c r="F86" s="26"/>
      <c r="G86" s="26" t="s">
        <v>982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805</v>
      </c>
      <c r="C87" s="13" t="s">
        <v>338</v>
      </c>
      <c r="D87" s="10" t="s">
        <v>806</v>
      </c>
      <c r="E87" s="25" t="s">
        <v>266</v>
      </c>
      <c r="F87" s="26"/>
      <c r="G87" s="26" t="s">
        <v>983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808</v>
      </c>
      <c r="C88" s="13" t="s">
        <v>338</v>
      </c>
      <c r="D88" s="10" t="s">
        <v>809</v>
      </c>
      <c r="E88" s="25" t="s">
        <v>266</v>
      </c>
      <c r="F88" s="26"/>
      <c r="G88" s="26" t="s">
        <v>984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811</v>
      </c>
      <c r="C89" s="13" t="s">
        <v>338</v>
      </c>
      <c r="D89" s="10" t="s">
        <v>812</v>
      </c>
      <c r="E89" s="25" t="s">
        <v>266</v>
      </c>
      <c r="F89" s="26"/>
      <c r="G89" s="26" t="s">
        <v>985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814</v>
      </c>
      <c r="C90" s="13" t="s">
        <v>338</v>
      </c>
      <c r="D90" s="10" t="s">
        <v>815</v>
      </c>
      <c r="E90" s="25" t="s">
        <v>266</v>
      </c>
      <c r="F90" s="26"/>
      <c r="G90" s="26" t="s">
        <v>986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817</v>
      </c>
      <c r="C91" s="13" t="s">
        <v>338</v>
      </c>
      <c r="D91" s="10" t="s">
        <v>818</v>
      </c>
      <c r="E91" s="25" t="s">
        <v>266</v>
      </c>
      <c r="F91" s="26"/>
      <c r="G91" s="26" t="s">
        <v>987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820</v>
      </c>
      <c r="C92" s="13" t="s">
        <v>338</v>
      </c>
      <c r="D92" s="10" t="s">
        <v>821</v>
      </c>
      <c r="E92" s="25" t="s">
        <v>266</v>
      </c>
      <c r="F92" s="26"/>
      <c r="G92" s="26" t="s">
        <v>988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1287</v>
      </c>
      <c r="C93" s="13" t="s">
        <v>666</v>
      </c>
      <c r="D93" s="10" t="s">
        <v>557</v>
      </c>
      <c r="E93" s="25" t="s">
        <v>266</v>
      </c>
      <c r="F93" s="26"/>
      <c r="G93" s="26" t="s">
        <v>989</v>
      </c>
      <c r="H93" s="27"/>
      <c r="I93" s="26"/>
      <c r="J93" s="15" t="s">
        <v>632</v>
      </c>
      <c r="K93" s="15" t="s">
        <v>404</v>
      </c>
      <c r="L93" s="15" t="s">
        <v>633</v>
      </c>
    </row>
    <row r="94" s="1" customFormat="1" spans="1:12">
      <c r="A94" s="33"/>
      <c r="B94" s="13" t="s">
        <v>824</v>
      </c>
      <c r="C94" s="13" t="s">
        <v>338</v>
      </c>
      <c r="D94" s="10" t="s">
        <v>825</v>
      </c>
      <c r="E94" s="25" t="s">
        <v>266</v>
      </c>
      <c r="F94" s="26"/>
      <c r="G94" s="26" t="s">
        <v>990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827</v>
      </c>
      <c r="C95" s="13" t="s">
        <v>338</v>
      </c>
      <c r="D95" s="10" t="s">
        <v>828</v>
      </c>
      <c r="E95" s="25" t="s">
        <v>266</v>
      </c>
      <c r="F95" s="26"/>
      <c r="G95" s="26" t="s">
        <v>991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830</v>
      </c>
      <c r="C96" s="13" t="s">
        <v>338</v>
      </c>
      <c r="D96" s="10" t="s">
        <v>831</v>
      </c>
      <c r="E96" s="25" t="s">
        <v>266</v>
      </c>
      <c r="F96" s="26"/>
      <c r="G96" s="26" t="s">
        <v>992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833</v>
      </c>
      <c r="C97" s="13" t="s">
        <v>338</v>
      </c>
      <c r="D97" s="10" t="s">
        <v>834</v>
      </c>
      <c r="E97" s="25" t="s">
        <v>266</v>
      </c>
      <c r="F97" s="26"/>
      <c r="G97" s="26" t="s">
        <v>993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836</v>
      </c>
      <c r="C98" s="13" t="s">
        <v>338</v>
      </c>
      <c r="D98" s="10" t="s">
        <v>837</v>
      </c>
      <c r="E98" s="25" t="s">
        <v>266</v>
      </c>
      <c r="F98" s="26"/>
      <c r="G98" s="26" t="s">
        <v>994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839</v>
      </c>
      <c r="C99" s="13" t="s">
        <v>338</v>
      </c>
      <c r="D99" s="10" t="s">
        <v>840</v>
      </c>
      <c r="E99" s="25" t="s">
        <v>266</v>
      </c>
      <c r="F99" s="26"/>
      <c r="G99" s="26" t="s">
        <v>995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13" t="s">
        <v>1288</v>
      </c>
      <c r="C100" s="13" t="s">
        <v>666</v>
      </c>
      <c r="D100" s="10" t="s">
        <v>842</v>
      </c>
      <c r="E100" s="25" t="s">
        <v>266</v>
      </c>
      <c r="F100" s="26"/>
      <c r="G100" s="26" t="s">
        <v>996</v>
      </c>
      <c r="H100" s="27"/>
      <c r="I100" s="26"/>
      <c r="J100" s="15" t="s">
        <v>632</v>
      </c>
      <c r="K100" s="15" t="s">
        <v>404</v>
      </c>
      <c r="L100" s="15" t="s">
        <v>633</v>
      </c>
    </row>
    <row r="101" s="1" customFormat="1" spans="1:12">
      <c r="A101" s="33"/>
      <c r="B101" s="75" t="s">
        <v>844</v>
      </c>
      <c r="C101" s="75" t="s">
        <v>338</v>
      </c>
      <c r="D101" s="76" t="s">
        <v>845</v>
      </c>
      <c r="E101" s="25" t="s">
        <v>266</v>
      </c>
      <c r="F101" s="26"/>
      <c r="G101" s="26" t="s">
        <v>997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847</v>
      </c>
      <c r="C102" s="75" t="s">
        <v>338</v>
      </c>
      <c r="D102" s="76" t="s">
        <v>848</v>
      </c>
      <c r="E102" s="25" t="s">
        <v>266</v>
      </c>
      <c r="F102" s="26"/>
      <c r="G102" s="26" t="s">
        <v>998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850</v>
      </c>
      <c r="C103" s="75" t="s">
        <v>338</v>
      </c>
      <c r="D103" s="76" t="s">
        <v>851</v>
      </c>
      <c r="E103" s="25" t="s">
        <v>266</v>
      </c>
      <c r="F103" s="26"/>
      <c r="G103" s="26" t="s">
        <v>999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853</v>
      </c>
      <c r="C104" s="75" t="s">
        <v>338</v>
      </c>
      <c r="D104" s="76" t="s">
        <v>854</v>
      </c>
      <c r="E104" s="25" t="s">
        <v>266</v>
      </c>
      <c r="F104" s="26"/>
      <c r="G104" s="26" t="s">
        <v>1000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856</v>
      </c>
      <c r="C105" s="75" t="s">
        <v>338</v>
      </c>
      <c r="D105" s="76" t="s">
        <v>857</v>
      </c>
      <c r="E105" s="25" t="s">
        <v>266</v>
      </c>
      <c r="F105" s="26"/>
      <c r="G105" s="26" t="s">
        <v>1001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859</v>
      </c>
      <c r="C106" s="13" t="s">
        <v>338</v>
      </c>
      <c r="D106" s="10" t="s">
        <v>860</v>
      </c>
      <c r="E106" s="25" t="s">
        <v>266</v>
      </c>
      <c r="F106" s="26"/>
      <c r="G106" s="26" t="s">
        <v>1002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1289</v>
      </c>
      <c r="C107" s="13" t="s">
        <v>666</v>
      </c>
      <c r="D107" s="10" t="s">
        <v>863</v>
      </c>
      <c r="E107" s="25" t="s">
        <v>266</v>
      </c>
      <c r="F107" s="26"/>
      <c r="G107" s="26" t="s">
        <v>1003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462</v>
      </c>
      <c r="C108" s="13" t="s">
        <v>666</v>
      </c>
      <c r="D108" s="10" t="s">
        <v>865</v>
      </c>
      <c r="E108" s="25" t="s">
        <v>266</v>
      </c>
      <c r="F108" s="26"/>
      <c r="G108" s="26" t="s">
        <v>1004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1290</v>
      </c>
      <c r="C109" s="13" t="s">
        <v>666</v>
      </c>
      <c r="D109" s="10" t="s">
        <v>539</v>
      </c>
      <c r="E109" s="25" t="s">
        <v>266</v>
      </c>
      <c r="F109" s="26"/>
      <c r="G109" s="26" t="s">
        <v>1005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1291</v>
      </c>
      <c r="C110" s="13" t="s">
        <v>338</v>
      </c>
      <c r="D110" s="10" t="s">
        <v>869</v>
      </c>
      <c r="E110" s="25" t="s">
        <v>266</v>
      </c>
      <c r="F110" s="26"/>
      <c r="G110" s="26" t="s">
        <v>1006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1292</v>
      </c>
      <c r="C111" s="13" t="s">
        <v>338</v>
      </c>
      <c r="D111" s="10" t="s">
        <v>872</v>
      </c>
      <c r="E111" s="25" t="s">
        <v>266</v>
      </c>
      <c r="F111" s="26"/>
      <c r="G111" s="26" t="s">
        <v>1007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1293</v>
      </c>
      <c r="C112" s="13" t="s">
        <v>666</v>
      </c>
      <c r="D112" s="10" t="s">
        <v>544</v>
      </c>
      <c r="E112" s="25" t="s">
        <v>266</v>
      </c>
      <c r="F112" s="26"/>
      <c r="G112" s="26" t="s">
        <v>1008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875</v>
      </c>
      <c r="C113" s="13" t="s">
        <v>338</v>
      </c>
      <c r="D113" s="10" t="s">
        <v>876</v>
      </c>
      <c r="E113" s="25" t="s">
        <v>266</v>
      </c>
      <c r="F113" s="26"/>
      <c r="G113" s="26" t="s">
        <v>1009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887</v>
      </c>
      <c r="C114" s="13" t="s">
        <v>338</v>
      </c>
      <c r="D114" s="10" t="s">
        <v>888</v>
      </c>
      <c r="E114" s="25" t="s">
        <v>266</v>
      </c>
      <c r="F114" s="26"/>
      <c r="G114" s="26" t="s">
        <v>1013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7" t="s">
        <v>594</v>
      </c>
      <c r="C115" s="18" t="s">
        <v>307</v>
      </c>
      <c r="D115" s="19" t="s">
        <v>595</v>
      </c>
      <c r="E115" s="28"/>
      <c r="F115" s="28"/>
      <c r="G115" s="28" t="s">
        <v>932</v>
      </c>
      <c r="H115" s="17"/>
      <c r="I115" s="17"/>
      <c r="J115" s="17"/>
      <c r="K115" s="17"/>
      <c r="L115" s="17"/>
    </row>
    <row r="116" spans="2:12">
      <c r="B116" s="17" t="s">
        <v>594</v>
      </c>
      <c r="C116" s="18" t="s">
        <v>291</v>
      </c>
      <c r="D116" s="19" t="s">
        <v>597</v>
      </c>
      <c r="E116" s="28"/>
      <c r="F116" s="28"/>
      <c r="G116" s="28" t="s">
        <v>932</v>
      </c>
      <c r="H116" s="17" t="s">
        <v>932</v>
      </c>
      <c r="I116" s="17"/>
      <c r="J116" s="17"/>
      <c r="K116" s="17"/>
      <c r="L116" s="17"/>
    </row>
  </sheetData>
  <autoFilter xmlns:etc="http://www.wps.cn/officeDocument/2017/etCustomData" ref="A13:Q11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zoomScale="85" zoomScaleNormal="85" workbookViewId="0">
      <pane ySplit="5" topLeftCell="A6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95</v>
      </c>
      <c r="D5" s="14" t="s">
        <v>96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68</v>
      </c>
      <c r="D9" s="14" t="s">
        <v>69</v>
      </c>
      <c r="E9" s="13" t="s">
        <v>266</v>
      </c>
      <c r="F9" s="26"/>
      <c r="G9" s="26" t="s">
        <v>1301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3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634</v>
      </c>
      <c r="C27" s="13" t="s">
        <v>338</v>
      </c>
      <c r="D27" s="10" t="s">
        <v>635</v>
      </c>
      <c r="E27" s="25" t="s">
        <v>266</v>
      </c>
      <c r="F27" s="26"/>
      <c r="G27" s="26" t="s">
        <v>934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637</v>
      </c>
      <c r="C28" s="13" t="s">
        <v>338</v>
      </c>
      <c r="D28" s="10" t="s">
        <v>638</v>
      </c>
      <c r="E28" s="25" t="s">
        <v>266</v>
      </c>
      <c r="F28" s="26"/>
      <c r="G28" s="26" t="s">
        <v>935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32" t="s">
        <v>337</v>
      </c>
      <c r="C29" s="32" t="s">
        <v>338</v>
      </c>
      <c r="D29" s="10" t="s">
        <v>640</v>
      </c>
      <c r="E29" s="25" t="s">
        <v>266</v>
      </c>
      <c r="F29" s="26"/>
      <c r="G29" s="26" t="s">
        <v>641</v>
      </c>
      <c r="H29" s="27"/>
      <c r="I29" s="26"/>
      <c r="J29" s="15" t="s">
        <v>632</v>
      </c>
      <c r="K29" s="15" t="s">
        <v>404</v>
      </c>
      <c r="L29" s="15" t="s">
        <v>633</v>
      </c>
    </row>
    <row r="30" s="1" customFormat="1" spans="1:12">
      <c r="A30" s="33"/>
      <c r="B30" s="13" t="s">
        <v>342</v>
      </c>
      <c r="C30" s="13" t="s">
        <v>338</v>
      </c>
      <c r="D30" s="10" t="s">
        <v>642</v>
      </c>
      <c r="E30" s="25" t="s">
        <v>266</v>
      </c>
      <c r="F30" s="26"/>
      <c r="G30" s="26" t="s">
        <v>643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340</v>
      </c>
      <c r="C31" s="13" t="s">
        <v>338</v>
      </c>
      <c r="D31" s="10" t="s">
        <v>645</v>
      </c>
      <c r="E31" s="25" t="s">
        <v>266</v>
      </c>
      <c r="F31" s="26"/>
      <c r="G31" s="26" t="s">
        <v>646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647</v>
      </c>
      <c r="C32" s="13" t="s">
        <v>338</v>
      </c>
      <c r="D32" s="10" t="s">
        <v>648</v>
      </c>
      <c r="E32" s="25" t="s">
        <v>266</v>
      </c>
      <c r="F32" s="26"/>
      <c r="G32" s="26" t="s">
        <v>936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650</v>
      </c>
      <c r="C33" s="13" t="s">
        <v>338</v>
      </c>
      <c r="D33" s="10" t="s">
        <v>651</v>
      </c>
      <c r="E33" s="25" t="s">
        <v>266</v>
      </c>
      <c r="F33" s="26"/>
      <c r="G33" s="26" t="s">
        <v>937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653</v>
      </c>
      <c r="C34" s="13" t="s">
        <v>338</v>
      </c>
      <c r="D34" s="10" t="s">
        <v>654</v>
      </c>
      <c r="E34" s="25" t="s">
        <v>266</v>
      </c>
      <c r="F34" s="26"/>
      <c r="G34" s="26" t="s">
        <v>938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662</v>
      </c>
      <c r="C37" s="13" t="s">
        <v>338</v>
      </c>
      <c r="D37" s="10" t="s">
        <v>663</v>
      </c>
      <c r="E37" s="25" t="s">
        <v>266</v>
      </c>
      <c r="F37" s="26"/>
      <c r="G37" s="26" t="s">
        <v>941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665</v>
      </c>
      <c r="C38" s="13" t="s">
        <v>666</v>
      </c>
      <c r="D38" s="10" t="s">
        <v>667</v>
      </c>
      <c r="E38" s="25" t="s">
        <v>266</v>
      </c>
      <c r="F38" s="26"/>
      <c r="G38" s="26" t="s">
        <v>942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671</v>
      </c>
      <c r="C39" s="13" t="s">
        <v>666</v>
      </c>
      <c r="D39" s="10" t="s">
        <v>672</v>
      </c>
      <c r="E39" s="25" t="s">
        <v>266</v>
      </c>
      <c r="F39" s="26"/>
      <c r="G39" s="26" t="s">
        <v>943</v>
      </c>
      <c r="H39" s="27"/>
      <c r="I39" s="26"/>
      <c r="J39" s="15" t="s">
        <v>632</v>
      </c>
      <c r="K39" s="15" t="s">
        <v>674</v>
      </c>
      <c r="L39" s="15" t="s">
        <v>670</v>
      </c>
    </row>
    <row r="40" s="1" customFormat="1" spans="1:12">
      <c r="A40" s="33"/>
      <c r="B40" s="13" t="s">
        <v>675</v>
      </c>
      <c r="C40" s="13" t="s">
        <v>666</v>
      </c>
      <c r="D40" s="10" t="s">
        <v>676</v>
      </c>
      <c r="E40" s="25" t="s">
        <v>266</v>
      </c>
      <c r="F40" s="26"/>
      <c r="G40" s="26" t="s">
        <v>944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678</v>
      </c>
      <c r="C41" s="13" t="s">
        <v>666</v>
      </c>
      <c r="D41" s="10" t="s">
        <v>679</v>
      </c>
      <c r="E41" s="25" t="s">
        <v>266</v>
      </c>
      <c r="F41" s="26"/>
      <c r="G41" s="26" t="s">
        <v>945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681</v>
      </c>
      <c r="C42" s="13" t="s">
        <v>666</v>
      </c>
      <c r="D42" s="10" t="s">
        <v>682</v>
      </c>
      <c r="E42" s="25" t="s">
        <v>266</v>
      </c>
      <c r="F42" s="26"/>
      <c r="G42" s="26" t="s">
        <v>946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684</v>
      </c>
      <c r="C43" s="13" t="s">
        <v>666</v>
      </c>
      <c r="D43" s="10" t="s">
        <v>685</v>
      </c>
      <c r="E43" s="25" t="s">
        <v>266</v>
      </c>
      <c r="F43" s="26"/>
      <c r="G43" s="26" t="s">
        <v>947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687</v>
      </c>
      <c r="C44" s="13" t="s">
        <v>666</v>
      </c>
      <c r="D44" s="10" t="s">
        <v>688</v>
      </c>
      <c r="E44" s="25" t="s">
        <v>266</v>
      </c>
      <c r="F44" s="26"/>
      <c r="G44" s="26" t="s">
        <v>948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690</v>
      </c>
      <c r="C45" s="13" t="s">
        <v>666</v>
      </c>
      <c r="D45" s="10" t="s">
        <v>691</v>
      </c>
      <c r="E45" s="25" t="s">
        <v>266</v>
      </c>
      <c r="F45" s="26"/>
      <c r="G45" s="26" t="s">
        <v>949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346</v>
      </c>
      <c r="C46" s="13" t="s">
        <v>338</v>
      </c>
      <c r="D46" s="10" t="s">
        <v>693</v>
      </c>
      <c r="E46" s="25" t="s">
        <v>266</v>
      </c>
      <c r="F46" s="26"/>
      <c r="G46" s="26" t="s">
        <v>694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344</v>
      </c>
      <c r="C47" s="13" t="s">
        <v>338</v>
      </c>
      <c r="D47" s="10" t="s">
        <v>695</v>
      </c>
      <c r="E47" s="25" t="s">
        <v>266</v>
      </c>
      <c r="F47" s="26"/>
      <c r="G47" s="26" t="s">
        <v>696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392</v>
      </c>
      <c r="C48" s="13" t="s">
        <v>338</v>
      </c>
      <c r="D48" s="10" t="s">
        <v>697</v>
      </c>
      <c r="E48" s="25" t="s">
        <v>266</v>
      </c>
      <c r="F48" s="26"/>
      <c r="G48" s="26" t="s">
        <v>698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394</v>
      </c>
      <c r="C49" s="13" t="s">
        <v>338</v>
      </c>
      <c r="D49" s="10" t="s">
        <v>699</v>
      </c>
      <c r="E49" s="25" t="s">
        <v>266</v>
      </c>
      <c r="F49" s="26"/>
      <c r="G49" s="26" t="s">
        <v>700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701</v>
      </c>
      <c r="C50" s="13" t="s">
        <v>338</v>
      </c>
      <c r="D50" s="10" t="s">
        <v>702</v>
      </c>
      <c r="E50" s="25" t="s">
        <v>266</v>
      </c>
      <c r="F50" s="26"/>
      <c r="G50" s="26" t="s">
        <v>950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704</v>
      </c>
      <c r="C51" s="13" t="s">
        <v>338</v>
      </c>
      <c r="D51" s="10" t="s">
        <v>705</v>
      </c>
      <c r="E51" s="25" t="s">
        <v>266</v>
      </c>
      <c r="F51" s="26"/>
      <c r="G51" s="26" t="s">
        <v>951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410</v>
      </c>
      <c r="C52" s="13" t="s">
        <v>338</v>
      </c>
      <c r="D52" s="10" t="s">
        <v>719</v>
      </c>
      <c r="E52" s="25" t="s">
        <v>266</v>
      </c>
      <c r="F52" s="26"/>
      <c r="G52" s="26" t="s">
        <v>720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412</v>
      </c>
      <c r="C53" s="13" t="s">
        <v>338</v>
      </c>
      <c r="D53" s="10" t="s">
        <v>721</v>
      </c>
      <c r="E53" s="25" t="s">
        <v>266</v>
      </c>
      <c r="F53" s="26"/>
      <c r="G53" s="26" t="s">
        <v>722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528</v>
      </c>
      <c r="C54" s="13" t="s">
        <v>338</v>
      </c>
      <c r="D54" s="10" t="s">
        <v>723</v>
      </c>
      <c r="E54" s="25" t="s">
        <v>266</v>
      </c>
      <c r="F54" s="26"/>
      <c r="G54" s="26" t="s">
        <v>724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532</v>
      </c>
      <c r="C55" s="13" t="s">
        <v>338</v>
      </c>
      <c r="D55" s="10" t="s">
        <v>725</v>
      </c>
      <c r="E55" s="25" t="s">
        <v>266</v>
      </c>
      <c r="F55" s="26"/>
      <c r="G55" s="26" t="s">
        <v>726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535</v>
      </c>
      <c r="C56" s="13" t="s">
        <v>338</v>
      </c>
      <c r="D56" s="10" t="s">
        <v>536</v>
      </c>
      <c r="E56" s="25" t="s">
        <v>266</v>
      </c>
      <c r="F56" s="26"/>
      <c r="G56" s="26" t="s">
        <v>727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728</v>
      </c>
      <c r="C57" s="13" t="s">
        <v>338</v>
      </c>
      <c r="D57" s="10" t="s">
        <v>729</v>
      </c>
      <c r="E57" s="25" t="s">
        <v>266</v>
      </c>
      <c r="F57" s="26"/>
      <c r="G57" s="26" t="s">
        <v>956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730</v>
      </c>
      <c r="C58" s="13" t="s">
        <v>666</v>
      </c>
      <c r="D58" s="10" t="s">
        <v>731</v>
      </c>
      <c r="E58" s="25" t="s">
        <v>266</v>
      </c>
      <c r="F58" s="26"/>
      <c r="G58" s="26" t="s">
        <v>957</v>
      </c>
      <c r="H58" s="2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733</v>
      </c>
      <c r="C59" s="13" t="s">
        <v>338</v>
      </c>
      <c r="D59" s="10" t="s">
        <v>734</v>
      </c>
      <c r="E59" s="25" t="s">
        <v>266</v>
      </c>
      <c r="F59" s="26"/>
      <c r="G59" s="26" t="s">
        <v>958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736</v>
      </c>
      <c r="C60" s="13" t="s">
        <v>338</v>
      </c>
      <c r="D60" s="10" t="s">
        <v>737</v>
      </c>
      <c r="E60" s="25" t="s">
        <v>266</v>
      </c>
      <c r="F60" s="26"/>
      <c r="G60" s="26" t="s">
        <v>959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739</v>
      </c>
      <c r="C61" s="13" t="s">
        <v>338</v>
      </c>
      <c r="D61" s="10" t="s">
        <v>740</v>
      </c>
      <c r="E61" s="25" t="s">
        <v>266</v>
      </c>
      <c r="F61" s="26"/>
      <c r="G61" s="26" t="s">
        <v>960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742</v>
      </c>
      <c r="C62" s="13" t="s">
        <v>338</v>
      </c>
      <c r="D62" s="10" t="s">
        <v>743</v>
      </c>
      <c r="E62" s="25" t="s">
        <v>266</v>
      </c>
      <c r="F62" s="26"/>
      <c r="G62" s="26" t="s">
        <v>961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745</v>
      </c>
      <c r="C63" s="13" t="s">
        <v>338</v>
      </c>
      <c r="D63" s="10" t="s">
        <v>746</v>
      </c>
      <c r="E63" s="25" t="s">
        <v>266</v>
      </c>
      <c r="F63" s="26"/>
      <c r="G63" s="26" t="s">
        <v>962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748</v>
      </c>
      <c r="C64" s="13" t="s">
        <v>338</v>
      </c>
      <c r="D64" s="10" t="s">
        <v>749</v>
      </c>
      <c r="E64" s="25" t="s">
        <v>266</v>
      </c>
      <c r="F64" s="26"/>
      <c r="G64" s="26" t="s">
        <v>963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751</v>
      </c>
      <c r="C65" s="13" t="s">
        <v>666</v>
      </c>
      <c r="D65" s="10" t="s">
        <v>752</v>
      </c>
      <c r="E65" s="25" t="s">
        <v>266</v>
      </c>
      <c r="F65" s="26"/>
      <c r="G65" s="26" t="s">
        <v>964</v>
      </c>
      <c r="H65" s="27"/>
      <c r="I65" s="26"/>
      <c r="J65" s="15" t="s">
        <v>632</v>
      </c>
      <c r="K65" s="15" t="s">
        <v>404</v>
      </c>
      <c r="L65" s="15" t="s">
        <v>633</v>
      </c>
    </row>
    <row r="66" s="1" customFormat="1" spans="1:12">
      <c r="A66" s="33"/>
      <c r="B66" s="13" t="s">
        <v>754</v>
      </c>
      <c r="C66" s="13" t="s">
        <v>338</v>
      </c>
      <c r="D66" s="10" t="s">
        <v>755</v>
      </c>
      <c r="E66" s="25" t="s">
        <v>266</v>
      </c>
      <c r="F66" s="26"/>
      <c r="G66" s="26" t="s">
        <v>965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757</v>
      </c>
      <c r="C67" s="13" t="s">
        <v>338</v>
      </c>
      <c r="D67" s="10" t="s">
        <v>758</v>
      </c>
      <c r="E67" s="25" t="s">
        <v>266</v>
      </c>
      <c r="F67" s="26"/>
      <c r="G67" s="26" t="s">
        <v>966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760</v>
      </c>
      <c r="C68" s="13" t="s">
        <v>338</v>
      </c>
      <c r="D68" s="10" t="s">
        <v>761</v>
      </c>
      <c r="E68" s="25" t="s">
        <v>266</v>
      </c>
      <c r="F68" s="26"/>
      <c r="G68" s="26" t="s">
        <v>967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763</v>
      </c>
      <c r="C69" s="13" t="s">
        <v>338</v>
      </c>
      <c r="D69" s="10" t="s">
        <v>764</v>
      </c>
      <c r="E69" s="25" t="s">
        <v>266</v>
      </c>
      <c r="F69" s="26"/>
      <c r="G69" s="26" t="s">
        <v>968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766</v>
      </c>
      <c r="C70" s="13" t="s">
        <v>338</v>
      </c>
      <c r="D70" s="10" t="s">
        <v>767</v>
      </c>
      <c r="E70" s="25" t="s">
        <v>266</v>
      </c>
      <c r="F70" s="26"/>
      <c r="G70" s="26" t="s">
        <v>969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769</v>
      </c>
      <c r="C71" s="13" t="s">
        <v>666</v>
      </c>
      <c r="D71" s="10" t="s">
        <v>770</v>
      </c>
      <c r="E71" s="25" t="s">
        <v>266</v>
      </c>
      <c r="F71" s="26"/>
      <c r="G71" s="26" t="s">
        <v>970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772</v>
      </c>
      <c r="C72" s="13" t="s">
        <v>666</v>
      </c>
      <c r="D72" s="10" t="s">
        <v>773</v>
      </c>
      <c r="E72" s="25" t="s">
        <v>266</v>
      </c>
      <c r="F72" s="26"/>
      <c r="G72" s="26" t="s">
        <v>971</v>
      </c>
      <c r="H72" s="2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775</v>
      </c>
      <c r="C73" s="13" t="s">
        <v>338</v>
      </c>
      <c r="D73" s="10" t="s">
        <v>776</v>
      </c>
      <c r="E73" s="25" t="s">
        <v>266</v>
      </c>
      <c r="F73" s="26"/>
      <c r="G73" s="26" t="s">
        <v>972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778</v>
      </c>
      <c r="C74" s="13" t="s">
        <v>338</v>
      </c>
      <c r="D74" s="10" t="s">
        <v>779</v>
      </c>
      <c r="E74" s="25" t="s">
        <v>266</v>
      </c>
      <c r="F74" s="26"/>
      <c r="G74" s="26" t="s">
        <v>973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781</v>
      </c>
      <c r="C75" s="13" t="s">
        <v>338</v>
      </c>
      <c r="D75" s="10" t="s">
        <v>782</v>
      </c>
      <c r="E75" s="25" t="s">
        <v>266</v>
      </c>
      <c r="F75" s="26"/>
      <c r="G75" s="26" t="s">
        <v>974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784</v>
      </c>
      <c r="C76" s="13" t="s">
        <v>338</v>
      </c>
      <c r="D76" s="10" t="s">
        <v>785</v>
      </c>
      <c r="E76" s="25" t="s">
        <v>266</v>
      </c>
      <c r="F76" s="26"/>
      <c r="G76" s="26" t="s">
        <v>975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787</v>
      </c>
      <c r="C77" s="13" t="s">
        <v>338</v>
      </c>
      <c r="D77" s="10" t="s">
        <v>788</v>
      </c>
      <c r="E77" s="25" t="s">
        <v>266</v>
      </c>
      <c r="F77" s="26"/>
      <c r="G77" s="26" t="s">
        <v>976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413</v>
      </c>
      <c r="C78" s="13" t="s">
        <v>666</v>
      </c>
      <c r="D78" s="10" t="s">
        <v>790</v>
      </c>
      <c r="E78" s="25" t="s">
        <v>266</v>
      </c>
      <c r="F78" s="26"/>
      <c r="G78" s="26" t="s">
        <v>977</v>
      </c>
      <c r="H78" s="2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792</v>
      </c>
      <c r="C79" s="13" t="s">
        <v>338</v>
      </c>
      <c r="D79" s="10" t="s">
        <v>793</v>
      </c>
      <c r="E79" s="25" t="s">
        <v>266</v>
      </c>
      <c r="F79" s="26"/>
      <c r="G79" s="26" t="s">
        <v>978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418</v>
      </c>
      <c r="C80" s="13" t="s">
        <v>666</v>
      </c>
      <c r="D80" s="10" t="s">
        <v>795</v>
      </c>
      <c r="E80" s="25" t="s">
        <v>266</v>
      </c>
      <c r="F80" s="26"/>
      <c r="G80" s="26" t="s">
        <v>979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797</v>
      </c>
      <c r="C81" s="13" t="s">
        <v>338</v>
      </c>
      <c r="D81" s="10" t="s">
        <v>798</v>
      </c>
      <c r="E81" s="25" t="s">
        <v>266</v>
      </c>
      <c r="F81" s="26"/>
      <c r="G81" s="26" t="s">
        <v>980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800</v>
      </c>
      <c r="C82" s="13" t="s">
        <v>338</v>
      </c>
      <c r="D82" s="10" t="s">
        <v>801</v>
      </c>
      <c r="E82" s="25" t="s">
        <v>266</v>
      </c>
      <c r="F82" s="26"/>
      <c r="G82" s="26" t="s">
        <v>981</v>
      </c>
      <c r="H82" s="27"/>
      <c r="I82" s="26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551</v>
      </c>
      <c r="C83" s="13" t="s">
        <v>666</v>
      </c>
      <c r="D83" s="10" t="s">
        <v>552</v>
      </c>
      <c r="E83" s="25" t="s">
        <v>266</v>
      </c>
      <c r="F83" s="26"/>
      <c r="G83" s="26" t="s">
        <v>982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805</v>
      </c>
      <c r="C84" s="13" t="s">
        <v>338</v>
      </c>
      <c r="D84" s="10" t="s">
        <v>806</v>
      </c>
      <c r="E84" s="25" t="s">
        <v>266</v>
      </c>
      <c r="F84" s="26"/>
      <c r="G84" s="26" t="s">
        <v>983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808</v>
      </c>
      <c r="C85" s="13" t="s">
        <v>338</v>
      </c>
      <c r="D85" s="10" t="s">
        <v>809</v>
      </c>
      <c r="E85" s="25" t="s">
        <v>266</v>
      </c>
      <c r="F85" s="26"/>
      <c r="G85" s="26" t="s">
        <v>984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811</v>
      </c>
      <c r="C86" s="13" t="s">
        <v>338</v>
      </c>
      <c r="D86" s="10" t="s">
        <v>812</v>
      </c>
      <c r="E86" s="25" t="s">
        <v>266</v>
      </c>
      <c r="F86" s="26"/>
      <c r="G86" s="26" t="s">
        <v>985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814</v>
      </c>
      <c r="C87" s="13" t="s">
        <v>338</v>
      </c>
      <c r="D87" s="10" t="s">
        <v>815</v>
      </c>
      <c r="E87" s="25" t="s">
        <v>266</v>
      </c>
      <c r="F87" s="26"/>
      <c r="G87" s="26" t="s">
        <v>986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817</v>
      </c>
      <c r="C88" s="13" t="s">
        <v>338</v>
      </c>
      <c r="D88" s="10" t="s">
        <v>818</v>
      </c>
      <c r="E88" s="25" t="s">
        <v>266</v>
      </c>
      <c r="F88" s="26"/>
      <c r="G88" s="26" t="s">
        <v>987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820</v>
      </c>
      <c r="C89" s="13" t="s">
        <v>338</v>
      </c>
      <c r="D89" s="10" t="s">
        <v>821</v>
      </c>
      <c r="E89" s="25" t="s">
        <v>266</v>
      </c>
      <c r="F89" s="26"/>
      <c r="G89" s="26" t="s">
        <v>988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556</v>
      </c>
      <c r="C90" s="13" t="s">
        <v>666</v>
      </c>
      <c r="D90" s="10" t="s">
        <v>557</v>
      </c>
      <c r="E90" s="25" t="s">
        <v>266</v>
      </c>
      <c r="F90" s="26"/>
      <c r="G90" s="26" t="s">
        <v>989</v>
      </c>
      <c r="H90" s="27"/>
      <c r="I90" s="26"/>
      <c r="J90" s="15" t="s">
        <v>632</v>
      </c>
      <c r="K90" s="15" t="s">
        <v>404</v>
      </c>
      <c r="L90" s="15" t="s">
        <v>633</v>
      </c>
    </row>
    <row r="91" s="1" customFormat="1" spans="1:12">
      <c r="A91" s="33"/>
      <c r="B91" s="13" t="s">
        <v>824</v>
      </c>
      <c r="C91" s="13" t="s">
        <v>338</v>
      </c>
      <c r="D91" s="10" t="s">
        <v>825</v>
      </c>
      <c r="E91" s="25" t="s">
        <v>266</v>
      </c>
      <c r="F91" s="26"/>
      <c r="G91" s="26" t="s">
        <v>990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827</v>
      </c>
      <c r="C92" s="13" t="s">
        <v>338</v>
      </c>
      <c r="D92" s="10" t="s">
        <v>828</v>
      </c>
      <c r="E92" s="25" t="s">
        <v>266</v>
      </c>
      <c r="F92" s="26"/>
      <c r="G92" s="26" t="s">
        <v>991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830</v>
      </c>
      <c r="C93" s="13" t="s">
        <v>338</v>
      </c>
      <c r="D93" s="10" t="s">
        <v>831</v>
      </c>
      <c r="E93" s="25" t="s">
        <v>266</v>
      </c>
      <c r="F93" s="26"/>
      <c r="G93" s="26" t="s">
        <v>992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833</v>
      </c>
      <c r="C94" s="13" t="s">
        <v>338</v>
      </c>
      <c r="D94" s="10" t="s">
        <v>834</v>
      </c>
      <c r="E94" s="25" t="s">
        <v>266</v>
      </c>
      <c r="F94" s="26"/>
      <c r="G94" s="26" t="s">
        <v>993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836</v>
      </c>
      <c r="C95" s="13" t="s">
        <v>338</v>
      </c>
      <c r="D95" s="10" t="s">
        <v>837</v>
      </c>
      <c r="E95" s="25" t="s">
        <v>266</v>
      </c>
      <c r="F95" s="26"/>
      <c r="G95" s="26" t="s">
        <v>994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839</v>
      </c>
      <c r="C96" s="13" t="s">
        <v>338</v>
      </c>
      <c r="D96" s="10" t="s">
        <v>840</v>
      </c>
      <c r="E96" s="25" t="s">
        <v>266</v>
      </c>
      <c r="F96" s="26"/>
      <c r="G96" s="26" t="s">
        <v>995</v>
      </c>
      <c r="H96" s="27"/>
      <c r="I96" s="26"/>
      <c r="J96" s="15" t="s">
        <v>632</v>
      </c>
      <c r="K96" s="15" t="s">
        <v>294</v>
      </c>
      <c r="L96" s="15" t="s">
        <v>633</v>
      </c>
    </row>
    <row r="97" s="1" customFormat="1" spans="1:12">
      <c r="A97" s="33"/>
      <c r="B97" s="13" t="s">
        <v>560</v>
      </c>
      <c r="C97" s="13" t="s">
        <v>666</v>
      </c>
      <c r="D97" s="10" t="s">
        <v>842</v>
      </c>
      <c r="E97" s="25" t="s">
        <v>266</v>
      </c>
      <c r="F97" s="26"/>
      <c r="G97" s="26" t="s">
        <v>996</v>
      </c>
      <c r="H97" s="27"/>
      <c r="I97" s="26"/>
      <c r="J97" s="15" t="s">
        <v>632</v>
      </c>
      <c r="K97" s="15" t="s">
        <v>404</v>
      </c>
      <c r="L97" s="15" t="s">
        <v>633</v>
      </c>
    </row>
    <row r="98" s="1" customFormat="1" spans="1:12">
      <c r="A98" s="33"/>
      <c r="B98" s="75" t="s">
        <v>844</v>
      </c>
      <c r="C98" s="75" t="s">
        <v>338</v>
      </c>
      <c r="D98" s="76" t="s">
        <v>845</v>
      </c>
      <c r="E98" s="25" t="s">
        <v>266</v>
      </c>
      <c r="F98" s="26"/>
      <c r="G98" s="26" t="s">
        <v>997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75" t="s">
        <v>847</v>
      </c>
      <c r="C99" s="75" t="s">
        <v>338</v>
      </c>
      <c r="D99" s="76" t="s">
        <v>848</v>
      </c>
      <c r="E99" s="25" t="s">
        <v>266</v>
      </c>
      <c r="F99" s="26"/>
      <c r="G99" s="26" t="s">
        <v>998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850</v>
      </c>
      <c r="C100" s="75" t="s">
        <v>338</v>
      </c>
      <c r="D100" s="76" t="s">
        <v>851</v>
      </c>
      <c r="E100" s="25" t="s">
        <v>266</v>
      </c>
      <c r="F100" s="26"/>
      <c r="G100" s="26" t="s">
        <v>999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853</v>
      </c>
      <c r="C101" s="75" t="s">
        <v>338</v>
      </c>
      <c r="D101" s="76" t="s">
        <v>854</v>
      </c>
      <c r="E101" s="25" t="s">
        <v>266</v>
      </c>
      <c r="F101" s="26"/>
      <c r="G101" s="26" t="s">
        <v>1000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856</v>
      </c>
      <c r="C102" s="75" t="s">
        <v>338</v>
      </c>
      <c r="D102" s="76" t="s">
        <v>857</v>
      </c>
      <c r="E102" s="25" t="s">
        <v>266</v>
      </c>
      <c r="F102" s="26"/>
      <c r="G102" s="26" t="s">
        <v>1001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859</v>
      </c>
      <c r="C103" s="13" t="s">
        <v>338</v>
      </c>
      <c r="D103" s="10" t="s">
        <v>860</v>
      </c>
      <c r="E103" s="25" t="s">
        <v>266</v>
      </c>
      <c r="F103" s="26"/>
      <c r="G103" s="26" t="s">
        <v>1002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862</v>
      </c>
      <c r="C104" s="13" t="s">
        <v>666</v>
      </c>
      <c r="D104" s="10" t="s">
        <v>863</v>
      </c>
      <c r="E104" s="25" t="s">
        <v>266</v>
      </c>
      <c r="F104" s="26"/>
      <c r="G104" s="26" t="s">
        <v>1003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13" t="s">
        <v>462</v>
      </c>
      <c r="C105" s="13" t="s">
        <v>666</v>
      </c>
      <c r="D105" s="10" t="s">
        <v>865</v>
      </c>
      <c r="E105" s="25" t="s">
        <v>266</v>
      </c>
      <c r="F105" s="26"/>
      <c r="G105" s="26" t="s">
        <v>1004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538</v>
      </c>
      <c r="C106" s="13" t="s">
        <v>666</v>
      </c>
      <c r="D106" s="10" t="s">
        <v>539</v>
      </c>
      <c r="E106" s="25" t="s">
        <v>266</v>
      </c>
      <c r="F106" s="26"/>
      <c r="G106" s="26" t="s">
        <v>1005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868</v>
      </c>
      <c r="C107" s="13" t="s">
        <v>338</v>
      </c>
      <c r="D107" s="10" t="s">
        <v>869</v>
      </c>
      <c r="E107" s="25" t="s">
        <v>266</v>
      </c>
      <c r="F107" s="26"/>
      <c r="G107" s="26" t="s">
        <v>1006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871</v>
      </c>
      <c r="C108" s="13" t="s">
        <v>338</v>
      </c>
      <c r="D108" s="10" t="s">
        <v>872</v>
      </c>
      <c r="E108" s="25" t="s">
        <v>266</v>
      </c>
      <c r="F108" s="26"/>
      <c r="G108" s="26" t="s">
        <v>1007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543</v>
      </c>
      <c r="C109" s="13" t="s">
        <v>666</v>
      </c>
      <c r="D109" s="10" t="s">
        <v>544</v>
      </c>
      <c r="E109" s="25" t="s">
        <v>266</v>
      </c>
      <c r="F109" s="26"/>
      <c r="G109" s="26" t="s">
        <v>1008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875</v>
      </c>
      <c r="C110" s="13" t="s">
        <v>338</v>
      </c>
      <c r="D110" s="10" t="s">
        <v>876</v>
      </c>
      <c r="E110" s="25" t="s">
        <v>266</v>
      </c>
      <c r="F110" s="26"/>
      <c r="G110" s="26" t="s">
        <v>1009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887</v>
      </c>
      <c r="C111" s="13" t="s">
        <v>338</v>
      </c>
      <c r="D111" s="10" t="s">
        <v>888</v>
      </c>
      <c r="E111" s="25" t="s">
        <v>266</v>
      </c>
      <c r="F111" s="26"/>
      <c r="G111" s="26" t="s">
        <v>1013</v>
      </c>
      <c r="H111" s="27"/>
      <c r="I111" s="26"/>
      <c r="J111" s="15" t="s">
        <v>632</v>
      </c>
      <c r="K111" s="15" t="s">
        <v>294</v>
      </c>
      <c r="L111" s="15" t="s">
        <v>633</v>
      </c>
    </row>
    <row r="112" spans="2:12">
      <c r="B112" s="13" t="s">
        <v>917</v>
      </c>
      <c r="C112" s="13" t="s">
        <v>338</v>
      </c>
      <c r="D112" s="10" t="s">
        <v>918</v>
      </c>
      <c r="E112" s="25" t="s">
        <v>266</v>
      </c>
      <c r="F112" s="26"/>
      <c r="G112" s="26" t="s">
        <v>1023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920</v>
      </c>
      <c r="C113" s="13" t="s">
        <v>338</v>
      </c>
      <c r="D113" s="10" t="s">
        <v>921</v>
      </c>
      <c r="E113" s="25" t="s">
        <v>266</v>
      </c>
      <c r="F113" s="26"/>
      <c r="G113" s="26" t="s">
        <v>1024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3" t="s">
        <v>923</v>
      </c>
      <c r="C114" s="13" t="s">
        <v>338</v>
      </c>
      <c r="D114" s="10" t="s">
        <v>924</v>
      </c>
      <c r="E114" s="25" t="s">
        <v>266</v>
      </c>
      <c r="F114" s="26"/>
      <c r="G114" s="26" t="s">
        <v>1025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7" t="s">
        <v>594</v>
      </c>
      <c r="C115" s="18" t="s">
        <v>307</v>
      </c>
      <c r="D115" s="19" t="s">
        <v>595</v>
      </c>
      <c r="E115" s="28"/>
      <c r="F115" s="28"/>
      <c r="G115" s="28" t="s">
        <v>932</v>
      </c>
      <c r="H115" s="17"/>
      <c r="I115" s="17"/>
      <c r="J115" s="17"/>
      <c r="K115" s="17"/>
      <c r="L115" s="17"/>
    </row>
    <row r="116" spans="2:12">
      <c r="B116" s="17" t="s">
        <v>596</v>
      </c>
      <c r="C116" s="18" t="s">
        <v>291</v>
      </c>
      <c r="D116" s="19" t="s">
        <v>597</v>
      </c>
      <c r="E116" s="28"/>
      <c r="F116" s="28"/>
      <c r="G116" s="28" t="s">
        <v>932</v>
      </c>
      <c r="H116" s="17" t="s">
        <v>932</v>
      </c>
      <c r="I116" s="17"/>
      <c r="J116" s="17"/>
      <c r="K116" s="17"/>
      <c r="L116" s="17"/>
    </row>
    <row r="117" spans="2:12">
      <c r="B117" s="17" t="s">
        <v>598</v>
      </c>
      <c r="C117" s="18" t="s">
        <v>307</v>
      </c>
      <c r="D117" s="19" t="s">
        <v>599</v>
      </c>
      <c r="E117" s="28"/>
      <c r="F117" s="28"/>
      <c r="G117" s="28" t="s">
        <v>932</v>
      </c>
      <c r="H117" s="17" t="s">
        <v>932</v>
      </c>
      <c r="I117" s="17"/>
      <c r="J117" s="17"/>
      <c r="K117" s="17"/>
      <c r="L117" s="17"/>
    </row>
  </sheetData>
  <autoFilter xmlns:etc="http://www.wps.cn/officeDocument/2017/etCustomData" ref="A13:Q11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zoomScale="85" zoomScaleNormal="85" workbookViewId="0">
      <pane ySplit="5" topLeftCell="A6" activePane="bottomLeft" state="frozen"/>
      <selection/>
      <selection pane="bottomLeft" activeCell="F14" sqref="F14:F24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97</v>
      </c>
      <c r="D5" s="14" t="s">
        <v>98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95</v>
      </c>
      <c r="D9" s="14" t="s">
        <v>96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3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410</v>
      </c>
      <c r="C51" s="13" t="s">
        <v>338</v>
      </c>
      <c r="D51" s="10" t="s">
        <v>719</v>
      </c>
      <c r="E51" s="25" t="s">
        <v>266</v>
      </c>
      <c r="F51" s="26"/>
      <c r="G51" s="26" t="s">
        <v>720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412</v>
      </c>
      <c r="C52" s="13" t="s">
        <v>338</v>
      </c>
      <c r="D52" s="10" t="s">
        <v>721</v>
      </c>
      <c r="E52" s="25" t="s">
        <v>266</v>
      </c>
      <c r="F52" s="26"/>
      <c r="G52" s="26" t="s">
        <v>722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528</v>
      </c>
      <c r="C53" s="13" t="s">
        <v>338</v>
      </c>
      <c r="D53" s="10" t="s">
        <v>723</v>
      </c>
      <c r="E53" s="25" t="s">
        <v>266</v>
      </c>
      <c r="F53" s="26"/>
      <c r="G53" s="26" t="s">
        <v>724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532</v>
      </c>
      <c r="C54" s="13" t="s">
        <v>338</v>
      </c>
      <c r="D54" s="10" t="s">
        <v>725</v>
      </c>
      <c r="E54" s="25" t="s">
        <v>266</v>
      </c>
      <c r="F54" s="26"/>
      <c r="G54" s="26" t="s">
        <v>726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535</v>
      </c>
      <c r="C55" s="13" t="s">
        <v>338</v>
      </c>
      <c r="D55" s="10" t="s">
        <v>536</v>
      </c>
      <c r="E55" s="25" t="s">
        <v>266</v>
      </c>
      <c r="F55" s="26"/>
      <c r="G55" s="26" t="s">
        <v>727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728</v>
      </c>
      <c r="C56" s="13" t="s">
        <v>338</v>
      </c>
      <c r="D56" s="10" t="s">
        <v>729</v>
      </c>
      <c r="E56" s="25" t="s">
        <v>266</v>
      </c>
      <c r="F56" s="26"/>
      <c r="G56" s="26" t="s">
        <v>956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730</v>
      </c>
      <c r="C57" s="13" t="s">
        <v>666</v>
      </c>
      <c r="D57" s="10" t="s">
        <v>731</v>
      </c>
      <c r="E57" s="25" t="s">
        <v>266</v>
      </c>
      <c r="F57" s="26"/>
      <c r="G57" s="26" t="s">
        <v>957</v>
      </c>
      <c r="H57" s="2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733</v>
      </c>
      <c r="C58" s="13" t="s">
        <v>338</v>
      </c>
      <c r="D58" s="10" t="s">
        <v>734</v>
      </c>
      <c r="E58" s="25" t="s">
        <v>266</v>
      </c>
      <c r="F58" s="26"/>
      <c r="G58" s="26" t="s">
        <v>958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736</v>
      </c>
      <c r="C59" s="13" t="s">
        <v>338</v>
      </c>
      <c r="D59" s="10" t="s">
        <v>737</v>
      </c>
      <c r="E59" s="25" t="s">
        <v>266</v>
      </c>
      <c r="F59" s="26"/>
      <c r="G59" s="26" t="s">
        <v>959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739</v>
      </c>
      <c r="C60" s="13" t="s">
        <v>338</v>
      </c>
      <c r="D60" s="10" t="s">
        <v>740</v>
      </c>
      <c r="E60" s="25" t="s">
        <v>266</v>
      </c>
      <c r="F60" s="26"/>
      <c r="G60" s="26" t="s">
        <v>960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742</v>
      </c>
      <c r="C61" s="13" t="s">
        <v>338</v>
      </c>
      <c r="D61" s="10" t="s">
        <v>743</v>
      </c>
      <c r="E61" s="25" t="s">
        <v>266</v>
      </c>
      <c r="F61" s="26"/>
      <c r="G61" s="26" t="s">
        <v>961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745</v>
      </c>
      <c r="C62" s="13" t="s">
        <v>338</v>
      </c>
      <c r="D62" s="10" t="s">
        <v>746</v>
      </c>
      <c r="E62" s="25" t="s">
        <v>266</v>
      </c>
      <c r="F62" s="26"/>
      <c r="G62" s="26" t="s">
        <v>962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748</v>
      </c>
      <c r="C63" s="13" t="s">
        <v>338</v>
      </c>
      <c r="D63" s="10" t="s">
        <v>749</v>
      </c>
      <c r="E63" s="25" t="s">
        <v>266</v>
      </c>
      <c r="F63" s="26"/>
      <c r="G63" s="26" t="s">
        <v>963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751</v>
      </c>
      <c r="C64" s="13" t="s">
        <v>666</v>
      </c>
      <c r="D64" s="10" t="s">
        <v>752</v>
      </c>
      <c r="E64" s="25" t="s">
        <v>266</v>
      </c>
      <c r="F64" s="26"/>
      <c r="G64" s="26" t="s">
        <v>964</v>
      </c>
      <c r="H64" s="2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754</v>
      </c>
      <c r="C65" s="13" t="s">
        <v>338</v>
      </c>
      <c r="D65" s="10" t="s">
        <v>755</v>
      </c>
      <c r="E65" s="25" t="s">
        <v>266</v>
      </c>
      <c r="F65" s="26"/>
      <c r="G65" s="26" t="s">
        <v>965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757</v>
      </c>
      <c r="C66" s="13" t="s">
        <v>338</v>
      </c>
      <c r="D66" s="10" t="s">
        <v>758</v>
      </c>
      <c r="E66" s="25" t="s">
        <v>266</v>
      </c>
      <c r="F66" s="26"/>
      <c r="G66" s="26" t="s">
        <v>966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760</v>
      </c>
      <c r="C67" s="13" t="s">
        <v>338</v>
      </c>
      <c r="D67" s="10" t="s">
        <v>761</v>
      </c>
      <c r="E67" s="25" t="s">
        <v>266</v>
      </c>
      <c r="F67" s="26"/>
      <c r="G67" s="26" t="s">
        <v>967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763</v>
      </c>
      <c r="C68" s="13" t="s">
        <v>338</v>
      </c>
      <c r="D68" s="10" t="s">
        <v>764</v>
      </c>
      <c r="E68" s="25" t="s">
        <v>266</v>
      </c>
      <c r="F68" s="26"/>
      <c r="G68" s="26" t="s">
        <v>968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766</v>
      </c>
      <c r="C69" s="13" t="s">
        <v>338</v>
      </c>
      <c r="D69" s="10" t="s">
        <v>767</v>
      </c>
      <c r="E69" s="25" t="s">
        <v>266</v>
      </c>
      <c r="F69" s="26"/>
      <c r="G69" s="26" t="s">
        <v>969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769</v>
      </c>
      <c r="C70" s="13" t="s">
        <v>666</v>
      </c>
      <c r="D70" s="10" t="s">
        <v>770</v>
      </c>
      <c r="E70" s="25" t="s">
        <v>266</v>
      </c>
      <c r="F70" s="26"/>
      <c r="G70" s="26" t="s">
        <v>970</v>
      </c>
      <c r="H70" s="2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772</v>
      </c>
      <c r="C71" s="13" t="s">
        <v>666</v>
      </c>
      <c r="D71" s="10" t="s">
        <v>773</v>
      </c>
      <c r="E71" s="25" t="s">
        <v>266</v>
      </c>
      <c r="F71" s="26"/>
      <c r="G71" s="26" t="s">
        <v>971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775</v>
      </c>
      <c r="C72" s="13" t="s">
        <v>338</v>
      </c>
      <c r="D72" s="10" t="s">
        <v>776</v>
      </c>
      <c r="E72" s="25" t="s">
        <v>266</v>
      </c>
      <c r="F72" s="26"/>
      <c r="G72" s="26" t="s">
        <v>972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778</v>
      </c>
      <c r="C73" s="13" t="s">
        <v>338</v>
      </c>
      <c r="D73" s="10" t="s">
        <v>779</v>
      </c>
      <c r="E73" s="25" t="s">
        <v>266</v>
      </c>
      <c r="F73" s="26"/>
      <c r="G73" s="26" t="s">
        <v>973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781</v>
      </c>
      <c r="C74" s="13" t="s">
        <v>338</v>
      </c>
      <c r="D74" s="10" t="s">
        <v>782</v>
      </c>
      <c r="E74" s="25" t="s">
        <v>266</v>
      </c>
      <c r="F74" s="26"/>
      <c r="G74" s="26" t="s">
        <v>974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784</v>
      </c>
      <c r="C75" s="13" t="s">
        <v>338</v>
      </c>
      <c r="D75" s="10" t="s">
        <v>785</v>
      </c>
      <c r="E75" s="25" t="s">
        <v>266</v>
      </c>
      <c r="F75" s="26"/>
      <c r="G75" s="26" t="s">
        <v>975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787</v>
      </c>
      <c r="C76" s="13" t="s">
        <v>338</v>
      </c>
      <c r="D76" s="10" t="s">
        <v>788</v>
      </c>
      <c r="E76" s="25" t="s">
        <v>266</v>
      </c>
      <c r="F76" s="26"/>
      <c r="G76" s="26" t="s">
        <v>976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413</v>
      </c>
      <c r="C77" s="13" t="s">
        <v>666</v>
      </c>
      <c r="D77" s="10" t="s">
        <v>790</v>
      </c>
      <c r="E77" s="25" t="s">
        <v>266</v>
      </c>
      <c r="F77" s="26"/>
      <c r="G77" s="26" t="s">
        <v>977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792</v>
      </c>
      <c r="C78" s="13" t="s">
        <v>338</v>
      </c>
      <c r="D78" s="10" t="s">
        <v>793</v>
      </c>
      <c r="E78" s="25" t="s">
        <v>266</v>
      </c>
      <c r="F78" s="26"/>
      <c r="G78" s="26" t="s">
        <v>978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418</v>
      </c>
      <c r="C79" s="13" t="s">
        <v>666</v>
      </c>
      <c r="D79" s="10" t="s">
        <v>795</v>
      </c>
      <c r="E79" s="25" t="s">
        <v>266</v>
      </c>
      <c r="F79" s="26"/>
      <c r="G79" s="26" t="s">
        <v>979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797</v>
      </c>
      <c r="C80" s="13" t="s">
        <v>338</v>
      </c>
      <c r="D80" s="10" t="s">
        <v>798</v>
      </c>
      <c r="E80" s="25" t="s">
        <v>266</v>
      </c>
      <c r="F80" s="26"/>
      <c r="G80" s="26" t="s">
        <v>980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800</v>
      </c>
      <c r="C81" s="13" t="s">
        <v>338</v>
      </c>
      <c r="D81" s="10" t="s">
        <v>801</v>
      </c>
      <c r="E81" s="25" t="s">
        <v>266</v>
      </c>
      <c r="F81" s="26"/>
      <c r="G81" s="26" t="s">
        <v>981</v>
      </c>
      <c r="H81" s="27"/>
      <c r="I81" s="26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551</v>
      </c>
      <c r="C82" s="13" t="s">
        <v>666</v>
      </c>
      <c r="D82" s="10" t="s">
        <v>552</v>
      </c>
      <c r="E82" s="25" t="s">
        <v>266</v>
      </c>
      <c r="F82" s="26"/>
      <c r="G82" s="26" t="s">
        <v>982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805</v>
      </c>
      <c r="C83" s="13" t="s">
        <v>338</v>
      </c>
      <c r="D83" s="10" t="s">
        <v>806</v>
      </c>
      <c r="E83" s="25" t="s">
        <v>266</v>
      </c>
      <c r="F83" s="26"/>
      <c r="G83" s="26" t="s">
        <v>983</v>
      </c>
      <c r="H83" s="2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808</v>
      </c>
      <c r="C84" s="13" t="s">
        <v>338</v>
      </c>
      <c r="D84" s="10" t="s">
        <v>809</v>
      </c>
      <c r="E84" s="25" t="s">
        <v>266</v>
      </c>
      <c r="F84" s="26"/>
      <c r="G84" s="26" t="s">
        <v>984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811</v>
      </c>
      <c r="C85" s="13" t="s">
        <v>338</v>
      </c>
      <c r="D85" s="10" t="s">
        <v>812</v>
      </c>
      <c r="E85" s="25" t="s">
        <v>266</v>
      </c>
      <c r="F85" s="26"/>
      <c r="G85" s="26" t="s">
        <v>985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814</v>
      </c>
      <c r="C86" s="13" t="s">
        <v>338</v>
      </c>
      <c r="D86" s="10" t="s">
        <v>815</v>
      </c>
      <c r="E86" s="25" t="s">
        <v>266</v>
      </c>
      <c r="F86" s="26"/>
      <c r="G86" s="26" t="s">
        <v>986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817</v>
      </c>
      <c r="C87" s="13" t="s">
        <v>338</v>
      </c>
      <c r="D87" s="10" t="s">
        <v>818</v>
      </c>
      <c r="E87" s="25" t="s">
        <v>266</v>
      </c>
      <c r="F87" s="26"/>
      <c r="G87" s="26" t="s">
        <v>987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820</v>
      </c>
      <c r="C88" s="13" t="s">
        <v>338</v>
      </c>
      <c r="D88" s="10" t="s">
        <v>821</v>
      </c>
      <c r="E88" s="25" t="s">
        <v>266</v>
      </c>
      <c r="F88" s="26"/>
      <c r="G88" s="26" t="s">
        <v>988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556</v>
      </c>
      <c r="C89" s="13" t="s">
        <v>666</v>
      </c>
      <c r="D89" s="10" t="s">
        <v>557</v>
      </c>
      <c r="E89" s="25" t="s">
        <v>266</v>
      </c>
      <c r="F89" s="26"/>
      <c r="G89" s="26" t="s">
        <v>989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824</v>
      </c>
      <c r="C90" s="13" t="s">
        <v>338</v>
      </c>
      <c r="D90" s="10" t="s">
        <v>825</v>
      </c>
      <c r="E90" s="25" t="s">
        <v>266</v>
      </c>
      <c r="F90" s="26"/>
      <c r="G90" s="26" t="s">
        <v>990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827</v>
      </c>
      <c r="C91" s="13" t="s">
        <v>338</v>
      </c>
      <c r="D91" s="10" t="s">
        <v>828</v>
      </c>
      <c r="E91" s="25" t="s">
        <v>266</v>
      </c>
      <c r="F91" s="26"/>
      <c r="G91" s="26" t="s">
        <v>991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830</v>
      </c>
      <c r="C92" s="13" t="s">
        <v>338</v>
      </c>
      <c r="D92" s="10" t="s">
        <v>831</v>
      </c>
      <c r="E92" s="25" t="s">
        <v>266</v>
      </c>
      <c r="F92" s="26"/>
      <c r="G92" s="26" t="s">
        <v>992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833</v>
      </c>
      <c r="C93" s="13" t="s">
        <v>338</v>
      </c>
      <c r="D93" s="10" t="s">
        <v>834</v>
      </c>
      <c r="E93" s="25" t="s">
        <v>266</v>
      </c>
      <c r="F93" s="26"/>
      <c r="G93" s="26" t="s">
        <v>993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836</v>
      </c>
      <c r="C94" s="13" t="s">
        <v>338</v>
      </c>
      <c r="D94" s="10" t="s">
        <v>837</v>
      </c>
      <c r="E94" s="25" t="s">
        <v>266</v>
      </c>
      <c r="F94" s="26"/>
      <c r="G94" s="26" t="s">
        <v>994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839</v>
      </c>
      <c r="C95" s="13" t="s">
        <v>338</v>
      </c>
      <c r="D95" s="10" t="s">
        <v>840</v>
      </c>
      <c r="E95" s="25" t="s">
        <v>266</v>
      </c>
      <c r="F95" s="26"/>
      <c r="G95" s="26" t="s">
        <v>995</v>
      </c>
      <c r="H95" s="27"/>
      <c r="I95" s="26"/>
      <c r="J95" s="15" t="s">
        <v>632</v>
      </c>
      <c r="K95" s="15" t="s">
        <v>294</v>
      </c>
      <c r="L95" s="15" t="s">
        <v>633</v>
      </c>
    </row>
    <row r="96" s="1" customFormat="1" spans="1:12">
      <c r="A96" s="33"/>
      <c r="B96" s="13" t="s">
        <v>560</v>
      </c>
      <c r="C96" s="13" t="s">
        <v>666</v>
      </c>
      <c r="D96" s="10" t="s">
        <v>842</v>
      </c>
      <c r="E96" s="25" t="s">
        <v>266</v>
      </c>
      <c r="F96" s="26"/>
      <c r="G96" s="26" t="s">
        <v>996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75" t="s">
        <v>844</v>
      </c>
      <c r="C97" s="75" t="s">
        <v>338</v>
      </c>
      <c r="D97" s="76" t="s">
        <v>845</v>
      </c>
      <c r="E97" s="25" t="s">
        <v>266</v>
      </c>
      <c r="F97" s="26"/>
      <c r="G97" s="26" t="s">
        <v>997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75" t="s">
        <v>847</v>
      </c>
      <c r="C98" s="75" t="s">
        <v>338</v>
      </c>
      <c r="D98" s="76" t="s">
        <v>848</v>
      </c>
      <c r="E98" s="25" t="s">
        <v>266</v>
      </c>
      <c r="F98" s="26"/>
      <c r="G98" s="26" t="s">
        <v>998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75" t="s">
        <v>850</v>
      </c>
      <c r="C99" s="75" t="s">
        <v>338</v>
      </c>
      <c r="D99" s="76" t="s">
        <v>851</v>
      </c>
      <c r="E99" s="25" t="s">
        <v>266</v>
      </c>
      <c r="F99" s="26"/>
      <c r="G99" s="26" t="s">
        <v>999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853</v>
      </c>
      <c r="C100" s="75" t="s">
        <v>338</v>
      </c>
      <c r="D100" s="76" t="s">
        <v>854</v>
      </c>
      <c r="E100" s="25" t="s">
        <v>266</v>
      </c>
      <c r="F100" s="26"/>
      <c r="G100" s="26" t="s">
        <v>1000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856</v>
      </c>
      <c r="C101" s="75" t="s">
        <v>338</v>
      </c>
      <c r="D101" s="76" t="s">
        <v>857</v>
      </c>
      <c r="E101" s="25" t="s">
        <v>266</v>
      </c>
      <c r="F101" s="26"/>
      <c r="G101" s="26" t="s">
        <v>1001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859</v>
      </c>
      <c r="C102" s="13" t="s">
        <v>338</v>
      </c>
      <c r="D102" s="10" t="s">
        <v>860</v>
      </c>
      <c r="E102" s="25" t="s">
        <v>266</v>
      </c>
      <c r="F102" s="26"/>
      <c r="G102" s="26" t="s">
        <v>1002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862</v>
      </c>
      <c r="C103" s="13" t="s">
        <v>666</v>
      </c>
      <c r="D103" s="10" t="s">
        <v>863</v>
      </c>
      <c r="E103" s="25" t="s">
        <v>266</v>
      </c>
      <c r="F103" s="26"/>
      <c r="G103" s="26" t="s">
        <v>1003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13" t="s">
        <v>462</v>
      </c>
      <c r="C104" s="13" t="s">
        <v>666</v>
      </c>
      <c r="D104" s="10" t="s">
        <v>865</v>
      </c>
      <c r="E104" s="25" t="s">
        <v>266</v>
      </c>
      <c r="F104" s="26"/>
      <c r="G104" s="26" t="s">
        <v>1004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13" t="s">
        <v>538</v>
      </c>
      <c r="C105" s="13" t="s">
        <v>666</v>
      </c>
      <c r="D105" s="10" t="s">
        <v>539</v>
      </c>
      <c r="E105" s="25" t="s">
        <v>266</v>
      </c>
      <c r="F105" s="26"/>
      <c r="G105" s="26" t="s">
        <v>1005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868</v>
      </c>
      <c r="C106" s="13" t="s">
        <v>338</v>
      </c>
      <c r="D106" s="10" t="s">
        <v>869</v>
      </c>
      <c r="E106" s="25" t="s">
        <v>266</v>
      </c>
      <c r="F106" s="26"/>
      <c r="G106" s="26" t="s">
        <v>1006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871</v>
      </c>
      <c r="C107" s="13" t="s">
        <v>338</v>
      </c>
      <c r="D107" s="10" t="s">
        <v>872</v>
      </c>
      <c r="E107" s="25" t="s">
        <v>266</v>
      </c>
      <c r="F107" s="26"/>
      <c r="G107" s="26" t="s">
        <v>1007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543</v>
      </c>
      <c r="C108" s="13" t="s">
        <v>666</v>
      </c>
      <c r="D108" s="10" t="s">
        <v>544</v>
      </c>
      <c r="E108" s="25" t="s">
        <v>266</v>
      </c>
      <c r="F108" s="26"/>
      <c r="G108" s="26" t="s">
        <v>1008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875</v>
      </c>
      <c r="C109" s="13" t="s">
        <v>338</v>
      </c>
      <c r="D109" s="10" t="s">
        <v>876</v>
      </c>
      <c r="E109" s="25" t="s">
        <v>266</v>
      </c>
      <c r="F109" s="26"/>
      <c r="G109" s="26" t="s">
        <v>1009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887</v>
      </c>
      <c r="C110" s="13" t="s">
        <v>338</v>
      </c>
      <c r="D110" s="10" t="s">
        <v>888</v>
      </c>
      <c r="E110" s="25" t="s">
        <v>266</v>
      </c>
      <c r="F110" s="26"/>
      <c r="G110" s="26" t="s">
        <v>1013</v>
      </c>
      <c r="H110" s="27"/>
      <c r="I110" s="26"/>
      <c r="J110" s="15" t="s">
        <v>632</v>
      </c>
      <c r="K110" s="15" t="s">
        <v>294</v>
      </c>
      <c r="L110" s="15" t="s">
        <v>633</v>
      </c>
    </row>
    <row r="111" spans="2:12">
      <c r="B111" s="13" t="s">
        <v>917</v>
      </c>
      <c r="C111" s="13" t="s">
        <v>338</v>
      </c>
      <c r="D111" s="10" t="s">
        <v>918</v>
      </c>
      <c r="E111" s="25" t="s">
        <v>266</v>
      </c>
      <c r="F111" s="26"/>
      <c r="G111" s="26" t="s">
        <v>1023</v>
      </c>
      <c r="H111" s="27"/>
      <c r="I111" s="26"/>
      <c r="J111" s="15" t="s">
        <v>632</v>
      </c>
      <c r="K111" s="15" t="s">
        <v>294</v>
      </c>
      <c r="L111" s="15" t="s">
        <v>633</v>
      </c>
    </row>
    <row r="112" spans="2:12">
      <c r="B112" s="13" t="s">
        <v>920</v>
      </c>
      <c r="C112" s="13" t="s">
        <v>338</v>
      </c>
      <c r="D112" s="10" t="s">
        <v>921</v>
      </c>
      <c r="E112" s="25" t="s">
        <v>266</v>
      </c>
      <c r="F112" s="26"/>
      <c r="G112" s="26" t="s">
        <v>1024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923</v>
      </c>
      <c r="C113" s="13" t="s">
        <v>338</v>
      </c>
      <c r="D113" s="10" t="s">
        <v>924</v>
      </c>
      <c r="E113" s="25" t="s">
        <v>266</v>
      </c>
      <c r="F113" s="26"/>
      <c r="G113" s="26" t="s">
        <v>1025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7" t="s">
        <v>594</v>
      </c>
      <c r="C114" s="18" t="s">
        <v>307</v>
      </c>
      <c r="D114" s="19" t="s">
        <v>595</v>
      </c>
      <c r="E114" s="28"/>
      <c r="F114" s="28"/>
      <c r="G114" s="28" t="s">
        <v>932</v>
      </c>
      <c r="H114" s="17"/>
      <c r="I114" s="17"/>
      <c r="J114" s="17"/>
      <c r="K114" s="17"/>
      <c r="L114" s="17"/>
    </row>
    <row r="115" spans="2:12">
      <c r="B115" s="17" t="s">
        <v>596</v>
      </c>
      <c r="C115" s="18" t="s">
        <v>291</v>
      </c>
      <c r="D115" s="19" t="s">
        <v>597</v>
      </c>
      <c r="E115" s="28"/>
      <c r="F115" s="28"/>
      <c r="G115" s="28" t="s">
        <v>932</v>
      </c>
      <c r="H115" s="17" t="s">
        <v>932</v>
      </c>
      <c r="I115" s="17"/>
      <c r="J115" s="17"/>
      <c r="K115" s="17"/>
      <c r="L115" s="17"/>
    </row>
  </sheetData>
  <autoFilter xmlns:etc="http://www.wps.cn/officeDocument/2017/etCustomData" ref="A13:Q11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6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101</v>
      </c>
      <c r="D5" s="14" t="s">
        <v>102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95</v>
      </c>
      <c r="D9" s="14" t="s">
        <v>96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346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344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392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394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701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704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410</v>
      </c>
      <c r="C51" s="13" t="s">
        <v>338</v>
      </c>
      <c r="D51" s="10" t="s">
        <v>719</v>
      </c>
      <c r="E51" s="25" t="s">
        <v>266</v>
      </c>
      <c r="F51" s="26"/>
      <c r="G51" s="26" t="s">
        <v>720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412</v>
      </c>
      <c r="C52" s="13" t="s">
        <v>338</v>
      </c>
      <c r="D52" s="10" t="s">
        <v>721</v>
      </c>
      <c r="E52" s="25" t="s">
        <v>266</v>
      </c>
      <c r="F52" s="26"/>
      <c r="G52" s="26" t="s">
        <v>722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528</v>
      </c>
      <c r="C53" s="13" t="s">
        <v>338</v>
      </c>
      <c r="D53" s="10" t="s">
        <v>723</v>
      </c>
      <c r="E53" s="25" t="s">
        <v>266</v>
      </c>
      <c r="F53" s="26"/>
      <c r="G53" s="26" t="s">
        <v>724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532</v>
      </c>
      <c r="C54" s="13" t="s">
        <v>338</v>
      </c>
      <c r="D54" s="10" t="s">
        <v>725</v>
      </c>
      <c r="E54" s="25" t="s">
        <v>266</v>
      </c>
      <c r="F54" s="26"/>
      <c r="G54" s="26" t="s">
        <v>726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535</v>
      </c>
      <c r="C55" s="13" t="s">
        <v>338</v>
      </c>
      <c r="D55" s="10" t="s">
        <v>536</v>
      </c>
      <c r="E55" s="25" t="s">
        <v>266</v>
      </c>
      <c r="F55" s="26"/>
      <c r="G55" s="26" t="s">
        <v>727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728</v>
      </c>
      <c r="C56" s="13" t="s">
        <v>338</v>
      </c>
      <c r="D56" s="10" t="s">
        <v>729</v>
      </c>
      <c r="E56" s="25" t="s">
        <v>266</v>
      </c>
      <c r="F56" s="26"/>
      <c r="G56" s="26" t="s">
        <v>956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730</v>
      </c>
      <c r="C57" s="13" t="s">
        <v>666</v>
      </c>
      <c r="D57" s="10" t="s">
        <v>731</v>
      </c>
      <c r="E57" s="25" t="s">
        <v>266</v>
      </c>
      <c r="F57" s="26"/>
      <c r="G57" s="26" t="s">
        <v>957</v>
      </c>
      <c r="H57" s="2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733</v>
      </c>
      <c r="C58" s="13" t="s">
        <v>338</v>
      </c>
      <c r="D58" s="10" t="s">
        <v>734</v>
      </c>
      <c r="E58" s="25" t="s">
        <v>266</v>
      </c>
      <c r="F58" s="26"/>
      <c r="G58" s="26" t="s">
        <v>958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736</v>
      </c>
      <c r="C59" s="13" t="s">
        <v>338</v>
      </c>
      <c r="D59" s="10" t="s">
        <v>737</v>
      </c>
      <c r="E59" s="25" t="s">
        <v>266</v>
      </c>
      <c r="F59" s="26"/>
      <c r="G59" s="26" t="s">
        <v>959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739</v>
      </c>
      <c r="C60" s="13" t="s">
        <v>338</v>
      </c>
      <c r="D60" s="10" t="s">
        <v>740</v>
      </c>
      <c r="E60" s="25" t="s">
        <v>266</v>
      </c>
      <c r="F60" s="26"/>
      <c r="G60" s="26" t="s">
        <v>960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742</v>
      </c>
      <c r="C61" s="13" t="s">
        <v>338</v>
      </c>
      <c r="D61" s="10" t="s">
        <v>743</v>
      </c>
      <c r="E61" s="25" t="s">
        <v>266</v>
      </c>
      <c r="F61" s="26"/>
      <c r="G61" s="26" t="s">
        <v>961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745</v>
      </c>
      <c r="C62" s="13" t="s">
        <v>338</v>
      </c>
      <c r="D62" s="10" t="s">
        <v>746</v>
      </c>
      <c r="E62" s="25" t="s">
        <v>266</v>
      </c>
      <c r="F62" s="26"/>
      <c r="G62" s="26" t="s">
        <v>962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748</v>
      </c>
      <c r="C63" s="13" t="s">
        <v>338</v>
      </c>
      <c r="D63" s="10" t="s">
        <v>749</v>
      </c>
      <c r="E63" s="25" t="s">
        <v>266</v>
      </c>
      <c r="F63" s="26"/>
      <c r="G63" s="26" t="s">
        <v>963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751</v>
      </c>
      <c r="C64" s="13" t="s">
        <v>666</v>
      </c>
      <c r="D64" s="10" t="s">
        <v>752</v>
      </c>
      <c r="E64" s="25" t="s">
        <v>266</v>
      </c>
      <c r="F64" s="26"/>
      <c r="G64" s="26" t="s">
        <v>964</v>
      </c>
      <c r="H64" s="2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754</v>
      </c>
      <c r="C65" s="13" t="s">
        <v>338</v>
      </c>
      <c r="D65" s="10" t="s">
        <v>755</v>
      </c>
      <c r="E65" s="25" t="s">
        <v>266</v>
      </c>
      <c r="F65" s="26"/>
      <c r="G65" s="26" t="s">
        <v>965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757</v>
      </c>
      <c r="C66" s="13" t="s">
        <v>338</v>
      </c>
      <c r="D66" s="10" t="s">
        <v>758</v>
      </c>
      <c r="E66" s="25" t="s">
        <v>266</v>
      </c>
      <c r="F66" s="26"/>
      <c r="G66" s="26" t="s">
        <v>966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760</v>
      </c>
      <c r="C67" s="13" t="s">
        <v>338</v>
      </c>
      <c r="D67" s="10" t="s">
        <v>761</v>
      </c>
      <c r="E67" s="25" t="s">
        <v>266</v>
      </c>
      <c r="F67" s="26"/>
      <c r="G67" s="26" t="s">
        <v>967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763</v>
      </c>
      <c r="C68" s="13" t="s">
        <v>338</v>
      </c>
      <c r="D68" s="10" t="s">
        <v>764</v>
      </c>
      <c r="E68" s="25" t="s">
        <v>266</v>
      </c>
      <c r="F68" s="26"/>
      <c r="G68" s="26" t="s">
        <v>968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766</v>
      </c>
      <c r="C69" s="13" t="s">
        <v>338</v>
      </c>
      <c r="D69" s="10" t="s">
        <v>767</v>
      </c>
      <c r="E69" s="25" t="s">
        <v>266</v>
      </c>
      <c r="F69" s="26"/>
      <c r="G69" s="26" t="s">
        <v>969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769</v>
      </c>
      <c r="C70" s="13" t="s">
        <v>666</v>
      </c>
      <c r="D70" s="10" t="s">
        <v>770</v>
      </c>
      <c r="E70" s="25" t="s">
        <v>266</v>
      </c>
      <c r="F70" s="26"/>
      <c r="G70" s="26" t="s">
        <v>970</v>
      </c>
      <c r="H70" s="2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772</v>
      </c>
      <c r="C71" s="13" t="s">
        <v>666</v>
      </c>
      <c r="D71" s="10" t="s">
        <v>773</v>
      </c>
      <c r="E71" s="25" t="s">
        <v>266</v>
      </c>
      <c r="F71" s="26"/>
      <c r="G71" s="26" t="s">
        <v>971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775</v>
      </c>
      <c r="C72" s="13" t="s">
        <v>338</v>
      </c>
      <c r="D72" s="10" t="s">
        <v>776</v>
      </c>
      <c r="E72" s="25" t="s">
        <v>266</v>
      </c>
      <c r="F72" s="26"/>
      <c r="G72" s="26" t="s">
        <v>972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778</v>
      </c>
      <c r="C73" s="13" t="s">
        <v>338</v>
      </c>
      <c r="D73" s="10" t="s">
        <v>779</v>
      </c>
      <c r="E73" s="25" t="s">
        <v>266</v>
      </c>
      <c r="F73" s="26"/>
      <c r="G73" s="26" t="s">
        <v>973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781</v>
      </c>
      <c r="C74" s="13" t="s">
        <v>338</v>
      </c>
      <c r="D74" s="10" t="s">
        <v>782</v>
      </c>
      <c r="E74" s="25" t="s">
        <v>266</v>
      </c>
      <c r="F74" s="26"/>
      <c r="G74" s="26" t="s">
        <v>974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784</v>
      </c>
      <c r="C75" s="13" t="s">
        <v>338</v>
      </c>
      <c r="D75" s="10" t="s">
        <v>785</v>
      </c>
      <c r="E75" s="25" t="s">
        <v>266</v>
      </c>
      <c r="F75" s="26"/>
      <c r="G75" s="26" t="s">
        <v>975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787</v>
      </c>
      <c r="C76" s="13" t="s">
        <v>338</v>
      </c>
      <c r="D76" s="10" t="s">
        <v>788</v>
      </c>
      <c r="E76" s="25" t="s">
        <v>266</v>
      </c>
      <c r="F76" s="26"/>
      <c r="G76" s="26" t="s">
        <v>976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413</v>
      </c>
      <c r="C77" s="13" t="s">
        <v>666</v>
      </c>
      <c r="D77" s="10" t="s">
        <v>790</v>
      </c>
      <c r="E77" s="25" t="s">
        <v>266</v>
      </c>
      <c r="F77" s="26"/>
      <c r="G77" s="26" t="s">
        <v>977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792</v>
      </c>
      <c r="C78" s="13" t="s">
        <v>338</v>
      </c>
      <c r="D78" s="10" t="s">
        <v>793</v>
      </c>
      <c r="E78" s="25" t="s">
        <v>266</v>
      </c>
      <c r="F78" s="26"/>
      <c r="G78" s="26" t="s">
        <v>978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418</v>
      </c>
      <c r="C79" s="13" t="s">
        <v>666</v>
      </c>
      <c r="D79" s="10" t="s">
        <v>795</v>
      </c>
      <c r="E79" s="25" t="s">
        <v>266</v>
      </c>
      <c r="F79" s="26"/>
      <c r="G79" s="26" t="s">
        <v>979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797</v>
      </c>
      <c r="C80" s="13" t="s">
        <v>338</v>
      </c>
      <c r="D80" s="10" t="s">
        <v>798</v>
      </c>
      <c r="E80" s="25" t="s">
        <v>266</v>
      </c>
      <c r="F80" s="26"/>
      <c r="G80" s="26" t="s">
        <v>980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800</v>
      </c>
      <c r="C81" s="13" t="s">
        <v>338</v>
      </c>
      <c r="D81" s="10" t="s">
        <v>801</v>
      </c>
      <c r="E81" s="25" t="s">
        <v>266</v>
      </c>
      <c r="F81" s="26"/>
      <c r="G81" s="26" t="s">
        <v>981</v>
      </c>
      <c r="H81" s="27"/>
      <c r="I81" s="26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551</v>
      </c>
      <c r="C82" s="13" t="s">
        <v>666</v>
      </c>
      <c r="D82" s="10" t="s">
        <v>552</v>
      </c>
      <c r="E82" s="25" t="s">
        <v>266</v>
      </c>
      <c r="F82" s="26"/>
      <c r="G82" s="26" t="s">
        <v>982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805</v>
      </c>
      <c r="C83" s="13" t="s">
        <v>338</v>
      </c>
      <c r="D83" s="10" t="s">
        <v>806</v>
      </c>
      <c r="E83" s="25" t="s">
        <v>266</v>
      </c>
      <c r="F83" s="26"/>
      <c r="G83" s="26" t="s">
        <v>983</v>
      </c>
      <c r="H83" s="2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808</v>
      </c>
      <c r="C84" s="13" t="s">
        <v>338</v>
      </c>
      <c r="D84" s="10" t="s">
        <v>809</v>
      </c>
      <c r="E84" s="25" t="s">
        <v>266</v>
      </c>
      <c r="F84" s="26"/>
      <c r="G84" s="26" t="s">
        <v>984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811</v>
      </c>
      <c r="C85" s="13" t="s">
        <v>338</v>
      </c>
      <c r="D85" s="10" t="s">
        <v>812</v>
      </c>
      <c r="E85" s="25" t="s">
        <v>266</v>
      </c>
      <c r="F85" s="26"/>
      <c r="G85" s="26" t="s">
        <v>985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814</v>
      </c>
      <c r="C86" s="13" t="s">
        <v>338</v>
      </c>
      <c r="D86" s="10" t="s">
        <v>815</v>
      </c>
      <c r="E86" s="25" t="s">
        <v>266</v>
      </c>
      <c r="F86" s="26"/>
      <c r="G86" s="26" t="s">
        <v>986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817</v>
      </c>
      <c r="C87" s="13" t="s">
        <v>338</v>
      </c>
      <c r="D87" s="10" t="s">
        <v>818</v>
      </c>
      <c r="E87" s="25" t="s">
        <v>266</v>
      </c>
      <c r="F87" s="26"/>
      <c r="G87" s="26" t="s">
        <v>987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820</v>
      </c>
      <c r="C88" s="13" t="s">
        <v>338</v>
      </c>
      <c r="D88" s="10" t="s">
        <v>821</v>
      </c>
      <c r="E88" s="25" t="s">
        <v>266</v>
      </c>
      <c r="F88" s="26"/>
      <c r="G88" s="26" t="s">
        <v>988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556</v>
      </c>
      <c r="C89" s="13" t="s">
        <v>666</v>
      </c>
      <c r="D89" s="10" t="s">
        <v>557</v>
      </c>
      <c r="E89" s="25" t="s">
        <v>266</v>
      </c>
      <c r="F89" s="26"/>
      <c r="G89" s="26" t="s">
        <v>989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824</v>
      </c>
      <c r="C90" s="13" t="s">
        <v>338</v>
      </c>
      <c r="D90" s="10" t="s">
        <v>825</v>
      </c>
      <c r="E90" s="25" t="s">
        <v>266</v>
      </c>
      <c r="F90" s="26"/>
      <c r="G90" s="26" t="s">
        <v>990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827</v>
      </c>
      <c r="C91" s="13" t="s">
        <v>338</v>
      </c>
      <c r="D91" s="10" t="s">
        <v>828</v>
      </c>
      <c r="E91" s="25" t="s">
        <v>266</v>
      </c>
      <c r="F91" s="26"/>
      <c r="G91" s="26" t="s">
        <v>991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830</v>
      </c>
      <c r="C92" s="13" t="s">
        <v>338</v>
      </c>
      <c r="D92" s="10" t="s">
        <v>831</v>
      </c>
      <c r="E92" s="25" t="s">
        <v>266</v>
      </c>
      <c r="F92" s="26"/>
      <c r="G92" s="26" t="s">
        <v>992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833</v>
      </c>
      <c r="C93" s="13" t="s">
        <v>338</v>
      </c>
      <c r="D93" s="10" t="s">
        <v>834</v>
      </c>
      <c r="E93" s="25" t="s">
        <v>266</v>
      </c>
      <c r="F93" s="26"/>
      <c r="G93" s="26" t="s">
        <v>993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836</v>
      </c>
      <c r="C94" s="13" t="s">
        <v>338</v>
      </c>
      <c r="D94" s="10" t="s">
        <v>837</v>
      </c>
      <c r="E94" s="25" t="s">
        <v>266</v>
      </c>
      <c r="F94" s="26"/>
      <c r="G94" s="26" t="s">
        <v>994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839</v>
      </c>
      <c r="C95" s="13" t="s">
        <v>338</v>
      </c>
      <c r="D95" s="10" t="s">
        <v>840</v>
      </c>
      <c r="E95" s="25" t="s">
        <v>266</v>
      </c>
      <c r="F95" s="26"/>
      <c r="G95" s="26" t="s">
        <v>995</v>
      </c>
      <c r="H95" s="27"/>
      <c r="I95" s="26"/>
      <c r="J95" s="15" t="s">
        <v>632</v>
      </c>
      <c r="K95" s="15" t="s">
        <v>294</v>
      </c>
      <c r="L95" s="15" t="s">
        <v>633</v>
      </c>
    </row>
    <row r="96" s="1" customFormat="1" spans="1:12">
      <c r="A96" s="33"/>
      <c r="B96" s="13" t="s">
        <v>560</v>
      </c>
      <c r="C96" s="13" t="s">
        <v>666</v>
      </c>
      <c r="D96" s="10" t="s">
        <v>842</v>
      </c>
      <c r="E96" s="25" t="s">
        <v>266</v>
      </c>
      <c r="F96" s="26"/>
      <c r="G96" s="26" t="s">
        <v>996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75" t="s">
        <v>844</v>
      </c>
      <c r="C97" s="75" t="s">
        <v>338</v>
      </c>
      <c r="D97" s="76" t="s">
        <v>845</v>
      </c>
      <c r="E97" s="25" t="s">
        <v>266</v>
      </c>
      <c r="F97" s="26"/>
      <c r="G97" s="26" t="s">
        <v>997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75" t="s">
        <v>847</v>
      </c>
      <c r="C98" s="75" t="s">
        <v>338</v>
      </c>
      <c r="D98" s="76" t="s">
        <v>848</v>
      </c>
      <c r="E98" s="25" t="s">
        <v>266</v>
      </c>
      <c r="F98" s="26"/>
      <c r="G98" s="26" t="s">
        <v>998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75" t="s">
        <v>850</v>
      </c>
      <c r="C99" s="75" t="s">
        <v>338</v>
      </c>
      <c r="D99" s="76" t="s">
        <v>851</v>
      </c>
      <c r="E99" s="25" t="s">
        <v>266</v>
      </c>
      <c r="F99" s="26"/>
      <c r="G99" s="26" t="s">
        <v>999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853</v>
      </c>
      <c r="C100" s="75" t="s">
        <v>338</v>
      </c>
      <c r="D100" s="76" t="s">
        <v>854</v>
      </c>
      <c r="E100" s="25" t="s">
        <v>266</v>
      </c>
      <c r="F100" s="26"/>
      <c r="G100" s="26" t="s">
        <v>1000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856</v>
      </c>
      <c r="C101" s="75" t="s">
        <v>338</v>
      </c>
      <c r="D101" s="76" t="s">
        <v>857</v>
      </c>
      <c r="E101" s="25" t="s">
        <v>266</v>
      </c>
      <c r="F101" s="26"/>
      <c r="G101" s="26" t="s">
        <v>1001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859</v>
      </c>
      <c r="C102" s="13" t="s">
        <v>338</v>
      </c>
      <c r="D102" s="10" t="s">
        <v>860</v>
      </c>
      <c r="E102" s="25" t="s">
        <v>266</v>
      </c>
      <c r="F102" s="26"/>
      <c r="G102" s="26" t="s">
        <v>1002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862</v>
      </c>
      <c r="C103" s="13" t="s">
        <v>666</v>
      </c>
      <c r="D103" s="10" t="s">
        <v>863</v>
      </c>
      <c r="E103" s="25" t="s">
        <v>266</v>
      </c>
      <c r="F103" s="26"/>
      <c r="G103" s="26" t="s">
        <v>1003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13" t="s">
        <v>462</v>
      </c>
      <c r="C104" s="13" t="s">
        <v>666</v>
      </c>
      <c r="D104" s="10" t="s">
        <v>865</v>
      </c>
      <c r="E104" s="25" t="s">
        <v>266</v>
      </c>
      <c r="F104" s="26"/>
      <c r="G104" s="26" t="s">
        <v>1004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13" t="s">
        <v>538</v>
      </c>
      <c r="C105" s="13" t="s">
        <v>666</v>
      </c>
      <c r="D105" s="10" t="s">
        <v>539</v>
      </c>
      <c r="E105" s="25" t="s">
        <v>266</v>
      </c>
      <c r="F105" s="26"/>
      <c r="G105" s="26" t="s">
        <v>1005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868</v>
      </c>
      <c r="C106" s="13" t="s">
        <v>338</v>
      </c>
      <c r="D106" s="10" t="s">
        <v>869</v>
      </c>
      <c r="E106" s="25" t="s">
        <v>266</v>
      </c>
      <c r="F106" s="26"/>
      <c r="G106" s="26" t="s">
        <v>1006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871</v>
      </c>
      <c r="C107" s="13" t="s">
        <v>338</v>
      </c>
      <c r="D107" s="10" t="s">
        <v>872</v>
      </c>
      <c r="E107" s="25" t="s">
        <v>266</v>
      </c>
      <c r="F107" s="26"/>
      <c r="G107" s="26" t="s">
        <v>1007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543</v>
      </c>
      <c r="C108" s="13" t="s">
        <v>666</v>
      </c>
      <c r="D108" s="10" t="s">
        <v>544</v>
      </c>
      <c r="E108" s="25" t="s">
        <v>266</v>
      </c>
      <c r="F108" s="26"/>
      <c r="G108" s="26" t="s">
        <v>1008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875</v>
      </c>
      <c r="C109" s="13" t="s">
        <v>338</v>
      </c>
      <c r="D109" s="10" t="s">
        <v>876</v>
      </c>
      <c r="E109" s="25" t="s">
        <v>266</v>
      </c>
      <c r="F109" s="26"/>
      <c r="G109" s="26" t="s">
        <v>1009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887</v>
      </c>
      <c r="C110" s="13" t="s">
        <v>338</v>
      </c>
      <c r="D110" s="10" t="s">
        <v>888</v>
      </c>
      <c r="E110" s="25" t="s">
        <v>266</v>
      </c>
      <c r="F110" s="26"/>
      <c r="G110" s="26" t="s">
        <v>1013</v>
      </c>
      <c r="H110" s="27"/>
      <c r="I110" s="26"/>
      <c r="J110" s="15" t="s">
        <v>632</v>
      </c>
      <c r="K110" s="15" t="s">
        <v>294</v>
      </c>
      <c r="L110" s="15" t="s">
        <v>633</v>
      </c>
    </row>
    <row r="111" spans="2:12">
      <c r="B111" s="13" t="s">
        <v>917</v>
      </c>
      <c r="C111" s="13" t="s">
        <v>338</v>
      </c>
      <c r="D111" s="10" t="s">
        <v>918</v>
      </c>
      <c r="E111" s="25" t="s">
        <v>266</v>
      </c>
      <c r="F111" s="26"/>
      <c r="G111" s="26" t="s">
        <v>1023</v>
      </c>
      <c r="H111" s="27"/>
      <c r="I111" s="26"/>
      <c r="J111" s="15" t="s">
        <v>632</v>
      </c>
      <c r="K111" s="15" t="s">
        <v>294</v>
      </c>
      <c r="L111" s="15" t="s">
        <v>633</v>
      </c>
    </row>
    <row r="112" spans="2:12">
      <c r="B112" s="13" t="s">
        <v>920</v>
      </c>
      <c r="C112" s="13" t="s">
        <v>338</v>
      </c>
      <c r="D112" s="10" t="s">
        <v>921</v>
      </c>
      <c r="E112" s="25" t="s">
        <v>266</v>
      </c>
      <c r="F112" s="26"/>
      <c r="G112" s="26" t="s">
        <v>1024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923</v>
      </c>
      <c r="C113" s="13" t="s">
        <v>338</v>
      </c>
      <c r="D113" s="10" t="s">
        <v>924</v>
      </c>
      <c r="E113" s="25" t="s">
        <v>266</v>
      </c>
      <c r="F113" s="26"/>
      <c r="G113" s="26" t="s">
        <v>1025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7" t="s">
        <v>594</v>
      </c>
      <c r="C114" s="18" t="s">
        <v>307</v>
      </c>
      <c r="D114" s="19" t="s">
        <v>595</v>
      </c>
      <c r="E114" s="28"/>
      <c r="F114" s="28"/>
      <c r="G114" s="28" t="s">
        <v>932</v>
      </c>
      <c r="H114" s="17"/>
      <c r="I114" s="17"/>
      <c r="J114" s="17"/>
      <c r="K114" s="17"/>
      <c r="L114" s="17"/>
    </row>
    <row r="115" spans="2:12">
      <c r="B115" s="17" t="s">
        <v>596</v>
      </c>
      <c r="C115" s="18" t="s">
        <v>291</v>
      </c>
      <c r="D115" s="19" t="s">
        <v>597</v>
      </c>
      <c r="E115" s="28"/>
      <c r="F115" s="28"/>
      <c r="G115" s="28" t="s">
        <v>932</v>
      </c>
      <c r="H115" s="17" t="s">
        <v>932</v>
      </c>
      <c r="I115" s="17"/>
      <c r="J115" s="17"/>
      <c r="K115" s="17"/>
      <c r="L115" s="17"/>
    </row>
    <row r="116" spans="2:12">
      <c r="B116" s="17" t="s">
        <v>598</v>
      </c>
      <c r="C116" s="18" t="s">
        <v>307</v>
      </c>
      <c r="D116" s="19" t="s">
        <v>599</v>
      </c>
      <c r="E116" s="28"/>
      <c r="F116" s="28"/>
      <c r="G116" s="28" t="s">
        <v>932</v>
      </c>
      <c r="H116" s="17" t="s">
        <v>932</v>
      </c>
      <c r="I116" s="17"/>
      <c r="J116" s="17"/>
      <c r="K116" s="17"/>
      <c r="L116" s="17"/>
    </row>
  </sheetData>
  <autoFilter xmlns:etc="http://www.wps.cn/officeDocument/2017/etCustomData" ref="A13:Q11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103</v>
      </c>
      <c r="D5" s="14" t="s">
        <v>104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101</v>
      </c>
      <c r="D9" s="14" t="s">
        <v>102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629</v>
      </c>
      <c r="C24" s="13" t="s">
        <v>338</v>
      </c>
      <c r="D24" s="10" t="s">
        <v>630</v>
      </c>
      <c r="E24" s="25" t="s">
        <v>266</v>
      </c>
      <c r="F24" s="26"/>
      <c r="G24" s="26" t="s">
        <v>933</v>
      </c>
      <c r="H24" s="27"/>
      <c r="I24" s="26"/>
      <c r="J24" s="15" t="s">
        <v>632</v>
      </c>
      <c r="K24" s="15" t="s">
        <v>294</v>
      </c>
      <c r="L24" s="15" t="s">
        <v>633</v>
      </c>
    </row>
    <row r="25" s="1" customFormat="1" spans="1:12">
      <c r="A25" s="33"/>
      <c r="B25" s="13" t="s">
        <v>1270</v>
      </c>
      <c r="C25" s="13" t="s">
        <v>338</v>
      </c>
      <c r="D25" s="10" t="s">
        <v>1271</v>
      </c>
      <c r="E25" s="25" t="s">
        <v>266</v>
      </c>
      <c r="F25" s="26"/>
      <c r="G25" s="26" t="s">
        <v>1272</v>
      </c>
      <c r="H25" s="2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634</v>
      </c>
      <c r="C26" s="13" t="s">
        <v>338</v>
      </c>
      <c r="D26" s="10" t="s">
        <v>635</v>
      </c>
      <c r="E26" s="25" t="s">
        <v>266</v>
      </c>
      <c r="F26" s="26"/>
      <c r="G26" s="26" t="s">
        <v>934</v>
      </c>
      <c r="H26" s="2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1273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2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1044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2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1045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2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653</v>
      </c>
      <c r="C33" s="13" t="s">
        <v>338</v>
      </c>
      <c r="D33" s="10" t="s">
        <v>654</v>
      </c>
      <c r="E33" s="25" t="s">
        <v>266</v>
      </c>
      <c r="F33" s="26"/>
      <c r="G33" s="26" t="s">
        <v>938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656</v>
      </c>
      <c r="C34" s="13" t="s">
        <v>338</v>
      </c>
      <c r="D34" s="10" t="s">
        <v>657</v>
      </c>
      <c r="E34" s="25" t="s">
        <v>266</v>
      </c>
      <c r="F34" s="26"/>
      <c r="G34" s="26" t="s">
        <v>939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659</v>
      </c>
      <c r="C35" s="13" t="s">
        <v>338</v>
      </c>
      <c r="D35" s="10" t="s">
        <v>660</v>
      </c>
      <c r="E35" s="25" t="s">
        <v>266</v>
      </c>
      <c r="F35" s="26"/>
      <c r="G35" s="26" t="s">
        <v>940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662</v>
      </c>
      <c r="C36" s="13" t="s">
        <v>338</v>
      </c>
      <c r="D36" s="10" t="s">
        <v>663</v>
      </c>
      <c r="E36" s="25" t="s">
        <v>266</v>
      </c>
      <c r="F36" s="26"/>
      <c r="G36" s="26" t="s">
        <v>941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665</v>
      </c>
      <c r="C37" s="13" t="s">
        <v>666</v>
      </c>
      <c r="D37" s="10" t="s">
        <v>667</v>
      </c>
      <c r="E37" s="25" t="s">
        <v>266</v>
      </c>
      <c r="F37" s="26"/>
      <c r="G37" s="26" t="s">
        <v>942</v>
      </c>
      <c r="H37" s="27"/>
      <c r="I37" s="26"/>
      <c r="J37" s="15" t="s">
        <v>632</v>
      </c>
      <c r="K37" s="15" t="s">
        <v>669</v>
      </c>
      <c r="L37" s="15" t="s">
        <v>670</v>
      </c>
    </row>
    <row r="38" s="1" customFormat="1" spans="1:12">
      <c r="A38" s="33"/>
      <c r="B38" s="13" t="s">
        <v>671</v>
      </c>
      <c r="C38" s="13" t="s">
        <v>666</v>
      </c>
      <c r="D38" s="10" t="s">
        <v>672</v>
      </c>
      <c r="E38" s="25" t="s">
        <v>266</v>
      </c>
      <c r="F38" s="26"/>
      <c r="G38" s="26" t="s">
        <v>943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675</v>
      </c>
      <c r="C39" s="13" t="s">
        <v>666</v>
      </c>
      <c r="D39" s="10" t="s">
        <v>676</v>
      </c>
      <c r="E39" s="25" t="s">
        <v>266</v>
      </c>
      <c r="F39" s="26"/>
      <c r="G39" s="26" t="s">
        <v>944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678</v>
      </c>
      <c r="C40" s="13" t="s">
        <v>666</v>
      </c>
      <c r="D40" s="10" t="s">
        <v>679</v>
      </c>
      <c r="E40" s="25" t="s">
        <v>266</v>
      </c>
      <c r="F40" s="26"/>
      <c r="G40" s="26" t="s">
        <v>945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681</v>
      </c>
      <c r="C41" s="13" t="s">
        <v>666</v>
      </c>
      <c r="D41" s="10" t="s">
        <v>682</v>
      </c>
      <c r="E41" s="25" t="s">
        <v>266</v>
      </c>
      <c r="F41" s="26"/>
      <c r="G41" s="26" t="s">
        <v>946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684</v>
      </c>
      <c r="C42" s="13" t="s">
        <v>666</v>
      </c>
      <c r="D42" s="10" t="s">
        <v>685</v>
      </c>
      <c r="E42" s="25" t="s">
        <v>266</v>
      </c>
      <c r="F42" s="26"/>
      <c r="G42" s="26" t="s">
        <v>947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687</v>
      </c>
      <c r="C43" s="13" t="s">
        <v>666</v>
      </c>
      <c r="D43" s="10" t="s">
        <v>688</v>
      </c>
      <c r="E43" s="25" t="s">
        <v>266</v>
      </c>
      <c r="F43" s="26"/>
      <c r="G43" s="26" t="s">
        <v>948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690</v>
      </c>
      <c r="C44" s="13" t="s">
        <v>666</v>
      </c>
      <c r="D44" s="10" t="s">
        <v>691</v>
      </c>
      <c r="E44" s="25" t="s">
        <v>266</v>
      </c>
      <c r="F44" s="26"/>
      <c r="G44" s="26" t="s">
        <v>949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1055</v>
      </c>
      <c r="C45" s="13" t="s">
        <v>338</v>
      </c>
      <c r="D45" s="10" t="s">
        <v>693</v>
      </c>
      <c r="E45" s="25" t="s">
        <v>266</v>
      </c>
      <c r="F45" s="26"/>
      <c r="G45" s="26" t="s">
        <v>694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1054</v>
      </c>
      <c r="C46" s="13" t="s">
        <v>338</v>
      </c>
      <c r="D46" s="10" t="s">
        <v>695</v>
      </c>
      <c r="E46" s="25" t="s">
        <v>266</v>
      </c>
      <c r="F46" s="26"/>
      <c r="G46" s="26" t="s">
        <v>696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1056</v>
      </c>
      <c r="C47" s="13" t="s">
        <v>338</v>
      </c>
      <c r="D47" s="10" t="s">
        <v>697</v>
      </c>
      <c r="E47" s="25" t="s">
        <v>266</v>
      </c>
      <c r="F47" s="26"/>
      <c r="G47" s="26" t="s">
        <v>698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1057</v>
      </c>
      <c r="C48" s="13" t="s">
        <v>338</v>
      </c>
      <c r="D48" s="10" t="s">
        <v>699</v>
      </c>
      <c r="E48" s="25" t="s">
        <v>266</v>
      </c>
      <c r="F48" s="26"/>
      <c r="G48" s="26" t="s">
        <v>700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1274</v>
      </c>
      <c r="C49" s="13" t="s">
        <v>338</v>
      </c>
      <c r="D49" s="10" t="s">
        <v>702</v>
      </c>
      <c r="E49" s="25" t="s">
        <v>266</v>
      </c>
      <c r="F49" s="26"/>
      <c r="G49" s="26" t="s">
        <v>950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1275</v>
      </c>
      <c r="C50" s="13" t="s">
        <v>338</v>
      </c>
      <c r="D50" s="10" t="s">
        <v>705</v>
      </c>
      <c r="E50" s="25" t="s">
        <v>266</v>
      </c>
      <c r="F50" s="26"/>
      <c r="G50" s="26" t="s">
        <v>951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1064</v>
      </c>
      <c r="C51" s="13" t="s">
        <v>338</v>
      </c>
      <c r="D51" s="10" t="s">
        <v>719</v>
      </c>
      <c r="E51" s="25" t="s">
        <v>266</v>
      </c>
      <c r="F51" s="26"/>
      <c r="G51" s="26" t="s">
        <v>720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1066</v>
      </c>
      <c r="C52" s="13" t="s">
        <v>338</v>
      </c>
      <c r="D52" s="10" t="s">
        <v>721</v>
      </c>
      <c r="E52" s="25" t="s">
        <v>266</v>
      </c>
      <c r="F52" s="26"/>
      <c r="G52" s="26" t="s">
        <v>722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1276</v>
      </c>
      <c r="C53" s="13" t="s">
        <v>338</v>
      </c>
      <c r="D53" s="10" t="s">
        <v>723</v>
      </c>
      <c r="E53" s="25" t="s">
        <v>266</v>
      </c>
      <c r="F53" s="26"/>
      <c r="G53" s="26" t="s">
        <v>724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1277</v>
      </c>
      <c r="C54" s="13" t="s">
        <v>338</v>
      </c>
      <c r="D54" s="10" t="s">
        <v>725</v>
      </c>
      <c r="E54" s="25" t="s">
        <v>266</v>
      </c>
      <c r="F54" s="26"/>
      <c r="G54" s="26" t="s">
        <v>726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1278</v>
      </c>
      <c r="C55" s="13" t="s">
        <v>338</v>
      </c>
      <c r="D55" s="10" t="s">
        <v>536</v>
      </c>
      <c r="E55" s="25" t="s">
        <v>266</v>
      </c>
      <c r="F55" s="26"/>
      <c r="G55" s="26" t="s">
        <v>727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728</v>
      </c>
      <c r="C56" s="13" t="s">
        <v>338</v>
      </c>
      <c r="D56" s="10" t="s">
        <v>729</v>
      </c>
      <c r="E56" s="25" t="s">
        <v>266</v>
      </c>
      <c r="F56" s="26"/>
      <c r="G56" s="26" t="s">
        <v>956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730</v>
      </c>
      <c r="C57" s="13" t="s">
        <v>666</v>
      </c>
      <c r="D57" s="10" t="s">
        <v>731</v>
      </c>
      <c r="E57" s="25" t="s">
        <v>266</v>
      </c>
      <c r="F57" s="26"/>
      <c r="G57" s="26" t="s">
        <v>957</v>
      </c>
      <c r="H57" s="2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1091</v>
      </c>
      <c r="C58" s="13" t="s">
        <v>338</v>
      </c>
      <c r="D58" s="10" t="s">
        <v>734</v>
      </c>
      <c r="E58" s="25" t="s">
        <v>266</v>
      </c>
      <c r="F58" s="26"/>
      <c r="G58" s="26" t="s">
        <v>958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1093</v>
      </c>
      <c r="C59" s="13" t="s">
        <v>338</v>
      </c>
      <c r="D59" s="10" t="s">
        <v>737</v>
      </c>
      <c r="E59" s="25" t="s">
        <v>266</v>
      </c>
      <c r="F59" s="26"/>
      <c r="G59" s="26" t="s">
        <v>959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1095</v>
      </c>
      <c r="C60" s="13" t="s">
        <v>338</v>
      </c>
      <c r="D60" s="10" t="s">
        <v>740</v>
      </c>
      <c r="E60" s="25" t="s">
        <v>266</v>
      </c>
      <c r="F60" s="26"/>
      <c r="G60" s="26" t="s">
        <v>960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1097</v>
      </c>
      <c r="C61" s="13" t="s">
        <v>338</v>
      </c>
      <c r="D61" s="10" t="s">
        <v>743</v>
      </c>
      <c r="E61" s="25" t="s">
        <v>266</v>
      </c>
      <c r="F61" s="26"/>
      <c r="G61" s="26" t="s">
        <v>961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1099</v>
      </c>
      <c r="C62" s="13" t="s">
        <v>338</v>
      </c>
      <c r="D62" s="10" t="s">
        <v>746</v>
      </c>
      <c r="E62" s="25" t="s">
        <v>266</v>
      </c>
      <c r="F62" s="26"/>
      <c r="G62" s="26" t="s">
        <v>962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748</v>
      </c>
      <c r="C63" s="13" t="s">
        <v>338</v>
      </c>
      <c r="D63" s="10" t="s">
        <v>749</v>
      </c>
      <c r="E63" s="25" t="s">
        <v>266</v>
      </c>
      <c r="F63" s="26"/>
      <c r="G63" s="26" t="s">
        <v>963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751</v>
      </c>
      <c r="C64" s="13" t="s">
        <v>666</v>
      </c>
      <c r="D64" s="10" t="s">
        <v>752</v>
      </c>
      <c r="E64" s="25" t="s">
        <v>266</v>
      </c>
      <c r="F64" s="26"/>
      <c r="G64" s="26" t="s">
        <v>964</v>
      </c>
      <c r="H64" s="2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1104</v>
      </c>
      <c r="C65" s="13" t="s">
        <v>338</v>
      </c>
      <c r="D65" s="10" t="s">
        <v>755</v>
      </c>
      <c r="E65" s="25" t="s">
        <v>266</v>
      </c>
      <c r="F65" s="26"/>
      <c r="G65" s="26" t="s">
        <v>965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1106</v>
      </c>
      <c r="C66" s="13" t="s">
        <v>338</v>
      </c>
      <c r="D66" s="10" t="s">
        <v>758</v>
      </c>
      <c r="E66" s="25" t="s">
        <v>266</v>
      </c>
      <c r="F66" s="26"/>
      <c r="G66" s="26" t="s">
        <v>966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1108</v>
      </c>
      <c r="C67" s="13" t="s">
        <v>338</v>
      </c>
      <c r="D67" s="10" t="s">
        <v>761</v>
      </c>
      <c r="E67" s="25" t="s">
        <v>266</v>
      </c>
      <c r="F67" s="26"/>
      <c r="G67" s="26" t="s">
        <v>967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1110</v>
      </c>
      <c r="C68" s="13" t="s">
        <v>338</v>
      </c>
      <c r="D68" s="10" t="s">
        <v>764</v>
      </c>
      <c r="E68" s="25" t="s">
        <v>266</v>
      </c>
      <c r="F68" s="26"/>
      <c r="G68" s="26" t="s">
        <v>968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1112</v>
      </c>
      <c r="C69" s="13" t="s">
        <v>338</v>
      </c>
      <c r="D69" s="10" t="s">
        <v>767</v>
      </c>
      <c r="E69" s="25" t="s">
        <v>266</v>
      </c>
      <c r="F69" s="26"/>
      <c r="G69" s="26" t="s">
        <v>969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769</v>
      </c>
      <c r="C70" s="13" t="s">
        <v>666</v>
      </c>
      <c r="D70" s="10" t="s">
        <v>770</v>
      </c>
      <c r="E70" s="25" t="s">
        <v>266</v>
      </c>
      <c r="F70" s="26"/>
      <c r="G70" s="26" t="s">
        <v>970</v>
      </c>
      <c r="H70" s="2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772</v>
      </c>
      <c r="C71" s="13" t="s">
        <v>666</v>
      </c>
      <c r="D71" s="10" t="s">
        <v>773</v>
      </c>
      <c r="E71" s="25" t="s">
        <v>266</v>
      </c>
      <c r="F71" s="26"/>
      <c r="G71" s="26" t="s">
        <v>971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1279</v>
      </c>
      <c r="C72" s="13" t="s">
        <v>338</v>
      </c>
      <c r="D72" s="10" t="s">
        <v>776</v>
      </c>
      <c r="E72" s="25" t="s">
        <v>266</v>
      </c>
      <c r="F72" s="26"/>
      <c r="G72" s="26" t="s">
        <v>972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1280</v>
      </c>
      <c r="C73" s="13" t="s">
        <v>338</v>
      </c>
      <c r="D73" s="10" t="s">
        <v>779</v>
      </c>
      <c r="E73" s="25" t="s">
        <v>266</v>
      </c>
      <c r="F73" s="26"/>
      <c r="G73" s="26" t="s">
        <v>973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1281</v>
      </c>
      <c r="C74" s="13" t="s">
        <v>338</v>
      </c>
      <c r="D74" s="10" t="s">
        <v>782</v>
      </c>
      <c r="E74" s="25" t="s">
        <v>266</v>
      </c>
      <c r="F74" s="26"/>
      <c r="G74" s="26" t="s">
        <v>974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1282</v>
      </c>
      <c r="C75" s="13" t="s">
        <v>338</v>
      </c>
      <c r="D75" s="10" t="s">
        <v>785</v>
      </c>
      <c r="E75" s="25" t="s">
        <v>266</v>
      </c>
      <c r="F75" s="26"/>
      <c r="G75" s="26" t="s">
        <v>975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1283</v>
      </c>
      <c r="C76" s="13" t="s">
        <v>338</v>
      </c>
      <c r="D76" s="10" t="s">
        <v>788</v>
      </c>
      <c r="E76" s="25" t="s">
        <v>266</v>
      </c>
      <c r="F76" s="26"/>
      <c r="G76" s="26" t="s">
        <v>976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1284</v>
      </c>
      <c r="C77" s="13" t="s">
        <v>666</v>
      </c>
      <c r="D77" s="10" t="s">
        <v>790</v>
      </c>
      <c r="E77" s="25" t="s">
        <v>266</v>
      </c>
      <c r="F77" s="26"/>
      <c r="G77" s="26" t="s">
        <v>977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792</v>
      </c>
      <c r="C78" s="13" t="s">
        <v>338</v>
      </c>
      <c r="D78" s="10" t="s">
        <v>793</v>
      </c>
      <c r="E78" s="25" t="s">
        <v>266</v>
      </c>
      <c r="F78" s="26"/>
      <c r="G78" s="26" t="s">
        <v>978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1285</v>
      </c>
      <c r="C79" s="13" t="s">
        <v>666</v>
      </c>
      <c r="D79" s="10" t="s">
        <v>795</v>
      </c>
      <c r="E79" s="25" t="s">
        <v>266</v>
      </c>
      <c r="F79" s="26"/>
      <c r="G79" s="26" t="s">
        <v>979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797</v>
      </c>
      <c r="C80" s="13" t="s">
        <v>338</v>
      </c>
      <c r="D80" s="10" t="s">
        <v>798</v>
      </c>
      <c r="E80" s="25" t="s">
        <v>266</v>
      </c>
      <c r="F80" s="26"/>
      <c r="G80" s="26" t="s">
        <v>980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800</v>
      </c>
      <c r="C81" s="13" t="s">
        <v>338</v>
      </c>
      <c r="D81" s="10" t="s">
        <v>801</v>
      </c>
      <c r="E81" s="25" t="s">
        <v>266</v>
      </c>
      <c r="F81" s="26"/>
      <c r="G81" s="26" t="s">
        <v>981</v>
      </c>
      <c r="H81" s="27"/>
      <c r="I81" s="26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1286</v>
      </c>
      <c r="C82" s="13" t="s">
        <v>666</v>
      </c>
      <c r="D82" s="10" t="s">
        <v>552</v>
      </c>
      <c r="E82" s="25" t="s">
        <v>266</v>
      </c>
      <c r="F82" s="26"/>
      <c r="G82" s="26" t="s">
        <v>982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805</v>
      </c>
      <c r="C83" s="13" t="s">
        <v>338</v>
      </c>
      <c r="D83" s="10" t="s">
        <v>806</v>
      </c>
      <c r="E83" s="25" t="s">
        <v>266</v>
      </c>
      <c r="F83" s="26"/>
      <c r="G83" s="26" t="s">
        <v>983</v>
      </c>
      <c r="H83" s="2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808</v>
      </c>
      <c r="C84" s="13" t="s">
        <v>338</v>
      </c>
      <c r="D84" s="10" t="s">
        <v>809</v>
      </c>
      <c r="E84" s="25" t="s">
        <v>266</v>
      </c>
      <c r="F84" s="26"/>
      <c r="G84" s="26" t="s">
        <v>984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811</v>
      </c>
      <c r="C85" s="13" t="s">
        <v>338</v>
      </c>
      <c r="D85" s="10" t="s">
        <v>812</v>
      </c>
      <c r="E85" s="25" t="s">
        <v>266</v>
      </c>
      <c r="F85" s="26"/>
      <c r="G85" s="26" t="s">
        <v>985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814</v>
      </c>
      <c r="C86" s="13" t="s">
        <v>338</v>
      </c>
      <c r="D86" s="10" t="s">
        <v>815</v>
      </c>
      <c r="E86" s="25" t="s">
        <v>266</v>
      </c>
      <c r="F86" s="26"/>
      <c r="G86" s="26" t="s">
        <v>986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817</v>
      </c>
      <c r="C87" s="13" t="s">
        <v>338</v>
      </c>
      <c r="D87" s="10" t="s">
        <v>818</v>
      </c>
      <c r="E87" s="25" t="s">
        <v>266</v>
      </c>
      <c r="F87" s="26"/>
      <c r="G87" s="26" t="s">
        <v>987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820</v>
      </c>
      <c r="C88" s="13" t="s">
        <v>338</v>
      </c>
      <c r="D88" s="10" t="s">
        <v>821</v>
      </c>
      <c r="E88" s="25" t="s">
        <v>266</v>
      </c>
      <c r="F88" s="26"/>
      <c r="G88" s="26" t="s">
        <v>988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1287</v>
      </c>
      <c r="C89" s="13" t="s">
        <v>666</v>
      </c>
      <c r="D89" s="10" t="s">
        <v>557</v>
      </c>
      <c r="E89" s="25" t="s">
        <v>266</v>
      </c>
      <c r="F89" s="26"/>
      <c r="G89" s="26" t="s">
        <v>989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824</v>
      </c>
      <c r="C90" s="13" t="s">
        <v>338</v>
      </c>
      <c r="D90" s="10" t="s">
        <v>825</v>
      </c>
      <c r="E90" s="25" t="s">
        <v>266</v>
      </c>
      <c r="F90" s="26"/>
      <c r="G90" s="26" t="s">
        <v>990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827</v>
      </c>
      <c r="C91" s="13" t="s">
        <v>338</v>
      </c>
      <c r="D91" s="10" t="s">
        <v>828</v>
      </c>
      <c r="E91" s="25" t="s">
        <v>266</v>
      </c>
      <c r="F91" s="26"/>
      <c r="G91" s="26" t="s">
        <v>991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830</v>
      </c>
      <c r="C92" s="13" t="s">
        <v>338</v>
      </c>
      <c r="D92" s="10" t="s">
        <v>831</v>
      </c>
      <c r="E92" s="25" t="s">
        <v>266</v>
      </c>
      <c r="F92" s="26"/>
      <c r="G92" s="26" t="s">
        <v>992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833</v>
      </c>
      <c r="C93" s="13" t="s">
        <v>338</v>
      </c>
      <c r="D93" s="10" t="s">
        <v>834</v>
      </c>
      <c r="E93" s="25" t="s">
        <v>266</v>
      </c>
      <c r="F93" s="26"/>
      <c r="G93" s="26" t="s">
        <v>993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836</v>
      </c>
      <c r="C94" s="13" t="s">
        <v>338</v>
      </c>
      <c r="D94" s="10" t="s">
        <v>837</v>
      </c>
      <c r="E94" s="25" t="s">
        <v>266</v>
      </c>
      <c r="F94" s="26"/>
      <c r="G94" s="26" t="s">
        <v>994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839</v>
      </c>
      <c r="C95" s="13" t="s">
        <v>338</v>
      </c>
      <c r="D95" s="10" t="s">
        <v>840</v>
      </c>
      <c r="E95" s="25" t="s">
        <v>266</v>
      </c>
      <c r="F95" s="26"/>
      <c r="G95" s="26" t="s">
        <v>995</v>
      </c>
      <c r="H95" s="27"/>
      <c r="I95" s="26"/>
      <c r="J95" s="15" t="s">
        <v>632</v>
      </c>
      <c r="K95" s="15" t="s">
        <v>294</v>
      </c>
      <c r="L95" s="15" t="s">
        <v>633</v>
      </c>
    </row>
    <row r="96" s="1" customFormat="1" spans="1:12">
      <c r="A96" s="33"/>
      <c r="B96" s="13" t="s">
        <v>1288</v>
      </c>
      <c r="C96" s="13" t="s">
        <v>666</v>
      </c>
      <c r="D96" s="10" t="s">
        <v>842</v>
      </c>
      <c r="E96" s="25" t="s">
        <v>266</v>
      </c>
      <c r="F96" s="26"/>
      <c r="G96" s="26" t="s">
        <v>996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75" t="s">
        <v>844</v>
      </c>
      <c r="C97" s="75" t="s">
        <v>338</v>
      </c>
      <c r="D97" s="76" t="s">
        <v>845</v>
      </c>
      <c r="E97" s="25" t="s">
        <v>266</v>
      </c>
      <c r="F97" s="26"/>
      <c r="G97" s="26" t="s">
        <v>997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75" t="s">
        <v>847</v>
      </c>
      <c r="C98" s="75" t="s">
        <v>338</v>
      </c>
      <c r="D98" s="76" t="s">
        <v>848</v>
      </c>
      <c r="E98" s="25" t="s">
        <v>266</v>
      </c>
      <c r="F98" s="26"/>
      <c r="G98" s="26" t="s">
        <v>998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75" t="s">
        <v>850</v>
      </c>
      <c r="C99" s="75" t="s">
        <v>338</v>
      </c>
      <c r="D99" s="76" t="s">
        <v>851</v>
      </c>
      <c r="E99" s="25" t="s">
        <v>266</v>
      </c>
      <c r="F99" s="26"/>
      <c r="G99" s="26" t="s">
        <v>999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853</v>
      </c>
      <c r="C100" s="75" t="s">
        <v>338</v>
      </c>
      <c r="D100" s="76" t="s">
        <v>854</v>
      </c>
      <c r="E100" s="25" t="s">
        <v>266</v>
      </c>
      <c r="F100" s="26"/>
      <c r="G100" s="26" t="s">
        <v>1000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856</v>
      </c>
      <c r="C101" s="75" t="s">
        <v>338</v>
      </c>
      <c r="D101" s="76" t="s">
        <v>857</v>
      </c>
      <c r="E101" s="25" t="s">
        <v>266</v>
      </c>
      <c r="F101" s="26"/>
      <c r="G101" s="26" t="s">
        <v>1001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859</v>
      </c>
      <c r="C102" s="13" t="s">
        <v>338</v>
      </c>
      <c r="D102" s="10" t="s">
        <v>860</v>
      </c>
      <c r="E102" s="25" t="s">
        <v>266</v>
      </c>
      <c r="F102" s="26"/>
      <c r="G102" s="26" t="s">
        <v>1002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1289</v>
      </c>
      <c r="C103" s="13" t="s">
        <v>666</v>
      </c>
      <c r="D103" s="10" t="s">
        <v>863</v>
      </c>
      <c r="E103" s="25" t="s">
        <v>266</v>
      </c>
      <c r="F103" s="26"/>
      <c r="G103" s="26" t="s">
        <v>1003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13" t="s">
        <v>462</v>
      </c>
      <c r="C104" s="13" t="s">
        <v>666</v>
      </c>
      <c r="D104" s="10" t="s">
        <v>865</v>
      </c>
      <c r="E104" s="25" t="s">
        <v>266</v>
      </c>
      <c r="F104" s="26"/>
      <c r="G104" s="26" t="s">
        <v>1004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13" t="s">
        <v>1290</v>
      </c>
      <c r="C105" s="13" t="s">
        <v>666</v>
      </c>
      <c r="D105" s="10" t="s">
        <v>539</v>
      </c>
      <c r="E105" s="25" t="s">
        <v>266</v>
      </c>
      <c r="F105" s="26"/>
      <c r="G105" s="26" t="s">
        <v>1005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1291</v>
      </c>
      <c r="C106" s="13" t="s">
        <v>338</v>
      </c>
      <c r="D106" s="10" t="s">
        <v>869</v>
      </c>
      <c r="E106" s="25" t="s">
        <v>266</v>
      </c>
      <c r="F106" s="26"/>
      <c r="G106" s="26" t="s">
        <v>1006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13" t="s">
        <v>1292</v>
      </c>
      <c r="C107" s="13" t="s">
        <v>338</v>
      </c>
      <c r="D107" s="10" t="s">
        <v>872</v>
      </c>
      <c r="E107" s="25" t="s">
        <v>266</v>
      </c>
      <c r="F107" s="26"/>
      <c r="G107" s="26" t="s">
        <v>1007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1293</v>
      </c>
      <c r="C108" s="13" t="s">
        <v>666</v>
      </c>
      <c r="D108" s="10" t="s">
        <v>544</v>
      </c>
      <c r="E108" s="25" t="s">
        <v>266</v>
      </c>
      <c r="F108" s="26"/>
      <c r="G108" s="26" t="s">
        <v>1008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875</v>
      </c>
      <c r="C109" s="13" t="s">
        <v>338</v>
      </c>
      <c r="D109" s="10" t="s">
        <v>876</v>
      </c>
      <c r="E109" s="25" t="s">
        <v>266</v>
      </c>
      <c r="F109" s="26"/>
      <c r="G109" s="26" t="s">
        <v>1009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887</v>
      </c>
      <c r="C110" s="13" t="s">
        <v>338</v>
      </c>
      <c r="D110" s="10" t="s">
        <v>888</v>
      </c>
      <c r="E110" s="25" t="s">
        <v>266</v>
      </c>
      <c r="F110" s="26"/>
      <c r="G110" s="26" t="s">
        <v>1013</v>
      </c>
      <c r="H110" s="27"/>
      <c r="I110" s="26"/>
      <c r="J110" s="15" t="s">
        <v>632</v>
      </c>
      <c r="K110" s="15" t="s">
        <v>294</v>
      </c>
      <c r="L110" s="15" t="s">
        <v>633</v>
      </c>
    </row>
    <row r="111" spans="2:12">
      <c r="B111" s="13" t="s">
        <v>1302</v>
      </c>
      <c r="C111" s="13" t="s">
        <v>338</v>
      </c>
      <c r="D111" s="10" t="s">
        <v>918</v>
      </c>
      <c r="E111" s="25" t="s">
        <v>266</v>
      </c>
      <c r="F111" s="26"/>
      <c r="G111" s="26" t="s">
        <v>1023</v>
      </c>
      <c r="H111" s="27"/>
      <c r="I111" s="26"/>
      <c r="J111" s="15" t="s">
        <v>632</v>
      </c>
      <c r="K111" s="15" t="s">
        <v>294</v>
      </c>
      <c r="L111" s="15" t="s">
        <v>633</v>
      </c>
    </row>
    <row r="112" spans="2:12">
      <c r="B112" s="13" t="s">
        <v>1303</v>
      </c>
      <c r="C112" s="13" t="s">
        <v>338</v>
      </c>
      <c r="D112" s="10" t="s">
        <v>921</v>
      </c>
      <c r="E112" s="25" t="s">
        <v>266</v>
      </c>
      <c r="F112" s="26"/>
      <c r="G112" s="26" t="s">
        <v>1024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1304</v>
      </c>
      <c r="C113" s="13" t="s">
        <v>338</v>
      </c>
      <c r="D113" s="10" t="s">
        <v>924</v>
      </c>
      <c r="E113" s="25" t="s">
        <v>266</v>
      </c>
      <c r="F113" s="26"/>
      <c r="G113" s="26" t="s">
        <v>1025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7" t="s">
        <v>594</v>
      </c>
      <c r="C114" s="18" t="s">
        <v>307</v>
      </c>
      <c r="D114" s="19" t="s">
        <v>595</v>
      </c>
      <c r="E114" s="28"/>
      <c r="F114" s="28"/>
      <c r="G114" s="28" t="s">
        <v>932</v>
      </c>
      <c r="H114" s="17"/>
      <c r="I114" s="17"/>
      <c r="J114" s="17"/>
      <c r="K114" s="17"/>
      <c r="L114" s="17"/>
    </row>
    <row r="115" spans="2:12">
      <c r="B115" s="17" t="s">
        <v>596</v>
      </c>
      <c r="C115" s="18" t="s">
        <v>291</v>
      </c>
      <c r="D115" s="19" t="s">
        <v>597</v>
      </c>
      <c r="E115" s="28"/>
      <c r="F115" s="28"/>
      <c r="G115" s="28" t="s">
        <v>932</v>
      </c>
      <c r="H115" s="17" t="s">
        <v>932</v>
      </c>
      <c r="I115" s="17"/>
      <c r="J115" s="17"/>
      <c r="K115" s="17"/>
      <c r="L115" s="17"/>
    </row>
  </sheetData>
  <autoFilter xmlns:etc="http://www.wps.cn/officeDocument/2017/etCustomData" ref="A13:Q11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7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106</v>
      </c>
      <c r="D5" s="14" t="s">
        <v>107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55</v>
      </c>
      <c r="D9" s="14" t="s">
        <v>56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572</v>
      </c>
      <c r="C28" s="34" t="s">
        <v>291</v>
      </c>
      <c r="D28" s="10" t="s">
        <v>573</v>
      </c>
      <c r="E28" s="25" t="s">
        <v>266</v>
      </c>
      <c r="F28" s="10" t="s">
        <v>572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575</v>
      </c>
    </row>
    <row r="29" s="1" customFormat="1" spans="2:12">
      <c r="B29" s="32" t="s">
        <v>1305</v>
      </c>
      <c r="C29" s="34" t="s">
        <v>307</v>
      </c>
      <c r="D29" s="10" t="s">
        <v>1306</v>
      </c>
      <c r="E29" s="25" t="s">
        <v>266</v>
      </c>
      <c r="F29" s="26" t="s">
        <v>1307</v>
      </c>
      <c r="G29" s="26" t="s">
        <v>1307</v>
      </c>
      <c r="H29" s="27"/>
      <c r="I29" s="15"/>
      <c r="J29" s="15" t="s">
        <v>604</v>
      </c>
      <c r="K29" s="15" t="s">
        <v>294</v>
      </c>
      <c r="L29" s="15" t="s">
        <v>626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543</v>
      </c>
      <c r="C118" s="13" t="s">
        <v>666</v>
      </c>
      <c r="D118" s="10" t="s">
        <v>544</v>
      </c>
      <c r="E118" s="25" t="s">
        <v>266</v>
      </c>
      <c r="F118" s="26"/>
      <c r="G118" s="26" t="s">
        <v>1008</v>
      </c>
      <c r="H118" s="27"/>
      <c r="I118" s="26"/>
      <c r="J118" s="15" t="s">
        <v>632</v>
      </c>
      <c r="K118" s="15" t="s">
        <v>404</v>
      </c>
      <c r="L118" s="15" t="s">
        <v>633</v>
      </c>
    </row>
    <row r="119" spans="2:12">
      <c r="B119" s="13" t="s">
        <v>875</v>
      </c>
      <c r="C119" s="13" t="s">
        <v>338</v>
      </c>
      <c r="D119" s="10" t="s">
        <v>876</v>
      </c>
      <c r="E119" s="25" t="s">
        <v>266</v>
      </c>
      <c r="F119" s="26"/>
      <c r="G119" s="26" t="s">
        <v>1009</v>
      </c>
      <c r="H119" s="27"/>
      <c r="I119" s="26"/>
      <c r="J119" s="15" t="s">
        <v>632</v>
      </c>
      <c r="K119" s="15" t="s">
        <v>803</v>
      </c>
      <c r="L119" s="15" t="s">
        <v>633</v>
      </c>
    </row>
    <row r="120" spans="2:12">
      <c r="B120" s="13" t="s">
        <v>887</v>
      </c>
      <c r="C120" s="13" t="s">
        <v>338</v>
      </c>
      <c r="D120" s="10" t="s">
        <v>888</v>
      </c>
      <c r="E120" s="25" t="s">
        <v>266</v>
      </c>
      <c r="F120" s="26"/>
      <c r="G120" s="26" t="s">
        <v>1013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890</v>
      </c>
      <c r="C121" s="13" t="s">
        <v>338</v>
      </c>
      <c r="D121" s="10" t="s">
        <v>891</v>
      </c>
      <c r="E121" s="25" t="s">
        <v>266</v>
      </c>
      <c r="F121" s="26"/>
      <c r="G121" s="26" t="s">
        <v>1014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893</v>
      </c>
      <c r="C122" s="13" t="s">
        <v>338</v>
      </c>
      <c r="D122" s="10" t="s">
        <v>894</v>
      </c>
      <c r="E122" s="25" t="s">
        <v>266</v>
      </c>
      <c r="F122" s="26"/>
      <c r="G122" s="26" t="s">
        <v>1015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896</v>
      </c>
      <c r="C123" s="13" t="s">
        <v>338</v>
      </c>
      <c r="D123" s="10" t="s">
        <v>897</v>
      </c>
      <c r="E123" s="25" t="s">
        <v>266</v>
      </c>
      <c r="F123" s="26"/>
      <c r="G123" s="26" t="s">
        <v>1016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899</v>
      </c>
      <c r="C124" s="13" t="s">
        <v>338</v>
      </c>
      <c r="D124" s="10" t="s">
        <v>900</v>
      </c>
      <c r="E124" s="25" t="s">
        <v>266</v>
      </c>
      <c r="F124" s="26"/>
      <c r="G124" s="26" t="s">
        <v>1017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902</v>
      </c>
      <c r="C125" s="13" t="s">
        <v>338</v>
      </c>
      <c r="D125" s="10" t="s">
        <v>903</v>
      </c>
      <c r="E125" s="25" t="s">
        <v>266</v>
      </c>
      <c r="F125" s="26"/>
      <c r="G125" s="26" t="s">
        <v>1018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905</v>
      </c>
      <c r="C126" s="13" t="s">
        <v>338</v>
      </c>
      <c r="D126" s="10" t="s">
        <v>906</v>
      </c>
      <c r="E126" s="25" t="s">
        <v>266</v>
      </c>
      <c r="F126" s="26"/>
      <c r="G126" s="26" t="s">
        <v>1019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3" t="s">
        <v>908</v>
      </c>
      <c r="C127" s="13" t="s">
        <v>338</v>
      </c>
      <c r="D127" s="10" t="s">
        <v>909</v>
      </c>
      <c r="E127" s="25" t="s">
        <v>266</v>
      </c>
      <c r="F127" s="26"/>
      <c r="G127" s="26" t="s">
        <v>1020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pans="2:12">
      <c r="B128" s="13" t="s">
        <v>911</v>
      </c>
      <c r="C128" s="13" t="s">
        <v>338</v>
      </c>
      <c r="D128" s="10" t="s">
        <v>912</v>
      </c>
      <c r="E128" s="25" t="s">
        <v>266</v>
      </c>
      <c r="F128" s="26"/>
      <c r="G128" s="26" t="s">
        <v>1021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pans="2:12">
      <c r="B129" s="13" t="s">
        <v>914</v>
      </c>
      <c r="C129" s="13" t="s">
        <v>338</v>
      </c>
      <c r="D129" s="10" t="s">
        <v>915</v>
      </c>
      <c r="E129" s="25" t="s">
        <v>266</v>
      </c>
      <c r="F129" s="26"/>
      <c r="G129" s="26" t="s">
        <v>1022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pans="2:12">
      <c r="B130" s="13" t="s">
        <v>917</v>
      </c>
      <c r="C130" s="13" t="s">
        <v>338</v>
      </c>
      <c r="D130" s="10" t="s">
        <v>918</v>
      </c>
      <c r="E130" s="25" t="s">
        <v>266</v>
      </c>
      <c r="F130" s="26"/>
      <c r="G130" s="26" t="s">
        <v>1023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pans="2:12">
      <c r="B131" s="13" t="s">
        <v>920</v>
      </c>
      <c r="C131" s="13" t="s">
        <v>338</v>
      </c>
      <c r="D131" s="10" t="s">
        <v>921</v>
      </c>
      <c r="E131" s="25" t="s">
        <v>266</v>
      </c>
      <c r="F131" s="26"/>
      <c r="G131" s="26" t="s">
        <v>1024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pans="2:12">
      <c r="B132" s="13" t="s">
        <v>923</v>
      </c>
      <c r="C132" s="13" t="s">
        <v>338</v>
      </c>
      <c r="D132" s="10" t="s">
        <v>924</v>
      </c>
      <c r="E132" s="25" t="s">
        <v>266</v>
      </c>
      <c r="F132" s="26"/>
      <c r="G132" s="26" t="s">
        <v>1025</v>
      </c>
      <c r="H132" s="27"/>
      <c r="I132" s="26"/>
      <c r="J132" s="15" t="s">
        <v>632</v>
      </c>
      <c r="K132" s="15" t="s">
        <v>294</v>
      </c>
      <c r="L132" s="15" t="s">
        <v>633</v>
      </c>
    </row>
    <row r="133" spans="2:12">
      <c r="B133" s="13" t="s">
        <v>926</v>
      </c>
      <c r="C133" s="13" t="s">
        <v>291</v>
      </c>
      <c r="D133" s="10" t="s">
        <v>927</v>
      </c>
      <c r="E133" s="25" t="s">
        <v>266</v>
      </c>
      <c r="F133" s="26"/>
      <c r="G133" s="35" t="s">
        <v>1026</v>
      </c>
      <c r="H133" s="27"/>
      <c r="I133" s="56">
        <v>20250415101139</v>
      </c>
      <c r="J133" s="15" t="s">
        <v>632</v>
      </c>
      <c r="K133" s="15" t="s">
        <v>294</v>
      </c>
      <c r="L133" s="15" t="s">
        <v>670</v>
      </c>
    </row>
    <row r="134" spans="2:12">
      <c r="B134" s="13" t="s">
        <v>929</v>
      </c>
      <c r="C134" s="13" t="s">
        <v>291</v>
      </c>
      <c r="D134" s="10" t="s">
        <v>930</v>
      </c>
      <c r="E134" s="25" t="s">
        <v>266</v>
      </c>
      <c r="F134" s="26"/>
      <c r="G134" s="35" t="s">
        <v>1027</v>
      </c>
      <c r="H134" s="27"/>
      <c r="I134" s="56">
        <v>20250415101024</v>
      </c>
      <c r="J134" s="15" t="s">
        <v>632</v>
      </c>
      <c r="K134" s="15" t="s">
        <v>294</v>
      </c>
      <c r="L134" s="15" t="s">
        <v>670</v>
      </c>
    </row>
    <row r="135" spans="2:12">
      <c r="B135" s="17" t="s">
        <v>594</v>
      </c>
      <c r="C135" s="18" t="s">
        <v>307</v>
      </c>
      <c r="D135" s="19" t="s">
        <v>595</v>
      </c>
      <c r="E135" s="28"/>
      <c r="F135" s="28"/>
      <c r="G135" s="28" t="s">
        <v>932</v>
      </c>
      <c r="H135" s="17"/>
      <c r="I135" s="17"/>
      <c r="J135" s="17"/>
      <c r="K135" s="17"/>
      <c r="L135" s="17"/>
    </row>
    <row r="136" spans="2:12">
      <c r="B136" s="17" t="s">
        <v>596</v>
      </c>
      <c r="C136" s="18" t="s">
        <v>291</v>
      </c>
      <c r="D136" s="19" t="s">
        <v>597</v>
      </c>
      <c r="E136" s="28"/>
      <c r="F136" s="28"/>
      <c r="G136" s="28" t="s">
        <v>932</v>
      </c>
      <c r="H136" s="17" t="s">
        <v>932</v>
      </c>
      <c r="I136" s="17"/>
      <c r="J136" s="17"/>
      <c r="K136" s="17"/>
      <c r="L136" s="17"/>
    </row>
    <row r="137" spans="2:12">
      <c r="B137" s="17" t="s">
        <v>598</v>
      </c>
      <c r="C137" s="18" t="s">
        <v>307</v>
      </c>
      <c r="D137" s="19" t="s">
        <v>599</v>
      </c>
      <c r="E137" s="28"/>
      <c r="F137" s="28"/>
      <c r="G137" s="28" t="s">
        <v>932</v>
      </c>
      <c r="H137" s="17" t="s">
        <v>932</v>
      </c>
      <c r="I137" s="17"/>
      <c r="J137" s="17"/>
      <c r="K137" s="17"/>
      <c r="L137" s="17"/>
    </row>
  </sheetData>
  <autoFilter xmlns:etc="http://www.wps.cn/officeDocument/2017/etCustomData" ref="A13:Q13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109</v>
      </c>
      <c r="D5" s="11" t="s">
        <v>110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1269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634</v>
      </c>
      <c r="C29" s="13" t="s">
        <v>338</v>
      </c>
      <c r="D29" s="10" t="s">
        <v>635</v>
      </c>
      <c r="E29" s="25" t="s">
        <v>266</v>
      </c>
      <c r="F29" s="26"/>
      <c r="G29" s="26" t="s">
        <v>934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1273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2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1044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1045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653</v>
      </c>
      <c r="C36" s="13" t="s">
        <v>338</v>
      </c>
      <c r="D36" s="10" t="s">
        <v>654</v>
      </c>
      <c r="E36" s="25" t="s">
        <v>266</v>
      </c>
      <c r="F36" s="26"/>
      <c r="G36" s="26" t="s">
        <v>938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656</v>
      </c>
      <c r="C37" s="13" t="s">
        <v>338</v>
      </c>
      <c r="D37" s="10" t="s">
        <v>657</v>
      </c>
      <c r="E37" s="25" t="s">
        <v>266</v>
      </c>
      <c r="F37" s="26"/>
      <c r="G37" s="26" t="s">
        <v>939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659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662</v>
      </c>
      <c r="C39" s="13" t="s">
        <v>338</v>
      </c>
      <c r="D39" s="10" t="s">
        <v>663</v>
      </c>
      <c r="E39" s="25" t="s">
        <v>266</v>
      </c>
      <c r="F39" s="26"/>
      <c r="G39" s="26" t="s">
        <v>941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665</v>
      </c>
      <c r="C40" s="13" t="s">
        <v>666</v>
      </c>
      <c r="D40" s="10" t="s">
        <v>667</v>
      </c>
      <c r="E40" s="25" t="s">
        <v>266</v>
      </c>
      <c r="F40" s="26"/>
      <c r="G40" s="26" t="s">
        <v>942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671</v>
      </c>
      <c r="C41" s="13" t="s">
        <v>666</v>
      </c>
      <c r="D41" s="10" t="s">
        <v>672</v>
      </c>
      <c r="E41" s="25" t="s">
        <v>266</v>
      </c>
      <c r="F41" s="26"/>
      <c r="G41" s="26" t="s">
        <v>943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675</v>
      </c>
      <c r="C42" s="13" t="s">
        <v>666</v>
      </c>
      <c r="D42" s="10" t="s">
        <v>676</v>
      </c>
      <c r="E42" s="25" t="s">
        <v>266</v>
      </c>
      <c r="F42" s="26"/>
      <c r="G42" s="26" t="s">
        <v>944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678</v>
      </c>
      <c r="C43" s="13" t="s">
        <v>666</v>
      </c>
      <c r="D43" s="10" t="s">
        <v>679</v>
      </c>
      <c r="E43" s="25" t="s">
        <v>266</v>
      </c>
      <c r="F43" s="26"/>
      <c r="G43" s="26" t="s">
        <v>945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681</v>
      </c>
      <c r="C44" s="13" t="s">
        <v>666</v>
      </c>
      <c r="D44" s="10" t="s">
        <v>682</v>
      </c>
      <c r="E44" s="25" t="s">
        <v>266</v>
      </c>
      <c r="F44" s="26"/>
      <c r="G44" s="26" t="s">
        <v>946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684</v>
      </c>
      <c r="C45" s="13" t="s">
        <v>666</v>
      </c>
      <c r="D45" s="10" t="s">
        <v>685</v>
      </c>
      <c r="E45" s="25" t="s">
        <v>266</v>
      </c>
      <c r="F45" s="26"/>
      <c r="G45" s="26" t="s">
        <v>947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687</v>
      </c>
      <c r="C46" s="13" t="s">
        <v>666</v>
      </c>
      <c r="D46" s="10" t="s">
        <v>688</v>
      </c>
      <c r="E46" s="25" t="s">
        <v>266</v>
      </c>
      <c r="F46" s="26"/>
      <c r="G46" s="26" t="s">
        <v>948</v>
      </c>
      <c r="H46" s="2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690</v>
      </c>
      <c r="C47" s="13" t="s">
        <v>666</v>
      </c>
      <c r="D47" s="10" t="s">
        <v>691</v>
      </c>
      <c r="E47" s="25" t="s">
        <v>266</v>
      </c>
      <c r="F47" s="26"/>
      <c r="G47" s="26" t="s">
        <v>949</v>
      </c>
      <c r="H47" s="27"/>
      <c r="I47" s="26"/>
      <c r="J47" s="15" t="s">
        <v>632</v>
      </c>
      <c r="K47" s="15" t="s">
        <v>674</v>
      </c>
      <c r="L47" s="15" t="s">
        <v>670</v>
      </c>
    </row>
    <row r="48" s="1" customFormat="1" spans="1:12">
      <c r="A48" s="33"/>
      <c r="B48" s="13" t="s">
        <v>1055</v>
      </c>
      <c r="C48" s="13" t="s">
        <v>338</v>
      </c>
      <c r="D48" s="10" t="s">
        <v>693</v>
      </c>
      <c r="E48" s="25" t="s">
        <v>266</v>
      </c>
      <c r="F48" s="26"/>
      <c r="G48" s="26" t="s">
        <v>694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1054</v>
      </c>
      <c r="C49" s="13" t="s">
        <v>338</v>
      </c>
      <c r="D49" s="10" t="s">
        <v>695</v>
      </c>
      <c r="E49" s="25" t="s">
        <v>266</v>
      </c>
      <c r="F49" s="26"/>
      <c r="G49" s="26" t="s">
        <v>696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1056</v>
      </c>
      <c r="C50" s="13" t="s">
        <v>338</v>
      </c>
      <c r="D50" s="10" t="s">
        <v>697</v>
      </c>
      <c r="E50" s="25" t="s">
        <v>266</v>
      </c>
      <c r="F50" s="26"/>
      <c r="G50" s="26" t="s">
        <v>698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1057</v>
      </c>
      <c r="C51" s="13" t="s">
        <v>338</v>
      </c>
      <c r="D51" s="10" t="s">
        <v>699</v>
      </c>
      <c r="E51" s="25" t="s">
        <v>266</v>
      </c>
      <c r="F51" s="26"/>
      <c r="G51" s="26" t="s">
        <v>700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1274</v>
      </c>
      <c r="C52" s="13" t="s">
        <v>338</v>
      </c>
      <c r="D52" s="10" t="s">
        <v>702</v>
      </c>
      <c r="E52" s="25" t="s">
        <v>266</v>
      </c>
      <c r="F52" s="26"/>
      <c r="G52" s="26" t="s">
        <v>950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1275</v>
      </c>
      <c r="C53" s="13" t="s">
        <v>338</v>
      </c>
      <c r="D53" s="10" t="s">
        <v>705</v>
      </c>
      <c r="E53" s="25" t="s">
        <v>266</v>
      </c>
      <c r="F53" s="26"/>
      <c r="G53" s="26" t="s">
        <v>951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707</v>
      </c>
      <c r="C54" s="13" t="s">
        <v>338</v>
      </c>
      <c r="D54" s="10" t="s">
        <v>708</v>
      </c>
      <c r="E54" s="25" t="s">
        <v>266</v>
      </c>
      <c r="F54" s="26"/>
      <c r="G54" s="26" t="s">
        <v>952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710</v>
      </c>
      <c r="C55" s="13" t="s">
        <v>338</v>
      </c>
      <c r="D55" s="10" t="s">
        <v>711</v>
      </c>
      <c r="E55" s="25" t="s">
        <v>266</v>
      </c>
      <c r="F55" s="26"/>
      <c r="G55" s="26" t="s">
        <v>953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713</v>
      </c>
      <c r="C56" s="13" t="s">
        <v>338</v>
      </c>
      <c r="D56" s="10" t="s">
        <v>714</v>
      </c>
      <c r="E56" s="25" t="s">
        <v>266</v>
      </c>
      <c r="F56" s="26"/>
      <c r="G56" s="26" t="s">
        <v>954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716</v>
      </c>
      <c r="C57" s="13" t="s">
        <v>338</v>
      </c>
      <c r="D57" s="10" t="s">
        <v>717</v>
      </c>
      <c r="E57" s="25" t="s">
        <v>266</v>
      </c>
      <c r="F57" s="26"/>
      <c r="G57" s="26" t="s">
        <v>955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1064</v>
      </c>
      <c r="C58" s="13" t="s">
        <v>338</v>
      </c>
      <c r="D58" s="10" t="s">
        <v>719</v>
      </c>
      <c r="E58" s="25" t="s">
        <v>266</v>
      </c>
      <c r="F58" s="26"/>
      <c r="G58" s="26" t="s">
        <v>720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1066</v>
      </c>
      <c r="C59" s="13" t="s">
        <v>338</v>
      </c>
      <c r="D59" s="10" t="s">
        <v>721</v>
      </c>
      <c r="E59" s="25" t="s">
        <v>266</v>
      </c>
      <c r="F59" s="26"/>
      <c r="G59" s="26" t="s">
        <v>722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1276</v>
      </c>
      <c r="C60" s="13" t="s">
        <v>338</v>
      </c>
      <c r="D60" s="10" t="s">
        <v>723</v>
      </c>
      <c r="E60" s="25" t="s">
        <v>266</v>
      </c>
      <c r="F60" s="26"/>
      <c r="G60" s="26" t="s">
        <v>724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1277</v>
      </c>
      <c r="C61" s="13" t="s">
        <v>338</v>
      </c>
      <c r="D61" s="10" t="s">
        <v>725</v>
      </c>
      <c r="E61" s="25" t="s">
        <v>266</v>
      </c>
      <c r="F61" s="26"/>
      <c r="G61" s="26" t="s">
        <v>726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1278</v>
      </c>
      <c r="C62" s="13" t="s">
        <v>338</v>
      </c>
      <c r="D62" s="10" t="s">
        <v>536</v>
      </c>
      <c r="E62" s="25" t="s">
        <v>266</v>
      </c>
      <c r="F62" s="26"/>
      <c r="G62" s="26" t="s">
        <v>727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728</v>
      </c>
      <c r="C63" s="13" t="s">
        <v>338</v>
      </c>
      <c r="D63" s="10" t="s">
        <v>729</v>
      </c>
      <c r="E63" s="25" t="s">
        <v>266</v>
      </c>
      <c r="F63" s="26"/>
      <c r="G63" s="26" t="s">
        <v>956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730</v>
      </c>
      <c r="C64" s="13" t="s">
        <v>666</v>
      </c>
      <c r="D64" s="10" t="s">
        <v>731</v>
      </c>
      <c r="E64" s="25" t="s">
        <v>266</v>
      </c>
      <c r="F64" s="26"/>
      <c r="G64" s="26" t="s">
        <v>957</v>
      </c>
      <c r="H64" s="2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1091</v>
      </c>
      <c r="C65" s="13" t="s">
        <v>338</v>
      </c>
      <c r="D65" s="10" t="s">
        <v>734</v>
      </c>
      <c r="E65" s="25" t="s">
        <v>266</v>
      </c>
      <c r="F65" s="26"/>
      <c r="G65" s="26" t="s">
        <v>958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1093</v>
      </c>
      <c r="C66" s="13" t="s">
        <v>338</v>
      </c>
      <c r="D66" s="10" t="s">
        <v>737</v>
      </c>
      <c r="E66" s="25" t="s">
        <v>266</v>
      </c>
      <c r="F66" s="26"/>
      <c r="G66" s="26" t="s">
        <v>959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1095</v>
      </c>
      <c r="C67" s="13" t="s">
        <v>338</v>
      </c>
      <c r="D67" s="10" t="s">
        <v>740</v>
      </c>
      <c r="E67" s="25" t="s">
        <v>266</v>
      </c>
      <c r="F67" s="26"/>
      <c r="G67" s="26" t="s">
        <v>960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1097</v>
      </c>
      <c r="C68" s="13" t="s">
        <v>338</v>
      </c>
      <c r="D68" s="10" t="s">
        <v>743</v>
      </c>
      <c r="E68" s="25" t="s">
        <v>266</v>
      </c>
      <c r="F68" s="26"/>
      <c r="G68" s="26" t="s">
        <v>961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1099</v>
      </c>
      <c r="C69" s="13" t="s">
        <v>338</v>
      </c>
      <c r="D69" s="10" t="s">
        <v>746</v>
      </c>
      <c r="E69" s="25" t="s">
        <v>266</v>
      </c>
      <c r="F69" s="26"/>
      <c r="G69" s="26" t="s">
        <v>962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748</v>
      </c>
      <c r="C70" s="13" t="s">
        <v>338</v>
      </c>
      <c r="D70" s="10" t="s">
        <v>749</v>
      </c>
      <c r="E70" s="25" t="s">
        <v>266</v>
      </c>
      <c r="F70" s="26"/>
      <c r="G70" s="26" t="s">
        <v>963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751</v>
      </c>
      <c r="C71" s="13" t="s">
        <v>666</v>
      </c>
      <c r="D71" s="10" t="s">
        <v>752</v>
      </c>
      <c r="E71" s="25" t="s">
        <v>266</v>
      </c>
      <c r="F71" s="26"/>
      <c r="G71" s="26" t="s">
        <v>964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1104</v>
      </c>
      <c r="C72" s="13" t="s">
        <v>338</v>
      </c>
      <c r="D72" s="10" t="s">
        <v>755</v>
      </c>
      <c r="E72" s="25" t="s">
        <v>266</v>
      </c>
      <c r="F72" s="26"/>
      <c r="G72" s="26" t="s">
        <v>965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1106</v>
      </c>
      <c r="C73" s="13" t="s">
        <v>338</v>
      </c>
      <c r="D73" s="10" t="s">
        <v>758</v>
      </c>
      <c r="E73" s="25" t="s">
        <v>266</v>
      </c>
      <c r="F73" s="26"/>
      <c r="G73" s="26" t="s">
        <v>966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1108</v>
      </c>
      <c r="C74" s="13" t="s">
        <v>338</v>
      </c>
      <c r="D74" s="10" t="s">
        <v>761</v>
      </c>
      <c r="E74" s="25" t="s">
        <v>266</v>
      </c>
      <c r="F74" s="26"/>
      <c r="G74" s="26" t="s">
        <v>967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1110</v>
      </c>
      <c r="C75" s="13" t="s">
        <v>338</v>
      </c>
      <c r="D75" s="10" t="s">
        <v>764</v>
      </c>
      <c r="E75" s="25" t="s">
        <v>266</v>
      </c>
      <c r="F75" s="26"/>
      <c r="G75" s="26" t="s">
        <v>968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1112</v>
      </c>
      <c r="C76" s="13" t="s">
        <v>338</v>
      </c>
      <c r="D76" s="10" t="s">
        <v>767</v>
      </c>
      <c r="E76" s="25" t="s">
        <v>266</v>
      </c>
      <c r="F76" s="26"/>
      <c r="G76" s="26" t="s">
        <v>969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769</v>
      </c>
      <c r="C77" s="13" t="s">
        <v>666</v>
      </c>
      <c r="D77" s="10" t="s">
        <v>770</v>
      </c>
      <c r="E77" s="25" t="s">
        <v>266</v>
      </c>
      <c r="F77" s="26"/>
      <c r="G77" s="26" t="s">
        <v>970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772</v>
      </c>
      <c r="C78" s="13" t="s">
        <v>666</v>
      </c>
      <c r="D78" s="10" t="s">
        <v>773</v>
      </c>
      <c r="E78" s="25" t="s">
        <v>266</v>
      </c>
      <c r="F78" s="26"/>
      <c r="G78" s="26" t="s">
        <v>971</v>
      </c>
      <c r="H78" s="2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1279</v>
      </c>
      <c r="C79" s="13" t="s">
        <v>338</v>
      </c>
      <c r="D79" s="10" t="s">
        <v>776</v>
      </c>
      <c r="E79" s="25" t="s">
        <v>266</v>
      </c>
      <c r="F79" s="26"/>
      <c r="G79" s="26" t="s">
        <v>972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1280</v>
      </c>
      <c r="C80" s="13" t="s">
        <v>338</v>
      </c>
      <c r="D80" s="10" t="s">
        <v>779</v>
      </c>
      <c r="E80" s="25" t="s">
        <v>266</v>
      </c>
      <c r="F80" s="26"/>
      <c r="G80" s="26" t="s">
        <v>973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1281</v>
      </c>
      <c r="C81" s="13" t="s">
        <v>338</v>
      </c>
      <c r="D81" s="10" t="s">
        <v>782</v>
      </c>
      <c r="E81" s="25" t="s">
        <v>266</v>
      </c>
      <c r="F81" s="26"/>
      <c r="G81" s="26" t="s">
        <v>974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1282</v>
      </c>
      <c r="C82" s="13" t="s">
        <v>338</v>
      </c>
      <c r="D82" s="10" t="s">
        <v>785</v>
      </c>
      <c r="E82" s="25" t="s">
        <v>266</v>
      </c>
      <c r="F82" s="26"/>
      <c r="G82" s="26" t="s">
        <v>975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1283</v>
      </c>
      <c r="C83" s="13" t="s">
        <v>338</v>
      </c>
      <c r="D83" s="10" t="s">
        <v>788</v>
      </c>
      <c r="E83" s="25" t="s">
        <v>266</v>
      </c>
      <c r="F83" s="26"/>
      <c r="G83" s="26" t="s">
        <v>976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1284</v>
      </c>
      <c r="C84" s="13" t="s">
        <v>666</v>
      </c>
      <c r="D84" s="10" t="s">
        <v>790</v>
      </c>
      <c r="E84" s="25" t="s">
        <v>266</v>
      </c>
      <c r="F84" s="26"/>
      <c r="G84" s="26" t="s">
        <v>977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792</v>
      </c>
      <c r="C85" s="13" t="s">
        <v>338</v>
      </c>
      <c r="D85" s="10" t="s">
        <v>793</v>
      </c>
      <c r="E85" s="25" t="s">
        <v>266</v>
      </c>
      <c r="F85" s="26"/>
      <c r="G85" s="26" t="s">
        <v>978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1285</v>
      </c>
      <c r="C86" s="13" t="s">
        <v>666</v>
      </c>
      <c r="D86" s="10" t="s">
        <v>795</v>
      </c>
      <c r="E86" s="25" t="s">
        <v>266</v>
      </c>
      <c r="F86" s="26"/>
      <c r="G86" s="26" t="s">
        <v>979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797</v>
      </c>
      <c r="C87" s="13" t="s">
        <v>338</v>
      </c>
      <c r="D87" s="10" t="s">
        <v>798</v>
      </c>
      <c r="E87" s="25" t="s">
        <v>266</v>
      </c>
      <c r="F87" s="26"/>
      <c r="G87" s="26" t="s">
        <v>980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800</v>
      </c>
      <c r="C88" s="13" t="s">
        <v>338</v>
      </c>
      <c r="D88" s="10" t="s">
        <v>801</v>
      </c>
      <c r="E88" s="25" t="s">
        <v>266</v>
      </c>
      <c r="F88" s="26"/>
      <c r="G88" s="26" t="s">
        <v>981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1286</v>
      </c>
      <c r="C89" s="13" t="s">
        <v>666</v>
      </c>
      <c r="D89" s="10" t="s">
        <v>552</v>
      </c>
      <c r="E89" s="25" t="s">
        <v>266</v>
      </c>
      <c r="F89" s="26"/>
      <c r="G89" s="26" t="s">
        <v>982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805</v>
      </c>
      <c r="C90" s="13" t="s">
        <v>338</v>
      </c>
      <c r="D90" s="10" t="s">
        <v>806</v>
      </c>
      <c r="E90" s="25" t="s">
        <v>266</v>
      </c>
      <c r="F90" s="26"/>
      <c r="G90" s="26" t="s">
        <v>983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808</v>
      </c>
      <c r="C91" s="13" t="s">
        <v>338</v>
      </c>
      <c r="D91" s="10" t="s">
        <v>809</v>
      </c>
      <c r="E91" s="25" t="s">
        <v>266</v>
      </c>
      <c r="F91" s="26"/>
      <c r="G91" s="26" t="s">
        <v>984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811</v>
      </c>
      <c r="C92" s="13" t="s">
        <v>338</v>
      </c>
      <c r="D92" s="10" t="s">
        <v>812</v>
      </c>
      <c r="E92" s="25" t="s">
        <v>266</v>
      </c>
      <c r="F92" s="26"/>
      <c r="G92" s="26" t="s">
        <v>985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814</v>
      </c>
      <c r="C93" s="13" t="s">
        <v>338</v>
      </c>
      <c r="D93" s="10" t="s">
        <v>815</v>
      </c>
      <c r="E93" s="25" t="s">
        <v>266</v>
      </c>
      <c r="F93" s="26"/>
      <c r="G93" s="26" t="s">
        <v>986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817</v>
      </c>
      <c r="C94" s="13" t="s">
        <v>338</v>
      </c>
      <c r="D94" s="10" t="s">
        <v>818</v>
      </c>
      <c r="E94" s="25" t="s">
        <v>266</v>
      </c>
      <c r="F94" s="26"/>
      <c r="G94" s="26" t="s">
        <v>987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820</v>
      </c>
      <c r="C95" s="13" t="s">
        <v>338</v>
      </c>
      <c r="D95" s="10" t="s">
        <v>821</v>
      </c>
      <c r="E95" s="25" t="s">
        <v>266</v>
      </c>
      <c r="F95" s="26"/>
      <c r="G95" s="26" t="s">
        <v>988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1287</v>
      </c>
      <c r="C96" s="13" t="s">
        <v>666</v>
      </c>
      <c r="D96" s="10" t="s">
        <v>557</v>
      </c>
      <c r="E96" s="25" t="s">
        <v>266</v>
      </c>
      <c r="F96" s="26"/>
      <c r="G96" s="26" t="s">
        <v>989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13" t="s">
        <v>824</v>
      </c>
      <c r="C97" s="13" t="s">
        <v>338</v>
      </c>
      <c r="D97" s="10" t="s">
        <v>825</v>
      </c>
      <c r="E97" s="25" t="s">
        <v>266</v>
      </c>
      <c r="F97" s="26"/>
      <c r="G97" s="26" t="s">
        <v>990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827</v>
      </c>
      <c r="C98" s="13" t="s">
        <v>338</v>
      </c>
      <c r="D98" s="10" t="s">
        <v>828</v>
      </c>
      <c r="E98" s="25" t="s">
        <v>266</v>
      </c>
      <c r="F98" s="26"/>
      <c r="G98" s="26" t="s">
        <v>991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830</v>
      </c>
      <c r="C99" s="13" t="s">
        <v>338</v>
      </c>
      <c r="D99" s="10" t="s">
        <v>831</v>
      </c>
      <c r="E99" s="25" t="s">
        <v>266</v>
      </c>
      <c r="F99" s="26"/>
      <c r="G99" s="26" t="s">
        <v>992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833</v>
      </c>
      <c r="C100" s="13" t="s">
        <v>338</v>
      </c>
      <c r="D100" s="10" t="s">
        <v>834</v>
      </c>
      <c r="E100" s="25" t="s">
        <v>266</v>
      </c>
      <c r="F100" s="26"/>
      <c r="G100" s="26" t="s">
        <v>993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836</v>
      </c>
      <c r="C101" s="13" t="s">
        <v>338</v>
      </c>
      <c r="D101" s="10" t="s">
        <v>837</v>
      </c>
      <c r="E101" s="25" t="s">
        <v>266</v>
      </c>
      <c r="F101" s="26"/>
      <c r="G101" s="26" t="s">
        <v>994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839</v>
      </c>
      <c r="C102" s="13" t="s">
        <v>338</v>
      </c>
      <c r="D102" s="10" t="s">
        <v>840</v>
      </c>
      <c r="E102" s="25" t="s">
        <v>266</v>
      </c>
      <c r="F102" s="26"/>
      <c r="G102" s="26" t="s">
        <v>995</v>
      </c>
      <c r="H102" s="27"/>
      <c r="I102" s="26"/>
      <c r="J102" s="15" t="s">
        <v>632</v>
      </c>
      <c r="K102" s="15" t="s">
        <v>294</v>
      </c>
      <c r="L102" s="15" t="s">
        <v>633</v>
      </c>
    </row>
    <row r="103" s="1" customFormat="1" spans="1:12">
      <c r="A103" s="33"/>
      <c r="B103" s="13" t="s">
        <v>1288</v>
      </c>
      <c r="C103" s="13" t="s">
        <v>666</v>
      </c>
      <c r="D103" s="10" t="s">
        <v>842</v>
      </c>
      <c r="E103" s="25" t="s">
        <v>266</v>
      </c>
      <c r="F103" s="26"/>
      <c r="G103" s="26" t="s">
        <v>996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75" t="s">
        <v>844</v>
      </c>
      <c r="C104" s="75" t="s">
        <v>338</v>
      </c>
      <c r="D104" s="76" t="s">
        <v>845</v>
      </c>
      <c r="E104" s="25" t="s">
        <v>266</v>
      </c>
      <c r="F104" s="26"/>
      <c r="G104" s="26" t="s">
        <v>997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847</v>
      </c>
      <c r="C105" s="75" t="s">
        <v>338</v>
      </c>
      <c r="D105" s="76" t="s">
        <v>848</v>
      </c>
      <c r="E105" s="25" t="s">
        <v>266</v>
      </c>
      <c r="F105" s="26"/>
      <c r="G105" s="26" t="s">
        <v>998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850</v>
      </c>
      <c r="C106" s="75" t="s">
        <v>338</v>
      </c>
      <c r="D106" s="76" t="s">
        <v>851</v>
      </c>
      <c r="E106" s="25" t="s">
        <v>266</v>
      </c>
      <c r="F106" s="26"/>
      <c r="G106" s="26" t="s">
        <v>999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853</v>
      </c>
      <c r="C107" s="75" t="s">
        <v>338</v>
      </c>
      <c r="D107" s="76" t="s">
        <v>854</v>
      </c>
      <c r="E107" s="25" t="s">
        <v>266</v>
      </c>
      <c r="F107" s="26"/>
      <c r="G107" s="26" t="s">
        <v>1000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856</v>
      </c>
      <c r="C108" s="75" t="s">
        <v>338</v>
      </c>
      <c r="D108" s="76" t="s">
        <v>857</v>
      </c>
      <c r="E108" s="25" t="s">
        <v>266</v>
      </c>
      <c r="F108" s="26"/>
      <c r="G108" s="26" t="s">
        <v>1001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859</v>
      </c>
      <c r="C109" s="13" t="s">
        <v>338</v>
      </c>
      <c r="D109" s="10" t="s">
        <v>860</v>
      </c>
      <c r="E109" s="25" t="s">
        <v>266</v>
      </c>
      <c r="F109" s="26"/>
      <c r="G109" s="26" t="s">
        <v>1002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1289</v>
      </c>
      <c r="C110" s="13" t="s">
        <v>666</v>
      </c>
      <c r="D110" s="10" t="s">
        <v>863</v>
      </c>
      <c r="E110" s="25" t="s">
        <v>266</v>
      </c>
      <c r="F110" s="26"/>
      <c r="G110" s="26" t="s">
        <v>1003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462</v>
      </c>
      <c r="C111" s="13" t="s">
        <v>666</v>
      </c>
      <c r="D111" s="10" t="s">
        <v>865</v>
      </c>
      <c r="E111" s="25" t="s">
        <v>266</v>
      </c>
      <c r="F111" s="26"/>
      <c r="G111" s="26" t="s">
        <v>1004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1290</v>
      </c>
      <c r="C112" s="13" t="s">
        <v>666</v>
      </c>
      <c r="D112" s="10" t="s">
        <v>539</v>
      </c>
      <c r="E112" s="25" t="s">
        <v>266</v>
      </c>
      <c r="F112" s="26"/>
      <c r="G112" s="26" t="s">
        <v>1005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1291</v>
      </c>
      <c r="C113" s="13" t="s">
        <v>338</v>
      </c>
      <c r="D113" s="10" t="s">
        <v>869</v>
      </c>
      <c r="E113" s="25" t="s">
        <v>266</v>
      </c>
      <c r="F113" s="26"/>
      <c r="G113" s="26" t="s">
        <v>1006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1292</v>
      </c>
      <c r="C114" s="13" t="s">
        <v>338</v>
      </c>
      <c r="D114" s="10" t="s">
        <v>872</v>
      </c>
      <c r="E114" s="25" t="s">
        <v>266</v>
      </c>
      <c r="F114" s="26"/>
      <c r="G114" s="26" t="s">
        <v>1007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1293</v>
      </c>
      <c r="C115" s="13" t="s">
        <v>666</v>
      </c>
      <c r="D115" s="10" t="s">
        <v>544</v>
      </c>
      <c r="E115" s="25" t="s">
        <v>266</v>
      </c>
      <c r="F115" s="26"/>
      <c r="G115" s="26" t="s">
        <v>1008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875</v>
      </c>
      <c r="C116" s="13" t="s">
        <v>338</v>
      </c>
      <c r="D116" s="10" t="s">
        <v>876</v>
      </c>
      <c r="E116" s="25" t="s">
        <v>266</v>
      </c>
      <c r="F116" s="26"/>
      <c r="G116" s="26" t="s">
        <v>1009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887</v>
      </c>
      <c r="C117" s="13" t="s">
        <v>338</v>
      </c>
      <c r="D117" s="10" t="s">
        <v>888</v>
      </c>
      <c r="E117" s="25" t="s">
        <v>266</v>
      </c>
      <c r="F117" s="26"/>
      <c r="G117" s="26" t="s">
        <v>1013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1294</v>
      </c>
      <c r="C118" s="13" t="s">
        <v>338</v>
      </c>
      <c r="D118" s="10" t="s">
        <v>891</v>
      </c>
      <c r="E118" s="25" t="s">
        <v>266</v>
      </c>
      <c r="F118" s="26"/>
      <c r="G118" s="26" t="s">
        <v>1014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1295</v>
      </c>
      <c r="C119" s="13" t="s">
        <v>338</v>
      </c>
      <c r="D119" s="10" t="s">
        <v>894</v>
      </c>
      <c r="E119" s="25" t="s">
        <v>266</v>
      </c>
      <c r="F119" s="26"/>
      <c r="G119" s="26" t="s">
        <v>1015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1296</v>
      </c>
      <c r="C120" s="13" t="s">
        <v>338</v>
      </c>
      <c r="D120" s="10" t="s">
        <v>897</v>
      </c>
      <c r="E120" s="25" t="s">
        <v>266</v>
      </c>
      <c r="F120" s="26"/>
      <c r="G120" s="26" t="s">
        <v>1016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899</v>
      </c>
      <c r="C121" s="13" t="s">
        <v>338</v>
      </c>
      <c r="D121" s="10" t="s">
        <v>900</v>
      </c>
      <c r="E121" s="25" t="s">
        <v>266</v>
      </c>
      <c r="F121" s="26"/>
      <c r="G121" s="26" t="s">
        <v>1017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902</v>
      </c>
      <c r="C122" s="13" t="s">
        <v>338</v>
      </c>
      <c r="D122" s="10" t="s">
        <v>903</v>
      </c>
      <c r="E122" s="25" t="s">
        <v>266</v>
      </c>
      <c r="F122" s="26"/>
      <c r="G122" s="26" t="s">
        <v>1018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905</v>
      </c>
      <c r="C123" s="13" t="s">
        <v>338</v>
      </c>
      <c r="D123" s="10" t="s">
        <v>906</v>
      </c>
      <c r="E123" s="25" t="s">
        <v>266</v>
      </c>
      <c r="F123" s="26"/>
      <c r="G123" s="26" t="s">
        <v>1019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1297</v>
      </c>
      <c r="C124" s="13" t="s">
        <v>338</v>
      </c>
      <c r="D124" s="10" t="s">
        <v>909</v>
      </c>
      <c r="E124" s="25" t="s">
        <v>266</v>
      </c>
      <c r="F124" s="26"/>
      <c r="G124" s="26" t="s">
        <v>1020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1298</v>
      </c>
      <c r="C125" s="13" t="s">
        <v>338</v>
      </c>
      <c r="D125" s="10" t="s">
        <v>912</v>
      </c>
      <c r="E125" s="25" t="s">
        <v>266</v>
      </c>
      <c r="F125" s="26"/>
      <c r="G125" s="26" t="s">
        <v>1021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1299</v>
      </c>
      <c r="C126" s="13" t="s">
        <v>338</v>
      </c>
      <c r="D126" s="10" t="s">
        <v>915</v>
      </c>
      <c r="E126" s="25" t="s">
        <v>266</v>
      </c>
      <c r="F126" s="26"/>
      <c r="G126" s="26" t="s">
        <v>1022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7" t="s">
        <v>594</v>
      </c>
      <c r="C127" s="18" t="s">
        <v>307</v>
      </c>
      <c r="D127" s="19" t="s">
        <v>595</v>
      </c>
      <c r="E127" s="28"/>
      <c r="F127" s="28"/>
      <c r="G127" s="28" t="s">
        <v>932</v>
      </c>
      <c r="H127" s="17"/>
      <c r="I127" s="17"/>
      <c r="J127" s="17"/>
      <c r="K127" s="17"/>
      <c r="L127" s="17"/>
    </row>
    <row r="128" spans="2:12">
      <c r="B128" s="17" t="s">
        <v>596</v>
      </c>
      <c r="C128" s="18" t="s">
        <v>291</v>
      </c>
      <c r="D128" s="19" t="s">
        <v>597</v>
      </c>
      <c r="E128" s="28"/>
      <c r="F128" s="28"/>
      <c r="G128" s="28" t="s">
        <v>932</v>
      </c>
      <c r="H128" s="17" t="s">
        <v>932</v>
      </c>
      <c r="I128" s="17"/>
      <c r="J128" s="17"/>
      <c r="K128" s="17"/>
      <c r="L128" s="17"/>
    </row>
  </sheetData>
  <autoFilter xmlns:etc="http://www.wps.cn/officeDocument/2017/etCustomData" ref="A13:Q12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112</v>
      </c>
      <c r="D5" s="11" t="s">
        <v>1308</v>
      </c>
      <c r="E5" s="13" t="s">
        <v>48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1269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634</v>
      </c>
      <c r="C29" s="13" t="s">
        <v>338</v>
      </c>
      <c r="D29" s="10" t="s">
        <v>635</v>
      </c>
      <c r="E29" s="25" t="s">
        <v>266</v>
      </c>
      <c r="F29" s="26"/>
      <c r="G29" s="26" t="s">
        <v>934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3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337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3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342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340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653</v>
      </c>
      <c r="C36" s="13" t="s">
        <v>338</v>
      </c>
      <c r="D36" s="10" t="s">
        <v>654</v>
      </c>
      <c r="E36" s="25" t="s">
        <v>266</v>
      </c>
      <c r="F36" s="26"/>
      <c r="G36" s="26" t="s">
        <v>938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656</v>
      </c>
      <c r="C37" s="13" t="s">
        <v>338</v>
      </c>
      <c r="D37" s="10" t="s">
        <v>657</v>
      </c>
      <c r="E37" s="25" t="s">
        <v>266</v>
      </c>
      <c r="F37" s="26"/>
      <c r="G37" s="26" t="s">
        <v>939</v>
      </c>
      <c r="H37" s="3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659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662</v>
      </c>
      <c r="C39" s="13" t="s">
        <v>338</v>
      </c>
      <c r="D39" s="10" t="s">
        <v>663</v>
      </c>
      <c r="E39" s="25" t="s">
        <v>266</v>
      </c>
      <c r="F39" s="26"/>
      <c r="G39" s="26" t="s">
        <v>941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665</v>
      </c>
      <c r="C40" s="13" t="s">
        <v>666</v>
      </c>
      <c r="D40" s="10" t="s">
        <v>667</v>
      </c>
      <c r="E40" s="25" t="s">
        <v>266</v>
      </c>
      <c r="F40" s="26"/>
      <c r="G40" s="26" t="s">
        <v>942</v>
      </c>
      <c r="H40" s="3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671</v>
      </c>
      <c r="C41" s="13" t="s">
        <v>666</v>
      </c>
      <c r="D41" s="10" t="s">
        <v>672</v>
      </c>
      <c r="E41" s="25" t="s">
        <v>266</v>
      </c>
      <c r="F41" s="26"/>
      <c r="G41" s="26" t="s">
        <v>943</v>
      </c>
      <c r="H41" s="3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675</v>
      </c>
      <c r="C42" s="13" t="s">
        <v>666</v>
      </c>
      <c r="D42" s="10" t="s">
        <v>676</v>
      </c>
      <c r="E42" s="25" t="s">
        <v>266</v>
      </c>
      <c r="F42" s="26"/>
      <c r="G42" s="26" t="s">
        <v>944</v>
      </c>
      <c r="H42" s="3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678</v>
      </c>
      <c r="C43" s="13" t="s">
        <v>666</v>
      </c>
      <c r="D43" s="10" t="s">
        <v>679</v>
      </c>
      <c r="E43" s="25" t="s">
        <v>266</v>
      </c>
      <c r="F43" s="26"/>
      <c r="G43" s="26" t="s">
        <v>945</v>
      </c>
      <c r="H43" s="3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681</v>
      </c>
      <c r="C44" s="13" t="s">
        <v>666</v>
      </c>
      <c r="D44" s="10" t="s">
        <v>682</v>
      </c>
      <c r="E44" s="25" t="s">
        <v>266</v>
      </c>
      <c r="F44" s="26"/>
      <c r="G44" s="26" t="s">
        <v>946</v>
      </c>
      <c r="H44" s="3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684</v>
      </c>
      <c r="C45" s="13" t="s">
        <v>666</v>
      </c>
      <c r="D45" s="10" t="s">
        <v>685</v>
      </c>
      <c r="E45" s="25" t="s">
        <v>266</v>
      </c>
      <c r="F45" s="26"/>
      <c r="G45" s="26" t="s">
        <v>947</v>
      </c>
      <c r="H45" s="3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687</v>
      </c>
      <c r="C46" s="13" t="s">
        <v>666</v>
      </c>
      <c r="D46" s="10" t="s">
        <v>688</v>
      </c>
      <c r="E46" s="25" t="s">
        <v>266</v>
      </c>
      <c r="F46" s="26"/>
      <c r="G46" s="26" t="s">
        <v>948</v>
      </c>
      <c r="H46" s="3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690</v>
      </c>
      <c r="C47" s="13" t="s">
        <v>666</v>
      </c>
      <c r="D47" s="10" t="s">
        <v>691</v>
      </c>
      <c r="E47" s="25" t="s">
        <v>266</v>
      </c>
      <c r="F47" s="26"/>
      <c r="G47" s="26" t="s">
        <v>949</v>
      </c>
      <c r="H47" s="37"/>
      <c r="I47" s="26"/>
      <c r="J47" s="15" t="s">
        <v>632</v>
      </c>
      <c r="K47" s="15" t="s">
        <v>674</v>
      </c>
      <c r="L47" s="15" t="s">
        <v>670</v>
      </c>
    </row>
    <row r="48" s="1" customFormat="1" spans="1:12">
      <c r="A48" s="33"/>
      <c r="B48" s="13" t="s">
        <v>346</v>
      </c>
      <c r="C48" s="13" t="s">
        <v>338</v>
      </c>
      <c r="D48" s="10" t="s">
        <v>693</v>
      </c>
      <c r="E48" s="25" t="s">
        <v>266</v>
      </c>
      <c r="F48" s="26"/>
      <c r="G48" s="26" t="s">
        <v>694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344</v>
      </c>
      <c r="C49" s="13" t="s">
        <v>338</v>
      </c>
      <c r="D49" s="10" t="s">
        <v>695</v>
      </c>
      <c r="E49" s="25" t="s">
        <v>266</v>
      </c>
      <c r="F49" s="26"/>
      <c r="G49" s="26" t="s">
        <v>696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392</v>
      </c>
      <c r="C50" s="13" t="s">
        <v>338</v>
      </c>
      <c r="D50" s="10" t="s">
        <v>697</v>
      </c>
      <c r="E50" s="25" t="s">
        <v>266</v>
      </c>
      <c r="F50" s="26"/>
      <c r="G50" s="26" t="s">
        <v>698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394</v>
      </c>
      <c r="C51" s="13" t="s">
        <v>338</v>
      </c>
      <c r="D51" s="10" t="s">
        <v>699</v>
      </c>
      <c r="E51" s="25" t="s">
        <v>266</v>
      </c>
      <c r="F51" s="26"/>
      <c r="G51" s="26" t="s">
        <v>700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701</v>
      </c>
      <c r="C52" s="13" t="s">
        <v>338</v>
      </c>
      <c r="D52" s="10" t="s">
        <v>702</v>
      </c>
      <c r="E52" s="25" t="s">
        <v>266</v>
      </c>
      <c r="F52" s="26"/>
      <c r="G52" s="26" t="s">
        <v>950</v>
      </c>
      <c r="H52" s="3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704</v>
      </c>
      <c r="C53" s="13" t="s">
        <v>338</v>
      </c>
      <c r="D53" s="10" t="s">
        <v>705</v>
      </c>
      <c r="E53" s="25" t="s">
        <v>266</v>
      </c>
      <c r="F53" s="26"/>
      <c r="G53" s="26" t="s">
        <v>951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707</v>
      </c>
      <c r="C54" s="13" t="s">
        <v>338</v>
      </c>
      <c r="D54" s="10" t="s">
        <v>708</v>
      </c>
      <c r="E54" s="25" t="s">
        <v>266</v>
      </c>
      <c r="F54" s="26"/>
      <c r="G54" s="26" t="s">
        <v>952</v>
      </c>
      <c r="H54" s="3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710</v>
      </c>
      <c r="C55" s="13" t="s">
        <v>338</v>
      </c>
      <c r="D55" s="10" t="s">
        <v>711</v>
      </c>
      <c r="E55" s="25" t="s">
        <v>266</v>
      </c>
      <c r="F55" s="26"/>
      <c r="G55" s="26" t="s">
        <v>953</v>
      </c>
      <c r="H55" s="3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713</v>
      </c>
      <c r="C56" s="13" t="s">
        <v>338</v>
      </c>
      <c r="D56" s="10" t="s">
        <v>714</v>
      </c>
      <c r="E56" s="25" t="s">
        <v>266</v>
      </c>
      <c r="F56" s="26"/>
      <c r="G56" s="26" t="s">
        <v>954</v>
      </c>
      <c r="H56" s="3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716</v>
      </c>
      <c r="C57" s="13" t="s">
        <v>338</v>
      </c>
      <c r="D57" s="10" t="s">
        <v>717</v>
      </c>
      <c r="E57" s="25" t="s">
        <v>266</v>
      </c>
      <c r="F57" s="26"/>
      <c r="G57" s="26" t="s">
        <v>955</v>
      </c>
      <c r="H57" s="3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410</v>
      </c>
      <c r="C58" s="13" t="s">
        <v>338</v>
      </c>
      <c r="D58" s="10" t="s">
        <v>719</v>
      </c>
      <c r="E58" s="25" t="s">
        <v>266</v>
      </c>
      <c r="F58" s="26"/>
      <c r="G58" s="26" t="s">
        <v>720</v>
      </c>
      <c r="H58" s="3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412</v>
      </c>
      <c r="C59" s="13" t="s">
        <v>338</v>
      </c>
      <c r="D59" s="10" t="s">
        <v>721</v>
      </c>
      <c r="E59" s="25" t="s">
        <v>266</v>
      </c>
      <c r="F59" s="26"/>
      <c r="G59" s="26" t="s">
        <v>722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528</v>
      </c>
      <c r="C60" s="13" t="s">
        <v>338</v>
      </c>
      <c r="D60" s="10" t="s">
        <v>723</v>
      </c>
      <c r="E60" s="25" t="s">
        <v>266</v>
      </c>
      <c r="F60" s="26"/>
      <c r="G60" s="26" t="s">
        <v>724</v>
      </c>
      <c r="H60" s="3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532</v>
      </c>
      <c r="C61" s="13" t="s">
        <v>338</v>
      </c>
      <c r="D61" s="10" t="s">
        <v>725</v>
      </c>
      <c r="E61" s="25" t="s">
        <v>266</v>
      </c>
      <c r="F61" s="26"/>
      <c r="G61" s="26" t="s">
        <v>726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535</v>
      </c>
      <c r="C62" s="13" t="s">
        <v>338</v>
      </c>
      <c r="D62" s="10" t="s">
        <v>536</v>
      </c>
      <c r="E62" s="25" t="s">
        <v>266</v>
      </c>
      <c r="F62" s="26"/>
      <c r="G62" s="26" t="s">
        <v>727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728</v>
      </c>
      <c r="C63" s="13" t="s">
        <v>338</v>
      </c>
      <c r="D63" s="10" t="s">
        <v>729</v>
      </c>
      <c r="E63" s="25" t="s">
        <v>266</v>
      </c>
      <c r="F63" s="26"/>
      <c r="G63" s="26" t="s">
        <v>956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730</v>
      </c>
      <c r="C64" s="13" t="s">
        <v>666</v>
      </c>
      <c r="D64" s="10" t="s">
        <v>731</v>
      </c>
      <c r="E64" s="25" t="s">
        <v>266</v>
      </c>
      <c r="F64" s="26"/>
      <c r="G64" s="26" t="s">
        <v>957</v>
      </c>
      <c r="H64" s="3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733</v>
      </c>
      <c r="C65" s="13" t="s">
        <v>338</v>
      </c>
      <c r="D65" s="10" t="s">
        <v>734</v>
      </c>
      <c r="E65" s="25" t="s">
        <v>266</v>
      </c>
      <c r="F65" s="26"/>
      <c r="G65" s="26" t="s">
        <v>958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736</v>
      </c>
      <c r="C66" s="13" t="s">
        <v>338</v>
      </c>
      <c r="D66" s="10" t="s">
        <v>737</v>
      </c>
      <c r="E66" s="25" t="s">
        <v>266</v>
      </c>
      <c r="F66" s="26"/>
      <c r="G66" s="26" t="s">
        <v>959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739</v>
      </c>
      <c r="C67" s="13" t="s">
        <v>338</v>
      </c>
      <c r="D67" s="10" t="s">
        <v>740</v>
      </c>
      <c r="E67" s="25" t="s">
        <v>266</v>
      </c>
      <c r="F67" s="26"/>
      <c r="G67" s="26" t="s">
        <v>960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742</v>
      </c>
      <c r="C68" s="13" t="s">
        <v>338</v>
      </c>
      <c r="D68" s="10" t="s">
        <v>743</v>
      </c>
      <c r="E68" s="25" t="s">
        <v>266</v>
      </c>
      <c r="F68" s="26"/>
      <c r="G68" s="26" t="s">
        <v>961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745</v>
      </c>
      <c r="C69" s="13" t="s">
        <v>338</v>
      </c>
      <c r="D69" s="10" t="s">
        <v>746</v>
      </c>
      <c r="E69" s="25" t="s">
        <v>266</v>
      </c>
      <c r="F69" s="26"/>
      <c r="G69" s="26" t="s">
        <v>962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748</v>
      </c>
      <c r="C70" s="13" t="s">
        <v>338</v>
      </c>
      <c r="D70" s="10" t="s">
        <v>749</v>
      </c>
      <c r="E70" s="25" t="s">
        <v>266</v>
      </c>
      <c r="F70" s="26"/>
      <c r="G70" s="26" t="s">
        <v>963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751</v>
      </c>
      <c r="C71" s="13" t="s">
        <v>666</v>
      </c>
      <c r="D71" s="10" t="s">
        <v>752</v>
      </c>
      <c r="E71" s="25" t="s">
        <v>266</v>
      </c>
      <c r="F71" s="26"/>
      <c r="G71" s="26" t="s">
        <v>964</v>
      </c>
      <c r="H71" s="3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754</v>
      </c>
      <c r="C72" s="13" t="s">
        <v>338</v>
      </c>
      <c r="D72" s="10" t="s">
        <v>755</v>
      </c>
      <c r="E72" s="25" t="s">
        <v>266</v>
      </c>
      <c r="F72" s="26"/>
      <c r="G72" s="26" t="s">
        <v>965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757</v>
      </c>
      <c r="C73" s="13" t="s">
        <v>338</v>
      </c>
      <c r="D73" s="10" t="s">
        <v>758</v>
      </c>
      <c r="E73" s="25" t="s">
        <v>266</v>
      </c>
      <c r="F73" s="26"/>
      <c r="G73" s="26" t="s">
        <v>966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760</v>
      </c>
      <c r="C74" s="13" t="s">
        <v>338</v>
      </c>
      <c r="D74" s="10" t="s">
        <v>761</v>
      </c>
      <c r="E74" s="25" t="s">
        <v>266</v>
      </c>
      <c r="F74" s="26"/>
      <c r="G74" s="26" t="s">
        <v>967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763</v>
      </c>
      <c r="C75" s="13" t="s">
        <v>338</v>
      </c>
      <c r="D75" s="10" t="s">
        <v>764</v>
      </c>
      <c r="E75" s="25" t="s">
        <v>266</v>
      </c>
      <c r="F75" s="26"/>
      <c r="G75" s="26" t="s">
        <v>968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766</v>
      </c>
      <c r="C76" s="13" t="s">
        <v>338</v>
      </c>
      <c r="D76" s="10" t="s">
        <v>767</v>
      </c>
      <c r="E76" s="25" t="s">
        <v>266</v>
      </c>
      <c r="F76" s="26"/>
      <c r="G76" s="26" t="s">
        <v>969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769</v>
      </c>
      <c r="C77" s="13" t="s">
        <v>666</v>
      </c>
      <c r="D77" s="10" t="s">
        <v>770</v>
      </c>
      <c r="E77" s="25" t="s">
        <v>266</v>
      </c>
      <c r="F77" s="26"/>
      <c r="G77" s="26" t="s">
        <v>970</v>
      </c>
      <c r="H77" s="3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772</v>
      </c>
      <c r="C78" s="13" t="s">
        <v>666</v>
      </c>
      <c r="D78" s="10" t="s">
        <v>773</v>
      </c>
      <c r="E78" s="25" t="s">
        <v>266</v>
      </c>
      <c r="F78" s="26"/>
      <c r="G78" s="26" t="s">
        <v>971</v>
      </c>
      <c r="H78" s="3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775</v>
      </c>
      <c r="C79" s="13" t="s">
        <v>338</v>
      </c>
      <c r="D79" s="10" t="s">
        <v>776</v>
      </c>
      <c r="E79" s="25" t="s">
        <v>266</v>
      </c>
      <c r="F79" s="26"/>
      <c r="G79" s="26" t="s">
        <v>972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778</v>
      </c>
      <c r="C80" s="13" t="s">
        <v>338</v>
      </c>
      <c r="D80" s="10" t="s">
        <v>779</v>
      </c>
      <c r="E80" s="25" t="s">
        <v>266</v>
      </c>
      <c r="F80" s="26"/>
      <c r="G80" s="26" t="s">
        <v>973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781</v>
      </c>
      <c r="C81" s="13" t="s">
        <v>338</v>
      </c>
      <c r="D81" s="10" t="s">
        <v>782</v>
      </c>
      <c r="E81" s="25" t="s">
        <v>266</v>
      </c>
      <c r="F81" s="26"/>
      <c r="G81" s="26" t="s">
        <v>974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784</v>
      </c>
      <c r="C82" s="13" t="s">
        <v>338</v>
      </c>
      <c r="D82" s="10" t="s">
        <v>785</v>
      </c>
      <c r="E82" s="25" t="s">
        <v>266</v>
      </c>
      <c r="F82" s="26"/>
      <c r="G82" s="26" t="s">
        <v>975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787</v>
      </c>
      <c r="C83" s="13" t="s">
        <v>338</v>
      </c>
      <c r="D83" s="10" t="s">
        <v>788</v>
      </c>
      <c r="E83" s="25" t="s">
        <v>266</v>
      </c>
      <c r="F83" s="26"/>
      <c r="G83" s="26" t="s">
        <v>976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413</v>
      </c>
      <c r="C84" s="13" t="s">
        <v>666</v>
      </c>
      <c r="D84" s="10" t="s">
        <v>790</v>
      </c>
      <c r="E84" s="25" t="s">
        <v>266</v>
      </c>
      <c r="F84" s="26"/>
      <c r="G84" s="26" t="s">
        <v>977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792</v>
      </c>
      <c r="C85" s="13" t="s">
        <v>338</v>
      </c>
      <c r="D85" s="10" t="s">
        <v>793</v>
      </c>
      <c r="E85" s="25" t="s">
        <v>266</v>
      </c>
      <c r="F85" s="26"/>
      <c r="G85" s="26" t="s">
        <v>978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418</v>
      </c>
      <c r="C86" s="13" t="s">
        <v>666</v>
      </c>
      <c r="D86" s="10" t="s">
        <v>795</v>
      </c>
      <c r="E86" s="25" t="s">
        <v>266</v>
      </c>
      <c r="F86" s="26"/>
      <c r="G86" s="26" t="s">
        <v>979</v>
      </c>
      <c r="H86" s="3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797</v>
      </c>
      <c r="C87" s="13" t="s">
        <v>338</v>
      </c>
      <c r="D87" s="10" t="s">
        <v>798</v>
      </c>
      <c r="E87" s="25" t="s">
        <v>266</v>
      </c>
      <c r="F87" s="26"/>
      <c r="G87" s="26" t="s">
        <v>980</v>
      </c>
      <c r="H87" s="3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800</v>
      </c>
      <c r="C88" s="13" t="s">
        <v>338</v>
      </c>
      <c r="D88" s="10" t="s">
        <v>801</v>
      </c>
      <c r="E88" s="25" t="s">
        <v>266</v>
      </c>
      <c r="F88" s="26"/>
      <c r="G88" s="26" t="s">
        <v>981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551</v>
      </c>
      <c r="C89" s="13" t="s">
        <v>666</v>
      </c>
      <c r="D89" s="10" t="s">
        <v>552</v>
      </c>
      <c r="E89" s="25" t="s">
        <v>266</v>
      </c>
      <c r="F89" s="26"/>
      <c r="G89" s="26" t="s">
        <v>982</v>
      </c>
      <c r="H89" s="3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805</v>
      </c>
      <c r="C90" s="13" t="s">
        <v>338</v>
      </c>
      <c r="D90" s="10" t="s">
        <v>806</v>
      </c>
      <c r="E90" s="25" t="s">
        <v>266</v>
      </c>
      <c r="F90" s="26"/>
      <c r="G90" s="26" t="s">
        <v>983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808</v>
      </c>
      <c r="C91" s="13" t="s">
        <v>338</v>
      </c>
      <c r="D91" s="10" t="s">
        <v>809</v>
      </c>
      <c r="E91" s="25" t="s">
        <v>266</v>
      </c>
      <c r="F91" s="26"/>
      <c r="G91" s="26" t="s">
        <v>984</v>
      </c>
      <c r="H91" s="3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811</v>
      </c>
      <c r="C92" s="13" t="s">
        <v>338</v>
      </c>
      <c r="D92" s="10" t="s">
        <v>812</v>
      </c>
      <c r="E92" s="25" t="s">
        <v>266</v>
      </c>
      <c r="F92" s="26"/>
      <c r="G92" s="26" t="s">
        <v>985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814</v>
      </c>
      <c r="C93" s="13" t="s">
        <v>338</v>
      </c>
      <c r="D93" s="10" t="s">
        <v>815</v>
      </c>
      <c r="E93" s="25" t="s">
        <v>266</v>
      </c>
      <c r="F93" s="26"/>
      <c r="G93" s="26" t="s">
        <v>986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817</v>
      </c>
      <c r="C94" s="13" t="s">
        <v>338</v>
      </c>
      <c r="D94" s="10" t="s">
        <v>818</v>
      </c>
      <c r="E94" s="25" t="s">
        <v>266</v>
      </c>
      <c r="F94" s="26"/>
      <c r="G94" s="26" t="s">
        <v>987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820</v>
      </c>
      <c r="C95" s="13" t="s">
        <v>338</v>
      </c>
      <c r="D95" s="10" t="s">
        <v>821</v>
      </c>
      <c r="E95" s="25" t="s">
        <v>266</v>
      </c>
      <c r="F95" s="26"/>
      <c r="G95" s="26" t="s">
        <v>988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556</v>
      </c>
      <c r="C96" s="13" t="s">
        <v>666</v>
      </c>
      <c r="D96" s="10" t="s">
        <v>557</v>
      </c>
      <c r="E96" s="25" t="s">
        <v>266</v>
      </c>
      <c r="F96" s="26"/>
      <c r="G96" s="26" t="s">
        <v>989</v>
      </c>
      <c r="H96" s="3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13" t="s">
        <v>824</v>
      </c>
      <c r="C97" s="13" t="s">
        <v>338</v>
      </c>
      <c r="D97" s="10" t="s">
        <v>825</v>
      </c>
      <c r="E97" s="25" t="s">
        <v>266</v>
      </c>
      <c r="F97" s="26"/>
      <c r="G97" s="26" t="s">
        <v>990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827</v>
      </c>
      <c r="C98" s="13" t="s">
        <v>338</v>
      </c>
      <c r="D98" s="10" t="s">
        <v>828</v>
      </c>
      <c r="E98" s="25" t="s">
        <v>266</v>
      </c>
      <c r="F98" s="26"/>
      <c r="G98" s="26" t="s">
        <v>991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830</v>
      </c>
      <c r="C99" s="13" t="s">
        <v>338</v>
      </c>
      <c r="D99" s="10" t="s">
        <v>831</v>
      </c>
      <c r="E99" s="25" t="s">
        <v>266</v>
      </c>
      <c r="F99" s="26"/>
      <c r="G99" s="26" t="s">
        <v>992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833</v>
      </c>
      <c r="C100" s="13" t="s">
        <v>338</v>
      </c>
      <c r="D100" s="10" t="s">
        <v>834</v>
      </c>
      <c r="E100" s="25" t="s">
        <v>266</v>
      </c>
      <c r="F100" s="26"/>
      <c r="G100" s="26" t="s">
        <v>993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836</v>
      </c>
      <c r="C101" s="13" t="s">
        <v>338</v>
      </c>
      <c r="D101" s="10" t="s">
        <v>837</v>
      </c>
      <c r="E101" s="25" t="s">
        <v>266</v>
      </c>
      <c r="F101" s="26"/>
      <c r="G101" s="26" t="s">
        <v>994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839</v>
      </c>
      <c r="C102" s="13" t="s">
        <v>338</v>
      </c>
      <c r="D102" s="10" t="s">
        <v>840</v>
      </c>
      <c r="E102" s="25" t="s">
        <v>266</v>
      </c>
      <c r="F102" s="26"/>
      <c r="G102" s="26" t="s">
        <v>995</v>
      </c>
      <c r="H102" s="37"/>
      <c r="I102" s="26"/>
      <c r="J102" s="15" t="s">
        <v>632</v>
      </c>
      <c r="K102" s="15" t="s">
        <v>294</v>
      </c>
      <c r="L102" s="15" t="s">
        <v>633</v>
      </c>
    </row>
    <row r="103" s="1" customFormat="1" spans="1:12">
      <c r="A103" s="33"/>
      <c r="B103" s="13" t="s">
        <v>560</v>
      </c>
      <c r="C103" s="13" t="s">
        <v>666</v>
      </c>
      <c r="D103" s="10" t="s">
        <v>842</v>
      </c>
      <c r="E103" s="25" t="s">
        <v>266</v>
      </c>
      <c r="F103" s="26"/>
      <c r="G103" s="26" t="s">
        <v>996</v>
      </c>
      <c r="H103" s="3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75" t="s">
        <v>844</v>
      </c>
      <c r="C104" s="75" t="s">
        <v>338</v>
      </c>
      <c r="D104" s="76" t="s">
        <v>845</v>
      </c>
      <c r="E104" s="25" t="s">
        <v>266</v>
      </c>
      <c r="F104" s="26"/>
      <c r="G104" s="26" t="s">
        <v>997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847</v>
      </c>
      <c r="C105" s="75" t="s">
        <v>338</v>
      </c>
      <c r="D105" s="76" t="s">
        <v>848</v>
      </c>
      <c r="E105" s="25" t="s">
        <v>266</v>
      </c>
      <c r="F105" s="26"/>
      <c r="G105" s="26" t="s">
        <v>998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850</v>
      </c>
      <c r="C106" s="75" t="s">
        <v>338</v>
      </c>
      <c r="D106" s="76" t="s">
        <v>851</v>
      </c>
      <c r="E106" s="25" t="s">
        <v>266</v>
      </c>
      <c r="F106" s="26"/>
      <c r="G106" s="26" t="s">
        <v>999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853</v>
      </c>
      <c r="C107" s="75" t="s">
        <v>338</v>
      </c>
      <c r="D107" s="76" t="s">
        <v>854</v>
      </c>
      <c r="E107" s="25" t="s">
        <v>266</v>
      </c>
      <c r="F107" s="26"/>
      <c r="G107" s="26" t="s">
        <v>1000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856</v>
      </c>
      <c r="C108" s="75" t="s">
        <v>338</v>
      </c>
      <c r="D108" s="76" t="s">
        <v>857</v>
      </c>
      <c r="E108" s="25" t="s">
        <v>266</v>
      </c>
      <c r="F108" s="26"/>
      <c r="G108" s="26" t="s">
        <v>1001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859</v>
      </c>
      <c r="C109" s="13" t="s">
        <v>338</v>
      </c>
      <c r="D109" s="10" t="s">
        <v>860</v>
      </c>
      <c r="E109" s="25" t="s">
        <v>266</v>
      </c>
      <c r="F109" s="26"/>
      <c r="G109" s="26" t="s">
        <v>1002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862</v>
      </c>
      <c r="C110" s="13" t="s">
        <v>666</v>
      </c>
      <c r="D110" s="10" t="s">
        <v>863</v>
      </c>
      <c r="E110" s="25" t="s">
        <v>266</v>
      </c>
      <c r="F110" s="26"/>
      <c r="G110" s="26" t="s">
        <v>1003</v>
      </c>
      <c r="H110" s="3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462</v>
      </c>
      <c r="C111" s="13" t="s">
        <v>666</v>
      </c>
      <c r="D111" s="10" t="s">
        <v>865</v>
      </c>
      <c r="E111" s="25" t="s">
        <v>266</v>
      </c>
      <c r="F111" s="26"/>
      <c r="G111" s="26" t="s">
        <v>1004</v>
      </c>
      <c r="H111" s="3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538</v>
      </c>
      <c r="C112" s="13" t="s">
        <v>666</v>
      </c>
      <c r="D112" s="10" t="s">
        <v>539</v>
      </c>
      <c r="E112" s="25" t="s">
        <v>266</v>
      </c>
      <c r="F112" s="26"/>
      <c r="G112" s="26" t="s">
        <v>1005</v>
      </c>
      <c r="H112" s="3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868</v>
      </c>
      <c r="C113" s="13" t="s">
        <v>338</v>
      </c>
      <c r="D113" s="10" t="s">
        <v>869</v>
      </c>
      <c r="E113" s="25" t="s">
        <v>266</v>
      </c>
      <c r="F113" s="26"/>
      <c r="G113" s="26" t="s">
        <v>1006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871</v>
      </c>
      <c r="C114" s="13" t="s">
        <v>338</v>
      </c>
      <c r="D114" s="10" t="s">
        <v>872</v>
      </c>
      <c r="E114" s="25" t="s">
        <v>266</v>
      </c>
      <c r="F114" s="26"/>
      <c r="G114" s="26" t="s">
        <v>1007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543</v>
      </c>
      <c r="C115" s="13" t="s">
        <v>666</v>
      </c>
      <c r="D115" s="10" t="s">
        <v>544</v>
      </c>
      <c r="E115" s="25" t="s">
        <v>266</v>
      </c>
      <c r="F115" s="26"/>
      <c r="G115" s="26" t="s">
        <v>1008</v>
      </c>
      <c r="H115" s="3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875</v>
      </c>
      <c r="C116" s="13" t="s">
        <v>338</v>
      </c>
      <c r="D116" s="10" t="s">
        <v>876</v>
      </c>
      <c r="E116" s="25" t="s">
        <v>266</v>
      </c>
      <c r="F116" s="26"/>
      <c r="G116" s="26" t="s">
        <v>1009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887</v>
      </c>
      <c r="C117" s="13" t="s">
        <v>338</v>
      </c>
      <c r="D117" s="10" t="s">
        <v>888</v>
      </c>
      <c r="E117" s="25" t="s">
        <v>266</v>
      </c>
      <c r="F117" s="26"/>
      <c r="G117" s="26" t="s">
        <v>1013</v>
      </c>
      <c r="H117" s="3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890</v>
      </c>
      <c r="C118" s="13" t="s">
        <v>338</v>
      </c>
      <c r="D118" s="10" t="s">
        <v>891</v>
      </c>
      <c r="E118" s="25" t="s">
        <v>266</v>
      </c>
      <c r="F118" s="26"/>
      <c r="G118" s="26" t="s">
        <v>1014</v>
      </c>
      <c r="H118" s="3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893</v>
      </c>
      <c r="C119" s="13" t="s">
        <v>338</v>
      </c>
      <c r="D119" s="10" t="s">
        <v>894</v>
      </c>
      <c r="E119" s="25" t="s">
        <v>266</v>
      </c>
      <c r="F119" s="26"/>
      <c r="G119" s="26" t="s">
        <v>1015</v>
      </c>
      <c r="H119" s="3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896</v>
      </c>
      <c r="C120" s="13" t="s">
        <v>338</v>
      </c>
      <c r="D120" s="10" t="s">
        <v>897</v>
      </c>
      <c r="E120" s="25" t="s">
        <v>266</v>
      </c>
      <c r="F120" s="26"/>
      <c r="G120" s="26" t="s">
        <v>1016</v>
      </c>
      <c r="H120" s="3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899</v>
      </c>
      <c r="C121" s="13" t="s">
        <v>338</v>
      </c>
      <c r="D121" s="10" t="s">
        <v>900</v>
      </c>
      <c r="E121" s="25" t="s">
        <v>266</v>
      </c>
      <c r="F121" s="26"/>
      <c r="G121" s="26" t="s">
        <v>1017</v>
      </c>
      <c r="H121" s="3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902</v>
      </c>
      <c r="C122" s="13" t="s">
        <v>338</v>
      </c>
      <c r="D122" s="10" t="s">
        <v>903</v>
      </c>
      <c r="E122" s="25" t="s">
        <v>266</v>
      </c>
      <c r="F122" s="26"/>
      <c r="G122" s="26" t="s">
        <v>1018</v>
      </c>
      <c r="H122" s="3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905</v>
      </c>
      <c r="C123" s="13" t="s">
        <v>338</v>
      </c>
      <c r="D123" s="10" t="s">
        <v>906</v>
      </c>
      <c r="E123" s="25" t="s">
        <v>266</v>
      </c>
      <c r="F123" s="26"/>
      <c r="G123" s="26" t="s">
        <v>1019</v>
      </c>
      <c r="H123" s="3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908</v>
      </c>
      <c r="C124" s="13" t="s">
        <v>338</v>
      </c>
      <c r="D124" s="10" t="s">
        <v>909</v>
      </c>
      <c r="E124" s="25" t="s">
        <v>266</v>
      </c>
      <c r="F124" s="26"/>
      <c r="G124" s="26" t="s">
        <v>1020</v>
      </c>
      <c r="H124" s="3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911</v>
      </c>
      <c r="C125" s="13" t="s">
        <v>338</v>
      </c>
      <c r="D125" s="10" t="s">
        <v>912</v>
      </c>
      <c r="E125" s="25" t="s">
        <v>266</v>
      </c>
      <c r="F125" s="26"/>
      <c r="G125" s="26" t="s">
        <v>1021</v>
      </c>
      <c r="H125" s="3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3" t="s">
        <v>914</v>
      </c>
      <c r="C126" s="13" t="s">
        <v>338</v>
      </c>
      <c r="D126" s="10" t="s">
        <v>915</v>
      </c>
      <c r="E126" s="25" t="s">
        <v>266</v>
      </c>
      <c r="F126" s="26"/>
      <c r="G126" s="26" t="s">
        <v>1022</v>
      </c>
      <c r="H126" s="37"/>
      <c r="I126" s="26"/>
      <c r="J126" s="15" t="s">
        <v>632</v>
      </c>
      <c r="K126" s="15" t="s">
        <v>294</v>
      </c>
      <c r="L126" s="15" t="s">
        <v>633</v>
      </c>
    </row>
    <row r="127" spans="2:12">
      <c r="B127" s="17" t="s">
        <v>594</v>
      </c>
      <c r="C127" s="18" t="s">
        <v>307</v>
      </c>
      <c r="D127" s="19" t="s">
        <v>595</v>
      </c>
      <c r="E127" s="28"/>
      <c r="F127" s="28"/>
      <c r="G127" s="28" t="s">
        <v>932</v>
      </c>
      <c r="H127" s="17"/>
      <c r="I127" s="17"/>
      <c r="J127" s="17"/>
      <c r="K127" s="17"/>
      <c r="L127" s="17"/>
    </row>
    <row r="128" spans="2:12">
      <c r="B128" s="17" t="s">
        <v>596</v>
      </c>
      <c r="C128" s="18" t="s">
        <v>291</v>
      </c>
      <c r="D128" s="19" t="s">
        <v>597</v>
      </c>
      <c r="E128" s="28"/>
      <c r="F128" s="28"/>
      <c r="G128" s="28" t="s">
        <v>932</v>
      </c>
      <c r="H128" s="17"/>
      <c r="I128" s="17"/>
      <c r="J128" s="17"/>
      <c r="K128" s="17"/>
      <c r="L128" s="17"/>
    </row>
    <row r="129" spans="2:12">
      <c r="B129" s="17" t="s">
        <v>598</v>
      </c>
      <c r="C129" s="18" t="s">
        <v>307</v>
      </c>
      <c r="D129" s="19" t="s">
        <v>599</v>
      </c>
      <c r="E129" s="28"/>
      <c r="F129" s="28"/>
      <c r="G129" s="28" t="s">
        <v>932</v>
      </c>
      <c r="H129" s="17" t="s">
        <v>932</v>
      </c>
      <c r="I129" s="17"/>
      <c r="J129" s="17"/>
      <c r="K129" s="17"/>
      <c r="L129" s="17"/>
    </row>
  </sheetData>
  <autoFilter xmlns:etc="http://www.wps.cn/officeDocument/2017/etCustomData" ref="A13:Q129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zoomScale="115" zoomScaleNormal="11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113</v>
      </c>
      <c r="D5" s="11" t="s">
        <v>114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112</v>
      </c>
      <c r="D9" s="11" t="s">
        <v>1308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295</v>
      </c>
      <c r="C23" s="13" t="s">
        <v>291</v>
      </c>
      <c r="D23" s="10" t="s">
        <v>618</v>
      </c>
      <c r="E23" s="25" t="s">
        <v>266</v>
      </c>
      <c r="F23" s="10" t="s">
        <v>295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10" t="s">
        <v>297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10" t="s">
        <v>300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378</v>
      </c>
      <c r="C26" s="13" t="s">
        <v>291</v>
      </c>
      <c r="D26" s="10" t="s">
        <v>624</v>
      </c>
      <c r="E26" s="25" t="s">
        <v>266</v>
      </c>
      <c r="F26" s="26" t="s">
        <v>378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615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634</v>
      </c>
      <c r="C28" s="13" t="s">
        <v>338</v>
      </c>
      <c r="D28" s="10" t="s">
        <v>635</v>
      </c>
      <c r="E28" s="25" t="s">
        <v>266</v>
      </c>
      <c r="F28" s="26"/>
      <c r="G28" s="26" t="s">
        <v>934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1273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2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1044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653</v>
      </c>
      <c r="C35" s="13" t="s">
        <v>338</v>
      </c>
      <c r="D35" s="10" t="s">
        <v>654</v>
      </c>
      <c r="E35" s="25" t="s">
        <v>266</v>
      </c>
      <c r="F35" s="26"/>
      <c r="G35" s="26" t="s">
        <v>938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662</v>
      </c>
      <c r="C38" s="13" t="s">
        <v>338</v>
      </c>
      <c r="D38" s="10" t="s">
        <v>663</v>
      </c>
      <c r="E38" s="25" t="s">
        <v>266</v>
      </c>
      <c r="F38" s="26"/>
      <c r="G38" s="26" t="s">
        <v>941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665</v>
      </c>
      <c r="C39" s="13" t="s">
        <v>666</v>
      </c>
      <c r="D39" s="10" t="s">
        <v>667</v>
      </c>
      <c r="E39" s="25" t="s">
        <v>266</v>
      </c>
      <c r="F39" s="26"/>
      <c r="G39" s="26" t="s">
        <v>942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671</v>
      </c>
      <c r="C40" s="13" t="s">
        <v>666</v>
      </c>
      <c r="D40" s="10" t="s">
        <v>672</v>
      </c>
      <c r="E40" s="25" t="s">
        <v>266</v>
      </c>
      <c r="F40" s="26"/>
      <c r="G40" s="26" t="s">
        <v>943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675</v>
      </c>
      <c r="C41" s="13" t="s">
        <v>666</v>
      </c>
      <c r="D41" s="10" t="s">
        <v>676</v>
      </c>
      <c r="E41" s="25" t="s">
        <v>266</v>
      </c>
      <c r="F41" s="26"/>
      <c r="G41" s="26" t="s">
        <v>944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678</v>
      </c>
      <c r="C42" s="13" t="s">
        <v>666</v>
      </c>
      <c r="D42" s="10" t="s">
        <v>679</v>
      </c>
      <c r="E42" s="25" t="s">
        <v>266</v>
      </c>
      <c r="F42" s="26"/>
      <c r="G42" s="26" t="s">
        <v>945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681</v>
      </c>
      <c r="C43" s="13" t="s">
        <v>666</v>
      </c>
      <c r="D43" s="10" t="s">
        <v>682</v>
      </c>
      <c r="E43" s="25" t="s">
        <v>266</v>
      </c>
      <c r="F43" s="26"/>
      <c r="G43" s="26" t="s">
        <v>946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684</v>
      </c>
      <c r="C44" s="13" t="s">
        <v>666</v>
      </c>
      <c r="D44" s="10" t="s">
        <v>685</v>
      </c>
      <c r="E44" s="25" t="s">
        <v>266</v>
      </c>
      <c r="F44" s="26"/>
      <c r="G44" s="26" t="s">
        <v>947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687</v>
      </c>
      <c r="C45" s="13" t="s">
        <v>666</v>
      </c>
      <c r="D45" s="10" t="s">
        <v>688</v>
      </c>
      <c r="E45" s="25" t="s">
        <v>266</v>
      </c>
      <c r="F45" s="26"/>
      <c r="G45" s="26" t="s">
        <v>948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690</v>
      </c>
      <c r="C46" s="13" t="s">
        <v>666</v>
      </c>
      <c r="D46" s="10" t="s">
        <v>691</v>
      </c>
      <c r="E46" s="25" t="s">
        <v>266</v>
      </c>
      <c r="F46" s="26"/>
      <c r="G46" s="26" t="s">
        <v>949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1055</v>
      </c>
      <c r="C47" s="13" t="s">
        <v>338</v>
      </c>
      <c r="D47" s="10" t="s">
        <v>693</v>
      </c>
      <c r="E47" s="25" t="s">
        <v>266</v>
      </c>
      <c r="F47" s="26"/>
      <c r="G47" s="26" t="s">
        <v>694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1054</v>
      </c>
      <c r="C48" s="13" t="s">
        <v>338</v>
      </c>
      <c r="D48" s="10" t="s">
        <v>695</v>
      </c>
      <c r="E48" s="25" t="s">
        <v>266</v>
      </c>
      <c r="F48" s="26"/>
      <c r="G48" s="26" t="s">
        <v>696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1056</v>
      </c>
      <c r="C49" s="13" t="s">
        <v>338</v>
      </c>
      <c r="D49" s="10" t="s">
        <v>697</v>
      </c>
      <c r="E49" s="25" t="s">
        <v>266</v>
      </c>
      <c r="F49" s="26"/>
      <c r="G49" s="26" t="s">
        <v>698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1057</v>
      </c>
      <c r="C50" s="13" t="s">
        <v>338</v>
      </c>
      <c r="D50" s="10" t="s">
        <v>699</v>
      </c>
      <c r="E50" s="25" t="s">
        <v>266</v>
      </c>
      <c r="F50" s="26"/>
      <c r="G50" s="26" t="s">
        <v>700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1274</v>
      </c>
      <c r="C51" s="13" t="s">
        <v>338</v>
      </c>
      <c r="D51" s="10" t="s">
        <v>702</v>
      </c>
      <c r="E51" s="25" t="s">
        <v>266</v>
      </c>
      <c r="F51" s="26"/>
      <c r="G51" s="26" t="s">
        <v>950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1275</v>
      </c>
      <c r="C52" s="13" t="s">
        <v>338</v>
      </c>
      <c r="D52" s="10" t="s">
        <v>705</v>
      </c>
      <c r="E52" s="25" t="s">
        <v>266</v>
      </c>
      <c r="F52" s="26"/>
      <c r="G52" s="26" t="s">
        <v>951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707</v>
      </c>
      <c r="C53" s="13" t="s">
        <v>338</v>
      </c>
      <c r="D53" s="10" t="s">
        <v>708</v>
      </c>
      <c r="E53" s="25" t="s">
        <v>266</v>
      </c>
      <c r="F53" s="26"/>
      <c r="G53" s="26" t="s">
        <v>952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710</v>
      </c>
      <c r="C54" s="13" t="s">
        <v>338</v>
      </c>
      <c r="D54" s="10" t="s">
        <v>711</v>
      </c>
      <c r="E54" s="25" t="s">
        <v>266</v>
      </c>
      <c r="F54" s="26"/>
      <c r="G54" s="26" t="s">
        <v>953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713</v>
      </c>
      <c r="C55" s="13" t="s">
        <v>338</v>
      </c>
      <c r="D55" s="10" t="s">
        <v>714</v>
      </c>
      <c r="E55" s="25" t="s">
        <v>266</v>
      </c>
      <c r="F55" s="26"/>
      <c r="G55" s="26" t="s">
        <v>954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716</v>
      </c>
      <c r="C56" s="13" t="s">
        <v>338</v>
      </c>
      <c r="D56" s="10" t="s">
        <v>717</v>
      </c>
      <c r="E56" s="25" t="s">
        <v>266</v>
      </c>
      <c r="F56" s="26"/>
      <c r="G56" s="26" t="s">
        <v>955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1064</v>
      </c>
      <c r="C57" s="13" t="s">
        <v>338</v>
      </c>
      <c r="D57" s="10" t="s">
        <v>719</v>
      </c>
      <c r="E57" s="25" t="s">
        <v>266</v>
      </c>
      <c r="F57" s="26"/>
      <c r="G57" s="26" t="s">
        <v>720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1066</v>
      </c>
      <c r="C58" s="13" t="s">
        <v>338</v>
      </c>
      <c r="D58" s="10" t="s">
        <v>721</v>
      </c>
      <c r="E58" s="25" t="s">
        <v>266</v>
      </c>
      <c r="F58" s="26"/>
      <c r="G58" s="26" t="s">
        <v>722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1276</v>
      </c>
      <c r="C59" s="13" t="s">
        <v>338</v>
      </c>
      <c r="D59" s="10" t="s">
        <v>723</v>
      </c>
      <c r="E59" s="25" t="s">
        <v>266</v>
      </c>
      <c r="F59" s="26"/>
      <c r="G59" s="26" t="s">
        <v>724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1277</v>
      </c>
      <c r="C60" s="13" t="s">
        <v>338</v>
      </c>
      <c r="D60" s="10" t="s">
        <v>725</v>
      </c>
      <c r="E60" s="25" t="s">
        <v>266</v>
      </c>
      <c r="F60" s="26"/>
      <c r="G60" s="26" t="s">
        <v>726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1278</v>
      </c>
      <c r="C61" s="13" t="s">
        <v>338</v>
      </c>
      <c r="D61" s="10" t="s">
        <v>536</v>
      </c>
      <c r="E61" s="25" t="s">
        <v>266</v>
      </c>
      <c r="F61" s="26"/>
      <c r="G61" s="26" t="s">
        <v>727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728</v>
      </c>
      <c r="C62" s="13" t="s">
        <v>338</v>
      </c>
      <c r="D62" s="10" t="s">
        <v>729</v>
      </c>
      <c r="E62" s="25" t="s">
        <v>266</v>
      </c>
      <c r="F62" s="26"/>
      <c r="G62" s="26" t="s">
        <v>956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730</v>
      </c>
      <c r="C63" s="13" t="s">
        <v>666</v>
      </c>
      <c r="D63" s="10" t="s">
        <v>731</v>
      </c>
      <c r="E63" s="25" t="s">
        <v>266</v>
      </c>
      <c r="F63" s="26"/>
      <c r="G63" s="26" t="s">
        <v>957</v>
      </c>
      <c r="H63" s="2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1091</v>
      </c>
      <c r="C64" s="13" t="s">
        <v>338</v>
      </c>
      <c r="D64" s="10" t="s">
        <v>734</v>
      </c>
      <c r="E64" s="25" t="s">
        <v>266</v>
      </c>
      <c r="F64" s="26"/>
      <c r="G64" s="26" t="s">
        <v>958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1093</v>
      </c>
      <c r="C65" s="13" t="s">
        <v>338</v>
      </c>
      <c r="D65" s="10" t="s">
        <v>737</v>
      </c>
      <c r="E65" s="25" t="s">
        <v>266</v>
      </c>
      <c r="F65" s="26"/>
      <c r="G65" s="26" t="s">
        <v>959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1095</v>
      </c>
      <c r="C66" s="13" t="s">
        <v>338</v>
      </c>
      <c r="D66" s="10" t="s">
        <v>740</v>
      </c>
      <c r="E66" s="25" t="s">
        <v>266</v>
      </c>
      <c r="F66" s="26"/>
      <c r="G66" s="26" t="s">
        <v>960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1097</v>
      </c>
      <c r="C67" s="13" t="s">
        <v>338</v>
      </c>
      <c r="D67" s="10" t="s">
        <v>743</v>
      </c>
      <c r="E67" s="25" t="s">
        <v>266</v>
      </c>
      <c r="F67" s="26"/>
      <c r="G67" s="26" t="s">
        <v>961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1099</v>
      </c>
      <c r="C68" s="13" t="s">
        <v>338</v>
      </c>
      <c r="D68" s="10" t="s">
        <v>746</v>
      </c>
      <c r="E68" s="25" t="s">
        <v>266</v>
      </c>
      <c r="F68" s="26"/>
      <c r="G68" s="26" t="s">
        <v>962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748</v>
      </c>
      <c r="C69" s="13" t="s">
        <v>338</v>
      </c>
      <c r="D69" s="10" t="s">
        <v>749</v>
      </c>
      <c r="E69" s="25" t="s">
        <v>266</v>
      </c>
      <c r="F69" s="26"/>
      <c r="G69" s="26" t="s">
        <v>963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751</v>
      </c>
      <c r="C70" s="13" t="s">
        <v>666</v>
      </c>
      <c r="D70" s="10" t="s">
        <v>752</v>
      </c>
      <c r="E70" s="25" t="s">
        <v>266</v>
      </c>
      <c r="F70" s="26"/>
      <c r="G70" s="26" t="s">
        <v>964</v>
      </c>
      <c r="H70" s="2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1104</v>
      </c>
      <c r="C71" s="13" t="s">
        <v>338</v>
      </c>
      <c r="D71" s="10" t="s">
        <v>755</v>
      </c>
      <c r="E71" s="25" t="s">
        <v>266</v>
      </c>
      <c r="F71" s="26"/>
      <c r="G71" s="26" t="s">
        <v>965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1106</v>
      </c>
      <c r="C72" s="13" t="s">
        <v>338</v>
      </c>
      <c r="D72" s="10" t="s">
        <v>758</v>
      </c>
      <c r="E72" s="25" t="s">
        <v>266</v>
      </c>
      <c r="F72" s="26"/>
      <c r="G72" s="26" t="s">
        <v>966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1108</v>
      </c>
      <c r="C73" s="13" t="s">
        <v>338</v>
      </c>
      <c r="D73" s="10" t="s">
        <v>761</v>
      </c>
      <c r="E73" s="25" t="s">
        <v>266</v>
      </c>
      <c r="F73" s="26"/>
      <c r="G73" s="26" t="s">
        <v>967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1110</v>
      </c>
      <c r="C74" s="13" t="s">
        <v>338</v>
      </c>
      <c r="D74" s="10" t="s">
        <v>764</v>
      </c>
      <c r="E74" s="25" t="s">
        <v>266</v>
      </c>
      <c r="F74" s="26"/>
      <c r="G74" s="26" t="s">
        <v>968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1112</v>
      </c>
      <c r="C75" s="13" t="s">
        <v>338</v>
      </c>
      <c r="D75" s="10" t="s">
        <v>767</v>
      </c>
      <c r="E75" s="25" t="s">
        <v>266</v>
      </c>
      <c r="F75" s="26"/>
      <c r="G75" s="26" t="s">
        <v>969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769</v>
      </c>
      <c r="C76" s="13" t="s">
        <v>666</v>
      </c>
      <c r="D76" s="10" t="s">
        <v>770</v>
      </c>
      <c r="E76" s="25" t="s">
        <v>266</v>
      </c>
      <c r="F76" s="26"/>
      <c r="G76" s="26" t="s">
        <v>970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772</v>
      </c>
      <c r="C77" s="13" t="s">
        <v>666</v>
      </c>
      <c r="D77" s="10" t="s">
        <v>773</v>
      </c>
      <c r="E77" s="25" t="s">
        <v>266</v>
      </c>
      <c r="F77" s="26"/>
      <c r="G77" s="26" t="s">
        <v>971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1279</v>
      </c>
      <c r="C78" s="13" t="s">
        <v>338</v>
      </c>
      <c r="D78" s="10" t="s">
        <v>776</v>
      </c>
      <c r="E78" s="25" t="s">
        <v>266</v>
      </c>
      <c r="F78" s="26"/>
      <c r="G78" s="26" t="s">
        <v>972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1280</v>
      </c>
      <c r="C79" s="13" t="s">
        <v>338</v>
      </c>
      <c r="D79" s="10" t="s">
        <v>779</v>
      </c>
      <c r="E79" s="25" t="s">
        <v>266</v>
      </c>
      <c r="F79" s="26"/>
      <c r="G79" s="26" t="s">
        <v>973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1281</v>
      </c>
      <c r="C80" s="13" t="s">
        <v>338</v>
      </c>
      <c r="D80" s="10" t="s">
        <v>782</v>
      </c>
      <c r="E80" s="25" t="s">
        <v>266</v>
      </c>
      <c r="F80" s="26"/>
      <c r="G80" s="26" t="s">
        <v>974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1282</v>
      </c>
      <c r="C81" s="13" t="s">
        <v>338</v>
      </c>
      <c r="D81" s="10" t="s">
        <v>785</v>
      </c>
      <c r="E81" s="25" t="s">
        <v>266</v>
      </c>
      <c r="F81" s="26"/>
      <c r="G81" s="26" t="s">
        <v>975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1283</v>
      </c>
      <c r="C82" s="13" t="s">
        <v>338</v>
      </c>
      <c r="D82" s="10" t="s">
        <v>788</v>
      </c>
      <c r="E82" s="25" t="s">
        <v>266</v>
      </c>
      <c r="F82" s="26"/>
      <c r="G82" s="26" t="s">
        <v>976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1284</v>
      </c>
      <c r="C83" s="13" t="s">
        <v>666</v>
      </c>
      <c r="D83" s="10" t="s">
        <v>790</v>
      </c>
      <c r="E83" s="25" t="s">
        <v>266</v>
      </c>
      <c r="F83" s="26"/>
      <c r="G83" s="26" t="s">
        <v>977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792</v>
      </c>
      <c r="C84" s="13" t="s">
        <v>338</v>
      </c>
      <c r="D84" s="10" t="s">
        <v>793</v>
      </c>
      <c r="E84" s="25" t="s">
        <v>266</v>
      </c>
      <c r="F84" s="26"/>
      <c r="G84" s="26" t="s">
        <v>978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1285</v>
      </c>
      <c r="C85" s="13" t="s">
        <v>666</v>
      </c>
      <c r="D85" s="10" t="s">
        <v>795</v>
      </c>
      <c r="E85" s="25" t="s">
        <v>266</v>
      </c>
      <c r="F85" s="26"/>
      <c r="G85" s="26" t="s">
        <v>979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797</v>
      </c>
      <c r="C86" s="13" t="s">
        <v>338</v>
      </c>
      <c r="D86" s="10" t="s">
        <v>798</v>
      </c>
      <c r="E86" s="25" t="s">
        <v>266</v>
      </c>
      <c r="F86" s="26"/>
      <c r="G86" s="26" t="s">
        <v>980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800</v>
      </c>
      <c r="C87" s="13" t="s">
        <v>338</v>
      </c>
      <c r="D87" s="10" t="s">
        <v>801</v>
      </c>
      <c r="E87" s="25" t="s">
        <v>266</v>
      </c>
      <c r="F87" s="26"/>
      <c r="G87" s="26" t="s">
        <v>981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1286</v>
      </c>
      <c r="C88" s="13" t="s">
        <v>666</v>
      </c>
      <c r="D88" s="10" t="s">
        <v>552</v>
      </c>
      <c r="E88" s="25" t="s">
        <v>266</v>
      </c>
      <c r="F88" s="26"/>
      <c r="G88" s="26" t="s">
        <v>982</v>
      </c>
      <c r="H88" s="2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805</v>
      </c>
      <c r="C89" s="13" t="s">
        <v>338</v>
      </c>
      <c r="D89" s="10" t="s">
        <v>806</v>
      </c>
      <c r="E89" s="25" t="s">
        <v>266</v>
      </c>
      <c r="F89" s="26"/>
      <c r="G89" s="26" t="s">
        <v>983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808</v>
      </c>
      <c r="C90" s="13" t="s">
        <v>338</v>
      </c>
      <c r="D90" s="10" t="s">
        <v>809</v>
      </c>
      <c r="E90" s="25" t="s">
        <v>266</v>
      </c>
      <c r="F90" s="26"/>
      <c r="G90" s="26" t="s">
        <v>984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811</v>
      </c>
      <c r="C91" s="13" t="s">
        <v>338</v>
      </c>
      <c r="D91" s="10" t="s">
        <v>812</v>
      </c>
      <c r="E91" s="25" t="s">
        <v>266</v>
      </c>
      <c r="F91" s="26"/>
      <c r="G91" s="26" t="s">
        <v>985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814</v>
      </c>
      <c r="C92" s="13" t="s">
        <v>338</v>
      </c>
      <c r="D92" s="10" t="s">
        <v>815</v>
      </c>
      <c r="E92" s="25" t="s">
        <v>266</v>
      </c>
      <c r="F92" s="26"/>
      <c r="G92" s="26" t="s">
        <v>986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817</v>
      </c>
      <c r="C93" s="13" t="s">
        <v>338</v>
      </c>
      <c r="D93" s="10" t="s">
        <v>818</v>
      </c>
      <c r="E93" s="25" t="s">
        <v>266</v>
      </c>
      <c r="F93" s="26"/>
      <c r="G93" s="26" t="s">
        <v>987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820</v>
      </c>
      <c r="C94" s="13" t="s">
        <v>338</v>
      </c>
      <c r="D94" s="10" t="s">
        <v>821</v>
      </c>
      <c r="E94" s="25" t="s">
        <v>266</v>
      </c>
      <c r="F94" s="26"/>
      <c r="G94" s="26" t="s">
        <v>988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1287</v>
      </c>
      <c r="C95" s="13" t="s">
        <v>666</v>
      </c>
      <c r="D95" s="10" t="s">
        <v>557</v>
      </c>
      <c r="E95" s="25" t="s">
        <v>266</v>
      </c>
      <c r="F95" s="26"/>
      <c r="G95" s="26" t="s">
        <v>989</v>
      </c>
      <c r="H95" s="2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824</v>
      </c>
      <c r="C96" s="13" t="s">
        <v>338</v>
      </c>
      <c r="D96" s="10" t="s">
        <v>825</v>
      </c>
      <c r="E96" s="25" t="s">
        <v>266</v>
      </c>
      <c r="F96" s="26"/>
      <c r="G96" s="26" t="s">
        <v>990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827</v>
      </c>
      <c r="C97" s="13" t="s">
        <v>338</v>
      </c>
      <c r="D97" s="10" t="s">
        <v>828</v>
      </c>
      <c r="E97" s="25" t="s">
        <v>266</v>
      </c>
      <c r="F97" s="26"/>
      <c r="G97" s="26" t="s">
        <v>991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830</v>
      </c>
      <c r="C98" s="13" t="s">
        <v>338</v>
      </c>
      <c r="D98" s="10" t="s">
        <v>831</v>
      </c>
      <c r="E98" s="25" t="s">
        <v>266</v>
      </c>
      <c r="F98" s="26"/>
      <c r="G98" s="26" t="s">
        <v>992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833</v>
      </c>
      <c r="C99" s="13" t="s">
        <v>338</v>
      </c>
      <c r="D99" s="10" t="s">
        <v>834</v>
      </c>
      <c r="E99" s="25" t="s">
        <v>266</v>
      </c>
      <c r="F99" s="26"/>
      <c r="G99" s="26" t="s">
        <v>993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836</v>
      </c>
      <c r="C100" s="13" t="s">
        <v>338</v>
      </c>
      <c r="D100" s="10" t="s">
        <v>837</v>
      </c>
      <c r="E100" s="25" t="s">
        <v>266</v>
      </c>
      <c r="F100" s="26"/>
      <c r="G100" s="26" t="s">
        <v>994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839</v>
      </c>
      <c r="C101" s="13" t="s">
        <v>338</v>
      </c>
      <c r="D101" s="10" t="s">
        <v>840</v>
      </c>
      <c r="E101" s="25" t="s">
        <v>266</v>
      </c>
      <c r="F101" s="26"/>
      <c r="G101" s="26" t="s">
        <v>995</v>
      </c>
      <c r="H101" s="27"/>
      <c r="I101" s="26"/>
      <c r="J101" s="15" t="s">
        <v>632</v>
      </c>
      <c r="K101" s="15" t="s">
        <v>294</v>
      </c>
      <c r="L101" s="15" t="s">
        <v>633</v>
      </c>
    </row>
    <row r="102" s="1" customFormat="1" spans="1:12">
      <c r="A102" s="33"/>
      <c r="B102" s="13" t="s">
        <v>1288</v>
      </c>
      <c r="C102" s="13" t="s">
        <v>666</v>
      </c>
      <c r="D102" s="10" t="s">
        <v>842</v>
      </c>
      <c r="E102" s="25" t="s">
        <v>266</v>
      </c>
      <c r="F102" s="26"/>
      <c r="G102" s="26" t="s">
        <v>996</v>
      </c>
      <c r="H102" s="27"/>
      <c r="I102" s="26"/>
      <c r="J102" s="15" t="s">
        <v>632</v>
      </c>
      <c r="K102" s="15" t="s">
        <v>404</v>
      </c>
      <c r="L102" s="15" t="s">
        <v>633</v>
      </c>
    </row>
    <row r="103" s="1" customFormat="1" spans="1:12">
      <c r="A103" s="33"/>
      <c r="B103" s="75" t="s">
        <v>844</v>
      </c>
      <c r="C103" s="75" t="s">
        <v>338</v>
      </c>
      <c r="D103" s="76" t="s">
        <v>845</v>
      </c>
      <c r="E103" s="25" t="s">
        <v>266</v>
      </c>
      <c r="F103" s="26"/>
      <c r="G103" s="26" t="s">
        <v>997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847</v>
      </c>
      <c r="C104" s="75" t="s">
        <v>338</v>
      </c>
      <c r="D104" s="76" t="s">
        <v>848</v>
      </c>
      <c r="E104" s="25" t="s">
        <v>266</v>
      </c>
      <c r="F104" s="26"/>
      <c r="G104" s="26" t="s">
        <v>998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850</v>
      </c>
      <c r="C105" s="75" t="s">
        <v>338</v>
      </c>
      <c r="D105" s="76" t="s">
        <v>851</v>
      </c>
      <c r="E105" s="25" t="s">
        <v>266</v>
      </c>
      <c r="F105" s="26"/>
      <c r="G105" s="26" t="s">
        <v>999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853</v>
      </c>
      <c r="C106" s="75" t="s">
        <v>338</v>
      </c>
      <c r="D106" s="76" t="s">
        <v>854</v>
      </c>
      <c r="E106" s="25" t="s">
        <v>266</v>
      </c>
      <c r="F106" s="26"/>
      <c r="G106" s="26" t="s">
        <v>1000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856</v>
      </c>
      <c r="C107" s="75" t="s">
        <v>338</v>
      </c>
      <c r="D107" s="76" t="s">
        <v>857</v>
      </c>
      <c r="E107" s="25" t="s">
        <v>266</v>
      </c>
      <c r="F107" s="26"/>
      <c r="G107" s="26" t="s">
        <v>1001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859</v>
      </c>
      <c r="C108" s="13" t="s">
        <v>338</v>
      </c>
      <c r="D108" s="10" t="s">
        <v>860</v>
      </c>
      <c r="E108" s="25" t="s">
        <v>266</v>
      </c>
      <c r="F108" s="26"/>
      <c r="G108" s="26" t="s">
        <v>1002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1289</v>
      </c>
      <c r="C109" s="13" t="s">
        <v>666</v>
      </c>
      <c r="D109" s="10" t="s">
        <v>863</v>
      </c>
      <c r="E109" s="25" t="s">
        <v>266</v>
      </c>
      <c r="F109" s="26"/>
      <c r="G109" s="26" t="s">
        <v>1003</v>
      </c>
      <c r="H109" s="2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462</v>
      </c>
      <c r="C110" s="13" t="s">
        <v>666</v>
      </c>
      <c r="D110" s="10" t="s">
        <v>865</v>
      </c>
      <c r="E110" s="25" t="s">
        <v>266</v>
      </c>
      <c r="F110" s="26"/>
      <c r="G110" s="26" t="s">
        <v>1004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1290</v>
      </c>
      <c r="C111" s="13" t="s">
        <v>666</v>
      </c>
      <c r="D111" s="10" t="s">
        <v>539</v>
      </c>
      <c r="E111" s="25" t="s">
        <v>266</v>
      </c>
      <c r="F111" s="26"/>
      <c r="G111" s="26" t="s">
        <v>1005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1291</v>
      </c>
      <c r="C112" s="13" t="s">
        <v>338</v>
      </c>
      <c r="D112" s="10" t="s">
        <v>869</v>
      </c>
      <c r="E112" s="25" t="s">
        <v>266</v>
      </c>
      <c r="F112" s="26"/>
      <c r="G112" s="26" t="s">
        <v>1006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1292</v>
      </c>
      <c r="C113" s="13" t="s">
        <v>338</v>
      </c>
      <c r="D113" s="10" t="s">
        <v>872</v>
      </c>
      <c r="E113" s="25" t="s">
        <v>266</v>
      </c>
      <c r="F113" s="26"/>
      <c r="G113" s="26" t="s">
        <v>1007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1293</v>
      </c>
      <c r="C114" s="13" t="s">
        <v>666</v>
      </c>
      <c r="D114" s="10" t="s">
        <v>544</v>
      </c>
      <c r="E114" s="25" t="s">
        <v>266</v>
      </c>
      <c r="F114" s="26"/>
      <c r="G114" s="26" t="s">
        <v>1008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875</v>
      </c>
      <c r="C115" s="13" t="s">
        <v>338</v>
      </c>
      <c r="D115" s="10" t="s">
        <v>876</v>
      </c>
      <c r="E115" s="25" t="s">
        <v>266</v>
      </c>
      <c r="F115" s="26"/>
      <c r="G115" s="26" t="s">
        <v>1009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887</v>
      </c>
      <c r="C116" s="13" t="s">
        <v>338</v>
      </c>
      <c r="D116" s="10" t="s">
        <v>888</v>
      </c>
      <c r="E116" s="25" t="s">
        <v>266</v>
      </c>
      <c r="F116" s="26"/>
      <c r="G116" s="26" t="s">
        <v>1013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="1" customFormat="1" spans="1:12">
      <c r="A117" s="33"/>
      <c r="B117" s="13" t="s">
        <v>1294</v>
      </c>
      <c r="C117" s="13" t="s">
        <v>338</v>
      </c>
      <c r="D117" s="10" t="s">
        <v>891</v>
      </c>
      <c r="E117" s="25" t="s">
        <v>266</v>
      </c>
      <c r="F117" s="26"/>
      <c r="G117" s="26" t="s">
        <v>1014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="1" customFormat="1" spans="1:12">
      <c r="A118" s="33"/>
      <c r="B118" s="13" t="s">
        <v>1295</v>
      </c>
      <c r="C118" s="13" t="s">
        <v>338</v>
      </c>
      <c r="D118" s="10" t="s">
        <v>894</v>
      </c>
      <c r="E118" s="25" t="s">
        <v>266</v>
      </c>
      <c r="F118" s="26"/>
      <c r="G118" s="26" t="s">
        <v>1015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1296</v>
      </c>
      <c r="C119" s="13" t="s">
        <v>338</v>
      </c>
      <c r="D119" s="10" t="s">
        <v>897</v>
      </c>
      <c r="E119" s="25" t="s">
        <v>266</v>
      </c>
      <c r="F119" s="26"/>
      <c r="G119" s="26" t="s">
        <v>1016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pans="2:12">
      <c r="B120" s="13" t="s">
        <v>899</v>
      </c>
      <c r="C120" s="13" t="s">
        <v>338</v>
      </c>
      <c r="D120" s="10" t="s">
        <v>900</v>
      </c>
      <c r="E120" s="25" t="s">
        <v>266</v>
      </c>
      <c r="F120" s="26"/>
      <c r="G120" s="26" t="s">
        <v>1017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pans="2:12">
      <c r="B121" s="13" t="s">
        <v>902</v>
      </c>
      <c r="C121" s="13" t="s">
        <v>338</v>
      </c>
      <c r="D121" s="10" t="s">
        <v>903</v>
      </c>
      <c r="E121" s="25" t="s">
        <v>266</v>
      </c>
      <c r="F121" s="26"/>
      <c r="G121" s="26" t="s">
        <v>1018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pans="2:12">
      <c r="B122" s="13" t="s">
        <v>905</v>
      </c>
      <c r="C122" s="13" t="s">
        <v>338</v>
      </c>
      <c r="D122" s="10" t="s">
        <v>906</v>
      </c>
      <c r="E122" s="25" t="s">
        <v>266</v>
      </c>
      <c r="F122" s="26"/>
      <c r="G122" s="26" t="s">
        <v>1019</v>
      </c>
      <c r="H122" s="27"/>
      <c r="I122" s="26"/>
      <c r="J122" s="15" t="s">
        <v>632</v>
      </c>
      <c r="K122" s="15" t="s">
        <v>294</v>
      </c>
      <c r="L122" s="15" t="s">
        <v>633</v>
      </c>
    </row>
    <row r="123" spans="2:12">
      <c r="B123" s="13" t="s">
        <v>1297</v>
      </c>
      <c r="C123" s="13" t="s">
        <v>338</v>
      </c>
      <c r="D123" s="10" t="s">
        <v>909</v>
      </c>
      <c r="E123" s="25" t="s">
        <v>266</v>
      </c>
      <c r="F123" s="26"/>
      <c r="G123" s="26" t="s">
        <v>1020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pans="2:12">
      <c r="B124" s="13" t="s">
        <v>1298</v>
      </c>
      <c r="C124" s="13" t="s">
        <v>338</v>
      </c>
      <c r="D124" s="10" t="s">
        <v>912</v>
      </c>
      <c r="E124" s="25" t="s">
        <v>266</v>
      </c>
      <c r="F124" s="26"/>
      <c r="G124" s="26" t="s">
        <v>1021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pans="2:12">
      <c r="B125" s="13" t="s">
        <v>1299</v>
      </c>
      <c r="C125" s="13" t="s">
        <v>338</v>
      </c>
      <c r="D125" s="10" t="s">
        <v>915</v>
      </c>
      <c r="E125" s="25" t="s">
        <v>266</v>
      </c>
      <c r="F125" s="26"/>
      <c r="G125" s="26" t="s">
        <v>1022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pans="2:12">
      <c r="B126" s="17" t="s">
        <v>594</v>
      </c>
      <c r="C126" s="18" t="s">
        <v>307</v>
      </c>
      <c r="D126" s="19" t="s">
        <v>595</v>
      </c>
      <c r="E126" s="28"/>
      <c r="F126" s="28"/>
      <c r="G126" s="17" t="s">
        <v>932</v>
      </c>
      <c r="H126" s="17"/>
      <c r="I126" s="17"/>
      <c r="J126" s="17"/>
      <c r="K126" s="17"/>
      <c r="L126" s="17"/>
    </row>
    <row r="127" spans="2:12">
      <c r="B127" s="17" t="s">
        <v>596</v>
      </c>
      <c r="C127" s="18" t="s">
        <v>291</v>
      </c>
      <c r="D127" s="19" t="s">
        <v>597</v>
      </c>
      <c r="E127" s="28"/>
      <c r="F127" s="28"/>
      <c r="G127" s="17" t="s">
        <v>932</v>
      </c>
      <c r="H127" s="17" t="s">
        <v>932</v>
      </c>
      <c r="I127" s="17"/>
      <c r="J127" s="17"/>
      <c r="K127" s="17"/>
      <c r="L127" s="17"/>
    </row>
  </sheetData>
  <autoFilter xmlns:etc="http://www.wps.cn/officeDocument/2017/etCustomData" ref="A13:Q12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116</v>
      </c>
      <c r="D5" s="11" t="s">
        <v>117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1309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2:12">
      <c r="B27" s="32" t="s">
        <v>1305</v>
      </c>
      <c r="C27" s="34" t="s">
        <v>307</v>
      </c>
      <c r="D27" s="10" t="s">
        <v>1306</v>
      </c>
      <c r="E27" s="25" t="s">
        <v>266</v>
      </c>
      <c r="F27" s="10" t="s">
        <v>1305</v>
      </c>
      <c r="G27" s="26" t="s">
        <v>293</v>
      </c>
      <c r="H27" s="27"/>
      <c r="I27" s="15"/>
      <c r="J27" s="15" t="s">
        <v>604</v>
      </c>
      <c r="K27" s="15" t="s">
        <v>294</v>
      </c>
      <c r="L27" s="15" t="s">
        <v>626</v>
      </c>
    </row>
    <row r="28" s="1" customFormat="1" spans="1:12">
      <c r="A28" s="33"/>
      <c r="B28" s="32" t="s">
        <v>378</v>
      </c>
      <c r="C28" s="13" t="s">
        <v>291</v>
      </c>
      <c r="D28" s="10" t="s">
        <v>624</v>
      </c>
      <c r="E28" s="25" t="s">
        <v>266</v>
      </c>
      <c r="F28" s="26" t="s">
        <v>378</v>
      </c>
      <c r="G28" s="26" t="s">
        <v>293</v>
      </c>
      <c r="H28" s="37"/>
      <c r="I28" s="30"/>
      <c r="J28" s="15" t="s">
        <v>604</v>
      </c>
      <c r="K28" s="15" t="s">
        <v>294</v>
      </c>
      <c r="L28" s="15" t="s">
        <v>615</v>
      </c>
    </row>
    <row r="29" s="1" customFormat="1" spans="1:12">
      <c r="A29" s="33"/>
      <c r="B29" s="13" t="s">
        <v>629</v>
      </c>
      <c r="C29" s="13" t="s">
        <v>338</v>
      </c>
      <c r="D29" s="10" t="s">
        <v>630</v>
      </c>
      <c r="E29" s="25" t="s">
        <v>266</v>
      </c>
      <c r="F29" s="26"/>
      <c r="G29" s="26" t="s">
        <v>933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634</v>
      </c>
      <c r="C30" s="13" t="s">
        <v>338</v>
      </c>
      <c r="D30" s="10" t="s">
        <v>635</v>
      </c>
      <c r="E30" s="25" t="s">
        <v>266</v>
      </c>
      <c r="F30" s="26"/>
      <c r="G30" s="26" t="s">
        <v>934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13" t="s">
        <v>637</v>
      </c>
      <c r="C31" s="13" t="s">
        <v>338</v>
      </c>
      <c r="D31" s="10" t="s">
        <v>638</v>
      </c>
      <c r="E31" s="25" t="s">
        <v>266</v>
      </c>
      <c r="F31" s="26"/>
      <c r="G31" s="26" t="s">
        <v>935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32" t="s">
        <v>1273</v>
      </c>
      <c r="C32" s="32" t="s">
        <v>338</v>
      </c>
      <c r="D32" s="10" t="s">
        <v>640</v>
      </c>
      <c r="E32" s="25" t="s">
        <v>266</v>
      </c>
      <c r="F32" s="26"/>
      <c r="G32" s="26" t="s">
        <v>641</v>
      </c>
      <c r="H32" s="27"/>
      <c r="I32" s="26"/>
      <c r="J32" s="15" t="s">
        <v>632</v>
      </c>
      <c r="K32" s="15" t="s">
        <v>404</v>
      </c>
      <c r="L32" s="15" t="s">
        <v>633</v>
      </c>
    </row>
    <row r="33" s="1" customFormat="1" spans="1:12">
      <c r="A33" s="33"/>
      <c r="B33" s="13" t="s">
        <v>1044</v>
      </c>
      <c r="C33" s="13" t="s">
        <v>338</v>
      </c>
      <c r="D33" s="10" t="s">
        <v>642</v>
      </c>
      <c r="E33" s="25" t="s">
        <v>266</v>
      </c>
      <c r="F33" s="26"/>
      <c r="G33" s="26" t="s">
        <v>643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1045</v>
      </c>
      <c r="C34" s="13" t="s">
        <v>338</v>
      </c>
      <c r="D34" s="10" t="s">
        <v>645</v>
      </c>
      <c r="E34" s="25" t="s">
        <v>266</v>
      </c>
      <c r="F34" s="26"/>
      <c r="G34" s="26" t="s">
        <v>646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647</v>
      </c>
      <c r="C35" s="13" t="s">
        <v>338</v>
      </c>
      <c r="D35" s="10" t="s">
        <v>648</v>
      </c>
      <c r="E35" s="25" t="s">
        <v>266</v>
      </c>
      <c r="F35" s="26"/>
      <c r="G35" s="26" t="s">
        <v>936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650</v>
      </c>
      <c r="C36" s="13" t="s">
        <v>338</v>
      </c>
      <c r="D36" s="10" t="s">
        <v>651</v>
      </c>
      <c r="E36" s="25" t="s">
        <v>266</v>
      </c>
      <c r="F36" s="26"/>
      <c r="G36" s="26" t="s">
        <v>937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653</v>
      </c>
      <c r="C37" s="13" t="s">
        <v>338</v>
      </c>
      <c r="D37" s="10" t="s">
        <v>654</v>
      </c>
      <c r="E37" s="25" t="s">
        <v>266</v>
      </c>
      <c r="F37" s="26"/>
      <c r="G37" s="26" t="s">
        <v>938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656</v>
      </c>
      <c r="C38" s="13" t="s">
        <v>338</v>
      </c>
      <c r="D38" s="10" t="s">
        <v>657</v>
      </c>
      <c r="E38" s="25" t="s">
        <v>266</v>
      </c>
      <c r="F38" s="26"/>
      <c r="G38" s="26" t="s">
        <v>939</v>
      </c>
      <c r="H38" s="27"/>
      <c r="I38" s="26"/>
      <c r="J38" s="15" t="s">
        <v>632</v>
      </c>
      <c r="K38" s="15" t="s">
        <v>644</v>
      </c>
      <c r="L38" s="15" t="s">
        <v>633</v>
      </c>
    </row>
    <row r="39" s="1" customFormat="1" spans="1:12">
      <c r="A39" s="33"/>
      <c r="B39" s="13" t="s">
        <v>659</v>
      </c>
      <c r="C39" s="13" t="s">
        <v>338</v>
      </c>
      <c r="D39" s="10" t="s">
        <v>660</v>
      </c>
      <c r="E39" s="25" t="s">
        <v>266</v>
      </c>
      <c r="F39" s="26"/>
      <c r="G39" s="26" t="s">
        <v>940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662</v>
      </c>
      <c r="C40" s="13" t="s">
        <v>338</v>
      </c>
      <c r="D40" s="10" t="s">
        <v>663</v>
      </c>
      <c r="E40" s="25" t="s">
        <v>266</v>
      </c>
      <c r="F40" s="26"/>
      <c r="G40" s="26" t="s">
        <v>941</v>
      </c>
      <c r="H40" s="2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665</v>
      </c>
      <c r="C41" s="13" t="s">
        <v>666</v>
      </c>
      <c r="D41" s="10" t="s">
        <v>667</v>
      </c>
      <c r="E41" s="25" t="s">
        <v>266</v>
      </c>
      <c r="F41" s="26"/>
      <c r="G41" s="26" t="s">
        <v>942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671</v>
      </c>
      <c r="C42" s="13" t="s">
        <v>666</v>
      </c>
      <c r="D42" s="10" t="s">
        <v>672</v>
      </c>
      <c r="E42" s="25" t="s">
        <v>266</v>
      </c>
      <c r="F42" s="26"/>
      <c r="G42" s="26" t="s">
        <v>943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675</v>
      </c>
      <c r="C43" s="13" t="s">
        <v>666</v>
      </c>
      <c r="D43" s="10" t="s">
        <v>676</v>
      </c>
      <c r="E43" s="25" t="s">
        <v>266</v>
      </c>
      <c r="F43" s="26"/>
      <c r="G43" s="26" t="s">
        <v>944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678</v>
      </c>
      <c r="C44" s="13" t="s">
        <v>666</v>
      </c>
      <c r="D44" s="10" t="s">
        <v>679</v>
      </c>
      <c r="E44" s="25" t="s">
        <v>266</v>
      </c>
      <c r="F44" s="26"/>
      <c r="G44" s="26" t="s">
        <v>945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681</v>
      </c>
      <c r="C45" s="13" t="s">
        <v>666</v>
      </c>
      <c r="D45" s="10" t="s">
        <v>682</v>
      </c>
      <c r="E45" s="25" t="s">
        <v>266</v>
      </c>
      <c r="F45" s="26"/>
      <c r="G45" s="26" t="s">
        <v>946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684</v>
      </c>
      <c r="C46" s="13" t="s">
        <v>666</v>
      </c>
      <c r="D46" s="10" t="s">
        <v>685</v>
      </c>
      <c r="E46" s="25" t="s">
        <v>266</v>
      </c>
      <c r="F46" s="26"/>
      <c r="G46" s="26" t="s">
        <v>947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687</v>
      </c>
      <c r="C47" s="13" t="s">
        <v>666</v>
      </c>
      <c r="D47" s="10" t="s">
        <v>688</v>
      </c>
      <c r="E47" s="25" t="s">
        <v>266</v>
      </c>
      <c r="F47" s="26"/>
      <c r="G47" s="26" t="s">
        <v>948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690</v>
      </c>
      <c r="C48" s="13" t="s">
        <v>666</v>
      </c>
      <c r="D48" s="10" t="s">
        <v>691</v>
      </c>
      <c r="E48" s="25" t="s">
        <v>266</v>
      </c>
      <c r="F48" s="26"/>
      <c r="G48" s="26" t="s">
        <v>949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1055</v>
      </c>
      <c r="C49" s="13" t="s">
        <v>338</v>
      </c>
      <c r="D49" s="10" t="s">
        <v>693</v>
      </c>
      <c r="E49" s="25" t="s">
        <v>266</v>
      </c>
      <c r="F49" s="26"/>
      <c r="G49" s="26" t="s">
        <v>694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1054</v>
      </c>
      <c r="C50" s="13" t="s">
        <v>338</v>
      </c>
      <c r="D50" s="10" t="s">
        <v>695</v>
      </c>
      <c r="E50" s="25" t="s">
        <v>266</v>
      </c>
      <c r="F50" s="26"/>
      <c r="G50" s="26" t="s">
        <v>696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1056</v>
      </c>
      <c r="C51" s="13" t="s">
        <v>338</v>
      </c>
      <c r="D51" s="10" t="s">
        <v>697</v>
      </c>
      <c r="E51" s="25" t="s">
        <v>266</v>
      </c>
      <c r="F51" s="26"/>
      <c r="G51" s="26" t="s">
        <v>698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1057</v>
      </c>
      <c r="C52" s="13" t="s">
        <v>338</v>
      </c>
      <c r="D52" s="10" t="s">
        <v>699</v>
      </c>
      <c r="E52" s="25" t="s">
        <v>266</v>
      </c>
      <c r="F52" s="26"/>
      <c r="G52" s="26" t="s">
        <v>700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1274</v>
      </c>
      <c r="C53" s="13" t="s">
        <v>338</v>
      </c>
      <c r="D53" s="10" t="s">
        <v>702</v>
      </c>
      <c r="E53" s="25" t="s">
        <v>266</v>
      </c>
      <c r="F53" s="26"/>
      <c r="G53" s="26" t="s">
        <v>950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1275</v>
      </c>
      <c r="C54" s="13" t="s">
        <v>338</v>
      </c>
      <c r="D54" s="10" t="s">
        <v>705</v>
      </c>
      <c r="E54" s="25" t="s">
        <v>266</v>
      </c>
      <c r="F54" s="26"/>
      <c r="G54" s="26" t="s">
        <v>951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707</v>
      </c>
      <c r="C55" s="13" t="s">
        <v>338</v>
      </c>
      <c r="D55" s="10" t="s">
        <v>708</v>
      </c>
      <c r="E55" s="25" t="s">
        <v>266</v>
      </c>
      <c r="F55" s="26"/>
      <c r="G55" s="26" t="s">
        <v>952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710</v>
      </c>
      <c r="C56" s="13" t="s">
        <v>338</v>
      </c>
      <c r="D56" s="10" t="s">
        <v>711</v>
      </c>
      <c r="E56" s="25" t="s">
        <v>266</v>
      </c>
      <c r="F56" s="26"/>
      <c r="G56" s="26" t="s">
        <v>953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713</v>
      </c>
      <c r="C57" s="13" t="s">
        <v>338</v>
      </c>
      <c r="D57" s="10" t="s">
        <v>714</v>
      </c>
      <c r="E57" s="25" t="s">
        <v>266</v>
      </c>
      <c r="F57" s="26"/>
      <c r="G57" s="26" t="s">
        <v>954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716</v>
      </c>
      <c r="C58" s="13" t="s">
        <v>338</v>
      </c>
      <c r="D58" s="10" t="s">
        <v>717</v>
      </c>
      <c r="E58" s="25" t="s">
        <v>266</v>
      </c>
      <c r="F58" s="26"/>
      <c r="G58" s="26" t="s">
        <v>955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1064</v>
      </c>
      <c r="C59" s="13" t="s">
        <v>338</v>
      </c>
      <c r="D59" s="10" t="s">
        <v>719</v>
      </c>
      <c r="E59" s="25" t="s">
        <v>266</v>
      </c>
      <c r="F59" s="26"/>
      <c r="G59" s="26" t="s">
        <v>720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1066</v>
      </c>
      <c r="C60" s="13" t="s">
        <v>338</v>
      </c>
      <c r="D60" s="10" t="s">
        <v>721</v>
      </c>
      <c r="E60" s="25" t="s">
        <v>266</v>
      </c>
      <c r="F60" s="26"/>
      <c r="G60" s="26" t="s">
        <v>722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1276</v>
      </c>
      <c r="C61" s="13" t="s">
        <v>338</v>
      </c>
      <c r="D61" s="10" t="s">
        <v>723</v>
      </c>
      <c r="E61" s="25" t="s">
        <v>266</v>
      </c>
      <c r="F61" s="26"/>
      <c r="G61" s="26" t="s">
        <v>724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1277</v>
      </c>
      <c r="C62" s="13" t="s">
        <v>338</v>
      </c>
      <c r="D62" s="10" t="s">
        <v>725</v>
      </c>
      <c r="E62" s="25" t="s">
        <v>266</v>
      </c>
      <c r="F62" s="26"/>
      <c r="G62" s="26" t="s">
        <v>726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1278</v>
      </c>
      <c r="C63" s="13" t="s">
        <v>338</v>
      </c>
      <c r="D63" s="10" t="s">
        <v>536</v>
      </c>
      <c r="E63" s="25" t="s">
        <v>266</v>
      </c>
      <c r="F63" s="26"/>
      <c r="G63" s="26" t="s">
        <v>727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728</v>
      </c>
      <c r="C64" s="13" t="s">
        <v>338</v>
      </c>
      <c r="D64" s="10" t="s">
        <v>729</v>
      </c>
      <c r="E64" s="25" t="s">
        <v>266</v>
      </c>
      <c r="F64" s="26"/>
      <c r="G64" s="26" t="s">
        <v>956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730</v>
      </c>
      <c r="C65" s="13" t="s">
        <v>666</v>
      </c>
      <c r="D65" s="10" t="s">
        <v>731</v>
      </c>
      <c r="E65" s="25" t="s">
        <v>266</v>
      </c>
      <c r="F65" s="26"/>
      <c r="G65" s="26" t="s">
        <v>957</v>
      </c>
      <c r="H65" s="27"/>
      <c r="I65" s="26"/>
      <c r="J65" s="15" t="s">
        <v>632</v>
      </c>
      <c r="K65" s="15" t="s">
        <v>404</v>
      </c>
      <c r="L65" s="15" t="s">
        <v>633</v>
      </c>
    </row>
    <row r="66" s="1" customFormat="1" spans="1:12">
      <c r="A66" s="33"/>
      <c r="B66" s="13" t="s">
        <v>1091</v>
      </c>
      <c r="C66" s="13" t="s">
        <v>338</v>
      </c>
      <c r="D66" s="10" t="s">
        <v>734</v>
      </c>
      <c r="E66" s="25" t="s">
        <v>266</v>
      </c>
      <c r="F66" s="26"/>
      <c r="G66" s="26" t="s">
        <v>958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1093</v>
      </c>
      <c r="C67" s="13" t="s">
        <v>338</v>
      </c>
      <c r="D67" s="10" t="s">
        <v>737</v>
      </c>
      <c r="E67" s="25" t="s">
        <v>266</v>
      </c>
      <c r="F67" s="26"/>
      <c r="G67" s="26" t="s">
        <v>959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1095</v>
      </c>
      <c r="C68" s="13" t="s">
        <v>338</v>
      </c>
      <c r="D68" s="10" t="s">
        <v>740</v>
      </c>
      <c r="E68" s="25" t="s">
        <v>266</v>
      </c>
      <c r="F68" s="26"/>
      <c r="G68" s="26" t="s">
        <v>960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1097</v>
      </c>
      <c r="C69" s="13" t="s">
        <v>338</v>
      </c>
      <c r="D69" s="10" t="s">
        <v>743</v>
      </c>
      <c r="E69" s="25" t="s">
        <v>266</v>
      </c>
      <c r="F69" s="26"/>
      <c r="G69" s="26" t="s">
        <v>961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1099</v>
      </c>
      <c r="C70" s="13" t="s">
        <v>338</v>
      </c>
      <c r="D70" s="10" t="s">
        <v>746</v>
      </c>
      <c r="E70" s="25" t="s">
        <v>266</v>
      </c>
      <c r="F70" s="26"/>
      <c r="G70" s="26" t="s">
        <v>962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748</v>
      </c>
      <c r="C71" s="13" t="s">
        <v>338</v>
      </c>
      <c r="D71" s="10" t="s">
        <v>749</v>
      </c>
      <c r="E71" s="25" t="s">
        <v>266</v>
      </c>
      <c r="F71" s="26"/>
      <c r="G71" s="26" t="s">
        <v>963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751</v>
      </c>
      <c r="C72" s="13" t="s">
        <v>666</v>
      </c>
      <c r="D72" s="10" t="s">
        <v>752</v>
      </c>
      <c r="E72" s="25" t="s">
        <v>266</v>
      </c>
      <c r="F72" s="26"/>
      <c r="G72" s="26" t="s">
        <v>964</v>
      </c>
      <c r="H72" s="2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1104</v>
      </c>
      <c r="C73" s="13" t="s">
        <v>338</v>
      </c>
      <c r="D73" s="10" t="s">
        <v>755</v>
      </c>
      <c r="E73" s="25" t="s">
        <v>266</v>
      </c>
      <c r="F73" s="26"/>
      <c r="G73" s="26" t="s">
        <v>965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1106</v>
      </c>
      <c r="C74" s="13" t="s">
        <v>338</v>
      </c>
      <c r="D74" s="10" t="s">
        <v>758</v>
      </c>
      <c r="E74" s="25" t="s">
        <v>266</v>
      </c>
      <c r="F74" s="26"/>
      <c r="G74" s="26" t="s">
        <v>966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1108</v>
      </c>
      <c r="C75" s="13" t="s">
        <v>338</v>
      </c>
      <c r="D75" s="10" t="s">
        <v>761</v>
      </c>
      <c r="E75" s="25" t="s">
        <v>266</v>
      </c>
      <c r="F75" s="26"/>
      <c r="G75" s="26" t="s">
        <v>967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1110</v>
      </c>
      <c r="C76" s="13" t="s">
        <v>338</v>
      </c>
      <c r="D76" s="10" t="s">
        <v>764</v>
      </c>
      <c r="E76" s="25" t="s">
        <v>266</v>
      </c>
      <c r="F76" s="26"/>
      <c r="G76" s="26" t="s">
        <v>968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1112</v>
      </c>
      <c r="C77" s="13" t="s">
        <v>338</v>
      </c>
      <c r="D77" s="10" t="s">
        <v>767</v>
      </c>
      <c r="E77" s="25" t="s">
        <v>266</v>
      </c>
      <c r="F77" s="26"/>
      <c r="G77" s="26" t="s">
        <v>969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769</v>
      </c>
      <c r="C78" s="13" t="s">
        <v>666</v>
      </c>
      <c r="D78" s="10" t="s">
        <v>770</v>
      </c>
      <c r="E78" s="25" t="s">
        <v>266</v>
      </c>
      <c r="F78" s="26"/>
      <c r="G78" s="26" t="s">
        <v>970</v>
      </c>
      <c r="H78" s="2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772</v>
      </c>
      <c r="C79" s="13" t="s">
        <v>666</v>
      </c>
      <c r="D79" s="10" t="s">
        <v>773</v>
      </c>
      <c r="E79" s="25" t="s">
        <v>266</v>
      </c>
      <c r="F79" s="26"/>
      <c r="G79" s="26" t="s">
        <v>971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1279</v>
      </c>
      <c r="C80" s="13" t="s">
        <v>338</v>
      </c>
      <c r="D80" s="10" t="s">
        <v>776</v>
      </c>
      <c r="E80" s="25" t="s">
        <v>266</v>
      </c>
      <c r="F80" s="26"/>
      <c r="G80" s="26" t="s">
        <v>972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1280</v>
      </c>
      <c r="C81" s="13" t="s">
        <v>338</v>
      </c>
      <c r="D81" s="10" t="s">
        <v>779</v>
      </c>
      <c r="E81" s="25" t="s">
        <v>266</v>
      </c>
      <c r="F81" s="26"/>
      <c r="G81" s="26" t="s">
        <v>973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1281</v>
      </c>
      <c r="C82" s="13" t="s">
        <v>338</v>
      </c>
      <c r="D82" s="10" t="s">
        <v>782</v>
      </c>
      <c r="E82" s="25" t="s">
        <v>266</v>
      </c>
      <c r="F82" s="26"/>
      <c r="G82" s="26" t="s">
        <v>974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1282</v>
      </c>
      <c r="C83" s="13" t="s">
        <v>338</v>
      </c>
      <c r="D83" s="10" t="s">
        <v>785</v>
      </c>
      <c r="E83" s="25" t="s">
        <v>266</v>
      </c>
      <c r="F83" s="26"/>
      <c r="G83" s="26" t="s">
        <v>975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1283</v>
      </c>
      <c r="C84" s="13" t="s">
        <v>338</v>
      </c>
      <c r="D84" s="10" t="s">
        <v>788</v>
      </c>
      <c r="E84" s="25" t="s">
        <v>266</v>
      </c>
      <c r="F84" s="26"/>
      <c r="G84" s="26" t="s">
        <v>976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1284</v>
      </c>
      <c r="C85" s="13" t="s">
        <v>666</v>
      </c>
      <c r="D85" s="10" t="s">
        <v>790</v>
      </c>
      <c r="E85" s="25" t="s">
        <v>266</v>
      </c>
      <c r="F85" s="26"/>
      <c r="G85" s="26" t="s">
        <v>977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792</v>
      </c>
      <c r="C86" s="13" t="s">
        <v>338</v>
      </c>
      <c r="D86" s="10" t="s">
        <v>793</v>
      </c>
      <c r="E86" s="25" t="s">
        <v>266</v>
      </c>
      <c r="F86" s="26"/>
      <c r="G86" s="26" t="s">
        <v>978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1285</v>
      </c>
      <c r="C87" s="13" t="s">
        <v>666</v>
      </c>
      <c r="D87" s="10" t="s">
        <v>795</v>
      </c>
      <c r="E87" s="25" t="s">
        <v>266</v>
      </c>
      <c r="F87" s="26"/>
      <c r="G87" s="26" t="s">
        <v>979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797</v>
      </c>
      <c r="C88" s="13" t="s">
        <v>338</v>
      </c>
      <c r="D88" s="10" t="s">
        <v>798</v>
      </c>
      <c r="E88" s="25" t="s">
        <v>266</v>
      </c>
      <c r="F88" s="26"/>
      <c r="G88" s="26" t="s">
        <v>980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800</v>
      </c>
      <c r="C89" s="13" t="s">
        <v>338</v>
      </c>
      <c r="D89" s="10" t="s">
        <v>801</v>
      </c>
      <c r="E89" s="25" t="s">
        <v>266</v>
      </c>
      <c r="F89" s="26"/>
      <c r="G89" s="26" t="s">
        <v>981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1286</v>
      </c>
      <c r="C90" s="13" t="s">
        <v>666</v>
      </c>
      <c r="D90" s="10" t="s">
        <v>552</v>
      </c>
      <c r="E90" s="25" t="s">
        <v>266</v>
      </c>
      <c r="F90" s="26"/>
      <c r="G90" s="26" t="s">
        <v>982</v>
      </c>
      <c r="H90" s="27"/>
      <c r="I90" s="26"/>
      <c r="J90" s="15" t="s">
        <v>632</v>
      </c>
      <c r="K90" s="15" t="s">
        <v>404</v>
      </c>
      <c r="L90" s="15" t="s">
        <v>633</v>
      </c>
    </row>
    <row r="91" s="1" customFormat="1" spans="1:12">
      <c r="A91" s="33"/>
      <c r="B91" s="13" t="s">
        <v>805</v>
      </c>
      <c r="C91" s="13" t="s">
        <v>338</v>
      </c>
      <c r="D91" s="10" t="s">
        <v>806</v>
      </c>
      <c r="E91" s="25" t="s">
        <v>266</v>
      </c>
      <c r="F91" s="26"/>
      <c r="G91" s="26" t="s">
        <v>983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808</v>
      </c>
      <c r="C92" s="13" t="s">
        <v>338</v>
      </c>
      <c r="D92" s="10" t="s">
        <v>809</v>
      </c>
      <c r="E92" s="25" t="s">
        <v>266</v>
      </c>
      <c r="F92" s="26"/>
      <c r="G92" s="26" t="s">
        <v>984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811</v>
      </c>
      <c r="C93" s="13" t="s">
        <v>338</v>
      </c>
      <c r="D93" s="10" t="s">
        <v>812</v>
      </c>
      <c r="E93" s="25" t="s">
        <v>266</v>
      </c>
      <c r="F93" s="26"/>
      <c r="G93" s="26" t="s">
        <v>985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814</v>
      </c>
      <c r="C94" s="13" t="s">
        <v>338</v>
      </c>
      <c r="D94" s="10" t="s">
        <v>815</v>
      </c>
      <c r="E94" s="25" t="s">
        <v>266</v>
      </c>
      <c r="F94" s="26"/>
      <c r="G94" s="26" t="s">
        <v>986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817</v>
      </c>
      <c r="C95" s="13" t="s">
        <v>338</v>
      </c>
      <c r="D95" s="10" t="s">
        <v>818</v>
      </c>
      <c r="E95" s="25" t="s">
        <v>266</v>
      </c>
      <c r="F95" s="26"/>
      <c r="G95" s="26" t="s">
        <v>987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820</v>
      </c>
      <c r="C96" s="13" t="s">
        <v>338</v>
      </c>
      <c r="D96" s="10" t="s">
        <v>821</v>
      </c>
      <c r="E96" s="25" t="s">
        <v>266</v>
      </c>
      <c r="F96" s="26"/>
      <c r="G96" s="26" t="s">
        <v>988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1287</v>
      </c>
      <c r="C97" s="13" t="s">
        <v>666</v>
      </c>
      <c r="D97" s="10" t="s">
        <v>557</v>
      </c>
      <c r="E97" s="25" t="s">
        <v>266</v>
      </c>
      <c r="F97" s="26"/>
      <c r="G97" s="26" t="s">
        <v>989</v>
      </c>
      <c r="H97" s="27"/>
      <c r="I97" s="26"/>
      <c r="J97" s="15" t="s">
        <v>632</v>
      </c>
      <c r="K97" s="15" t="s">
        <v>404</v>
      </c>
      <c r="L97" s="15" t="s">
        <v>633</v>
      </c>
    </row>
    <row r="98" s="1" customFormat="1" spans="1:12">
      <c r="A98" s="33"/>
      <c r="B98" s="13" t="s">
        <v>824</v>
      </c>
      <c r="C98" s="13" t="s">
        <v>338</v>
      </c>
      <c r="D98" s="10" t="s">
        <v>825</v>
      </c>
      <c r="E98" s="25" t="s">
        <v>266</v>
      </c>
      <c r="F98" s="26"/>
      <c r="G98" s="26" t="s">
        <v>990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827</v>
      </c>
      <c r="C99" s="13" t="s">
        <v>338</v>
      </c>
      <c r="D99" s="10" t="s">
        <v>828</v>
      </c>
      <c r="E99" s="25" t="s">
        <v>266</v>
      </c>
      <c r="F99" s="26"/>
      <c r="G99" s="26" t="s">
        <v>991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830</v>
      </c>
      <c r="C100" s="13" t="s">
        <v>338</v>
      </c>
      <c r="D100" s="10" t="s">
        <v>831</v>
      </c>
      <c r="E100" s="25" t="s">
        <v>266</v>
      </c>
      <c r="F100" s="26"/>
      <c r="G100" s="26" t="s">
        <v>992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833</v>
      </c>
      <c r="C101" s="13" t="s">
        <v>338</v>
      </c>
      <c r="D101" s="10" t="s">
        <v>834</v>
      </c>
      <c r="E101" s="25" t="s">
        <v>266</v>
      </c>
      <c r="F101" s="26"/>
      <c r="G101" s="26" t="s">
        <v>993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836</v>
      </c>
      <c r="C102" s="13" t="s">
        <v>338</v>
      </c>
      <c r="D102" s="10" t="s">
        <v>837</v>
      </c>
      <c r="E102" s="25" t="s">
        <v>266</v>
      </c>
      <c r="F102" s="26"/>
      <c r="G102" s="26" t="s">
        <v>994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839</v>
      </c>
      <c r="C103" s="13" t="s">
        <v>338</v>
      </c>
      <c r="D103" s="10" t="s">
        <v>840</v>
      </c>
      <c r="E103" s="25" t="s">
        <v>266</v>
      </c>
      <c r="F103" s="26"/>
      <c r="G103" s="26" t="s">
        <v>995</v>
      </c>
      <c r="H103" s="27"/>
      <c r="I103" s="26"/>
      <c r="J103" s="15" t="s">
        <v>632</v>
      </c>
      <c r="K103" s="15" t="s">
        <v>294</v>
      </c>
      <c r="L103" s="15" t="s">
        <v>633</v>
      </c>
    </row>
    <row r="104" s="1" customFormat="1" spans="1:12">
      <c r="A104" s="33"/>
      <c r="B104" s="13" t="s">
        <v>1288</v>
      </c>
      <c r="C104" s="13" t="s">
        <v>666</v>
      </c>
      <c r="D104" s="10" t="s">
        <v>842</v>
      </c>
      <c r="E104" s="25" t="s">
        <v>266</v>
      </c>
      <c r="F104" s="26"/>
      <c r="G104" s="26" t="s">
        <v>996</v>
      </c>
      <c r="H104" s="27"/>
      <c r="I104" s="26"/>
      <c r="J104" s="15" t="s">
        <v>632</v>
      </c>
      <c r="K104" s="15" t="s">
        <v>404</v>
      </c>
      <c r="L104" s="15" t="s">
        <v>633</v>
      </c>
    </row>
    <row r="105" s="1" customFormat="1" spans="1:12">
      <c r="A105" s="33"/>
      <c r="B105" s="75" t="s">
        <v>844</v>
      </c>
      <c r="C105" s="75" t="s">
        <v>338</v>
      </c>
      <c r="D105" s="76" t="s">
        <v>845</v>
      </c>
      <c r="E105" s="25" t="s">
        <v>266</v>
      </c>
      <c r="F105" s="26"/>
      <c r="G105" s="26" t="s">
        <v>997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847</v>
      </c>
      <c r="C106" s="75" t="s">
        <v>338</v>
      </c>
      <c r="D106" s="76" t="s">
        <v>848</v>
      </c>
      <c r="E106" s="25" t="s">
        <v>266</v>
      </c>
      <c r="F106" s="26"/>
      <c r="G106" s="26" t="s">
        <v>998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850</v>
      </c>
      <c r="C107" s="75" t="s">
        <v>338</v>
      </c>
      <c r="D107" s="76" t="s">
        <v>851</v>
      </c>
      <c r="E107" s="25" t="s">
        <v>266</v>
      </c>
      <c r="F107" s="26"/>
      <c r="G107" s="26" t="s">
        <v>999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853</v>
      </c>
      <c r="C108" s="75" t="s">
        <v>338</v>
      </c>
      <c r="D108" s="76" t="s">
        <v>854</v>
      </c>
      <c r="E108" s="25" t="s">
        <v>266</v>
      </c>
      <c r="F108" s="26"/>
      <c r="G108" s="26" t="s">
        <v>1000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856</v>
      </c>
      <c r="C109" s="75" t="s">
        <v>338</v>
      </c>
      <c r="D109" s="76" t="s">
        <v>857</v>
      </c>
      <c r="E109" s="25" t="s">
        <v>266</v>
      </c>
      <c r="F109" s="26"/>
      <c r="G109" s="26" t="s">
        <v>1001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859</v>
      </c>
      <c r="C110" s="13" t="s">
        <v>338</v>
      </c>
      <c r="D110" s="10" t="s">
        <v>860</v>
      </c>
      <c r="E110" s="25" t="s">
        <v>266</v>
      </c>
      <c r="F110" s="26"/>
      <c r="G110" s="26" t="s">
        <v>1002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1289</v>
      </c>
      <c r="C111" s="13" t="s">
        <v>666</v>
      </c>
      <c r="D111" s="10" t="s">
        <v>863</v>
      </c>
      <c r="E111" s="25" t="s">
        <v>266</v>
      </c>
      <c r="F111" s="26"/>
      <c r="G111" s="26" t="s">
        <v>1003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462</v>
      </c>
      <c r="C112" s="13" t="s">
        <v>666</v>
      </c>
      <c r="D112" s="10" t="s">
        <v>865</v>
      </c>
      <c r="E112" s="25" t="s">
        <v>266</v>
      </c>
      <c r="F112" s="26"/>
      <c r="G112" s="26" t="s">
        <v>1004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1290</v>
      </c>
      <c r="C113" s="13" t="s">
        <v>666</v>
      </c>
      <c r="D113" s="10" t="s">
        <v>539</v>
      </c>
      <c r="E113" s="25" t="s">
        <v>266</v>
      </c>
      <c r="F113" s="26"/>
      <c r="G113" s="26" t="s">
        <v>1005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1291</v>
      </c>
      <c r="C114" s="13" t="s">
        <v>338</v>
      </c>
      <c r="D114" s="10" t="s">
        <v>869</v>
      </c>
      <c r="E114" s="25" t="s">
        <v>266</v>
      </c>
      <c r="F114" s="26"/>
      <c r="G114" s="26" t="s">
        <v>1006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1292</v>
      </c>
      <c r="C115" s="13" t="s">
        <v>338</v>
      </c>
      <c r="D115" s="10" t="s">
        <v>872</v>
      </c>
      <c r="E115" s="25" t="s">
        <v>266</v>
      </c>
      <c r="F115" s="26"/>
      <c r="G115" s="26" t="s">
        <v>1007</v>
      </c>
      <c r="H115" s="2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1293</v>
      </c>
      <c r="C116" s="13" t="s">
        <v>666</v>
      </c>
      <c r="D116" s="10" t="s">
        <v>544</v>
      </c>
      <c r="E116" s="25" t="s">
        <v>266</v>
      </c>
      <c r="F116" s="26"/>
      <c r="G116" s="26" t="s">
        <v>1008</v>
      </c>
      <c r="H116" s="27"/>
      <c r="I116" s="26"/>
      <c r="J116" s="15" t="s">
        <v>632</v>
      </c>
      <c r="K116" s="15" t="s">
        <v>404</v>
      </c>
      <c r="L116" s="15" t="s">
        <v>633</v>
      </c>
    </row>
    <row r="117" s="1" customFormat="1" spans="1:12">
      <c r="A117" s="33"/>
      <c r="B117" s="13" t="s">
        <v>875</v>
      </c>
      <c r="C117" s="13" t="s">
        <v>338</v>
      </c>
      <c r="D117" s="10" t="s">
        <v>876</v>
      </c>
      <c r="E117" s="25" t="s">
        <v>266</v>
      </c>
      <c r="F117" s="26"/>
      <c r="G117" s="26" t="s">
        <v>1009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887</v>
      </c>
      <c r="C118" s="13" t="s">
        <v>338</v>
      </c>
      <c r="D118" s="10" t="s">
        <v>888</v>
      </c>
      <c r="E118" s="25" t="s">
        <v>266</v>
      </c>
      <c r="F118" s="26"/>
      <c r="G118" s="26" t="s">
        <v>1013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pans="2:12">
      <c r="B119" s="17" t="s">
        <v>594</v>
      </c>
      <c r="C119" s="18" t="s">
        <v>307</v>
      </c>
      <c r="D119" s="19" t="s">
        <v>595</v>
      </c>
      <c r="E119" s="28"/>
      <c r="F119" s="28"/>
      <c r="G119" s="28" t="s">
        <v>932</v>
      </c>
      <c r="H119" s="17"/>
      <c r="I119" s="17"/>
      <c r="J119" s="17"/>
      <c r="K119" s="17"/>
      <c r="L119" s="17"/>
    </row>
    <row r="120" spans="2:12">
      <c r="B120" s="17" t="s">
        <v>596</v>
      </c>
      <c r="C120" s="18" t="s">
        <v>291</v>
      </c>
      <c r="D120" s="19" t="s">
        <v>597</v>
      </c>
      <c r="E120" s="28"/>
      <c r="F120" s="28"/>
      <c r="G120" s="28" t="s">
        <v>932</v>
      </c>
      <c r="H120" s="17"/>
      <c r="I120" s="17"/>
      <c r="J120" s="17"/>
      <c r="K120" s="17"/>
      <c r="L120" s="17"/>
    </row>
  </sheetData>
  <autoFilter xmlns:etc="http://www.wps.cn/officeDocument/2017/etCustomData" ref="A13:Q12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1" t="s">
        <v>118</v>
      </c>
      <c r="D5" s="11" t="s">
        <v>117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1309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2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2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2"/>
      <c r="I18" s="15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2"/>
      <c r="I19" s="15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13"/>
      <c r="I20" s="15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13"/>
      <c r="I21" s="15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13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13"/>
      <c r="I23" s="15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13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13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13"/>
      <c r="I26" s="15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32"/>
      <c r="I27" s="15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634</v>
      </c>
      <c r="C29" s="13" t="s">
        <v>338</v>
      </c>
      <c r="D29" s="10" t="s">
        <v>635</v>
      </c>
      <c r="E29" s="25" t="s">
        <v>266</v>
      </c>
      <c r="F29" s="26"/>
      <c r="G29" s="26" t="s">
        <v>934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337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2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342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340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653</v>
      </c>
      <c r="C36" s="13" t="s">
        <v>338</v>
      </c>
      <c r="D36" s="10" t="s">
        <v>654</v>
      </c>
      <c r="E36" s="25" t="s">
        <v>266</v>
      </c>
      <c r="F36" s="26"/>
      <c r="G36" s="26" t="s">
        <v>938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656</v>
      </c>
      <c r="C37" s="13" t="s">
        <v>338</v>
      </c>
      <c r="D37" s="10" t="s">
        <v>657</v>
      </c>
      <c r="E37" s="25" t="s">
        <v>266</v>
      </c>
      <c r="F37" s="26"/>
      <c r="G37" s="26" t="s">
        <v>939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659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662</v>
      </c>
      <c r="C39" s="13" t="s">
        <v>338</v>
      </c>
      <c r="D39" s="10" t="s">
        <v>663</v>
      </c>
      <c r="E39" s="25" t="s">
        <v>266</v>
      </c>
      <c r="F39" s="26"/>
      <c r="G39" s="26" t="s">
        <v>941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665</v>
      </c>
      <c r="C40" s="13" t="s">
        <v>666</v>
      </c>
      <c r="D40" s="10" t="s">
        <v>667</v>
      </c>
      <c r="E40" s="25" t="s">
        <v>266</v>
      </c>
      <c r="F40" s="26"/>
      <c r="G40" s="26" t="s">
        <v>942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671</v>
      </c>
      <c r="C41" s="13" t="s">
        <v>666</v>
      </c>
      <c r="D41" s="10" t="s">
        <v>672</v>
      </c>
      <c r="E41" s="25" t="s">
        <v>266</v>
      </c>
      <c r="F41" s="26"/>
      <c r="G41" s="26" t="s">
        <v>943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675</v>
      </c>
      <c r="C42" s="13" t="s">
        <v>666</v>
      </c>
      <c r="D42" s="10" t="s">
        <v>676</v>
      </c>
      <c r="E42" s="25" t="s">
        <v>266</v>
      </c>
      <c r="F42" s="26"/>
      <c r="G42" s="26" t="s">
        <v>944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678</v>
      </c>
      <c r="C43" s="13" t="s">
        <v>666</v>
      </c>
      <c r="D43" s="10" t="s">
        <v>679</v>
      </c>
      <c r="E43" s="25" t="s">
        <v>266</v>
      </c>
      <c r="F43" s="26"/>
      <c r="G43" s="26" t="s">
        <v>945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681</v>
      </c>
      <c r="C44" s="13" t="s">
        <v>666</v>
      </c>
      <c r="D44" s="10" t="s">
        <v>682</v>
      </c>
      <c r="E44" s="25" t="s">
        <v>266</v>
      </c>
      <c r="F44" s="26"/>
      <c r="G44" s="26" t="s">
        <v>946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684</v>
      </c>
      <c r="C45" s="13" t="s">
        <v>666</v>
      </c>
      <c r="D45" s="10" t="s">
        <v>685</v>
      </c>
      <c r="E45" s="25" t="s">
        <v>266</v>
      </c>
      <c r="F45" s="26"/>
      <c r="G45" s="26" t="s">
        <v>947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687</v>
      </c>
      <c r="C46" s="13" t="s">
        <v>666</v>
      </c>
      <c r="D46" s="10" t="s">
        <v>688</v>
      </c>
      <c r="E46" s="25" t="s">
        <v>266</v>
      </c>
      <c r="F46" s="26"/>
      <c r="G46" s="26" t="s">
        <v>948</v>
      </c>
      <c r="H46" s="2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690</v>
      </c>
      <c r="C47" s="13" t="s">
        <v>666</v>
      </c>
      <c r="D47" s="10" t="s">
        <v>691</v>
      </c>
      <c r="E47" s="25" t="s">
        <v>266</v>
      </c>
      <c r="F47" s="26"/>
      <c r="G47" s="26" t="s">
        <v>949</v>
      </c>
      <c r="H47" s="27"/>
      <c r="I47" s="26"/>
      <c r="J47" s="15" t="s">
        <v>632</v>
      </c>
      <c r="K47" s="15" t="s">
        <v>674</v>
      </c>
      <c r="L47" s="15" t="s">
        <v>670</v>
      </c>
    </row>
    <row r="48" s="1" customFormat="1" spans="1:12">
      <c r="A48" s="33"/>
      <c r="B48" s="13" t="s">
        <v>346</v>
      </c>
      <c r="C48" s="13" t="s">
        <v>338</v>
      </c>
      <c r="D48" s="10" t="s">
        <v>693</v>
      </c>
      <c r="E48" s="25" t="s">
        <v>266</v>
      </c>
      <c r="F48" s="26"/>
      <c r="G48" s="26" t="s">
        <v>694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344</v>
      </c>
      <c r="C49" s="13" t="s">
        <v>338</v>
      </c>
      <c r="D49" s="10" t="s">
        <v>695</v>
      </c>
      <c r="E49" s="25" t="s">
        <v>266</v>
      </c>
      <c r="F49" s="26"/>
      <c r="G49" s="26" t="s">
        <v>696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392</v>
      </c>
      <c r="C50" s="13" t="s">
        <v>338</v>
      </c>
      <c r="D50" s="10" t="s">
        <v>697</v>
      </c>
      <c r="E50" s="25" t="s">
        <v>266</v>
      </c>
      <c r="F50" s="26"/>
      <c r="G50" s="26" t="s">
        <v>698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394</v>
      </c>
      <c r="C51" s="13" t="s">
        <v>338</v>
      </c>
      <c r="D51" s="10" t="s">
        <v>699</v>
      </c>
      <c r="E51" s="25" t="s">
        <v>266</v>
      </c>
      <c r="F51" s="26"/>
      <c r="G51" s="26" t="s">
        <v>700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701</v>
      </c>
      <c r="C52" s="13" t="s">
        <v>338</v>
      </c>
      <c r="D52" s="10" t="s">
        <v>702</v>
      </c>
      <c r="E52" s="25" t="s">
        <v>266</v>
      </c>
      <c r="F52" s="26"/>
      <c r="G52" s="26" t="s">
        <v>950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704</v>
      </c>
      <c r="C53" s="13" t="s">
        <v>338</v>
      </c>
      <c r="D53" s="10" t="s">
        <v>705</v>
      </c>
      <c r="E53" s="25" t="s">
        <v>266</v>
      </c>
      <c r="F53" s="26"/>
      <c r="G53" s="26" t="s">
        <v>951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707</v>
      </c>
      <c r="C54" s="13" t="s">
        <v>338</v>
      </c>
      <c r="D54" s="10" t="s">
        <v>708</v>
      </c>
      <c r="E54" s="25" t="s">
        <v>266</v>
      </c>
      <c r="F54" s="26"/>
      <c r="G54" s="26" t="s">
        <v>952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710</v>
      </c>
      <c r="C55" s="13" t="s">
        <v>338</v>
      </c>
      <c r="D55" s="10" t="s">
        <v>711</v>
      </c>
      <c r="E55" s="25" t="s">
        <v>266</v>
      </c>
      <c r="F55" s="26"/>
      <c r="G55" s="26" t="s">
        <v>953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713</v>
      </c>
      <c r="C56" s="13" t="s">
        <v>338</v>
      </c>
      <c r="D56" s="10" t="s">
        <v>714</v>
      </c>
      <c r="E56" s="25" t="s">
        <v>266</v>
      </c>
      <c r="F56" s="26"/>
      <c r="G56" s="26" t="s">
        <v>954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716</v>
      </c>
      <c r="C57" s="13" t="s">
        <v>338</v>
      </c>
      <c r="D57" s="10" t="s">
        <v>717</v>
      </c>
      <c r="E57" s="25" t="s">
        <v>266</v>
      </c>
      <c r="F57" s="26"/>
      <c r="G57" s="26" t="s">
        <v>955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410</v>
      </c>
      <c r="C58" s="13" t="s">
        <v>338</v>
      </c>
      <c r="D58" s="10" t="s">
        <v>719</v>
      </c>
      <c r="E58" s="25" t="s">
        <v>266</v>
      </c>
      <c r="F58" s="26"/>
      <c r="G58" s="26" t="s">
        <v>720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412</v>
      </c>
      <c r="C59" s="13" t="s">
        <v>338</v>
      </c>
      <c r="D59" s="10" t="s">
        <v>721</v>
      </c>
      <c r="E59" s="25" t="s">
        <v>266</v>
      </c>
      <c r="F59" s="26"/>
      <c r="G59" s="26" t="s">
        <v>722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528</v>
      </c>
      <c r="C60" s="13" t="s">
        <v>338</v>
      </c>
      <c r="D60" s="10" t="s">
        <v>723</v>
      </c>
      <c r="E60" s="25" t="s">
        <v>266</v>
      </c>
      <c r="F60" s="26"/>
      <c r="G60" s="26" t="s">
        <v>724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532</v>
      </c>
      <c r="C61" s="13" t="s">
        <v>338</v>
      </c>
      <c r="D61" s="10" t="s">
        <v>725</v>
      </c>
      <c r="E61" s="25" t="s">
        <v>266</v>
      </c>
      <c r="F61" s="26"/>
      <c r="G61" s="26" t="s">
        <v>726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535</v>
      </c>
      <c r="C62" s="13" t="s">
        <v>338</v>
      </c>
      <c r="D62" s="10" t="s">
        <v>536</v>
      </c>
      <c r="E62" s="25" t="s">
        <v>266</v>
      </c>
      <c r="F62" s="26"/>
      <c r="G62" s="26" t="s">
        <v>727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728</v>
      </c>
      <c r="C63" s="13" t="s">
        <v>338</v>
      </c>
      <c r="D63" s="10" t="s">
        <v>729</v>
      </c>
      <c r="E63" s="25" t="s">
        <v>266</v>
      </c>
      <c r="F63" s="26"/>
      <c r="G63" s="26" t="s">
        <v>956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730</v>
      </c>
      <c r="C64" s="13" t="s">
        <v>666</v>
      </c>
      <c r="D64" s="10" t="s">
        <v>731</v>
      </c>
      <c r="E64" s="25" t="s">
        <v>266</v>
      </c>
      <c r="F64" s="26"/>
      <c r="G64" s="26" t="s">
        <v>957</v>
      </c>
      <c r="H64" s="2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733</v>
      </c>
      <c r="C65" s="13" t="s">
        <v>338</v>
      </c>
      <c r="D65" s="10" t="s">
        <v>734</v>
      </c>
      <c r="E65" s="25" t="s">
        <v>266</v>
      </c>
      <c r="F65" s="26"/>
      <c r="G65" s="26" t="s">
        <v>958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736</v>
      </c>
      <c r="C66" s="13" t="s">
        <v>338</v>
      </c>
      <c r="D66" s="10" t="s">
        <v>737</v>
      </c>
      <c r="E66" s="25" t="s">
        <v>266</v>
      </c>
      <c r="F66" s="26"/>
      <c r="G66" s="26" t="s">
        <v>959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739</v>
      </c>
      <c r="C67" s="13" t="s">
        <v>338</v>
      </c>
      <c r="D67" s="10" t="s">
        <v>740</v>
      </c>
      <c r="E67" s="25" t="s">
        <v>266</v>
      </c>
      <c r="F67" s="26"/>
      <c r="G67" s="26" t="s">
        <v>960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742</v>
      </c>
      <c r="C68" s="13" t="s">
        <v>338</v>
      </c>
      <c r="D68" s="10" t="s">
        <v>743</v>
      </c>
      <c r="E68" s="25" t="s">
        <v>266</v>
      </c>
      <c r="F68" s="26"/>
      <c r="G68" s="26" t="s">
        <v>961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745</v>
      </c>
      <c r="C69" s="13" t="s">
        <v>338</v>
      </c>
      <c r="D69" s="10" t="s">
        <v>746</v>
      </c>
      <c r="E69" s="25" t="s">
        <v>266</v>
      </c>
      <c r="F69" s="26"/>
      <c r="G69" s="26" t="s">
        <v>962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748</v>
      </c>
      <c r="C70" s="13" t="s">
        <v>338</v>
      </c>
      <c r="D70" s="10" t="s">
        <v>749</v>
      </c>
      <c r="E70" s="25" t="s">
        <v>266</v>
      </c>
      <c r="F70" s="26"/>
      <c r="G70" s="26" t="s">
        <v>963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751</v>
      </c>
      <c r="C71" s="13" t="s">
        <v>666</v>
      </c>
      <c r="D71" s="10" t="s">
        <v>752</v>
      </c>
      <c r="E71" s="25" t="s">
        <v>266</v>
      </c>
      <c r="F71" s="26"/>
      <c r="G71" s="26" t="s">
        <v>964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754</v>
      </c>
      <c r="C72" s="13" t="s">
        <v>338</v>
      </c>
      <c r="D72" s="10" t="s">
        <v>755</v>
      </c>
      <c r="E72" s="25" t="s">
        <v>266</v>
      </c>
      <c r="F72" s="26"/>
      <c r="G72" s="26" t="s">
        <v>965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757</v>
      </c>
      <c r="C73" s="13" t="s">
        <v>338</v>
      </c>
      <c r="D73" s="10" t="s">
        <v>758</v>
      </c>
      <c r="E73" s="25" t="s">
        <v>266</v>
      </c>
      <c r="F73" s="26"/>
      <c r="G73" s="26" t="s">
        <v>966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760</v>
      </c>
      <c r="C74" s="13" t="s">
        <v>338</v>
      </c>
      <c r="D74" s="10" t="s">
        <v>761</v>
      </c>
      <c r="E74" s="25" t="s">
        <v>266</v>
      </c>
      <c r="F74" s="26"/>
      <c r="G74" s="26" t="s">
        <v>967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763</v>
      </c>
      <c r="C75" s="13" t="s">
        <v>338</v>
      </c>
      <c r="D75" s="10" t="s">
        <v>764</v>
      </c>
      <c r="E75" s="25" t="s">
        <v>266</v>
      </c>
      <c r="F75" s="26"/>
      <c r="G75" s="26" t="s">
        <v>968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766</v>
      </c>
      <c r="C76" s="13" t="s">
        <v>338</v>
      </c>
      <c r="D76" s="10" t="s">
        <v>767</v>
      </c>
      <c r="E76" s="25" t="s">
        <v>266</v>
      </c>
      <c r="F76" s="26"/>
      <c r="G76" s="26" t="s">
        <v>969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769</v>
      </c>
      <c r="C77" s="13" t="s">
        <v>666</v>
      </c>
      <c r="D77" s="10" t="s">
        <v>770</v>
      </c>
      <c r="E77" s="25" t="s">
        <v>266</v>
      </c>
      <c r="F77" s="26"/>
      <c r="G77" s="26" t="s">
        <v>970</v>
      </c>
      <c r="H77" s="2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772</v>
      </c>
      <c r="C78" s="13" t="s">
        <v>666</v>
      </c>
      <c r="D78" s="10" t="s">
        <v>773</v>
      </c>
      <c r="E78" s="25" t="s">
        <v>266</v>
      </c>
      <c r="F78" s="26"/>
      <c r="G78" s="26" t="s">
        <v>971</v>
      </c>
      <c r="H78" s="2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775</v>
      </c>
      <c r="C79" s="13" t="s">
        <v>338</v>
      </c>
      <c r="D79" s="10" t="s">
        <v>776</v>
      </c>
      <c r="E79" s="25" t="s">
        <v>266</v>
      </c>
      <c r="F79" s="26"/>
      <c r="G79" s="26" t="s">
        <v>972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778</v>
      </c>
      <c r="C80" s="13" t="s">
        <v>338</v>
      </c>
      <c r="D80" s="10" t="s">
        <v>779</v>
      </c>
      <c r="E80" s="25" t="s">
        <v>266</v>
      </c>
      <c r="F80" s="26"/>
      <c r="G80" s="26" t="s">
        <v>973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781</v>
      </c>
      <c r="C81" s="13" t="s">
        <v>338</v>
      </c>
      <c r="D81" s="10" t="s">
        <v>782</v>
      </c>
      <c r="E81" s="25" t="s">
        <v>266</v>
      </c>
      <c r="F81" s="26"/>
      <c r="G81" s="26" t="s">
        <v>974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784</v>
      </c>
      <c r="C82" s="13" t="s">
        <v>338</v>
      </c>
      <c r="D82" s="10" t="s">
        <v>785</v>
      </c>
      <c r="E82" s="25" t="s">
        <v>266</v>
      </c>
      <c r="F82" s="26"/>
      <c r="G82" s="26" t="s">
        <v>975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787</v>
      </c>
      <c r="C83" s="13" t="s">
        <v>338</v>
      </c>
      <c r="D83" s="10" t="s">
        <v>788</v>
      </c>
      <c r="E83" s="25" t="s">
        <v>266</v>
      </c>
      <c r="F83" s="26"/>
      <c r="G83" s="26" t="s">
        <v>976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413</v>
      </c>
      <c r="C84" s="13" t="s">
        <v>666</v>
      </c>
      <c r="D84" s="10" t="s">
        <v>790</v>
      </c>
      <c r="E84" s="25" t="s">
        <v>266</v>
      </c>
      <c r="F84" s="26"/>
      <c r="G84" s="26" t="s">
        <v>977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792</v>
      </c>
      <c r="C85" s="13" t="s">
        <v>338</v>
      </c>
      <c r="D85" s="10" t="s">
        <v>793</v>
      </c>
      <c r="E85" s="25" t="s">
        <v>266</v>
      </c>
      <c r="F85" s="26"/>
      <c r="G85" s="26" t="s">
        <v>978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418</v>
      </c>
      <c r="C86" s="13" t="s">
        <v>666</v>
      </c>
      <c r="D86" s="10" t="s">
        <v>795</v>
      </c>
      <c r="E86" s="25" t="s">
        <v>266</v>
      </c>
      <c r="F86" s="26"/>
      <c r="G86" s="26" t="s">
        <v>979</v>
      </c>
      <c r="H86" s="2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797</v>
      </c>
      <c r="C87" s="13" t="s">
        <v>338</v>
      </c>
      <c r="D87" s="10" t="s">
        <v>798</v>
      </c>
      <c r="E87" s="25" t="s">
        <v>266</v>
      </c>
      <c r="F87" s="26"/>
      <c r="G87" s="26" t="s">
        <v>980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800</v>
      </c>
      <c r="C88" s="13" t="s">
        <v>338</v>
      </c>
      <c r="D88" s="10" t="s">
        <v>801</v>
      </c>
      <c r="E88" s="25" t="s">
        <v>266</v>
      </c>
      <c r="F88" s="26"/>
      <c r="G88" s="26" t="s">
        <v>981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551</v>
      </c>
      <c r="C89" s="13" t="s">
        <v>666</v>
      </c>
      <c r="D89" s="10" t="s">
        <v>552</v>
      </c>
      <c r="E89" s="25" t="s">
        <v>266</v>
      </c>
      <c r="F89" s="26"/>
      <c r="G89" s="26" t="s">
        <v>982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805</v>
      </c>
      <c r="C90" s="13" t="s">
        <v>338</v>
      </c>
      <c r="D90" s="10" t="s">
        <v>806</v>
      </c>
      <c r="E90" s="25" t="s">
        <v>266</v>
      </c>
      <c r="F90" s="26"/>
      <c r="G90" s="26" t="s">
        <v>983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808</v>
      </c>
      <c r="C91" s="13" t="s">
        <v>338</v>
      </c>
      <c r="D91" s="10" t="s">
        <v>809</v>
      </c>
      <c r="E91" s="25" t="s">
        <v>266</v>
      </c>
      <c r="F91" s="26"/>
      <c r="G91" s="26" t="s">
        <v>984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811</v>
      </c>
      <c r="C92" s="13" t="s">
        <v>338</v>
      </c>
      <c r="D92" s="10" t="s">
        <v>812</v>
      </c>
      <c r="E92" s="25" t="s">
        <v>266</v>
      </c>
      <c r="F92" s="26"/>
      <c r="G92" s="26" t="s">
        <v>985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814</v>
      </c>
      <c r="C93" s="13" t="s">
        <v>338</v>
      </c>
      <c r="D93" s="10" t="s">
        <v>815</v>
      </c>
      <c r="E93" s="25" t="s">
        <v>266</v>
      </c>
      <c r="F93" s="26"/>
      <c r="G93" s="26" t="s">
        <v>986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817</v>
      </c>
      <c r="C94" s="13" t="s">
        <v>338</v>
      </c>
      <c r="D94" s="10" t="s">
        <v>818</v>
      </c>
      <c r="E94" s="25" t="s">
        <v>266</v>
      </c>
      <c r="F94" s="26"/>
      <c r="G94" s="26" t="s">
        <v>987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820</v>
      </c>
      <c r="C95" s="13" t="s">
        <v>338</v>
      </c>
      <c r="D95" s="10" t="s">
        <v>821</v>
      </c>
      <c r="E95" s="25" t="s">
        <v>266</v>
      </c>
      <c r="F95" s="26"/>
      <c r="G95" s="26" t="s">
        <v>988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556</v>
      </c>
      <c r="C96" s="13" t="s">
        <v>666</v>
      </c>
      <c r="D96" s="10" t="s">
        <v>557</v>
      </c>
      <c r="E96" s="25" t="s">
        <v>266</v>
      </c>
      <c r="F96" s="26"/>
      <c r="G96" s="26" t="s">
        <v>989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13" t="s">
        <v>824</v>
      </c>
      <c r="C97" s="13" t="s">
        <v>338</v>
      </c>
      <c r="D97" s="10" t="s">
        <v>825</v>
      </c>
      <c r="E97" s="25" t="s">
        <v>266</v>
      </c>
      <c r="F97" s="26"/>
      <c r="G97" s="26" t="s">
        <v>990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827</v>
      </c>
      <c r="C98" s="13" t="s">
        <v>338</v>
      </c>
      <c r="D98" s="10" t="s">
        <v>828</v>
      </c>
      <c r="E98" s="25" t="s">
        <v>266</v>
      </c>
      <c r="F98" s="26"/>
      <c r="G98" s="26" t="s">
        <v>991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830</v>
      </c>
      <c r="C99" s="13" t="s">
        <v>338</v>
      </c>
      <c r="D99" s="10" t="s">
        <v>831</v>
      </c>
      <c r="E99" s="25" t="s">
        <v>266</v>
      </c>
      <c r="F99" s="26"/>
      <c r="G99" s="26" t="s">
        <v>992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833</v>
      </c>
      <c r="C100" s="13" t="s">
        <v>338</v>
      </c>
      <c r="D100" s="10" t="s">
        <v>834</v>
      </c>
      <c r="E100" s="25" t="s">
        <v>266</v>
      </c>
      <c r="F100" s="26"/>
      <c r="G100" s="26" t="s">
        <v>993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836</v>
      </c>
      <c r="C101" s="13" t="s">
        <v>338</v>
      </c>
      <c r="D101" s="10" t="s">
        <v>837</v>
      </c>
      <c r="E101" s="25" t="s">
        <v>266</v>
      </c>
      <c r="F101" s="26"/>
      <c r="G101" s="26" t="s">
        <v>994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839</v>
      </c>
      <c r="C102" s="13" t="s">
        <v>338</v>
      </c>
      <c r="D102" s="10" t="s">
        <v>840</v>
      </c>
      <c r="E102" s="25" t="s">
        <v>266</v>
      </c>
      <c r="F102" s="26"/>
      <c r="G102" s="26" t="s">
        <v>995</v>
      </c>
      <c r="H102" s="27"/>
      <c r="I102" s="26"/>
      <c r="J102" s="15" t="s">
        <v>632</v>
      </c>
      <c r="K102" s="15" t="s">
        <v>294</v>
      </c>
      <c r="L102" s="15" t="s">
        <v>633</v>
      </c>
    </row>
    <row r="103" s="1" customFormat="1" spans="1:12">
      <c r="A103" s="33"/>
      <c r="B103" s="13" t="s">
        <v>560</v>
      </c>
      <c r="C103" s="13" t="s">
        <v>666</v>
      </c>
      <c r="D103" s="10" t="s">
        <v>842</v>
      </c>
      <c r="E103" s="25" t="s">
        <v>266</v>
      </c>
      <c r="F103" s="26"/>
      <c r="G103" s="26" t="s">
        <v>996</v>
      </c>
      <c r="H103" s="27"/>
      <c r="I103" s="26"/>
      <c r="J103" s="15" t="s">
        <v>632</v>
      </c>
      <c r="K103" s="15" t="s">
        <v>404</v>
      </c>
      <c r="L103" s="15" t="s">
        <v>633</v>
      </c>
    </row>
    <row r="104" s="1" customFormat="1" spans="1:12">
      <c r="A104" s="33"/>
      <c r="B104" s="75" t="s">
        <v>844</v>
      </c>
      <c r="C104" s="75" t="s">
        <v>338</v>
      </c>
      <c r="D104" s="76" t="s">
        <v>845</v>
      </c>
      <c r="E104" s="25" t="s">
        <v>266</v>
      </c>
      <c r="F104" s="26"/>
      <c r="G104" s="26" t="s">
        <v>997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847</v>
      </c>
      <c r="C105" s="75" t="s">
        <v>338</v>
      </c>
      <c r="D105" s="76" t="s">
        <v>848</v>
      </c>
      <c r="E105" s="25" t="s">
        <v>266</v>
      </c>
      <c r="F105" s="26"/>
      <c r="G105" s="26" t="s">
        <v>998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850</v>
      </c>
      <c r="C106" s="75" t="s">
        <v>338</v>
      </c>
      <c r="D106" s="76" t="s">
        <v>851</v>
      </c>
      <c r="E106" s="25" t="s">
        <v>266</v>
      </c>
      <c r="F106" s="26"/>
      <c r="G106" s="26" t="s">
        <v>999</v>
      </c>
      <c r="H106" s="2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853</v>
      </c>
      <c r="C107" s="75" t="s">
        <v>338</v>
      </c>
      <c r="D107" s="76" t="s">
        <v>854</v>
      </c>
      <c r="E107" s="25" t="s">
        <v>266</v>
      </c>
      <c r="F107" s="26"/>
      <c r="G107" s="26" t="s">
        <v>1000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856</v>
      </c>
      <c r="C108" s="75" t="s">
        <v>338</v>
      </c>
      <c r="D108" s="76" t="s">
        <v>857</v>
      </c>
      <c r="E108" s="25" t="s">
        <v>266</v>
      </c>
      <c r="F108" s="26"/>
      <c r="G108" s="26" t="s">
        <v>1001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859</v>
      </c>
      <c r="C109" s="13" t="s">
        <v>338</v>
      </c>
      <c r="D109" s="10" t="s">
        <v>860</v>
      </c>
      <c r="E109" s="25" t="s">
        <v>266</v>
      </c>
      <c r="F109" s="26"/>
      <c r="G109" s="26" t="s">
        <v>1002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862</v>
      </c>
      <c r="C110" s="13" t="s">
        <v>666</v>
      </c>
      <c r="D110" s="10" t="s">
        <v>863</v>
      </c>
      <c r="E110" s="25" t="s">
        <v>266</v>
      </c>
      <c r="F110" s="26"/>
      <c r="G110" s="26" t="s">
        <v>1003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462</v>
      </c>
      <c r="C111" s="13" t="s">
        <v>666</v>
      </c>
      <c r="D111" s="10" t="s">
        <v>865</v>
      </c>
      <c r="E111" s="25" t="s">
        <v>266</v>
      </c>
      <c r="F111" s="26"/>
      <c r="G111" s="26" t="s">
        <v>1004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538</v>
      </c>
      <c r="C112" s="13" t="s">
        <v>666</v>
      </c>
      <c r="D112" s="10" t="s">
        <v>539</v>
      </c>
      <c r="E112" s="25" t="s">
        <v>266</v>
      </c>
      <c r="F112" s="26"/>
      <c r="G112" s="26" t="s">
        <v>1005</v>
      </c>
      <c r="H112" s="27"/>
      <c r="I112" s="26"/>
      <c r="J112" s="15" t="s">
        <v>632</v>
      </c>
      <c r="K112" s="15" t="s">
        <v>404</v>
      </c>
      <c r="L112" s="15" t="s">
        <v>633</v>
      </c>
    </row>
    <row r="113" s="1" customFormat="1" spans="1:12">
      <c r="A113" s="33"/>
      <c r="B113" s="13" t="s">
        <v>868</v>
      </c>
      <c r="C113" s="13" t="s">
        <v>338</v>
      </c>
      <c r="D113" s="10" t="s">
        <v>869</v>
      </c>
      <c r="E113" s="25" t="s">
        <v>266</v>
      </c>
      <c r="F113" s="26"/>
      <c r="G113" s="26" t="s">
        <v>1006</v>
      </c>
      <c r="H113" s="2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871</v>
      </c>
      <c r="C114" s="13" t="s">
        <v>338</v>
      </c>
      <c r="D114" s="10" t="s">
        <v>872</v>
      </c>
      <c r="E114" s="25" t="s">
        <v>266</v>
      </c>
      <c r="F114" s="26"/>
      <c r="G114" s="26" t="s">
        <v>1007</v>
      </c>
      <c r="H114" s="2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543</v>
      </c>
      <c r="C115" s="13" t="s">
        <v>666</v>
      </c>
      <c r="D115" s="10" t="s">
        <v>544</v>
      </c>
      <c r="E115" s="25" t="s">
        <v>266</v>
      </c>
      <c r="F115" s="26"/>
      <c r="G115" s="26" t="s">
        <v>1008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875</v>
      </c>
      <c r="C116" s="13" t="s">
        <v>338</v>
      </c>
      <c r="D116" s="10" t="s">
        <v>876</v>
      </c>
      <c r="E116" s="25" t="s">
        <v>266</v>
      </c>
      <c r="F116" s="26"/>
      <c r="G116" s="26" t="s">
        <v>1009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887</v>
      </c>
      <c r="C117" s="13" t="s">
        <v>338</v>
      </c>
      <c r="D117" s="10" t="s">
        <v>888</v>
      </c>
      <c r="E117" s="25" t="s">
        <v>266</v>
      </c>
      <c r="F117" s="26"/>
      <c r="G117" s="26" t="s">
        <v>1013</v>
      </c>
      <c r="H117" s="27"/>
      <c r="I117" s="26"/>
      <c r="J117" s="15" t="s">
        <v>632</v>
      </c>
      <c r="K117" s="15" t="s">
        <v>294</v>
      </c>
      <c r="L117" s="15" t="s">
        <v>633</v>
      </c>
    </row>
    <row r="118" spans="2:12">
      <c r="B118" s="17" t="s">
        <v>594</v>
      </c>
      <c r="C118" s="18" t="s">
        <v>307</v>
      </c>
      <c r="D118" s="19" t="s">
        <v>595</v>
      </c>
      <c r="E118" s="28"/>
      <c r="F118" s="28"/>
      <c r="G118" s="28" t="s">
        <v>932</v>
      </c>
      <c r="H118" s="17"/>
      <c r="I118" s="17"/>
      <c r="J118" s="17"/>
      <c r="K118" s="17"/>
      <c r="L118" s="17"/>
    </row>
    <row r="119" spans="2:12">
      <c r="B119" s="17" t="s">
        <v>596</v>
      </c>
      <c r="C119" s="18" t="s">
        <v>291</v>
      </c>
      <c r="D119" s="19" t="s">
        <v>597</v>
      </c>
      <c r="E119" s="28"/>
      <c r="F119" s="28"/>
      <c r="G119" s="28" t="s">
        <v>932</v>
      </c>
      <c r="H119" s="17"/>
      <c r="I119" s="17"/>
      <c r="J119" s="17"/>
      <c r="K119" s="17"/>
      <c r="L119" s="17"/>
    </row>
    <row r="120" spans="2:12">
      <c r="B120" s="17" t="s">
        <v>598</v>
      </c>
      <c r="C120" s="18" t="s">
        <v>307</v>
      </c>
      <c r="D120" s="19" t="s">
        <v>599</v>
      </c>
      <c r="E120" s="28"/>
      <c r="F120" s="28"/>
      <c r="G120" s="28" t="s">
        <v>932</v>
      </c>
      <c r="H120" s="17" t="s">
        <v>932</v>
      </c>
      <c r="I120" s="17"/>
      <c r="J120" s="17"/>
      <c r="K120" s="17"/>
      <c r="L120" s="17"/>
    </row>
  </sheetData>
  <autoFilter xmlns:etc="http://www.wps.cn/officeDocument/2017/etCustomData" ref="A13:Q12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119</v>
      </c>
      <c r="D5" s="11" t="s">
        <v>120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1" t="s">
        <v>118</v>
      </c>
      <c r="D9" s="11" t="s">
        <v>117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295</v>
      </c>
      <c r="C23" s="13" t="s">
        <v>291</v>
      </c>
      <c r="D23" s="10" t="s">
        <v>618</v>
      </c>
      <c r="E23" s="25" t="s">
        <v>266</v>
      </c>
      <c r="F23" s="10" t="s">
        <v>295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10" t="s">
        <v>297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10" t="s">
        <v>300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378</v>
      </c>
      <c r="C26" s="13" t="s">
        <v>291</v>
      </c>
      <c r="D26" s="10" t="s">
        <v>624</v>
      </c>
      <c r="E26" s="25" t="s">
        <v>266</v>
      </c>
      <c r="F26" s="26" t="s">
        <v>378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615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634</v>
      </c>
      <c r="C28" s="13" t="s">
        <v>338</v>
      </c>
      <c r="D28" s="10" t="s">
        <v>635</v>
      </c>
      <c r="E28" s="25" t="s">
        <v>266</v>
      </c>
      <c r="F28" s="26"/>
      <c r="G28" s="26" t="s">
        <v>934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1273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1044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653</v>
      </c>
      <c r="C35" s="13" t="s">
        <v>338</v>
      </c>
      <c r="D35" s="10" t="s">
        <v>654</v>
      </c>
      <c r="E35" s="25" t="s">
        <v>266</v>
      </c>
      <c r="F35" s="26"/>
      <c r="G35" s="26" t="s">
        <v>938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662</v>
      </c>
      <c r="C38" s="13" t="s">
        <v>338</v>
      </c>
      <c r="D38" s="10" t="s">
        <v>663</v>
      </c>
      <c r="E38" s="25" t="s">
        <v>266</v>
      </c>
      <c r="F38" s="26"/>
      <c r="G38" s="26" t="s">
        <v>941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665</v>
      </c>
      <c r="C39" s="13" t="s">
        <v>666</v>
      </c>
      <c r="D39" s="10" t="s">
        <v>667</v>
      </c>
      <c r="E39" s="25" t="s">
        <v>266</v>
      </c>
      <c r="F39" s="26"/>
      <c r="G39" s="26" t="s">
        <v>942</v>
      </c>
      <c r="H39" s="3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671</v>
      </c>
      <c r="C40" s="13" t="s">
        <v>666</v>
      </c>
      <c r="D40" s="10" t="s">
        <v>672</v>
      </c>
      <c r="E40" s="25" t="s">
        <v>266</v>
      </c>
      <c r="F40" s="26"/>
      <c r="G40" s="26" t="s">
        <v>943</v>
      </c>
      <c r="H40" s="3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675</v>
      </c>
      <c r="C41" s="13" t="s">
        <v>666</v>
      </c>
      <c r="D41" s="10" t="s">
        <v>676</v>
      </c>
      <c r="E41" s="25" t="s">
        <v>266</v>
      </c>
      <c r="F41" s="26"/>
      <c r="G41" s="26" t="s">
        <v>944</v>
      </c>
      <c r="H41" s="3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678</v>
      </c>
      <c r="C42" s="13" t="s">
        <v>666</v>
      </c>
      <c r="D42" s="10" t="s">
        <v>679</v>
      </c>
      <c r="E42" s="25" t="s">
        <v>266</v>
      </c>
      <c r="F42" s="26"/>
      <c r="G42" s="26" t="s">
        <v>945</v>
      </c>
      <c r="H42" s="3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681</v>
      </c>
      <c r="C43" s="13" t="s">
        <v>666</v>
      </c>
      <c r="D43" s="10" t="s">
        <v>682</v>
      </c>
      <c r="E43" s="25" t="s">
        <v>266</v>
      </c>
      <c r="F43" s="26"/>
      <c r="G43" s="26" t="s">
        <v>946</v>
      </c>
      <c r="H43" s="3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684</v>
      </c>
      <c r="C44" s="13" t="s">
        <v>666</v>
      </c>
      <c r="D44" s="10" t="s">
        <v>685</v>
      </c>
      <c r="E44" s="25" t="s">
        <v>266</v>
      </c>
      <c r="F44" s="26"/>
      <c r="G44" s="26" t="s">
        <v>947</v>
      </c>
      <c r="H44" s="3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687</v>
      </c>
      <c r="C45" s="13" t="s">
        <v>666</v>
      </c>
      <c r="D45" s="10" t="s">
        <v>688</v>
      </c>
      <c r="E45" s="25" t="s">
        <v>266</v>
      </c>
      <c r="F45" s="26"/>
      <c r="G45" s="26" t="s">
        <v>948</v>
      </c>
      <c r="H45" s="3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690</v>
      </c>
      <c r="C46" s="13" t="s">
        <v>666</v>
      </c>
      <c r="D46" s="10" t="s">
        <v>691</v>
      </c>
      <c r="E46" s="25" t="s">
        <v>266</v>
      </c>
      <c r="F46" s="26"/>
      <c r="G46" s="26" t="s">
        <v>949</v>
      </c>
      <c r="H46" s="3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1055</v>
      </c>
      <c r="C47" s="13" t="s">
        <v>338</v>
      </c>
      <c r="D47" s="10" t="s">
        <v>693</v>
      </c>
      <c r="E47" s="25" t="s">
        <v>266</v>
      </c>
      <c r="F47" s="26"/>
      <c r="G47" s="26" t="s">
        <v>694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1054</v>
      </c>
      <c r="C48" s="13" t="s">
        <v>338</v>
      </c>
      <c r="D48" s="10" t="s">
        <v>695</v>
      </c>
      <c r="E48" s="25" t="s">
        <v>266</v>
      </c>
      <c r="F48" s="26"/>
      <c r="G48" s="26" t="s">
        <v>696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1056</v>
      </c>
      <c r="C49" s="13" t="s">
        <v>338</v>
      </c>
      <c r="D49" s="10" t="s">
        <v>697</v>
      </c>
      <c r="E49" s="25" t="s">
        <v>266</v>
      </c>
      <c r="F49" s="26"/>
      <c r="G49" s="26" t="s">
        <v>698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1057</v>
      </c>
      <c r="C50" s="13" t="s">
        <v>338</v>
      </c>
      <c r="D50" s="10" t="s">
        <v>699</v>
      </c>
      <c r="E50" s="25" t="s">
        <v>266</v>
      </c>
      <c r="F50" s="26"/>
      <c r="G50" s="26" t="s">
        <v>700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1274</v>
      </c>
      <c r="C51" s="13" t="s">
        <v>338</v>
      </c>
      <c r="D51" s="10" t="s">
        <v>702</v>
      </c>
      <c r="E51" s="25" t="s">
        <v>266</v>
      </c>
      <c r="F51" s="26"/>
      <c r="G51" s="26" t="s">
        <v>950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1275</v>
      </c>
      <c r="C52" s="13" t="s">
        <v>338</v>
      </c>
      <c r="D52" s="10" t="s">
        <v>705</v>
      </c>
      <c r="E52" s="25" t="s">
        <v>266</v>
      </c>
      <c r="F52" s="26"/>
      <c r="G52" s="26" t="s">
        <v>951</v>
      </c>
      <c r="H52" s="3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707</v>
      </c>
      <c r="C53" s="13" t="s">
        <v>338</v>
      </c>
      <c r="D53" s="10" t="s">
        <v>708</v>
      </c>
      <c r="E53" s="25" t="s">
        <v>266</v>
      </c>
      <c r="F53" s="26"/>
      <c r="G53" s="26" t="s">
        <v>952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710</v>
      </c>
      <c r="C54" s="13" t="s">
        <v>338</v>
      </c>
      <c r="D54" s="10" t="s">
        <v>711</v>
      </c>
      <c r="E54" s="25" t="s">
        <v>266</v>
      </c>
      <c r="F54" s="26"/>
      <c r="G54" s="26" t="s">
        <v>953</v>
      </c>
      <c r="H54" s="3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713</v>
      </c>
      <c r="C55" s="13" t="s">
        <v>338</v>
      </c>
      <c r="D55" s="10" t="s">
        <v>714</v>
      </c>
      <c r="E55" s="25" t="s">
        <v>266</v>
      </c>
      <c r="F55" s="26"/>
      <c r="G55" s="26" t="s">
        <v>954</v>
      </c>
      <c r="H55" s="3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716</v>
      </c>
      <c r="C56" s="13" t="s">
        <v>338</v>
      </c>
      <c r="D56" s="10" t="s">
        <v>717</v>
      </c>
      <c r="E56" s="25" t="s">
        <v>266</v>
      </c>
      <c r="F56" s="26"/>
      <c r="G56" s="26" t="s">
        <v>955</v>
      </c>
      <c r="H56" s="3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1064</v>
      </c>
      <c r="C57" s="13" t="s">
        <v>338</v>
      </c>
      <c r="D57" s="10" t="s">
        <v>719</v>
      </c>
      <c r="E57" s="25" t="s">
        <v>266</v>
      </c>
      <c r="F57" s="26"/>
      <c r="G57" s="26" t="s">
        <v>720</v>
      </c>
      <c r="H57" s="3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1066</v>
      </c>
      <c r="C58" s="13" t="s">
        <v>338</v>
      </c>
      <c r="D58" s="10" t="s">
        <v>721</v>
      </c>
      <c r="E58" s="25" t="s">
        <v>266</v>
      </c>
      <c r="F58" s="26"/>
      <c r="G58" s="26" t="s">
        <v>722</v>
      </c>
      <c r="H58" s="3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1276</v>
      </c>
      <c r="C59" s="13" t="s">
        <v>338</v>
      </c>
      <c r="D59" s="10" t="s">
        <v>723</v>
      </c>
      <c r="E59" s="25" t="s">
        <v>266</v>
      </c>
      <c r="F59" s="26"/>
      <c r="G59" s="26" t="s">
        <v>724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1277</v>
      </c>
      <c r="C60" s="13" t="s">
        <v>338</v>
      </c>
      <c r="D60" s="10" t="s">
        <v>725</v>
      </c>
      <c r="E60" s="25" t="s">
        <v>266</v>
      </c>
      <c r="F60" s="26"/>
      <c r="G60" s="26" t="s">
        <v>726</v>
      </c>
      <c r="H60" s="3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1278</v>
      </c>
      <c r="C61" s="13" t="s">
        <v>338</v>
      </c>
      <c r="D61" s="10" t="s">
        <v>536</v>
      </c>
      <c r="E61" s="25" t="s">
        <v>266</v>
      </c>
      <c r="F61" s="26"/>
      <c r="G61" s="26" t="s">
        <v>727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728</v>
      </c>
      <c r="C62" s="13" t="s">
        <v>338</v>
      </c>
      <c r="D62" s="10" t="s">
        <v>729</v>
      </c>
      <c r="E62" s="25" t="s">
        <v>266</v>
      </c>
      <c r="F62" s="26"/>
      <c r="G62" s="26" t="s">
        <v>956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730</v>
      </c>
      <c r="C63" s="13" t="s">
        <v>666</v>
      </c>
      <c r="D63" s="10" t="s">
        <v>731</v>
      </c>
      <c r="E63" s="25" t="s">
        <v>266</v>
      </c>
      <c r="F63" s="26"/>
      <c r="G63" s="26" t="s">
        <v>957</v>
      </c>
      <c r="H63" s="3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1091</v>
      </c>
      <c r="C64" s="13" t="s">
        <v>338</v>
      </c>
      <c r="D64" s="10" t="s">
        <v>734</v>
      </c>
      <c r="E64" s="25" t="s">
        <v>266</v>
      </c>
      <c r="F64" s="26"/>
      <c r="G64" s="26" t="s">
        <v>958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1093</v>
      </c>
      <c r="C65" s="13" t="s">
        <v>338</v>
      </c>
      <c r="D65" s="10" t="s">
        <v>737</v>
      </c>
      <c r="E65" s="25" t="s">
        <v>266</v>
      </c>
      <c r="F65" s="26"/>
      <c r="G65" s="26" t="s">
        <v>959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1095</v>
      </c>
      <c r="C66" s="13" t="s">
        <v>338</v>
      </c>
      <c r="D66" s="10" t="s">
        <v>740</v>
      </c>
      <c r="E66" s="25" t="s">
        <v>266</v>
      </c>
      <c r="F66" s="26"/>
      <c r="G66" s="26" t="s">
        <v>960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1097</v>
      </c>
      <c r="C67" s="13" t="s">
        <v>338</v>
      </c>
      <c r="D67" s="10" t="s">
        <v>743</v>
      </c>
      <c r="E67" s="25" t="s">
        <v>266</v>
      </c>
      <c r="F67" s="26"/>
      <c r="G67" s="26" t="s">
        <v>961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1099</v>
      </c>
      <c r="C68" s="13" t="s">
        <v>338</v>
      </c>
      <c r="D68" s="10" t="s">
        <v>746</v>
      </c>
      <c r="E68" s="25" t="s">
        <v>266</v>
      </c>
      <c r="F68" s="26"/>
      <c r="G68" s="26" t="s">
        <v>962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748</v>
      </c>
      <c r="C69" s="13" t="s">
        <v>338</v>
      </c>
      <c r="D69" s="10" t="s">
        <v>749</v>
      </c>
      <c r="E69" s="25" t="s">
        <v>266</v>
      </c>
      <c r="F69" s="26"/>
      <c r="G69" s="26" t="s">
        <v>963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751</v>
      </c>
      <c r="C70" s="13" t="s">
        <v>666</v>
      </c>
      <c r="D70" s="10" t="s">
        <v>752</v>
      </c>
      <c r="E70" s="25" t="s">
        <v>266</v>
      </c>
      <c r="F70" s="26"/>
      <c r="G70" s="26" t="s">
        <v>964</v>
      </c>
      <c r="H70" s="3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1104</v>
      </c>
      <c r="C71" s="13" t="s">
        <v>338</v>
      </c>
      <c r="D71" s="10" t="s">
        <v>755</v>
      </c>
      <c r="E71" s="25" t="s">
        <v>266</v>
      </c>
      <c r="F71" s="26"/>
      <c r="G71" s="26" t="s">
        <v>965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1106</v>
      </c>
      <c r="C72" s="13" t="s">
        <v>338</v>
      </c>
      <c r="D72" s="10" t="s">
        <v>758</v>
      </c>
      <c r="E72" s="25" t="s">
        <v>266</v>
      </c>
      <c r="F72" s="26"/>
      <c r="G72" s="26" t="s">
        <v>966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1108</v>
      </c>
      <c r="C73" s="13" t="s">
        <v>338</v>
      </c>
      <c r="D73" s="10" t="s">
        <v>761</v>
      </c>
      <c r="E73" s="25" t="s">
        <v>266</v>
      </c>
      <c r="F73" s="26"/>
      <c r="G73" s="26" t="s">
        <v>967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1110</v>
      </c>
      <c r="C74" s="13" t="s">
        <v>338</v>
      </c>
      <c r="D74" s="10" t="s">
        <v>764</v>
      </c>
      <c r="E74" s="25" t="s">
        <v>266</v>
      </c>
      <c r="F74" s="26"/>
      <c r="G74" s="26" t="s">
        <v>968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1112</v>
      </c>
      <c r="C75" s="13" t="s">
        <v>338</v>
      </c>
      <c r="D75" s="10" t="s">
        <v>767</v>
      </c>
      <c r="E75" s="25" t="s">
        <v>266</v>
      </c>
      <c r="F75" s="26"/>
      <c r="G75" s="26" t="s">
        <v>969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769</v>
      </c>
      <c r="C76" s="13" t="s">
        <v>666</v>
      </c>
      <c r="D76" s="10" t="s">
        <v>770</v>
      </c>
      <c r="E76" s="25" t="s">
        <v>266</v>
      </c>
      <c r="F76" s="26"/>
      <c r="G76" s="26" t="s">
        <v>970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772</v>
      </c>
      <c r="C77" s="13" t="s">
        <v>666</v>
      </c>
      <c r="D77" s="10" t="s">
        <v>773</v>
      </c>
      <c r="E77" s="25" t="s">
        <v>266</v>
      </c>
      <c r="F77" s="26"/>
      <c r="G77" s="26" t="s">
        <v>971</v>
      </c>
      <c r="H77" s="3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1279</v>
      </c>
      <c r="C78" s="13" t="s">
        <v>338</v>
      </c>
      <c r="D78" s="10" t="s">
        <v>776</v>
      </c>
      <c r="E78" s="25" t="s">
        <v>266</v>
      </c>
      <c r="F78" s="26"/>
      <c r="G78" s="26" t="s">
        <v>972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1280</v>
      </c>
      <c r="C79" s="13" t="s">
        <v>338</v>
      </c>
      <c r="D79" s="10" t="s">
        <v>779</v>
      </c>
      <c r="E79" s="25" t="s">
        <v>266</v>
      </c>
      <c r="F79" s="26"/>
      <c r="G79" s="26" t="s">
        <v>973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1281</v>
      </c>
      <c r="C80" s="13" t="s">
        <v>338</v>
      </c>
      <c r="D80" s="10" t="s">
        <v>782</v>
      </c>
      <c r="E80" s="25" t="s">
        <v>266</v>
      </c>
      <c r="F80" s="26"/>
      <c r="G80" s="26" t="s">
        <v>974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1282</v>
      </c>
      <c r="C81" s="13" t="s">
        <v>338</v>
      </c>
      <c r="D81" s="10" t="s">
        <v>785</v>
      </c>
      <c r="E81" s="25" t="s">
        <v>266</v>
      </c>
      <c r="F81" s="26"/>
      <c r="G81" s="26" t="s">
        <v>975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1283</v>
      </c>
      <c r="C82" s="13" t="s">
        <v>338</v>
      </c>
      <c r="D82" s="10" t="s">
        <v>788</v>
      </c>
      <c r="E82" s="25" t="s">
        <v>266</v>
      </c>
      <c r="F82" s="26"/>
      <c r="G82" s="26" t="s">
        <v>976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1284</v>
      </c>
      <c r="C83" s="13" t="s">
        <v>666</v>
      </c>
      <c r="D83" s="10" t="s">
        <v>790</v>
      </c>
      <c r="E83" s="25" t="s">
        <v>266</v>
      </c>
      <c r="F83" s="26"/>
      <c r="G83" s="26" t="s">
        <v>977</v>
      </c>
      <c r="H83" s="3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792</v>
      </c>
      <c r="C84" s="13" t="s">
        <v>338</v>
      </c>
      <c r="D84" s="10" t="s">
        <v>793</v>
      </c>
      <c r="E84" s="25" t="s">
        <v>266</v>
      </c>
      <c r="F84" s="26"/>
      <c r="G84" s="26" t="s">
        <v>978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1285</v>
      </c>
      <c r="C85" s="13" t="s">
        <v>666</v>
      </c>
      <c r="D85" s="10" t="s">
        <v>795</v>
      </c>
      <c r="E85" s="25" t="s">
        <v>266</v>
      </c>
      <c r="F85" s="26"/>
      <c r="G85" s="26" t="s">
        <v>979</v>
      </c>
      <c r="H85" s="3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797</v>
      </c>
      <c r="C86" s="13" t="s">
        <v>338</v>
      </c>
      <c r="D86" s="10" t="s">
        <v>798</v>
      </c>
      <c r="E86" s="25" t="s">
        <v>266</v>
      </c>
      <c r="F86" s="26"/>
      <c r="G86" s="26" t="s">
        <v>980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800</v>
      </c>
      <c r="C87" s="13" t="s">
        <v>338</v>
      </c>
      <c r="D87" s="10" t="s">
        <v>801</v>
      </c>
      <c r="E87" s="25" t="s">
        <v>266</v>
      </c>
      <c r="F87" s="26"/>
      <c r="G87" s="26" t="s">
        <v>981</v>
      </c>
      <c r="H87" s="3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1286</v>
      </c>
      <c r="C88" s="13" t="s">
        <v>666</v>
      </c>
      <c r="D88" s="10" t="s">
        <v>552</v>
      </c>
      <c r="E88" s="25" t="s">
        <v>266</v>
      </c>
      <c r="F88" s="26"/>
      <c r="G88" s="26" t="s">
        <v>982</v>
      </c>
      <c r="H88" s="3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805</v>
      </c>
      <c r="C89" s="13" t="s">
        <v>338</v>
      </c>
      <c r="D89" s="10" t="s">
        <v>806</v>
      </c>
      <c r="E89" s="25" t="s">
        <v>266</v>
      </c>
      <c r="F89" s="26"/>
      <c r="G89" s="26" t="s">
        <v>983</v>
      </c>
      <c r="H89" s="3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808</v>
      </c>
      <c r="C90" s="13" t="s">
        <v>338</v>
      </c>
      <c r="D90" s="10" t="s">
        <v>809</v>
      </c>
      <c r="E90" s="25" t="s">
        <v>266</v>
      </c>
      <c r="F90" s="26"/>
      <c r="G90" s="26" t="s">
        <v>984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811</v>
      </c>
      <c r="C91" s="13" t="s">
        <v>338</v>
      </c>
      <c r="D91" s="10" t="s">
        <v>812</v>
      </c>
      <c r="E91" s="25" t="s">
        <v>266</v>
      </c>
      <c r="F91" s="26"/>
      <c r="G91" s="26" t="s">
        <v>985</v>
      </c>
      <c r="H91" s="3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814</v>
      </c>
      <c r="C92" s="13" t="s">
        <v>338</v>
      </c>
      <c r="D92" s="10" t="s">
        <v>815</v>
      </c>
      <c r="E92" s="25" t="s">
        <v>266</v>
      </c>
      <c r="F92" s="26"/>
      <c r="G92" s="26" t="s">
        <v>986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817</v>
      </c>
      <c r="C93" s="13" t="s">
        <v>338</v>
      </c>
      <c r="D93" s="10" t="s">
        <v>818</v>
      </c>
      <c r="E93" s="25" t="s">
        <v>266</v>
      </c>
      <c r="F93" s="26"/>
      <c r="G93" s="26" t="s">
        <v>987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820</v>
      </c>
      <c r="C94" s="13" t="s">
        <v>338</v>
      </c>
      <c r="D94" s="10" t="s">
        <v>821</v>
      </c>
      <c r="E94" s="25" t="s">
        <v>266</v>
      </c>
      <c r="F94" s="26"/>
      <c r="G94" s="26" t="s">
        <v>988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1287</v>
      </c>
      <c r="C95" s="13" t="s">
        <v>666</v>
      </c>
      <c r="D95" s="10" t="s">
        <v>557</v>
      </c>
      <c r="E95" s="25" t="s">
        <v>266</v>
      </c>
      <c r="F95" s="26"/>
      <c r="G95" s="26" t="s">
        <v>989</v>
      </c>
      <c r="H95" s="3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824</v>
      </c>
      <c r="C96" s="13" t="s">
        <v>338</v>
      </c>
      <c r="D96" s="10" t="s">
        <v>825</v>
      </c>
      <c r="E96" s="25" t="s">
        <v>266</v>
      </c>
      <c r="F96" s="26"/>
      <c r="G96" s="26" t="s">
        <v>990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827</v>
      </c>
      <c r="C97" s="13" t="s">
        <v>338</v>
      </c>
      <c r="D97" s="10" t="s">
        <v>828</v>
      </c>
      <c r="E97" s="25" t="s">
        <v>266</v>
      </c>
      <c r="F97" s="26"/>
      <c r="G97" s="26" t="s">
        <v>991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830</v>
      </c>
      <c r="C98" s="13" t="s">
        <v>338</v>
      </c>
      <c r="D98" s="10" t="s">
        <v>831</v>
      </c>
      <c r="E98" s="25" t="s">
        <v>266</v>
      </c>
      <c r="F98" s="26"/>
      <c r="G98" s="26" t="s">
        <v>992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833</v>
      </c>
      <c r="C99" s="13" t="s">
        <v>338</v>
      </c>
      <c r="D99" s="10" t="s">
        <v>834</v>
      </c>
      <c r="E99" s="25" t="s">
        <v>266</v>
      </c>
      <c r="F99" s="26"/>
      <c r="G99" s="26" t="s">
        <v>993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836</v>
      </c>
      <c r="C100" s="13" t="s">
        <v>338</v>
      </c>
      <c r="D100" s="10" t="s">
        <v>837</v>
      </c>
      <c r="E100" s="25" t="s">
        <v>266</v>
      </c>
      <c r="F100" s="26"/>
      <c r="G100" s="26" t="s">
        <v>994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839</v>
      </c>
      <c r="C101" s="13" t="s">
        <v>338</v>
      </c>
      <c r="D101" s="10" t="s">
        <v>840</v>
      </c>
      <c r="E101" s="25" t="s">
        <v>266</v>
      </c>
      <c r="F101" s="26"/>
      <c r="G101" s="26" t="s">
        <v>995</v>
      </c>
      <c r="H101" s="37"/>
      <c r="I101" s="26"/>
      <c r="J101" s="15" t="s">
        <v>632</v>
      </c>
      <c r="K101" s="15" t="s">
        <v>294</v>
      </c>
      <c r="L101" s="15" t="s">
        <v>633</v>
      </c>
    </row>
    <row r="102" s="1" customFormat="1" spans="1:12">
      <c r="A102" s="33"/>
      <c r="B102" s="13" t="s">
        <v>1288</v>
      </c>
      <c r="C102" s="13" t="s">
        <v>666</v>
      </c>
      <c r="D102" s="10" t="s">
        <v>842</v>
      </c>
      <c r="E102" s="25" t="s">
        <v>266</v>
      </c>
      <c r="F102" s="26"/>
      <c r="G102" s="26" t="s">
        <v>996</v>
      </c>
      <c r="H102" s="37"/>
      <c r="I102" s="26"/>
      <c r="J102" s="15" t="s">
        <v>632</v>
      </c>
      <c r="K102" s="15" t="s">
        <v>404</v>
      </c>
      <c r="L102" s="15" t="s">
        <v>633</v>
      </c>
    </row>
    <row r="103" s="1" customFormat="1" spans="1:12">
      <c r="A103" s="33"/>
      <c r="B103" s="75" t="s">
        <v>844</v>
      </c>
      <c r="C103" s="75" t="s">
        <v>338</v>
      </c>
      <c r="D103" s="76" t="s">
        <v>845</v>
      </c>
      <c r="E103" s="25" t="s">
        <v>266</v>
      </c>
      <c r="F103" s="26"/>
      <c r="G103" s="26" t="s">
        <v>997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847</v>
      </c>
      <c r="C104" s="75" t="s">
        <v>338</v>
      </c>
      <c r="D104" s="76" t="s">
        <v>848</v>
      </c>
      <c r="E104" s="25" t="s">
        <v>266</v>
      </c>
      <c r="F104" s="26"/>
      <c r="G104" s="26" t="s">
        <v>998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75" t="s">
        <v>850</v>
      </c>
      <c r="C105" s="75" t="s">
        <v>338</v>
      </c>
      <c r="D105" s="76" t="s">
        <v>851</v>
      </c>
      <c r="E105" s="25" t="s">
        <v>266</v>
      </c>
      <c r="F105" s="26"/>
      <c r="G105" s="26" t="s">
        <v>999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75" t="s">
        <v>853</v>
      </c>
      <c r="C106" s="75" t="s">
        <v>338</v>
      </c>
      <c r="D106" s="76" t="s">
        <v>854</v>
      </c>
      <c r="E106" s="25" t="s">
        <v>266</v>
      </c>
      <c r="F106" s="26"/>
      <c r="G106" s="26" t="s">
        <v>1000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1:12">
      <c r="A107" s="33"/>
      <c r="B107" s="75" t="s">
        <v>856</v>
      </c>
      <c r="C107" s="75" t="s">
        <v>338</v>
      </c>
      <c r="D107" s="76" t="s">
        <v>857</v>
      </c>
      <c r="E107" s="25" t="s">
        <v>266</v>
      </c>
      <c r="F107" s="26"/>
      <c r="G107" s="26" t="s">
        <v>1001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13" t="s">
        <v>859</v>
      </c>
      <c r="C108" s="13" t="s">
        <v>338</v>
      </c>
      <c r="D108" s="10" t="s">
        <v>860</v>
      </c>
      <c r="E108" s="25" t="s">
        <v>266</v>
      </c>
      <c r="F108" s="26"/>
      <c r="G108" s="26" t="s">
        <v>1002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1289</v>
      </c>
      <c r="C109" s="13" t="s">
        <v>666</v>
      </c>
      <c r="D109" s="10" t="s">
        <v>863</v>
      </c>
      <c r="E109" s="25" t="s">
        <v>266</v>
      </c>
      <c r="F109" s="26"/>
      <c r="G109" s="26" t="s">
        <v>1003</v>
      </c>
      <c r="H109" s="37"/>
      <c r="I109" s="26"/>
      <c r="J109" s="15" t="s">
        <v>632</v>
      </c>
      <c r="K109" s="15" t="s">
        <v>404</v>
      </c>
      <c r="L109" s="15" t="s">
        <v>633</v>
      </c>
    </row>
    <row r="110" s="1" customFormat="1" spans="1:12">
      <c r="A110" s="33"/>
      <c r="B110" s="13" t="s">
        <v>462</v>
      </c>
      <c r="C110" s="13" t="s">
        <v>666</v>
      </c>
      <c r="D110" s="10" t="s">
        <v>865</v>
      </c>
      <c r="E110" s="25" t="s">
        <v>266</v>
      </c>
      <c r="F110" s="26"/>
      <c r="G110" s="26" t="s">
        <v>1004</v>
      </c>
      <c r="H110" s="3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1290</v>
      </c>
      <c r="C111" s="13" t="s">
        <v>666</v>
      </c>
      <c r="D111" s="10" t="s">
        <v>539</v>
      </c>
      <c r="E111" s="25" t="s">
        <v>266</v>
      </c>
      <c r="F111" s="26"/>
      <c r="G111" s="26" t="s">
        <v>1005</v>
      </c>
      <c r="H111" s="3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1291</v>
      </c>
      <c r="C112" s="13" t="s">
        <v>338</v>
      </c>
      <c r="D112" s="10" t="s">
        <v>869</v>
      </c>
      <c r="E112" s="25" t="s">
        <v>266</v>
      </c>
      <c r="F112" s="26"/>
      <c r="G112" s="26" t="s">
        <v>1006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1292</v>
      </c>
      <c r="C113" s="13" t="s">
        <v>338</v>
      </c>
      <c r="D113" s="10" t="s">
        <v>872</v>
      </c>
      <c r="E113" s="25" t="s">
        <v>266</v>
      </c>
      <c r="F113" s="26"/>
      <c r="G113" s="26" t="s">
        <v>1007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1293</v>
      </c>
      <c r="C114" s="13" t="s">
        <v>666</v>
      </c>
      <c r="D114" s="10" t="s">
        <v>544</v>
      </c>
      <c r="E114" s="25" t="s">
        <v>266</v>
      </c>
      <c r="F114" s="26"/>
      <c r="G114" s="26" t="s">
        <v>1008</v>
      </c>
      <c r="H114" s="3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875</v>
      </c>
      <c r="C115" s="13" t="s">
        <v>338</v>
      </c>
      <c r="D115" s="10" t="s">
        <v>876</v>
      </c>
      <c r="E115" s="25" t="s">
        <v>266</v>
      </c>
      <c r="F115" s="26"/>
      <c r="G115" s="26" t="s">
        <v>1009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887</v>
      </c>
      <c r="C116" s="13" t="s">
        <v>338</v>
      </c>
      <c r="D116" s="10" t="s">
        <v>888</v>
      </c>
      <c r="E116" s="25" t="s">
        <v>266</v>
      </c>
      <c r="F116" s="26"/>
      <c r="G116" s="26" t="s">
        <v>1013</v>
      </c>
      <c r="H116" s="37"/>
      <c r="I116" s="26"/>
      <c r="J116" s="15" t="s">
        <v>632</v>
      </c>
      <c r="K116" s="15" t="s">
        <v>294</v>
      </c>
      <c r="L116" s="15" t="s">
        <v>633</v>
      </c>
    </row>
    <row r="117" spans="2:12">
      <c r="B117" s="17" t="s">
        <v>594</v>
      </c>
      <c r="C117" s="18" t="s">
        <v>307</v>
      </c>
      <c r="D117" s="19" t="s">
        <v>595</v>
      </c>
      <c r="E117" s="28"/>
      <c r="F117" s="28"/>
      <c r="G117" s="28" t="s">
        <v>932</v>
      </c>
      <c r="H117" s="17"/>
      <c r="I117" s="17"/>
      <c r="J117" s="17"/>
      <c r="K117" s="17"/>
      <c r="L117" s="17"/>
    </row>
    <row r="118" s="2" customFormat="1" spans="2:12">
      <c r="B118" s="17" t="s">
        <v>596</v>
      </c>
      <c r="C118" s="18" t="s">
        <v>291</v>
      </c>
      <c r="D118" s="19" t="s">
        <v>597</v>
      </c>
      <c r="E118" s="28"/>
      <c r="F118" s="28"/>
      <c r="G118" s="28" t="s">
        <v>932</v>
      </c>
      <c r="H118" s="17" t="s">
        <v>932</v>
      </c>
      <c r="I118" s="17"/>
      <c r="J118" s="17"/>
      <c r="K118" s="17"/>
      <c r="L118" s="17"/>
    </row>
  </sheetData>
  <autoFilter xmlns:etc="http://www.wps.cn/officeDocument/2017/etCustomData" ref="A13:Q11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121</v>
      </c>
      <c r="D5" s="14" t="s">
        <v>122</v>
      </c>
      <c r="E5" s="13" t="s">
        <v>602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116</v>
      </c>
      <c r="D9" s="11" t="s">
        <v>117</v>
      </c>
      <c r="E9" s="13" t="s">
        <v>266</v>
      </c>
      <c r="F9" s="26"/>
      <c r="G9" s="55" t="s">
        <v>1310</v>
      </c>
      <c r="H9" s="23" t="s">
        <v>44</v>
      </c>
    </row>
    <row r="10" spans="2:8">
      <c r="B10" s="13"/>
      <c r="C10" s="10" t="s">
        <v>267</v>
      </c>
      <c r="D10" s="11" t="s">
        <v>268</v>
      </c>
      <c r="E10" s="13" t="s">
        <v>1311</v>
      </c>
      <c r="F10" s="26"/>
      <c r="G10" s="26" t="s">
        <v>1312</v>
      </c>
      <c r="H10" s="23"/>
    </row>
    <row r="12" spans="2:2">
      <c r="B12" s="3" t="s">
        <v>279</v>
      </c>
    </row>
    <row r="13" ht="13.5" spans="2:12">
      <c r="B13" s="7" t="s">
        <v>279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3.5" spans="2:12">
      <c r="B14" s="8" t="s">
        <v>280</v>
      </c>
      <c r="C14" s="8" t="s">
        <v>281</v>
      </c>
      <c r="D14" s="8" t="s">
        <v>282</v>
      </c>
      <c r="E14" s="8" t="s">
        <v>283</v>
      </c>
      <c r="F14" s="12" t="s">
        <v>284</v>
      </c>
      <c r="G14" s="12" t="s">
        <v>285</v>
      </c>
      <c r="H14" s="8" t="s">
        <v>286</v>
      </c>
      <c r="I14" s="8" t="s">
        <v>17</v>
      </c>
      <c r="J14" s="8" t="s">
        <v>287</v>
      </c>
      <c r="K14" s="8" t="s">
        <v>288</v>
      </c>
      <c r="L14" s="8" t="s">
        <v>289</v>
      </c>
    </row>
    <row r="15" s="1" customFormat="1" spans="2:12">
      <c r="B15" s="32" t="s">
        <v>602</v>
      </c>
      <c r="C15" s="32" t="s">
        <v>291</v>
      </c>
      <c r="D15" s="10" t="s">
        <v>1028</v>
      </c>
      <c r="E15" s="25" t="s">
        <v>266</v>
      </c>
      <c r="F15" s="26" t="s">
        <v>596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605</v>
      </c>
    </row>
    <row r="16" s="1" customFormat="1" spans="1:12">
      <c r="A16" s="33"/>
      <c r="B16" s="32" t="s">
        <v>1033</v>
      </c>
      <c r="C16" s="32" t="s">
        <v>307</v>
      </c>
      <c r="D16" s="10" t="s">
        <v>1313</v>
      </c>
      <c r="E16" s="25" t="s">
        <v>266</v>
      </c>
      <c r="F16" s="26" t="s">
        <v>1035</v>
      </c>
      <c r="G16" s="26" t="s">
        <v>1035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32" t="s">
        <v>1036</v>
      </c>
      <c r="C17" s="32" t="s">
        <v>291</v>
      </c>
      <c r="D17" s="10" t="s">
        <v>1037</v>
      </c>
      <c r="E17" s="25" t="s">
        <v>266</v>
      </c>
      <c r="F17" s="26" t="s">
        <v>1038</v>
      </c>
      <c r="G17" s="26" t="s">
        <v>1038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297</v>
      </c>
      <c r="C18" s="32" t="s">
        <v>291</v>
      </c>
      <c r="D18" s="10" t="s">
        <v>298</v>
      </c>
      <c r="E18" s="25" t="s">
        <v>266</v>
      </c>
      <c r="F18" s="26" t="s">
        <v>297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13" t="s">
        <v>514</v>
      </c>
      <c r="C19" s="32" t="s">
        <v>291</v>
      </c>
      <c r="D19" s="10" t="s">
        <v>515</v>
      </c>
      <c r="E19" s="25" t="s">
        <v>266</v>
      </c>
      <c r="F19" s="26" t="s">
        <v>514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13" t="s">
        <v>1314</v>
      </c>
      <c r="C20" s="32" t="s">
        <v>291</v>
      </c>
      <c r="D20" s="10" t="s">
        <v>1315</v>
      </c>
      <c r="E20" s="25" t="s">
        <v>269</v>
      </c>
      <c r="F20" s="35" t="s">
        <v>1314</v>
      </c>
      <c r="G20" s="24" t="s">
        <v>519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613</v>
      </c>
      <c r="C21" s="32" t="s">
        <v>291</v>
      </c>
      <c r="D21" s="10" t="s">
        <v>1316</v>
      </c>
      <c r="E21" s="25" t="s">
        <v>266</v>
      </c>
      <c r="F21" s="26" t="s">
        <v>613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522</v>
      </c>
      <c r="C22" s="13" t="s">
        <v>291</v>
      </c>
      <c r="D22" s="10" t="s">
        <v>523</v>
      </c>
      <c r="E22" s="25" t="s">
        <v>266</v>
      </c>
      <c r="F22" s="26" t="s">
        <v>522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517</v>
      </c>
      <c r="C23" s="13" t="s">
        <v>291</v>
      </c>
      <c r="D23" s="10" t="s">
        <v>1317</v>
      </c>
      <c r="E23" s="25" t="s">
        <v>266</v>
      </c>
      <c r="F23" s="26" t="s">
        <v>517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615</v>
      </c>
    </row>
    <row r="24" s="1" customFormat="1" spans="1:12">
      <c r="A24" s="33"/>
      <c r="B24" s="13" t="s">
        <v>524</v>
      </c>
      <c r="C24" s="13" t="s">
        <v>291</v>
      </c>
      <c r="D24" s="10" t="s">
        <v>525</v>
      </c>
      <c r="E24" s="25" t="s">
        <v>266</v>
      </c>
      <c r="F24" s="26" t="s">
        <v>524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33" customFormat="1" spans="2:12">
      <c r="B25" s="32" t="s">
        <v>520</v>
      </c>
      <c r="C25" s="13" t="s">
        <v>307</v>
      </c>
      <c r="D25" s="10" t="s">
        <v>1318</v>
      </c>
      <c r="E25" s="25" t="s">
        <v>266</v>
      </c>
      <c r="F25" s="26" t="s">
        <v>520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615</v>
      </c>
    </row>
    <row r="26" s="1" customFormat="1" spans="1:12">
      <c r="A26" s="33"/>
      <c r="B26" s="13" t="s">
        <v>526</v>
      </c>
      <c r="C26" s="13" t="s">
        <v>291</v>
      </c>
      <c r="D26" s="10" t="s">
        <v>527</v>
      </c>
      <c r="E26" s="25" t="s">
        <v>266</v>
      </c>
      <c r="F26" s="26" t="s">
        <v>526</v>
      </c>
      <c r="G26" s="26" t="s">
        <v>293</v>
      </c>
      <c r="H26" s="27"/>
      <c r="I26" s="15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1319</v>
      </c>
      <c r="C27" s="13" t="s">
        <v>338</v>
      </c>
      <c r="D27" s="10" t="s">
        <v>1320</v>
      </c>
      <c r="E27" s="25" t="s">
        <v>266</v>
      </c>
      <c r="F27" s="10"/>
      <c r="G27" s="26" t="s">
        <v>1321</v>
      </c>
      <c r="H27" s="27"/>
      <c r="I27" s="15"/>
      <c r="J27" s="15" t="s">
        <v>632</v>
      </c>
      <c r="K27" s="15" t="s">
        <v>803</v>
      </c>
      <c r="L27" s="15" t="s">
        <v>633</v>
      </c>
    </row>
    <row r="28" s="1" customFormat="1" spans="1:12">
      <c r="A28" s="33"/>
      <c r="B28" s="13" t="s">
        <v>1273</v>
      </c>
      <c r="C28" s="13" t="s">
        <v>666</v>
      </c>
      <c r="D28" s="10" t="s">
        <v>1322</v>
      </c>
      <c r="E28" s="25" t="s">
        <v>266</v>
      </c>
      <c r="F28" s="26"/>
      <c r="G28" s="26" t="s">
        <v>1323</v>
      </c>
      <c r="H28" s="27"/>
      <c r="I28" s="15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1324</v>
      </c>
      <c r="C29" s="13" t="s">
        <v>666</v>
      </c>
      <c r="D29" s="10" t="s">
        <v>1325</v>
      </c>
      <c r="E29" s="25" t="s">
        <v>266</v>
      </c>
      <c r="F29" s="10"/>
      <c r="G29" s="26" t="s">
        <v>1326</v>
      </c>
      <c r="H29" s="27"/>
      <c r="I29" s="15"/>
      <c r="J29" s="15" t="s">
        <v>632</v>
      </c>
      <c r="K29" s="15" t="s">
        <v>404</v>
      </c>
      <c r="L29" s="15" t="s">
        <v>633</v>
      </c>
    </row>
    <row r="30" s="1" customFormat="1" spans="1:12">
      <c r="A30" s="33"/>
      <c r="B30" s="13" t="s">
        <v>1101</v>
      </c>
      <c r="C30" s="13" t="s">
        <v>666</v>
      </c>
      <c r="D30" s="10" t="s">
        <v>1327</v>
      </c>
      <c r="E30" s="25" t="s">
        <v>266</v>
      </c>
      <c r="F30" s="10"/>
      <c r="G30" s="26" t="s">
        <v>1103</v>
      </c>
      <c r="H30" s="27"/>
      <c r="I30" s="15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751</v>
      </c>
      <c r="C31" s="13" t="s">
        <v>666</v>
      </c>
      <c r="D31" s="10" t="s">
        <v>1328</v>
      </c>
      <c r="E31" s="25" t="s">
        <v>266</v>
      </c>
      <c r="F31" s="10"/>
      <c r="G31" s="26" t="s">
        <v>964</v>
      </c>
      <c r="H31" s="27"/>
      <c r="I31" s="15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1274</v>
      </c>
      <c r="C32" s="13" t="s">
        <v>338</v>
      </c>
      <c r="D32" s="10" t="s">
        <v>1329</v>
      </c>
      <c r="E32" s="25" t="s">
        <v>266</v>
      </c>
      <c r="F32" s="10"/>
      <c r="G32" s="26" t="s">
        <v>1330</v>
      </c>
      <c r="H32" s="27"/>
      <c r="I32" s="15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1275</v>
      </c>
      <c r="C33" s="13" t="s">
        <v>338</v>
      </c>
      <c r="D33" s="10" t="s">
        <v>1331</v>
      </c>
      <c r="E33" s="25" t="s">
        <v>266</v>
      </c>
      <c r="F33" s="10"/>
      <c r="G33" s="26" t="s">
        <v>1332</v>
      </c>
      <c r="H33" s="27"/>
      <c r="I33" s="15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1056</v>
      </c>
      <c r="C34" s="13" t="s">
        <v>338</v>
      </c>
      <c r="D34" s="10" t="s">
        <v>1333</v>
      </c>
      <c r="E34" s="25" t="s">
        <v>266</v>
      </c>
      <c r="F34" s="10"/>
      <c r="G34" s="26" t="s">
        <v>1334</v>
      </c>
      <c r="H34" s="27"/>
      <c r="I34" s="15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1057</v>
      </c>
      <c r="C35" s="13" t="s">
        <v>338</v>
      </c>
      <c r="D35" s="10" t="s">
        <v>1335</v>
      </c>
      <c r="E35" s="25" t="s">
        <v>266</v>
      </c>
      <c r="F35" s="10"/>
      <c r="G35" s="26" t="s">
        <v>1336</v>
      </c>
      <c r="H35" s="27"/>
      <c r="I35" s="15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1055</v>
      </c>
      <c r="C36" s="13" t="s">
        <v>338</v>
      </c>
      <c r="D36" s="10" t="s">
        <v>347</v>
      </c>
      <c r="E36" s="25" t="s">
        <v>266</v>
      </c>
      <c r="F36" s="10"/>
      <c r="G36" s="26" t="s">
        <v>1337</v>
      </c>
      <c r="H36" s="27"/>
      <c r="I36" s="15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1054</v>
      </c>
      <c r="C37" s="13" t="s">
        <v>338</v>
      </c>
      <c r="D37" s="10" t="s">
        <v>345</v>
      </c>
      <c r="E37" s="25" t="s">
        <v>266</v>
      </c>
      <c r="F37" s="10"/>
      <c r="G37" s="26" t="s">
        <v>1338</v>
      </c>
      <c r="H37" s="27"/>
      <c r="I37" s="15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1339</v>
      </c>
      <c r="C38" s="13" t="s">
        <v>666</v>
      </c>
      <c r="D38" s="10" t="s">
        <v>1340</v>
      </c>
      <c r="E38" s="25" t="s">
        <v>266</v>
      </c>
      <c r="F38" s="10"/>
      <c r="G38" s="26" t="s">
        <v>1341</v>
      </c>
      <c r="H38" s="27"/>
      <c r="I38" s="15"/>
      <c r="J38" s="15" t="s">
        <v>632</v>
      </c>
      <c r="K38" s="15" t="s">
        <v>294</v>
      </c>
      <c r="L38" s="15" t="s">
        <v>1264</v>
      </c>
    </row>
    <row r="39" s="1" customFormat="1" spans="1:12">
      <c r="A39" s="33"/>
      <c r="B39" s="13" t="s">
        <v>1342</v>
      </c>
      <c r="C39" s="13" t="s">
        <v>666</v>
      </c>
      <c r="D39" s="10" t="s">
        <v>1343</v>
      </c>
      <c r="E39" s="25" t="s">
        <v>266</v>
      </c>
      <c r="F39" s="10"/>
      <c r="G39" s="26" t="s">
        <v>1344</v>
      </c>
      <c r="H39" s="27"/>
      <c r="I39" s="15"/>
      <c r="J39" s="15" t="s">
        <v>632</v>
      </c>
      <c r="K39" s="15" t="s">
        <v>294</v>
      </c>
      <c r="L39" s="15" t="s">
        <v>1264</v>
      </c>
    </row>
    <row r="40" s="1" customFormat="1" spans="1:12">
      <c r="A40" s="33"/>
      <c r="B40" s="13" t="s">
        <v>1345</v>
      </c>
      <c r="C40" s="13" t="s">
        <v>666</v>
      </c>
      <c r="D40" s="10" t="s">
        <v>1346</v>
      </c>
      <c r="E40" s="25" t="s">
        <v>266</v>
      </c>
      <c r="F40" s="10"/>
      <c r="G40" s="26" t="s">
        <v>1347</v>
      </c>
      <c r="H40" s="27"/>
      <c r="I40" s="15"/>
      <c r="J40" s="15" t="s">
        <v>632</v>
      </c>
      <c r="K40" s="15" t="s">
        <v>294</v>
      </c>
      <c r="L40" s="15" t="s">
        <v>1264</v>
      </c>
    </row>
    <row r="41" s="1" customFormat="1" spans="1:12">
      <c r="A41" s="33"/>
      <c r="B41" s="13" t="s">
        <v>1348</v>
      </c>
      <c r="C41" s="13" t="s">
        <v>666</v>
      </c>
      <c r="D41" s="10" t="s">
        <v>1349</v>
      </c>
      <c r="E41" s="25" t="s">
        <v>266</v>
      </c>
      <c r="F41" s="10"/>
      <c r="G41" s="26" t="s">
        <v>1350</v>
      </c>
      <c r="H41" s="27"/>
      <c r="I41" s="15"/>
      <c r="J41" s="15" t="s">
        <v>632</v>
      </c>
      <c r="K41" s="15" t="s">
        <v>294</v>
      </c>
      <c r="L41" s="15" t="s">
        <v>1264</v>
      </c>
    </row>
    <row r="42" s="2" customFormat="1" spans="2:12">
      <c r="B42" s="17" t="s">
        <v>594</v>
      </c>
      <c r="C42" s="18" t="s">
        <v>307</v>
      </c>
      <c r="D42" s="19" t="s">
        <v>595</v>
      </c>
      <c r="E42" s="28"/>
      <c r="F42" s="28"/>
      <c r="G42" s="28" t="s">
        <v>932</v>
      </c>
      <c r="H42" s="17" t="s">
        <v>932</v>
      </c>
      <c r="I42" s="17"/>
      <c r="J42" s="17"/>
      <c r="K42" s="17"/>
      <c r="L42" s="17"/>
    </row>
    <row r="43" s="2" customFormat="1" spans="2:12">
      <c r="B43" s="17" t="s">
        <v>596</v>
      </c>
      <c r="C43" s="18" t="s">
        <v>291</v>
      </c>
      <c r="D43" s="19" t="s">
        <v>597</v>
      </c>
      <c r="E43" s="28"/>
      <c r="F43" s="28"/>
      <c r="G43" s="28" t="s">
        <v>932</v>
      </c>
      <c r="H43" s="17" t="s">
        <v>932</v>
      </c>
      <c r="I43" s="17"/>
      <c r="J43" s="17"/>
      <c r="K43" s="17"/>
      <c r="L43" s="17"/>
    </row>
  </sheetData>
  <autoFilter xmlns:etc="http://www.wps.cn/officeDocument/2017/etCustomData" ref="A14:L43" etc:filterBottomFollowUsedRange="0">
    <extLst/>
  </autoFilter>
  <mergeCells count="4">
    <mergeCell ref="B2:H2"/>
    <mergeCell ref="B3:H3"/>
    <mergeCell ref="B7:H7"/>
    <mergeCell ref="B13:L13"/>
  </mergeCell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124</v>
      </c>
      <c r="D5" s="11" t="s">
        <v>125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1301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10" t="s">
        <v>514</v>
      </c>
      <c r="G23" s="26" t="s">
        <v>293</v>
      </c>
      <c r="H23" s="37"/>
      <c r="I23" s="53"/>
      <c r="J23" s="15" t="s">
        <v>604</v>
      </c>
      <c r="K23" s="15" t="s">
        <v>294</v>
      </c>
      <c r="L23" s="15" t="s">
        <v>294</v>
      </c>
    </row>
    <row r="24" s="1" customFormat="1" spans="2:12">
      <c r="B24" s="13" t="s">
        <v>295</v>
      </c>
      <c r="C24" s="13" t="s">
        <v>291</v>
      </c>
      <c r="D24" s="10" t="s">
        <v>618</v>
      </c>
      <c r="E24" s="25" t="s">
        <v>266</v>
      </c>
      <c r="F24" s="10" t="s">
        <v>295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10" t="s">
        <v>297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10" t="s">
        <v>300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634</v>
      </c>
      <c r="C29" s="13" t="s">
        <v>338</v>
      </c>
      <c r="D29" s="10" t="s">
        <v>635</v>
      </c>
      <c r="E29" s="25" t="s">
        <v>266</v>
      </c>
      <c r="F29" s="26"/>
      <c r="G29" s="26" t="s">
        <v>934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2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1273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2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1044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1045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2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653</v>
      </c>
      <c r="C36" s="13" t="s">
        <v>338</v>
      </c>
      <c r="D36" s="10" t="s">
        <v>654</v>
      </c>
      <c r="E36" s="25" t="s">
        <v>266</v>
      </c>
      <c r="F36" s="26"/>
      <c r="G36" s="26" t="s">
        <v>938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656</v>
      </c>
      <c r="C37" s="13" t="s">
        <v>338</v>
      </c>
      <c r="D37" s="10" t="s">
        <v>657</v>
      </c>
      <c r="E37" s="25" t="s">
        <v>266</v>
      </c>
      <c r="F37" s="26"/>
      <c r="G37" s="26" t="s">
        <v>939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659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662</v>
      </c>
      <c r="C39" s="13" t="s">
        <v>338</v>
      </c>
      <c r="D39" s="10" t="s">
        <v>663</v>
      </c>
      <c r="E39" s="25" t="s">
        <v>266</v>
      </c>
      <c r="F39" s="26"/>
      <c r="G39" s="26" t="s">
        <v>941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665</v>
      </c>
      <c r="C40" s="13" t="s">
        <v>666</v>
      </c>
      <c r="D40" s="10" t="s">
        <v>667</v>
      </c>
      <c r="E40" s="25" t="s">
        <v>266</v>
      </c>
      <c r="F40" s="26"/>
      <c r="G40" s="26" t="s">
        <v>942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671</v>
      </c>
      <c r="C41" s="13" t="s">
        <v>666</v>
      </c>
      <c r="D41" s="10" t="s">
        <v>672</v>
      </c>
      <c r="E41" s="25" t="s">
        <v>266</v>
      </c>
      <c r="F41" s="26"/>
      <c r="G41" s="26" t="s">
        <v>943</v>
      </c>
      <c r="H41" s="27"/>
      <c r="I41" s="26"/>
      <c r="J41" s="15" t="s">
        <v>632</v>
      </c>
      <c r="K41" s="15" t="s">
        <v>674</v>
      </c>
      <c r="L41" s="15" t="s">
        <v>670</v>
      </c>
    </row>
    <row r="42" s="1" customFormat="1" spans="1:12">
      <c r="A42" s="33"/>
      <c r="B42" s="13" t="s">
        <v>675</v>
      </c>
      <c r="C42" s="13" t="s">
        <v>666</v>
      </c>
      <c r="D42" s="10" t="s">
        <v>676</v>
      </c>
      <c r="E42" s="25" t="s">
        <v>266</v>
      </c>
      <c r="F42" s="26"/>
      <c r="G42" s="26" t="s">
        <v>944</v>
      </c>
      <c r="H42" s="27"/>
      <c r="I42" s="26"/>
      <c r="J42" s="15" t="s">
        <v>632</v>
      </c>
      <c r="K42" s="15" t="s">
        <v>669</v>
      </c>
      <c r="L42" s="15" t="s">
        <v>670</v>
      </c>
    </row>
    <row r="43" s="1" customFormat="1" spans="1:12">
      <c r="A43" s="33"/>
      <c r="B43" s="13" t="s">
        <v>678</v>
      </c>
      <c r="C43" s="13" t="s">
        <v>666</v>
      </c>
      <c r="D43" s="10" t="s">
        <v>679</v>
      </c>
      <c r="E43" s="25" t="s">
        <v>266</v>
      </c>
      <c r="F43" s="26"/>
      <c r="G43" s="26" t="s">
        <v>945</v>
      </c>
      <c r="H43" s="27"/>
      <c r="I43" s="26"/>
      <c r="J43" s="15" t="s">
        <v>632</v>
      </c>
      <c r="K43" s="15" t="s">
        <v>674</v>
      </c>
      <c r="L43" s="15" t="s">
        <v>670</v>
      </c>
    </row>
    <row r="44" s="1" customFormat="1" spans="1:12">
      <c r="A44" s="33"/>
      <c r="B44" s="13" t="s">
        <v>681</v>
      </c>
      <c r="C44" s="13" t="s">
        <v>666</v>
      </c>
      <c r="D44" s="10" t="s">
        <v>682</v>
      </c>
      <c r="E44" s="25" t="s">
        <v>266</v>
      </c>
      <c r="F44" s="26"/>
      <c r="G44" s="26" t="s">
        <v>946</v>
      </c>
      <c r="H44" s="27"/>
      <c r="I44" s="26"/>
      <c r="J44" s="15" t="s">
        <v>632</v>
      </c>
      <c r="K44" s="15" t="s">
        <v>669</v>
      </c>
      <c r="L44" s="15" t="s">
        <v>670</v>
      </c>
    </row>
    <row r="45" s="1" customFormat="1" spans="1:12">
      <c r="A45" s="33"/>
      <c r="B45" s="13" t="s">
        <v>684</v>
      </c>
      <c r="C45" s="13" t="s">
        <v>666</v>
      </c>
      <c r="D45" s="10" t="s">
        <v>685</v>
      </c>
      <c r="E45" s="25" t="s">
        <v>266</v>
      </c>
      <c r="F45" s="26"/>
      <c r="G45" s="26" t="s">
        <v>947</v>
      </c>
      <c r="H45" s="27"/>
      <c r="I45" s="26"/>
      <c r="J45" s="15" t="s">
        <v>632</v>
      </c>
      <c r="K45" s="15" t="s">
        <v>674</v>
      </c>
      <c r="L45" s="15" t="s">
        <v>670</v>
      </c>
    </row>
    <row r="46" s="1" customFormat="1" spans="1:12">
      <c r="A46" s="33"/>
      <c r="B46" s="13" t="s">
        <v>687</v>
      </c>
      <c r="C46" s="13" t="s">
        <v>666</v>
      </c>
      <c r="D46" s="10" t="s">
        <v>688</v>
      </c>
      <c r="E46" s="25" t="s">
        <v>266</v>
      </c>
      <c r="F46" s="26"/>
      <c r="G46" s="26" t="s">
        <v>948</v>
      </c>
      <c r="H46" s="2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690</v>
      </c>
      <c r="C47" s="13" t="s">
        <v>666</v>
      </c>
      <c r="D47" s="10" t="s">
        <v>691</v>
      </c>
      <c r="E47" s="25" t="s">
        <v>266</v>
      </c>
      <c r="F47" s="26"/>
      <c r="G47" s="26" t="s">
        <v>949</v>
      </c>
      <c r="H47" s="27"/>
      <c r="I47" s="26"/>
      <c r="J47" s="15" t="s">
        <v>632</v>
      </c>
      <c r="K47" s="15" t="s">
        <v>674</v>
      </c>
      <c r="L47" s="15" t="s">
        <v>670</v>
      </c>
    </row>
    <row r="48" s="1" customFormat="1" spans="1:12">
      <c r="A48" s="33"/>
      <c r="B48" s="13" t="s">
        <v>1055</v>
      </c>
      <c r="C48" s="13" t="s">
        <v>338</v>
      </c>
      <c r="D48" s="10" t="s">
        <v>693</v>
      </c>
      <c r="E48" s="25" t="s">
        <v>266</v>
      </c>
      <c r="F48" s="26"/>
      <c r="G48" s="26" t="s">
        <v>694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1054</v>
      </c>
      <c r="C49" s="13" t="s">
        <v>338</v>
      </c>
      <c r="D49" s="10" t="s">
        <v>695</v>
      </c>
      <c r="E49" s="25" t="s">
        <v>266</v>
      </c>
      <c r="F49" s="26"/>
      <c r="G49" s="26" t="s">
        <v>696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1056</v>
      </c>
      <c r="C50" s="13" t="s">
        <v>338</v>
      </c>
      <c r="D50" s="10" t="s">
        <v>697</v>
      </c>
      <c r="E50" s="25" t="s">
        <v>266</v>
      </c>
      <c r="F50" s="26"/>
      <c r="G50" s="26" t="s">
        <v>698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1057</v>
      </c>
      <c r="C51" s="13" t="s">
        <v>338</v>
      </c>
      <c r="D51" s="10" t="s">
        <v>699</v>
      </c>
      <c r="E51" s="25" t="s">
        <v>266</v>
      </c>
      <c r="F51" s="26"/>
      <c r="G51" s="26" t="s">
        <v>700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1274</v>
      </c>
      <c r="C52" s="13" t="s">
        <v>338</v>
      </c>
      <c r="D52" s="10" t="s">
        <v>702</v>
      </c>
      <c r="E52" s="25" t="s">
        <v>266</v>
      </c>
      <c r="F52" s="26"/>
      <c r="G52" s="26" t="s">
        <v>950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1275</v>
      </c>
      <c r="C53" s="13" t="s">
        <v>338</v>
      </c>
      <c r="D53" s="10" t="s">
        <v>705</v>
      </c>
      <c r="E53" s="25" t="s">
        <v>266</v>
      </c>
      <c r="F53" s="26"/>
      <c r="G53" s="26" t="s">
        <v>951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1064</v>
      </c>
      <c r="C54" s="13" t="s">
        <v>338</v>
      </c>
      <c r="D54" s="10" t="s">
        <v>719</v>
      </c>
      <c r="E54" s="25" t="s">
        <v>266</v>
      </c>
      <c r="F54" s="26"/>
      <c r="G54" s="26" t="s">
        <v>720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1066</v>
      </c>
      <c r="C55" s="13" t="s">
        <v>338</v>
      </c>
      <c r="D55" s="10" t="s">
        <v>721</v>
      </c>
      <c r="E55" s="25" t="s">
        <v>266</v>
      </c>
      <c r="F55" s="26"/>
      <c r="G55" s="26" t="s">
        <v>722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1276</v>
      </c>
      <c r="C56" s="13" t="s">
        <v>338</v>
      </c>
      <c r="D56" s="10" t="s">
        <v>723</v>
      </c>
      <c r="E56" s="25" t="s">
        <v>266</v>
      </c>
      <c r="F56" s="26"/>
      <c r="G56" s="26" t="s">
        <v>724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1277</v>
      </c>
      <c r="C57" s="13" t="s">
        <v>338</v>
      </c>
      <c r="D57" s="10" t="s">
        <v>725</v>
      </c>
      <c r="E57" s="25" t="s">
        <v>266</v>
      </c>
      <c r="F57" s="26"/>
      <c r="G57" s="26" t="s">
        <v>726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1278</v>
      </c>
      <c r="C58" s="13" t="s">
        <v>338</v>
      </c>
      <c r="D58" s="10" t="s">
        <v>536</v>
      </c>
      <c r="E58" s="25" t="s">
        <v>266</v>
      </c>
      <c r="F58" s="26"/>
      <c r="G58" s="26" t="s">
        <v>727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728</v>
      </c>
      <c r="C59" s="13" t="s">
        <v>338</v>
      </c>
      <c r="D59" s="10" t="s">
        <v>729</v>
      </c>
      <c r="E59" s="25" t="s">
        <v>266</v>
      </c>
      <c r="F59" s="26"/>
      <c r="G59" s="26" t="s">
        <v>956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730</v>
      </c>
      <c r="C60" s="13" t="s">
        <v>666</v>
      </c>
      <c r="D60" s="10" t="s">
        <v>731</v>
      </c>
      <c r="E60" s="25" t="s">
        <v>266</v>
      </c>
      <c r="F60" s="26"/>
      <c r="G60" s="26" t="s">
        <v>957</v>
      </c>
      <c r="H60" s="2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1091</v>
      </c>
      <c r="C61" s="13" t="s">
        <v>338</v>
      </c>
      <c r="D61" s="10" t="s">
        <v>734</v>
      </c>
      <c r="E61" s="25" t="s">
        <v>266</v>
      </c>
      <c r="F61" s="26"/>
      <c r="G61" s="26" t="s">
        <v>958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1093</v>
      </c>
      <c r="C62" s="13" t="s">
        <v>338</v>
      </c>
      <c r="D62" s="10" t="s">
        <v>737</v>
      </c>
      <c r="E62" s="25" t="s">
        <v>266</v>
      </c>
      <c r="F62" s="26"/>
      <c r="G62" s="26" t="s">
        <v>959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1095</v>
      </c>
      <c r="C63" s="13" t="s">
        <v>338</v>
      </c>
      <c r="D63" s="10" t="s">
        <v>740</v>
      </c>
      <c r="E63" s="25" t="s">
        <v>266</v>
      </c>
      <c r="F63" s="26"/>
      <c r="G63" s="26" t="s">
        <v>960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1097</v>
      </c>
      <c r="C64" s="13" t="s">
        <v>338</v>
      </c>
      <c r="D64" s="10" t="s">
        <v>743</v>
      </c>
      <c r="E64" s="25" t="s">
        <v>266</v>
      </c>
      <c r="F64" s="26"/>
      <c r="G64" s="26" t="s">
        <v>961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1099</v>
      </c>
      <c r="C65" s="13" t="s">
        <v>338</v>
      </c>
      <c r="D65" s="10" t="s">
        <v>746</v>
      </c>
      <c r="E65" s="25" t="s">
        <v>266</v>
      </c>
      <c r="F65" s="26"/>
      <c r="G65" s="26" t="s">
        <v>962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748</v>
      </c>
      <c r="C66" s="13" t="s">
        <v>338</v>
      </c>
      <c r="D66" s="10" t="s">
        <v>749</v>
      </c>
      <c r="E66" s="25" t="s">
        <v>266</v>
      </c>
      <c r="F66" s="26"/>
      <c r="G66" s="26" t="s">
        <v>963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751</v>
      </c>
      <c r="C67" s="13" t="s">
        <v>666</v>
      </c>
      <c r="D67" s="10" t="s">
        <v>752</v>
      </c>
      <c r="E67" s="25" t="s">
        <v>266</v>
      </c>
      <c r="F67" s="26"/>
      <c r="G67" s="26" t="s">
        <v>964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1104</v>
      </c>
      <c r="C68" s="13" t="s">
        <v>338</v>
      </c>
      <c r="D68" s="10" t="s">
        <v>755</v>
      </c>
      <c r="E68" s="25" t="s">
        <v>266</v>
      </c>
      <c r="F68" s="26"/>
      <c r="G68" s="26" t="s">
        <v>965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1106</v>
      </c>
      <c r="C69" s="13" t="s">
        <v>338</v>
      </c>
      <c r="D69" s="10" t="s">
        <v>758</v>
      </c>
      <c r="E69" s="25" t="s">
        <v>266</v>
      </c>
      <c r="F69" s="26"/>
      <c r="G69" s="26" t="s">
        <v>966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1108</v>
      </c>
      <c r="C70" s="13" t="s">
        <v>338</v>
      </c>
      <c r="D70" s="10" t="s">
        <v>761</v>
      </c>
      <c r="E70" s="25" t="s">
        <v>266</v>
      </c>
      <c r="F70" s="26"/>
      <c r="G70" s="26" t="s">
        <v>967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1110</v>
      </c>
      <c r="C71" s="13" t="s">
        <v>338</v>
      </c>
      <c r="D71" s="10" t="s">
        <v>764</v>
      </c>
      <c r="E71" s="25" t="s">
        <v>266</v>
      </c>
      <c r="F71" s="26"/>
      <c r="G71" s="26" t="s">
        <v>968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1112</v>
      </c>
      <c r="C72" s="13" t="s">
        <v>338</v>
      </c>
      <c r="D72" s="10" t="s">
        <v>767</v>
      </c>
      <c r="E72" s="25" t="s">
        <v>266</v>
      </c>
      <c r="F72" s="26"/>
      <c r="G72" s="26" t="s">
        <v>969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769</v>
      </c>
      <c r="C73" s="13" t="s">
        <v>666</v>
      </c>
      <c r="D73" s="10" t="s">
        <v>770</v>
      </c>
      <c r="E73" s="25" t="s">
        <v>266</v>
      </c>
      <c r="F73" s="26"/>
      <c r="G73" s="26" t="s">
        <v>970</v>
      </c>
      <c r="H73" s="2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772</v>
      </c>
      <c r="C74" s="13" t="s">
        <v>666</v>
      </c>
      <c r="D74" s="10" t="s">
        <v>773</v>
      </c>
      <c r="E74" s="25" t="s">
        <v>266</v>
      </c>
      <c r="F74" s="26"/>
      <c r="G74" s="26" t="s">
        <v>971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1279</v>
      </c>
      <c r="C75" s="13" t="s">
        <v>338</v>
      </c>
      <c r="D75" s="10" t="s">
        <v>776</v>
      </c>
      <c r="E75" s="25" t="s">
        <v>266</v>
      </c>
      <c r="F75" s="26"/>
      <c r="G75" s="26" t="s">
        <v>972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1280</v>
      </c>
      <c r="C76" s="13" t="s">
        <v>338</v>
      </c>
      <c r="D76" s="10" t="s">
        <v>779</v>
      </c>
      <c r="E76" s="25" t="s">
        <v>266</v>
      </c>
      <c r="F76" s="26"/>
      <c r="G76" s="26" t="s">
        <v>973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1281</v>
      </c>
      <c r="C77" s="13" t="s">
        <v>338</v>
      </c>
      <c r="D77" s="10" t="s">
        <v>782</v>
      </c>
      <c r="E77" s="25" t="s">
        <v>266</v>
      </c>
      <c r="F77" s="26"/>
      <c r="G77" s="26" t="s">
        <v>974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1282</v>
      </c>
      <c r="C78" s="13" t="s">
        <v>338</v>
      </c>
      <c r="D78" s="10" t="s">
        <v>785</v>
      </c>
      <c r="E78" s="25" t="s">
        <v>266</v>
      </c>
      <c r="F78" s="26"/>
      <c r="G78" s="26" t="s">
        <v>975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1283</v>
      </c>
      <c r="C79" s="13" t="s">
        <v>338</v>
      </c>
      <c r="D79" s="10" t="s">
        <v>788</v>
      </c>
      <c r="E79" s="25" t="s">
        <v>266</v>
      </c>
      <c r="F79" s="26"/>
      <c r="G79" s="26" t="s">
        <v>976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1284</v>
      </c>
      <c r="C80" s="13" t="s">
        <v>666</v>
      </c>
      <c r="D80" s="10" t="s">
        <v>790</v>
      </c>
      <c r="E80" s="25" t="s">
        <v>266</v>
      </c>
      <c r="F80" s="26"/>
      <c r="G80" s="26" t="s">
        <v>977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792</v>
      </c>
      <c r="C81" s="13" t="s">
        <v>338</v>
      </c>
      <c r="D81" s="10" t="s">
        <v>793</v>
      </c>
      <c r="E81" s="25" t="s">
        <v>266</v>
      </c>
      <c r="F81" s="26"/>
      <c r="G81" s="26" t="s">
        <v>978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1285</v>
      </c>
      <c r="C82" s="13" t="s">
        <v>666</v>
      </c>
      <c r="D82" s="10" t="s">
        <v>795</v>
      </c>
      <c r="E82" s="25" t="s">
        <v>266</v>
      </c>
      <c r="F82" s="26"/>
      <c r="G82" s="26" t="s">
        <v>979</v>
      </c>
      <c r="H82" s="2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797</v>
      </c>
      <c r="C83" s="13" t="s">
        <v>338</v>
      </c>
      <c r="D83" s="10" t="s">
        <v>798</v>
      </c>
      <c r="E83" s="25" t="s">
        <v>266</v>
      </c>
      <c r="F83" s="26"/>
      <c r="G83" s="26" t="s">
        <v>980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800</v>
      </c>
      <c r="C84" s="13" t="s">
        <v>338</v>
      </c>
      <c r="D84" s="10" t="s">
        <v>801</v>
      </c>
      <c r="E84" s="25" t="s">
        <v>266</v>
      </c>
      <c r="F84" s="26"/>
      <c r="G84" s="26" t="s">
        <v>981</v>
      </c>
      <c r="H84" s="2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1286</v>
      </c>
      <c r="C85" s="13" t="s">
        <v>666</v>
      </c>
      <c r="D85" s="10" t="s">
        <v>552</v>
      </c>
      <c r="E85" s="25" t="s">
        <v>266</v>
      </c>
      <c r="F85" s="26"/>
      <c r="G85" s="26" t="s">
        <v>982</v>
      </c>
      <c r="H85" s="2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805</v>
      </c>
      <c r="C86" s="13" t="s">
        <v>338</v>
      </c>
      <c r="D86" s="10" t="s">
        <v>806</v>
      </c>
      <c r="E86" s="25" t="s">
        <v>266</v>
      </c>
      <c r="F86" s="26"/>
      <c r="G86" s="26" t="s">
        <v>983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808</v>
      </c>
      <c r="C87" s="13" t="s">
        <v>338</v>
      </c>
      <c r="D87" s="10" t="s">
        <v>809</v>
      </c>
      <c r="E87" s="25" t="s">
        <v>266</v>
      </c>
      <c r="F87" s="26"/>
      <c r="G87" s="26" t="s">
        <v>984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811</v>
      </c>
      <c r="C88" s="13" t="s">
        <v>338</v>
      </c>
      <c r="D88" s="10" t="s">
        <v>812</v>
      </c>
      <c r="E88" s="25" t="s">
        <v>266</v>
      </c>
      <c r="F88" s="26"/>
      <c r="G88" s="26" t="s">
        <v>985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814</v>
      </c>
      <c r="C89" s="13" t="s">
        <v>338</v>
      </c>
      <c r="D89" s="10" t="s">
        <v>815</v>
      </c>
      <c r="E89" s="25" t="s">
        <v>266</v>
      </c>
      <c r="F89" s="26"/>
      <c r="G89" s="26" t="s">
        <v>986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817</v>
      </c>
      <c r="C90" s="13" t="s">
        <v>338</v>
      </c>
      <c r="D90" s="10" t="s">
        <v>818</v>
      </c>
      <c r="E90" s="25" t="s">
        <v>266</v>
      </c>
      <c r="F90" s="26"/>
      <c r="G90" s="26" t="s">
        <v>987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820</v>
      </c>
      <c r="C91" s="13" t="s">
        <v>338</v>
      </c>
      <c r="D91" s="10" t="s">
        <v>821</v>
      </c>
      <c r="E91" s="25" t="s">
        <v>266</v>
      </c>
      <c r="F91" s="26"/>
      <c r="G91" s="26" t="s">
        <v>988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1287</v>
      </c>
      <c r="C92" s="13" t="s">
        <v>666</v>
      </c>
      <c r="D92" s="10" t="s">
        <v>557</v>
      </c>
      <c r="E92" s="25" t="s">
        <v>266</v>
      </c>
      <c r="F92" s="26"/>
      <c r="G92" s="26" t="s">
        <v>989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824</v>
      </c>
      <c r="C93" s="13" t="s">
        <v>338</v>
      </c>
      <c r="D93" s="10" t="s">
        <v>825</v>
      </c>
      <c r="E93" s="25" t="s">
        <v>266</v>
      </c>
      <c r="F93" s="26"/>
      <c r="G93" s="26" t="s">
        <v>990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827</v>
      </c>
      <c r="C94" s="13" t="s">
        <v>338</v>
      </c>
      <c r="D94" s="10" t="s">
        <v>828</v>
      </c>
      <c r="E94" s="25" t="s">
        <v>266</v>
      </c>
      <c r="F94" s="26"/>
      <c r="G94" s="26" t="s">
        <v>991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830</v>
      </c>
      <c r="C95" s="13" t="s">
        <v>338</v>
      </c>
      <c r="D95" s="10" t="s">
        <v>831</v>
      </c>
      <c r="E95" s="25" t="s">
        <v>266</v>
      </c>
      <c r="F95" s="26"/>
      <c r="G95" s="26" t="s">
        <v>992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833</v>
      </c>
      <c r="C96" s="13" t="s">
        <v>338</v>
      </c>
      <c r="D96" s="10" t="s">
        <v>834</v>
      </c>
      <c r="E96" s="25" t="s">
        <v>266</v>
      </c>
      <c r="F96" s="26"/>
      <c r="G96" s="26" t="s">
        <v>993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836</v>
      </c>
      <c r="C97" s="13" t="s">
        <v>338</v>
      </c>
      <c r="D97" s="10" t="s">
        <v>837</v>
      </c>
      <c r="E97" s="25" t="s">
        <v>266</v>
      </c>
      <c r="F97" s="26"/>
      <c r="G97" s="26" t="s">
        <v>994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839</v>
      </c>
      <c r="C98" s="13" t="s">
        <v>338</v>
      </c>
      <c r="D98" s="10" t="s">
        <v>840</v>
      </c>
      <c r="E98" s="25" t="s">
        <v>266</v>
      </c>
      <c r="F98" s="26"/>
      <c r="G98" s="26" t="s">
        <v>995</v>
      </c>
      <c r="H98" s="2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13" t="s">
        <v>1288</v>
      </c>
      <c r="C99" s="13" t="s">
        <v>666</v>
      </c>
      <c r="D99" s="10" t="s">
        <v>842</v>
      </c>
      <c r="E99" s="25" t="s">
        <v>266</v>
      </c>
      <c r="F99" s="26"/>
      <c r="G99" s="26" t="s">
        <v>996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75" t="s">
        <v>844</v>
      </c>
      <c r="C100" s="75" t="s">
        <v>338</v>
      </c>
      <c r="D100" s="76" t="s">
        <v>845</v>
      </c>
      <c r="E100" s="25" t="s">
        <v>266</v>
      </c>
      <c r="F100" s="26"/>
      <c r="G100" s="26" t="s">
        <v>997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847</v>
      </c>
      <c r="C101" s="75" t="s">
        <v>338</v>
      </c>
      <c r="D101" s="76" t="s">
        <v>848</v>
      </c>
      <c r="E101" s="25" t="s">
        <v>266</v>
      </c>
      <c r="F101" s="26"/>
      <c r="G101" s="26" t="s">
        <v>998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850</v>
      </c>
      <c r="C102" s="75" t="s">
        <v>338</v>
      </c>
      <c r="D102" s="76" t="s">
        <v>851</v>
      </c>
      <c r="E102" s="25" t="s">
        <v>266</v>
      </c>
      <c r="F102" s="26"/>
      <c r="G102" s="26" t="s">
        <v>999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853</v>
      </c>
      <c r="C103" s="75" t="s">
        <v>338</v>
      </c>
      <c r="D103" s="76" t="s">
        <v>854</v>
      </c>
      <c r="E103" s="25" t="s">
        <v>266</v>
      </c>
      <c r="F103" s="26"/>
      <c r="G103" s="26" t="s">
        <v>1000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75" t="s">
        <v>856</v>
      </c>
      <c r="C104" s="75" t="s">
        <v>338</v>
      </c>
      <c r="D104" s="76" t="s">
        <v>857</v>
      </c>
      <c r="E104" s="25" t="s">
        <v>266</v>
      </c>
      <c r="F104" s="26"/>
      <c r="G104" s="26" t="s">
        <v>1001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859</v>
      </c>
      <c r="C105" s="13" t="s">
        <v>338</v>
      </c>
      <c r="D105" s="10" t="s">
        <v>860</v>
      </c>
      <c r="E105" s="25" t="s">
        <v>266</v>
      </c>
      <c r="F105" s="26"/>
      <c r="G105" s="26" t="s">
        <v>1002</v>
      </c>
      <c r="H105" s="27"/>
      <c r="I105" s="26"/>
      <c r="J105" s="15" t="s">
        <v>632</v>
      </c>
      <c r="K105" s="15" t="s">
        <v>803</v>
      </c>
      <c r="L105" s="15" t="s">
        <v>633</v>
      </c>
    </row>
    <row r="106" s="1" customFormat="1" spans="1:12">
      <c r="A106" s="33"/>
      <c r="B106" s="13" t="s">
        <v>1289</v>
      </c>
      <c r="C106" s="13" t="s">
        <v>666</v>
      </c>
      <c r="D106" s="10" t="s">
        <v>863</v>
      </c>
      <c r="E106" s="25" t="s">
        <v>266</v>
      </c>
      <c r="F106" s="26"/>
      <c r="G106" s="26" t="s">
        <v>1003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462</v>
      </c>
      <c r="C107" s="13" t="s">
        <v>666</v>
      </c>
      <c r="D107" s="10" t="s">
        <v>865</v>
      </c>
      <c r="E107" s="25" t="s">
        <v>266</v>
      </c>
      <c r="F107" s="26"/>
      <c r="G107" s="26" t="s">
        <v>1004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1290</v>
      </c>
      <c r="C108" s="13" t="s">
        <v>666</v>
      </c>
      <c r="D108" s="10" t="s">
        <v>539</v>
      </c>
      <c r="E108" s="25" t="s">
        <v>266</v>
      </c>
      <c r="F108" s="26"/>
      <c r="G108" s="26" t="s">
        <v>1005</v>
      </c>
      <c r="H108" s="27"/>
      <c r="I108" s="26"/>
      <c r="J108" s="15" t="s">
        <v>632</v>
      </c>
      <c r="K108" s="15" t="s">
        <v>404</v>
      </c>
      <c r="L108" s="15" t="s">
        <v>633</v>
      </c>
    </row>
    <row r="109" s="1" customFormat="1" spans="1:12">
      <c r="A109" s="33"/>
      <c r="B109" s="13" t="s">
        <v>1291</v>
      </c>
      <c r="C109" s="13" t="s">
        <v>338</v>
      </c>
      <c r="D109" s="10" t="s">
        <v>869</v>
      </c>
      <c r="E109" s="25" t="s">
        <v>266</v>
      </c>
      <c r="F109" s="26"/>
      <c r="G109" s="26" t="s">
        <v>1006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1292</v>
      </c>
      <c r="C110" s="13" t="s">
        <v>338</v>
      </c>
      <c r="D110" s="10" t="s">
        <v>872</v>
      </c>
      <c r="E110" s="25" t="s">
        <v>266</v>
      </c>
      <c r="F110" s="26"/>
      <c r="G110" s="26" t="s">
        <v>1007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13" t="s">
        <v>1293</v>
      </c>
      <c r="C111" s="13" t="s">
        <v>666</v>
      </c>
      <c r="D111" s="10" t="s">
        <v>544</v>
      </c>
      <c r="E111" s="25" t="s">
        <v>266</v>
      </c>
      <c r="F111" s="26"/>
      <c r="G111" s="26" t="s">
        <v>1008</v>
      </c>
      <c r="H111" s="27"/>
      <c r="I111" s="26"/>
      <c r="J111" s="15" t="s">
        <v>632</v>
      </c>
      <c r="K111" s="15" t="s">
        <v>404</v>
      </c>
      <c r="L111" s="15" t="s">
        <v>633</v>
      </c>
    </row>
    <row r="112" s="1" customFormat="1" spans="1:12">
      <c r="A112" s="33"/>
      <c r="B112" s="13" t="s">
        <v>875</v>
      </c>
      <c r="C112" s="13" t="s">
        <v>338</v>
      </c>
      <c r="D112" s="10" t="s">
        <v>876</v>
      </c>
      <c r="E112" s="25" t="s">
        <v>266</v>
      </c>
      <c r="F112" s="26"/>
      <c r="G112" s="26" t="s">
        <v>1009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887</v>
      </c>
      <c r="C113" s="13" t="s">
        <v>338</v>
      </c>
      <c r="D113" s="10" t="s">
        <v>888</v>
      </c>
      <c r="E113" s="25" t="s">
        <v>266</v>
      </c>
      <c r="F113" s="26"/>
      <c r="G113" s="26" t="s">
        <v>1013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3" t="s">
        <v>1302</v>
      </c>
      <c r="C114" s="13" t="s">
        <v>338</v>
      </c>
      <c r="D114" s="10" t="s">
        <v>918</v>
      </c>
      <c r="E114" s="25" t="s">
        <v>266</v>
      </c>
      <c r="F114" s="26"/>
      <c r="G114" s="26" t="s">
        <v>1023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3" t="s">
        <v>1303</v>
      </c>
      <c r="C115" s="13" t="s">
        <v>338</v>
      </c>
      <c r="D115" s="10" t="s">
        <v>921</v>
      </c>
      <c r="E115" s="25" t="s">
        <v>266</v>
      </c>
      <c r="F115" s="26"/>
      <c r="G115" s="26" t="s">
        <v>1024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pans="2:12">
      <c r="B116" s="13" t="s">
        <v>1304</v>
      </c>
      <c r="C116" s="13" t="s">
        <v>338</v>
      </c>
      <c r="D116" s="10" t="s">
        <v>924</v>
      </c>
      <c r="E116" s="25" t="s">
        <v>266</v>
      </c>
      <c r="F116" s="26"/>
      <c r="G116" s="26" t="s">
        <v>1025</v>
      </c>
      <c r="H116" s="27"/>
      <c r="I116" s="26"/>
      <c r="J116" s="15" t="s">
        <v>632</v>
      </c>
      <c r="K116" s="15" t="s">
        <v>294</v>
      </c>
      <c r="L116" s="15" t="s">
        <v>633</v>
      </c>
    </row>
    <row r="117" spans="2:12">
      <c r="B117" s="17" t="s">
        <v>594</v>
      </c>
      <c r="C117" s="18" t="s">
        <v>307</v>
      </c>
      <c r="D117" s="19" t="s">
        <v>595</v>
      </c>
      <c r="E117" s="28"/>
      <c r="F117" s="28"/>
      <c r="G117" s="28" t="s">
        <v>932</v>
      </c>
      <c r="H117" s="17"/>
      <c r="I117" s="17"/>
      <c r="J117" s="17"/>
      <c r="K117" s="17"/>
      <c r="L117" s="17"/>
    </row>
    <row r="118" spans="2:12">
      <c r="B118" s="17" t="s">
        <v>596</v>
      </c>
      <c r="C118" s="18" t="s">
        <v>291</v>
      </c>
      <c r="D118" s="19" t="s">
        <v>597</v>
      </c>
      <c r="E118" s="28"/>
      <c r="F118" s="28"/>
      <c r="G118" s="28" t="s">
        <v>932</v>
      </c>
      <c r="H118" s="17" t="s">
        <v>932</v>
      </c>
      <c r="I118" s="17"/>
      <c r="J118" s="17"/>
      <c r="K118" s="17"/>
      <c r="L118" s="17"/>
    </row>
  </sheetData>
  <autoFilter xmlns:etc="http://www.wps.cn/officeDocument/2017/etCustomData" ref="A13:Q11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1" t="s">
        <v>126</v>
      </c>
      <c r="D5" s="11" t="s">
        <v>125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106</v>
      </c>
      <c r="D9" s="14" t="s">
        <v>107</v>
      </c>
      <c r="E9" s="13" t="s">
        <v>266</v>
      </c>
      <c r="F9" s="26"/>
      <c r="G9" s="26" t="s">
        <v>1301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295</v>
      </c>
      <c r="C23" s="13" t="s">
        <v>291</v>
      </c>
      <c r="D23" s="10" t="s">
        <v>618</v>
      </c>
      <c r="E23" s="25" t="s">
        <v>266</v>
      </c>
      <c r="F23" s="10" t="s">
        <v>295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10" t="s">
        <v>297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10" t="s">
        <v>300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378</v>
      </c>
      <c r="C26" s="13" t="s">
        <v>291</v>
      </c>
      <c r="D26" s="10" t="s">
        <v>624</v>
      </c>
      <c r="E26" s="25" t="s">
        <v>266</v>
      </c>
      <c r="F26" s="26" t="s">
        <v>378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615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2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634</v>
      </c>
      <c r="C28" s="13" t="s">
        <v>338</v>
      </c>
      <c r="D28" s="10" t="s">
        <v>635</v>
      </c>
      <c r="E28" s="25" t="s">
        <v>266</v>
      </c>
      <c r="F28" s="26"/>
      <c r="G28" s="26" t="s">
        <v>934</v>
      </c>
      <c r="H28" s="2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2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337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2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342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2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340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2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2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653</v>
      </c>
      <c r="C35" s="13" t="s">
        <v>338</v>
      </c>
      <c r="D35" s="10" t="s">
        <v>654</v>
      </c>
      <c r="E35" s="25" t="s">
        <v>266</v>
      </c>
      <c r="F35" s="26"/>
      <c r="G35" s="26" t="s">
        <v>938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662</v>
      </c>
      <c r="C38" s="13" t="s">
        <v>338</v>
      </c>
      <c r="D38" s="10" t="s">
        <v>663</v>
      </c>
      <c r="E38" s="25" t="s">
        <v>266</v>
      </c>
      <c r="F38" s="26"/>
      <c r="G38" s="26" t="s">
        <v>941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665</v>
      </c>
      <c r="C39" s="13" t="s">
        <v>666</v>
      </c>
      <c r="D39" s="10" t="s">
        <v>667</v>
      </c>
      <c r="E39" s="25" t="s">
        <v>266</v>
      </c>
      <c r="F39" s="26"/>
      <c r="G39" s="26" t="s">
        <v>942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671</v>
      </c>
      <c r="C40" s="13" t="s">
        <v>666</v>
      </c>
      <c r="D40" s="10" t="s">
        <v>672</v>
      </c>
      <c r="E40" s="25" t="s">
        <v>266</v>
      </c>
      <c r="F40" s="26"/>
      <c r="G40" s="26" t="s">
        <v>943</v>
      </c>
      <c r="H40" s="2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675</v>
      </c>
      <c r="C41" s="13" t="s">
        <v>666</v>
      </c>
      <c r="D41" s="10" t="s">
        <v>676</v>
      </c>
      <c r="E41" s="25" t="s">
        <v>266</v>
      </c>
      <c r="F41" s="26"/>
      <c r="G41" s="26" t="s">
        <v>944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678</v>
      </c>
      <c r="C42" s="13" t="s">
        <v>666</v>
      </c>
      <c r="D42" s="10" t="s">
        <v>679</v>
      </c>
      <c r="E42" s="25" t="s">
        <v>266</v>
      </c>
      <c r="F42" s="26"/>
      <c r="G42" s="26" t="s">
        <v>945</v>
      </c>
      <c r="H42" s="2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681</v>
      </c>
      <c r="C43" s="13" t="s">
        <v>666</v>
      </c>
      <c r="D43" s="10" t="s">
        <v>682</v>
      </c>
      <c r="E43" s="25" t="s">
        <v>266</v>
      </c>
      <c r="F43" s="26"/>
      <c r="G43" s="26" t="s">
        <v>946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684</v>
      </c>
      <c r="C44" s="13" t="s">
        <v>666</v>
      </c>
      <c r="D44" s="10" t="s">
        <v>685</v>
      </c>
      <c r="E44" s="25" t="s">
        <v>266</v>
      </c>
      <c r="F44" s="26"/>
      <c r="G44" s="26" t="s">
        <v>947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687</v>
      </c>
      <c r="C45" s="13" t="s">
        <v>666</v>
      </c>
      <c r="D45" s="10" t="s">
        <v>688</v>
      </c>
      <c r="E45" s="25" t="s">
        <v>266</v>
      </c>
      <c r="F45" s="26"/>
      <c r="G45" s="26" t="s">
        <v>948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690</v>
      </c>
      <c r="C46" s="13" t="s">
        <v>666</v>
      </c>
      <c r="D46" s="10" t="s">
        <v>691</v>
      </c>
      <c r="E46" s="25" t="s">
        <v>266</v>
      </c>
      <c r="F46" s="26"/>
      <c r="G46" s="26" t="s">
        <v>949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346</v>
      </c>
      <c r="C47" s="13" t="s">
        <v>338</v>
      </c>
      <c r="D47" s="10" t="s">
        <v>693</v>
      </c>
      <c r="E47" s="25" t="s">
        <v>266</v>
      </c>
      <c r="F47" s="26"/>
      <c r="G47" s="26" t="s">
        <v>694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344</v>
      </c>
      <c r="C48" s="13" t="s">
        <v>338</v>
      </c>
      <c r="D48" s="10" t="s">
        <v>695</v>
      </c>
      <c r="E48" s="25" t="s">
        <v>266</v>
      </c>
      <c r="F48" s="26"/>
      <c r="G48" s="26" t="s">
        <v>696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392</v>
      </c>
      <c r="C49" s="13" t="s">
        <v>338</v>
      </c>
      <c r="D49" s="10" t="s">
        <v>697</v>
      </c>
      <c r="E49" s="25" t="s">
        <v>266</v>
      </c>
      <c r="F49" s="26"/>
      <c r="G49" s="26" t="s">
        <v>698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394</v>
      </c>
      <c r="C50" s="13" t="s">
        <v>338</v>
      </c>
      <c r="D50" s="10" t="s">
        <v>699</v>
      </c>
      <c r="E50" s="25" t="s">
        <v>266</v>
      </c>
      <c r="F50" s="26"/>
      <c r="G50" s="26" t="s">
        <v>700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701</v>
      </c>
      <c r="C51" s="13" t="s">
        <v>338</v>
      </c>
      <c r="D51" s="10" t="s">
        <v>702</v>
      </c>
      <c r="E51" s="25" t="s">
        <v>266</v>
      </c>
      <c r="F51" s="26"/>
      <c r="G51" s="26" t="s">
        <v>950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704</v>
      </c>
      <c r="C52" s="13" t="s">
        <v>338</v>
      </c>
      <c r="D52" s="10" t="s">
        <v>705</v>
      </c>
      <c r="E52" s="25" t="s">
        <v>266</v>
      </c>
      <c r="F52" s="26"/>
      <c r="G52" s="26" t="s">
        <v>951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410</v>
      </c>
      <c r="C53" s="13" t="s">
        <v>338</v>
      </c>
      <c r="D53" s="10" t="s">
        <v>719</v>
      </c>
      <c r="E53" s="25" t="s">
        <v>266</v>
      </c>
      <c r="F53" s="26"/>
      <c r="G53" s="26" t="s">
        <v>720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412</v>
      </c>
      <c r="C54" s="13" t="s">
        <v>338</v>
      </c>
      <c r="D54" s="10" t="s">
        <v>721</v>
      </c>
      <c r="E54" s="25" t="s">
        <v>266</v>
      </c>
      <c r="F54" s="26"/>
      <c r="G54" s="26" t="s">
        <v>722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528</v>
      </c>
      <c r="C55" s="13" t="s">
        <v>338</v>
      </c>
      <c r="D55" s="10" t="s">
        <v>723</v>
      </c>
      <c r="E55" s="25" t="s">
        <v>266</v>
      </c>
      <c r="F55" s="26"/>
      <c r="G55" s="26" t="s">
        <v>724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532</v>
      </c>
      <c r="C56" s="13" t="s">
        <v>338</v>
      </c>
      <c r="D56" s="10" t="s">
        <v>725</v>
      </c>
      <c r="E56" s="25" t="s">
        <v>266</v>
      </c>
      <c r="F56" s="26"/>
      <c r="G56" s="26" t="s">
        <v>726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535</v>
      </c>
      <c r="C57" s="13" t="s">
        <v>338</v>
      </c>
      <c r="D57" s="10" t="s">
        <v>536</v>
      </c>
      <c r="E57" s="25" t="s">
        <v>266</v>
      </c>
      <c r="F57" s="26"/>
      <c r="G57" s="26" t="s">
        <v>727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728</v>
      </c>
      <c r="C58" s="13" t="s">
        <v>338</v>
      </c>
      <c r="D58" s="10" t="s">
        <v>729</v>
      </c>
      <c r="E58" s="25" t="s">
        <v>266</v>
      </c>
      <c r="F58" s="26"/>
      <c r="G58" s="26" t="s">
        <v>956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730</v>
      </c>
      <c r="C59" s="13" t="s">
        <v>666</v>
      </c>
      <c r="D59" s="10" t="s">
        <v>731</v>
      </c>
      <c r="E59" s="25" t="s">
        <v>266</v>
      </c>
      <c r="F59" s="26"/>
      <c r="G59" s="26" t="s">
        <v>957</v>
      </c>
      <c r="H59" s="2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733</v>
      </c>
      <c r="C60" s="13" t="s">
        <v>338</v>
      </c>
      <c r="D60" s="10" t="s">
        <v>734</v>
      </c>
      <c r="E60" s="25" t="s">
        <v>266</v>
      </c>
      <c r="F60" s="26"/>
      <c r="G60" s="26" t="s">
        <v>958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736</v>
      </c>
      <c r="C61" s="13" t="s">
        <v>338</v>
      </c>
      <c r="D61" s="10" t="s">
        <v>737</v>
      </c>
      <c r="E61" s="25" t="s">
        <v>266</v>
      </c>
      <c r="F61" s="26"/>
      <c r="G61" s="26" t="s">
        <v>959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739</v>
      </c>
      <c r="C62" s="13" t="s">
        <v>338</v>
      </c>
      <c r="D62" s="10" t="s">
        <v>740</v>
      </c>
      <c r="E62" s="25" t="s">
        <v>266</v>
      </c>
      <c r="F62" s="26"/>
      <c r="G62" s="26" t="s">
        <v>960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742</v>
      </c>
      <c r="C63" s="13" t="s">
        <v>338</v>
      </c>
      <c r="D63" s="10" t="s">
        <v>743</v>
      </c>
      <c r="E63" s="25" t="s">
        <v>266</v>
      </c>
      <c r="F63" s="26"/>
      <c r="G63" s="26" t="s">
        <v>961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745</v>
      </c>
      <c r="C64" s="13" t="s">
        <v>338</v>
      </c>
      <c r="D64" s="10" t="s">
        <v>746</v>
      </c>
      <c r="E64" s="25" t="s">
        <v>266</v>
      </c>
      <c r="F64" s="26"/>
      <c r="G64" s="26" t="s">
        <v>962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748</v>
      </c>
      <c r="C65" s="13" t="s">
        <v>338</v>
      </c>
      <c r="D65" s="10" t="s">
        <v>749</v>
      </c>
      <c r="E65" s="25" t="s">
        <v>266</v>
      </c>
      <c r="F65" s="26"/>
      <c r="G65" s="26" t="s">
        <v>963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751</v>
      </c>
      <c r="C66" s="13" t="s">
        <v>666</v>
      </c>
      <c r="D66" s="10" t="s">
        <v>752</v>
      </c>
      <c r="E66" s="25" t="s">
        <v>266</v>
      </c>
      <c r="F66" s="26"/>
      <c r="G66" s="26" t="s">
        <v>964</v>
      </c>
      <c r="H66" s="27"/>
      <c r="I66" s="26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754</v>
      </c>
      <c r="C67" s="13" t="s">
        <v>338</v>
      </c>
      <c r="D67" s="10" t="s">
        <v>755</v>
      </c>
      <c r="E67" s="25" t="s">
        <v>266</v>
      </c>
      <c r="F67" s="26"/>
      <c r="G67" s="26" t="s">
        <v>965</v>
      </c>
      <c r="H67" s="2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757</v>
      </c>
      <c r="C68" s="13" t="s">
        <v>338</v>
      </c>
      <c r="D68" s="10" t="s">
        <v>758</v>
      </c>
      <c r="E68" s="25" t="s">
        <v>266</v>
      </c>
      <c r="F68" s="26"/>
      <c r="G68" s="26" t="s">
        <v>966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760</v>
      </c>
      <c r="C69" s="13" t="s">
        <v>338</v>
      </c>
      <c r="D69" s="10" t="s">
        <v>761</v>
      </c>
      <c r="E69" s="25" t="s">
        <v>266</v>
      </c>
      <c r="F69" s="26"/>
      <c r="G69" s="26" t="s">
        <v>967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763</v>
      </c>
      <c r="C70" s="13" t="s">
        <v>338</v>
      </c>
      <c r="D70" s="10" t="s">
        <v>764</v>
      </c>
      <c r="E70" s="25" t="s">
        <v>266</v>
      </c>
      <c r="F70" s="26"/>
      <c r="G70" s="26" t="s">
        <v>968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766</v>
      </c>
      <c r="C71" s="13" t="s">
        <v>338</v>
      </c>
      <c r="D71" s="10" t="s">
        <v>767</v>
      </c>
      <c r="E71" s="25" t="s">
        <v>266</v>
      </c>
      <c r="F71" s="26"/>
      <c r="G71" s="26" t="s">
        <v>969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769</v>
      </c>
      <c r="C72" s="13" t="s">
        <v>666</v>
      </c>
      <c r="D72" s="10" t="s">
        <v>770</v>
      </c>
      <c r="E72" s="25" t="s">
        <v>266</v>
      </c>
      <c r="F72" s="26"/>
      <c r="G72" s="26" t="s">
        <v>970</v>
      </c>
      <c r="H72" s="2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772</v>
      </c>
      <c r="C73" s="13" t="s">
        <v>666</v>
      </c>
      <c r="D73" s="10" t="s">
        <v>773</v>
      </c>
      <c r="E73" s="25" t="s">
        <v>266</v>
      </c>
      <c r="F73" s="26"/>
      <c r="G73" s="26" t="s">
        <v>971</v>
      </c>
      <c r="H73" s="2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775</v>
      </c>
      <c r="C74" s="13" t="s">
        <v>338</v>
      </c>
      <c r="D74" s="10" t="s">
        <v>776</v>
      </c>
      <c r="E74" s="25" t="s">
        <v>266</v>
      </c>
      <c r="F74" s="26"/>
      <c r="G74" s="26" t="s">
        <v>972</v>
      </c>
      <c r="H74" s="2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778</v>
      </c>
      <c r="C75" s="13" t="s">
        <v>338</v>
      </c>
      <c r="D75" s="10" t="s">
        <v>779</v>
      </c>
      <c r="E75" s="25" t="s">
        <v>266</v>
      </c>
      <c r="F75" s="26"/>
      <c r="G75" s="26" t="s">
        <v>973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781</v>
      </c>
      <c r="C76" s="13" t="s">
        <v>338</v>
      </c>
      <c r="D76" s="10" t="s">
        <v>782</v>
      </c>
      <c r="E76" s="25" t="s">
        <v>266</v>
      </c>
      <c r="F76" s="26"/>
      <c r="G76" s="26" t="s">
        <v>974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784</v>
      </c>
      <c r="C77" s="13" t="s">
        <v>338</v>
      </c>
      <c r="D77" s="10" t="s">
        <v>785</v>
      </c>
      <c r="E77" s="25" t="s">
        <v>266</v>
      </c>
      <c r="F77" s="26"/>
      <c r="G77" s="26" t="s">
        <v>975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787</v>
      </c>
      <c r="C78" s="13" t="s">
        <v>338</v>
      </c>
      <c r="D78" s="10" t="s">
        <v>788</v>
      </c>
      <c r="E78" s="25" t="s">
        <v>266</v>
      </c>
      <c r="F78" s="26"/>
      <c r="G78" s="26" t="s">
        <v>976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413</v>
      </c>
      <c r="C79" s="13" t="s">
        <v>666</v>
      </c>
      <c r="D79" s="10" t="s">
        <v>790</v>
      </c>
      <c r="E79" s="25" t="s">
        <v>266</v>
      </c>
      <c r="F79" s="26"/>
      <c r="G79" s="26" t="s">
        <v>977</v>
      </c>
      <c r="H79" s="2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792</v>
      </c>
      <c r="C80" s="13" t="s">
        <v>338</v>
      </c>
      <c r="D80" s="10" t="s">
        <v>793</v>
      </c>
      <c r="E80" s="25" t="s">
        <v>266</v>
      </c>
      <c r="F80" s="26"/>
      <c r="G80" s="26" t="s">
        <v>978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418</v>
      </c>
      <c r="C81" s="13" t="s">
        <v>666</v>
      </c>
      <c r="D81" s="10" t="s">
        <v>795</v>
      </c>
      <c r="E81" s="25" t="s">
        <v>266</v>
      </c>
      <c r="F81" s="26"/>
      <c r="G81" s="26" t="s">
        <v>979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797</v>
      </c>
      <c r="C82" s="13" t="s">
        <v>338</v>
      </c>
      <c r="D82" s="10" t="s">
        <v>798</v>
      </c>
      <c r="E82" s="25" t="s">
        <v>266</v>
      </c>
      <c r="F82" s="26"/>
      <c r="G82" s="26" t="s">
        <v>980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800</v>
      </c>
      <c r="C83" s="13" t="s">
        <v>338</v>
      </c>
      <c r="D83" s="10" t="s">
        <v>801</v>
      </c>
      <c r="E83" s="25" t="s">
        <v>266</v>
      </c>
      <c r="F83" s="26"/>
      <c r="G83" s="26" t="s">
        <v>981</v>
      </c>
      <c r="H83" s="2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551</v>
      </c>
      <c r="C84" s="13" t="s">
        <v>666</v>
      </c>
      <c r="D84" s="10" t="s">
        <v>552</v>
      </c>
      <c r="E84" s="25" t="s">
        <v>266</v>
      </c>
      <c r="F84" s="26"/>
      <c r="G84" s="26" t="s">
        <v>982</v>
      </c>
      <c r="H84" s="2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805</v>
      </c>
      <c r="C85" s="13" t="s">
        <v>338</v>
      </c>
      <c r="D85" s="10" t="s">
        <v>806</v>
      </c>
      <c r="E85" s="25" t="s">
        <v>266</v>
      </c>
      <c r="F85" s="26"/>
      <c r="G85" s="26" t="s">
        <v>983</v>
      </c>
      <c r="H85" s="2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808</v>
      </c>
      <c r="C86" s="13" t="s">
        <v>338</v>
      </c>
      <c r="D86" s="10" t="s">
        <v>809</v>
      </c>
      <c r="E86" s="25" t="s">
        <v>266</v>
      </c>
      <c r="F86" s="26"/>
      <c r="G86" s="26" t="s">
        <v>984</v>
      </c>
      <c r="H86" s="2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811</v>
      </c>
      <c r="C87" s="13" t="s">
        <v>338</v>
      </c>
      <c r="D87" s="10" t="s">
        <v>812</v>
      </c>
      <c r="E87" s="25" t="s">
        <v>266</v>
      </c>
      <c r="F87" s="26"/>
      <c r="G87" s="26" t="s">
        <v>985</v>
      </c>
      <c r="H87" s="2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814</v>
      </c>
      <c r="C88" s="13" t="s">
        <v>338</v>
      </c>
      <c r="D88" s="10" t="s">
        <v>815</v>
      </c>
      <c r="E88" s="25" t="s">
        <v>266</v>
      </c>
      <c r="F88" s="26"/>
      <c r="G88" s="26" t="s">
        <v>986</v>
      </c>
      <c r="H88" s="2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817</v>
      </c>
      <c r="C89" s="13" t="s">
        <v>338</v>
      </c>
      <c r="D89" s="10" t="s">
        <v>818</v>
      </c>
      <c r="E89" s="25" t="s">
        <v>266</v>
      </c>
      <c r="F89" s="26"/>
      <c r="G89" s="26" t="s">
        <v>987</v>
      </c>
      <c r="H89" s="2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820</v>
      </c>
      <c r="C90" s="13" t="s">
        <v>338</v>
      </c>
      <c r="D90" s="10" t="s">
        <v>821</v>
      </c>
      <c r="E90" s="25" t="s">
        <v>266</v>
      </c>
      <c r="F90" s="26"/>
      <c r="G90" s="26" t="s">
        <v>988</v>
      </c>
      <c r="H90" s="2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556</v>
      </c>
      <c r="C91" s="13" t="s">
        <v>666</v>
      </c>
      <c r="D91" s="10" t="s">
        <v>557</v>
      </c>
      <c r="E91" s="25" t="s">
        <v>266</v>
      </c>
      <c r="F91" s="26"/>
      <c r="G91" s="26" t="s">
        <v>989</v>
      </c>
      <c r="H91" s="27"/>
      <c r="I91" s="26"/>
      <c r="J91" s="15" t="s">
        <v>632</v>
      </c>
      <c r="K91" s="15" t="s">
        <v>404</v>
      </c>
      <c r="L91" s="15" t="s">
        <v>633</v>
      </c>
    </row>
    <row r="92" s="1" customFormat="1" spans="1:12">
      <c r="A92" s="33"/>
      <c r="B92" s="13" t="s">
        <v>824</v>
      </c>
      <c r="C92" s="13" t="s">
        <v>338</v>
      </c>
      <c r="D92" s="10" t="s">
        <v>825</v>
      </c>
      <c r="E92" s="25" t="s">
        <v>266</v>
      </c>
      <c r="F92" s="26"/>
      <c r="G92" s="26" t="s">
        <v>990</v>
      </c>
      <c r="H92" s="2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827</v>
      </c>
      <c r="C93" s="13" t="s">
        <v>338</v>
      </c>
      <c r="D93" s="10" t="s">
        <v>828</v>
      </c>
      <c r="E93" s="25" t="s">
        <v>266</v>
      </c>
      <c r="F93" s="26"/>
      <c r="G93" s="26" t="s">
        <v>991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830</v>
      </c>
      <c r="C94" s="13" t="s">
        <v>338</v>
      </c>
      <c r="D94" s="10" t="s">
        <v>831</v>
      </c>
      <c r="E94" s="25" t="s">
        <v>266</v>
      </c>
      <c r="F94" s="26"/>
      <c r="G94" s="26" t="s">
        <v>992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833</v>
      </c>
      <c r="C95" s="13" t="s">
        <v>338</v>
      </c>
      <c r="D95" s="10" t="s">
        <v>834</v>
      </c>
      <c r="E95" s="25" t="s">
        <v>266</v>
      </c>
      <c r="F95" s="26"/>
      <c r="G95" s="26" t="s">
        <v>993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836</v>
      </c>
      <c r="C96" s="13" t="s">
        <v>338</v>
      </c>
      <c r="D96" s="10" t="s">
        <v>837</v>
      </c>
      <c r="E96" s="25" t="s">
        <v>266</v>
      </c>
      <c r="F96" s="26"/>
      <c r="G96" s="26" t="s">
        <v>994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839</v>
      </c>
      <c r="C97" s="13" t="s">
        <v>338</v>
      </c>
      <c r="D97" s="10" t="s">
        <v>840</v>
      </c>
      <c r="E97" s="25" t="s">
        <v>266</v>
      </c>
      <c r="F97" s="26"/>
      <c r="G97" s="26" t="s">
        <v>995</v>
      </c>
      <c r="H97" s="2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560</v>
      </c>
      <c r="C98" s="13" t="s">
        <v>666</v>
      </c>
      <c r="D98" s="10" t="s">
        <v>842</v>
      </c>
      <c r="E98" s="25" t="s">
        <v>266</v>
      </c>
      <c r="F98" s="26"/>
      <c r="G98" s="26" t="s">
        <v>996</v>
      </c>
      <c r="H98" s="27"/>
      <c r="I98" s="26"/>
      <c r="J98" s="15" t="s">
        <v>632</v>
      </c>
      <c r="K98" s="15" t="s">
        <v>404</v>
      </c>
      <c r="L98" s="15" t="s">
        <v>633</v>
      </c>
    </row>
    <row r="99" s="1" customFormat="1" spans="1:12">
      <c r="A99" s="33"/>
      <c r="B99" s="75" t="s">
        <v>844</v>
      </c>
      <c r="C99" s="75" t="s">
        <v>338</v>
      </c>
      <c r="D99" s="76" t="s">
        <v>845</v>
      </c>
      <c r="E99" s="25" t="s">
        <v>266</v>
      </c>
      <c r="F99" s="26"/>
      <c r="G99" s="26" t="s">
        <v>997</v>
      </c>
      <c r="H99" s="2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847</v>
      </c>
      <c r="C100" s="75" t="s">
        <v>338</v>
      </c>
      <c r="D100" s="76" t="s">
        <v>848</v>
      </c>
      <c r="E100" s="25" t="s">
        <v>266</v>
      </c>
      <c r="F100" s="26"/>
      <c r="G100" s="26" t="s">
        <v>998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850</v>
      </c>
      <c r="C101" s="75" t="s">
        <v>338</v>
      </c>
      <c r="D101" s="76" t="s">
        <v>851</v>
      </c>
      <c r="E101" s="25" t="s">
        <v>266</v>
      </c>
      <c r="F101" s="26"/>
      <c r="G101" s="26" t="s">
        <v>999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853</v>
      </c>
      <c r="C102" s="75" t="s">
        <v>338</v>
      </c>
      <c r="D102" s="76" t="s">
        <v>854</v>
      </c>
      <c r="E102" s="25" t="s">
        <v>266</v>
      </c>
      <c r="F102" s="26"/>
      <c r="G102" s="26" t="s">
        <v>1000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856</v>
      </c>
      <c r="C103" s="75" t="s">
        <v>338</v>
      </c>
      <c r="D103" s="76" t="s">
        <v>857</v>
      </c>
      <c r="E103" s="25" t="s">
        <v>266</v>
      </c>
      <c r="F103" s="26"/>
      <c r="G103" s="26" t="s">
        <v>1001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859</v>
      </c>
      <c r="C104" s="13" t="s">
        <v>338</v>
      </c>
      <c r="D104" s="10" t="s">
        <v>860</v>
      </c>
      <c r="E104" s="25" t="s">
        <v>266</v>
      </c>
      <c r="F104" s="26"/>
      <c r="G104" s="26" t="s">
        <v>1002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862</v>
      </c>
      <c r="C105" s="13" t="s">
        <v>666</v>
      </c>
      <c r="D105" s="10" t="s">
        <v>863</v>
      </c>
      <c r="E105" s="25" t="s">
        <v>266</v>
      </c>
      <c r="F105" s="26"/>
      <c r="G105" s="26" t="s">
        <v>1003</v>
      </c>
      <c r="H105" s="2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462</v>
      </c>
      <c r="C106" s="13" t="s">
        <v>666</v>
      </c>
      <c r="D106" s="10" t="s">
        <v>865</v>
      </c>
      <c r="E106" s="25" t="s">
        <v>266</v>
      </c>
      <c r="F106" s="26"/>
      <c r="G106" s="26" t="s">
        <v>1004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538</v>
      </c>
      <c r="C107" s="13" t="s">
        <v>666</v>
      </c>
      <c r="D107" s="10" t="s">
        <v>539</v>
      </c>
      <c r="E107" s="25" t="s">
        <v>266</v>
      </c>
      <c r="F107" s="26"/>
      <c r="G107" s="26" t="s">
        <v>1005</v>
      </c>
      <c r="H107" s="2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868</v>
      </c>
      <c r="C108" s="13" t="s">
        <v>338</v>
      </c>
      <c r="D108" s="10" t="s">
        <v>869</v>
      </c>
      <c r="E108" s="25" t="s">
        <v>266</v>
      </c>
      <c r="F108" s="26"/>
      <c r="G108" s="26" t="s">
        <v>1006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871</v>
      </c>
      <c r="C109" s="13" t="s">
        <v>338</v>
      </c>
      <c r="D109" s="10" t="s">
        <v>872</v>
      </c>
      <c r="E109" s="25" t="s">
        <v>266</v>
      </c>
      <c r="F109" s="26"/>
      <c r="G109" s="26" t="s">
        <v>1007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543</v>
      </c>
      <c r="C110" s="13" t="s">
        <v>666</v>
      </c>
      <c r="D110" s="10" t="s">
        <v>544</v>
      </c>
      <c r="E110" s="25" t="s">
        <v>266</v>
      </c>
      <c r="F110" s="26"/>
      <c r="G110" s="26" t="s">
        <v>1008</v>
      </c>
      <c r="H110" s="2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875</v>
      </c>
      <c r="C111" s="13" t="s">
        <v>338</v>
      </c>
      <c r="D111" s="10" t="s">
        <v>876</v>
      </c>
      <c r="E111" s="25" t="s">
        <v>266</v>
      </c>
      <c r="F111" s="26"/>
      <c r="G111" s="26" t="s">
        <v>1009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887</v>
      </c>
      <c r="C112" s="13" t="s">
        <v>338</v>
      </c>
      <c r="D112" s="10" t="s">
        <v>888</v>
      </c>
      <c r="E112" s="25" t="s">
        <v>266</v>
      </c>
      <c r="F112" s="26"/>
      <c r="G112" s="26" t="s">
        <v>1013</v>
      </c>
      <c r="H112" s="2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917</v>
      </c>
      <c r="C113" s="13" t="s">
        <v>338</v>
      </c>
      <c r="D113" s="10" t="s">
        <v>918</v>
      </c>
      <c r="E113" s="25" t="s">
        <v>266</v>
      </c>
      <c r="F113" s="26"/>
      <c r="G113" s="26" t="s">
        <v>1023</v>
      </c>
      <c r="H113" s="2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3" t="s">
        <v>920</v>
      </c>
      <c r="C114" s="13" t="s">
        <v>338</v>
      </c>
      <c r="D114" s="10" t="s">
        <v>921</v>
      </c>
      <c r="E114" s="25" t="s">
        <v>266</v>
      </c>
      <c r="F114" s="26"/>
      <c r="G114" s="26" t="s">
        <v>1024</v>
      </c>
      <c r="H114" s="2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3" t="s">
        <v>923</v>
      </c>
      <c r="C115" s="13" t="s">
        <v>338</v>
      </c>
      <c r="D115" s="10" t="s">
        <v>924</v>
      </c>
      <c r="E115" s="25" t="s">
        <v>266</v>
      </c>
      <c r="F115" s="26"/>
      <c r="G115" s="26" t="s">
        <v>1025</v>
      </c>
      <c r="H115" s="27"/>
      <c r="I115" s="26"/>
      <c r="J115" s="15" t="s">
        <v>632</v>
      </c>
      <c r="K115" s="15" t="s">
        <v>294</v>
      </c>
      <c r="L115" s="15" t="s">
        <v>633</v>
      </c>
    </row>
    <row r="116" spans="2:12">
      <c r="B116" s="17" t="s">
        <v>594</v>
      </c>
      <c r="C116" s="18" t="s">
        <v>307</v>
      </c>
      <c r="D116" s="19" t="s">
        <v>595</v>
      </c>
      <c r="E116" s="28"/>
      <c r="F116" s="28"/>
      <c r="G116" s="28" t="s">
        <v>932</v>
      </c>
      <c r="H116" s="17"/>
      <c r="I116" s="17"/>
      <c r="J116" s="17"/>
      <c r="K116" s="17"/>
      <c r="L116" s="17"/>
    </row>
    <row r="117" spans="2:12">
      <c r="B117" s="17" t="s">
        <v>596</v>
      </c>
      <c r="C117" s="18" t="s">
        <v>291</v>
      </c>
      <c r="D117" s="19" t="s">
        <v>597</v>
      </c>
      <c r="E117" s="28"/>
      <c r="F117" s="28"/>
      <c r="G117" s="28" t="s">
        <v>932</v>
      </c>
      <c r="H117" s="17" t="s">
        <v>932</v>
      </c>
      <c r="I117" s="17"/>
      <c r="J117" s="17"/>
      <c r="K117" s="17"/>
      <c r="L117" s="17"/>
    </row>
    <row r="118" spans="2:12">
      <c r="B118" s="17" t="s">
        <v>598</v>
      </c>
      <c r="C118" s="18" t="s">
        <v>307</v>
      </c>
      <c r="D118" s="19" t="s">
        <v>599</v>
      </c>
      <c r="E118" s="28"/>
      <c r="F118" s="28"/>
      <c r="G118" s="28" t="s">
        <v>932</v>
      </c>
      <c r="H118" s="17" t="s">
        <v>932</v>
      </c>
      <c r="I118" s="17"/>
      <c r="J118" s="17"/>
      <c r="K118" s="17"/>
      <c r="L118" s="17"/>
    </row>
  </sheetData>
  <autoFilter xmlns:etc="http://www.wps.cn/officeDocument/2017/etCustomData" ref="A13:Q11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127</v>
      </c>
      <c r="D5" s="11" t="s">
        <v>128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124</v>
      </c>
      <c r="D9" s="11" t="s">
        <v>125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10" t="s">
        <v>517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10" t="s">
        <v>520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10" t="s">
        <v>522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10" t="s">
        <v>524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10" t="s">
        <v>526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2:12">
      <c r="B23" s="13" t="s">
        <v>295</v>
      </c>
      <c r="C23" s="13" t="s">
        <v>291</v>
      </c>
      <c r="D23" s="10" t="s">
        <v>618</v>
      </c>
      <c r="E23" s="25" t="s">
        <v>266</v>
      </c>
      <c r="F23" s="10" t="s">
        <v>295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10" t="s">
        <v>297</v>
      </c>
      <c r="G24" s="26" t="s">
        <v>293</v>
      </c>
      <c r="H24" s="3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10" t="s">
        <v>300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32" t="s">
        <v>378</v>
      </c>
      <c r="C26" s="13" t="s">
        <v>291</v>
      </c>
      <c r="D26" s="10" t="s">
        <v>624</v>
      </c>
      <c r="E26" s="25" t="s">
        <v>266</v>
      </c>
      <c r="F26" s="26" t="s">
        <v>378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615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634</v>
      </c>
      <c r="C28" s="13" t="s">
        <v>338</v>
      </c>
      <c r="D28" s="10" t="s">
        <v>635</v>
      </c>
      <c r="E28" s="25" t="s">
        <v>266</v>
      </c>
      <c r="F28" s="26"/>
      <c r="G28" s="26" t="s">
        <v>934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1273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1044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653</v>
      </c>
      <c r="C35" s="13" t="s">
        <v>338</v>
      </c>
      <c r="D35" s="10" t="s">
        <v>654</v>
      </c>
      <c r="E35" s="25" t="s">
        <v>266</v>
      </c>
      <c r="F35" s="26"/>
      <c r="G35" s="26" t="s">
        <v>938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662</v>
      </c>
      <c r="C38" s="13" t="s">
        <v>338</v>
      </c>
      <c r="D38" s="10" t="s">
        <v>663</v>
      </c>
      <c r="E38" s="25" t="s">
        <v>266</v>
      </c>
      <c r="F38" s="26"/>
      <c r="G38" s="26" t="s">
        <v>941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665</v>
      </c>
      <c r="C39" s="13" t="s">
        <v>666</v>
      </c>
      <c r="D39" s="10" t="s">
        <v>667</v>
      </c>
      <c r="E39" s="25" t="s">
        <v>266</v>
      </c>
      <c r="F39" s="26"/>
      <c r="G39" s="26" t="s">
        <v>942</v>
      </c>
      <c r="H39" s="3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671</v>
      </c>
      <c r="C40" s="13" t="s">
        <v>666</v>
      </c>
      <c r="D40" s="10" t="s">
        <v>672</v>
      </c>
      <c r="E40" s="25" t="s">
        <v>266</v>
      </c>
      <c r="F40" s="26"/>
      <c r="G40" s="26" t="s">
        <v>943</v>
      </c>
      <c r="H40" s="37"/>
      <c r="I40" s="26"/>
      <c r="J40" s="15" t="s">
        <v>632</v>
      </c>
      <c r="K40" s="15" t="s">
        <v>674</v>
      </c>
      <c r="L40" s="15" t="s">
        <v>670</v>
      </c>
    </row>
    <row r="41" s="1" customFormat="1" spans="1:12">
      <c r="A41" s="33"/>
      <c r="B41" s="13" t="s">
        <v>675</v>
      </c>
      <c r="C41" s="13" t="s">
        <v>666</v>
      </c>
      <c r="D41" s="10" t="s">
        <v>676</v>
      </c>
      <c r="E41" s="25" t="s">
        <v>266</v>
      </c>
      <c r="F41" s="26"/>
      <c r="G41" s="26" t="s">
        <v>944</v>
      </c>
      <c r="H41" s="3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678</v>
      </c>
      <c r="C42" s="13" t="s">
        <v>666</v>
      </c>
      <c r="D42" s="10" t="s">
        <v>679</v>
      </c>
      <c r="E42" s="25" t="s">
        <v>266</v>
      </c>
      <c r="F42" s="26"/>
      <c r="G42" s="26" t="s">
        <v>945</v>
      </c>
      <c r="H42" s="37"/>
      <c r="I42" s="26"/>
      <c r="J42" s="15" t="s">
        <v>632</v>
      </c>
      <c r="K42" s="15" t="s">
        <v>674</v>
      </c>
      <c r="L42" s="15" t="s">
        <v>670</v>
      </c>
    </row>
    <row r="43" s="1" customFormat="1" spans="1:12">
      <c r="A43" s="33"/>
      <c r="B43" s="13" t="s">
        <v>681</v>
      </c>
      <c r="C43" s="13" t="s">
        <v>666</v>
      </c>
      <c r="D43" s="10" t="s">
        <v>682</v>
      </c>
      <c r="E43" s="25" t="s">
        <v>266</v>
      </c>
      <c r="F43" s="26"/>
      <c r="G43" s="26" t="s">
        <v>946</v>
      </c>
      <c r="H43" s="3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684</v>
      </c>
      <c r="C44" s="13" t="s">
        <v>666</v>
      </c>
      <c r="D44" s="10" t="s">
        <v>685</v>
      </c>
      <c r="E44" s="25" t="s">
        <v>266</v>
      </c>
      <c r="F44" s="26"/>
      <c r="G44" s="26" t="s">
        <v>947</v>
      </c>
      <c r="H44" s="3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687</v>
      </c>
      <c r="C45" s="13" t="s">
        <v>666</v>
      </c>
      <c r="D45" s="10" t="s">
        <v>688</v>
      </c>
      <c r="E45" s="25" t="s">
        <v>266</v>
      </c>
      <c r="F45" s="26"/>
      <c r="G45" s="26" t="s">
        <v>948</v>
      </c>
      <c r="H45" s="3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690</v>
      </c>
      <c r="C46" s="13" t="s">
        <v>666</v>
      </c>
      <c r="D46" s="10" t="s">
        <v>691</v>
      </c>
      <c r="E46" s="25" t="s">
        <v>266</v>
      </c>
      <c r="F46" s="26"/>
      <c r="G46" s="26" t="s">
        <v>949</v>
      </c>
      <c r="H46" s="3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1055</v>
      </c>
      <c r="C47" s="13" t="s">
        <v>338</v>
      </c>
      <c r="D47" s="10" t="s">
        <v>693</v>
      </c>
      <c r="E47" s="25" t="s">
        <v>266</v>
      </c>
      <c r="F47" s="26"/>
      <c r="G47" s="26" t="s">
        <v>694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1054</v>
      </c>
      <c r="C48" s="13" t="s">
        <v>338</v>
      </c>
      <c r="D48" s="10" t="s">
        <v>695</v>
      </c>
      <c r="E48" s="25" t="s">
        <v>266</v>
      </c>
      <c r="F48" s="26"/>
      <c r="G48" s="26" t="s">
        <v>696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1056</v>
      </c>
      <c r="C49" s="13" t="s">
        <v>338</v>
      </c>
      <c r="D49" s="10" t="s">
        <v>697</v>
      </c>
      <c r="E49" s="25" t="s">
        <v>266</v>
      </c>
      <c r="F49" s="26"/>
      <c r="G49" s="26" t="s">
        <v>698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1057</v>
      </c>
      <c r="C50" s="13" t="s">
        <v>338</v>
      </c>
      <c r="D50" s="10" t="s">
        <v>699</v>
      </c>
      <c r="E50" s="25" t="s">
        <v>266</v>
      </c>
      <c r="F50" s="26"/>
      <c r="G50" s="26" t="s">
        <v>700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1274</v>
      </c>
      <c r="C51" s="13" t="s">
        <v>338</v>
      </c>
      <c r="D51" s="10" t="s">
        <v>702</v>
      </c>
      <c r="E51" s="25" t="s">
        <v>266</v>
      </c>
      <c r="F51" s="26"/>
      <c r="G51" s="26" t="s">
        <v>950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1275</v>
      </c>
      <c r="C52" s="13" t="s">
        <v>338</v>
      </c>
      <c r="D52" s="10" t="s">
        <v>705</v>
      </c>
      <c r="E52" s="25" t="s">
        <v>266</v>
      </c>
      <c r="F52" s="26"/>
      <c r="G52" s="26" t="s">
        <v>951</v>
      </c>
      <c r="H52" s="3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1064</v>
      </c>
      <c r="C53" s="13" t="s">
        <v>338</v>
      </c>
      <c r="D53" s="10" t="s">
        <v>719</v>
      </c>
      <c r="E53" s="25" t="s">
        <v>266</v>
      </c>
      <c r="F53" s="26"/>
      <c r="G53" s="26" t="s">
        <v>720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1066</v>
      </c>
      <c r="C54" s="13" t="s">
        <v>338</v>
      </c>
      <c r="D54" s="10" t="s">
        <v>721</v>
      </c>
      <c r="E54" s="25" t="s">
        <v>266</v>
      </c>
      <c r="F54" s="26"/>
      <c r="G54" s="26" t="s">
        <v>722</v>
      </c>
      <c r="H54" s="3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1276</v>
      </c>
      <c r="C55" s="13" t="s">
        <v>338</v>
      </c>
      <c r="D55" s="10" t="s">
        <v>723</v>
      </c>
      <c r="E55" s="25" t="s">
        <v>266</v>
      </c>
      <c r="F55" s="26"/>
      <c r="G55" s="26" t="s">
        <v>724</v>
      </c>
      <c r="H55" s="3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1277</v>
      </c>
      <c r="C56" s="13" t="s">
        <v>338</v>
      </c>
      <c r="D56" s="10" t="s">
        <v>725</v>
      </c>
      <c r="E56" s="25" t="s">
        <v>266</v>
      </c>
      <c r="F56" s="26"/>
      <c r="G56" s="26" t="s">
        <v>726</v>
      </c>
      <c r="H56" s="3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1278</v>
      </c>
      <c r="C57" s="13" t="s">
        <v>338</v>
      </c>
      <c r="D57" s="10" t="s">
        <v>536</v>
      </c>
      <c r="E57" s="25" t="s">
        <v>266</v>
      </c>
      <c r="F57" s="26"/>
      <c r="G57" s="26" t="s">
        <v>727</v>
      </c>
      <c r="H57" s="3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728</v>
      </c>
      <c r="C58" s="13" t="s">
        <v>338</v>
      </c>
      <c r="D58" s="10" t="s">
        <v>729</v>
      </c>
      <c r="E58" s="25" t="s">
        <v>266</v>
      </c>
      <c r="F58" s="26"/>
      <c r="G58" s="26" t="s">
        <v>956</v>
      </c>
      <c r="H58" s="3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730</v>
      </c>
      <c r="C59" s="13" t="s">
        <v>666</v>
      </c>
      <c r="D59" s="10" t="s">
        <v>731</v>
      </c>
      <c r="E59" s="25" t="s">
        <v>266</v>
      </c>
      <c r="F59" s="26"/>
      <c r="G59" s="26" t="s">
        <v>957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1091</v>
      </c>
      <c r="C60" s="13" t="s">
        <v>338</v>
      </c>
      <c r="D60" s="10" t="s">
        <v>734</v>
      </c>
      <c r="E60" s="25" t="s">
        <v>266</v>
      </c>
      <c r="F60" s="26"/>
      <c r="G60" s="26" t="s">
        <v>958</v>
      </c>
      <c r="H60" s="3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1093</v>
      </c>
      <c r="C61" s="13" t="s">
        <v>338</v>
      </c>
      <c r="D61" s="10" t="s">
        <v>737</v>
      </c>
      <c r="E61" s="25" t="s">
        <v>266</v>
      </c>
      <c r="F61" s="26"/>
      <c r="G61" s="26" t="s">
        <v>959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1095</v>
      </c>
      <c r="C62" s="13" t="s">
        <v>338</v>
      </c>
      <c r="D62" s="10" t="s">
        <v>740</v>
      </c>
      <c r="E62" s="25" t="s">
        <v>266</v>
      </c>
      <c r="F62" s="26"/>
      <c r="G62" s="26" t="s">
        <v>960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1097</v>
      </c>
      <c r="C63" s="13" t="s">
        <v>338</v>
      </c>
      <c r="D63" s="10" t="s">
        <v>743</v>
      </c>
      <c r="E63" s="25" t="s">
        <v>266</v>
      </c>
      <c r="F63" s="26"/>
      <c r="G63" s="26" t="s">
        <v>961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1099</v>
      </c>
      <c r="C64" s="13" t="s">
        <v>338</v>
      </c>
      <c r="D64" s="10" t="s">
        <v>746</v>
      </c>
      <c r="E64" s="25" t="s">
        <v>266</v>
      </c>
      <c r="F64" s="26"/>
      <c r="G64" s="26" t="s">
        <v>962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748</v>
      </c>
      <c r="C65" s="13" t="s">
        <v>338</v>
      </c>
      <c r="D65" s="10" t="s">
        <v>749</v>
      </c>
      <c r="E65" s="25" t="s">
        <v>266</v>
      </c>
      <c r="F65" s="26"/>
      <c r="G65" s="26" t="s">
        <v>963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751</v>
      </c>
      <c r="C66" s="13" t="s">
        <v>666</v>
      </c>
      <c r="D66" s="10" t="s">
        <v>752</v>
      </c>
      <c r="E66" s="25" t="s">
        <v>266</v>
      </c>
      <c r="F66" s="26"/>
      <c r="G66" s="26" t="s">
        <v>964</v>
      </c>
      <c r="H66" s="37"/>
      <c r="I66" s="26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1104</v>
      </c>
      <c r="C67" s="13" t="s">
        <v>338</v>
      </c>
      <c r="D67" s="10" t="s">
        <v>755</v>
      </c>
      <c r="E67" s="25" t="s">
        <v>266</v>
      </c>
      <c r="F67" s="26"/>
      <c r="G67" s="26" t="s">
        <v>965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1106</v>
      </c>
      <c r="C68" s="13" t="s">
        <v>338</v>
      </c>
      <c r="D68" s="10" t="s">
        <v>758</v>
      </c>
      <c r="E68" s="25" t="s">
        <v>266</v>
      </c>
      <c r="F68" s="26"/>
      <c r="G68" s="26" t="s">
        <v>966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1108</v>
      </c>
      <c r="C69" s="13" t="s">
        <v>338</v>
      </c>
      <c r="D69" s="10" t="s">
        <v>761</v>
      </c>
      <c r="E69" s="25" t="s">
        <v>266</v>
      </c>
      <c r="F69" s="26"/>
      <c r="G69" s="26" t="s">
        <v>967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1110</v>
      </c>
      <c r="C70" s="13" t="s">
        <v>338</v>
      </c>
      <c r="D70" s="10" t="s">
        <v>764</v>
      </c>
      <c r="E70" s="25" t="s">
        <v>266</v>
      </c>
      <c r="F70" s="26"/>
      <c r="G70" s="26" t="s">
        <v>968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1112</v>
      </c>
      <c r="C71" s="13" t="s">
        <v>338</v>
      </c>
      <c r="D71" s="10" t="s">
        <v>767</v>
      </c>
      <c r="E71" s="25" t="s">
        <v>266</v>
      </c>
      <c r="F71" s="26"/>
      <c r="G71" s="26" t="s">
        <v>969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769</v>
      </c>
      <c r="C72" s="13" t="s">
        <v>666</v>
      </c>
      <c r="D72" s="10" t="s">
        <v>770</v>
      </c>
      <c r="E72" s="25" t="s">
        <v>266</v>
      </c>
      <c r="F72" s="26"/>
      <c r="G72" s="26" t="s">
        <v>970</v>
      </c>
      <c r="H72" s="3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772</v>
      </c>
      <c r="C73" s="13" t="s">
        <v>666</v>
      </c>
      <c r="D73" s="10" t="s">
        <v>773</v>
      </c>
      <c r="E73" s="25" t="s">
        <v>266</v>
      </c>
      <c r="F73" s="26"/>
      <c r="G73" s="26" t="s">
        <v>971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1279</v>
      </c>
      <c r="C74" s="13" t="s">
        <v>338</v>
      </c>
      <c r="D74" s="10" t="s">
        <v>776</v>
      </c>
      <c r="E74" s="25" t="s">
        <v>266</v>
      </c>
      <c r="F74" s="26"/>
      <c r="G74" s="26" t="s">
        <v>972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1280</v>
      </c>
      <c r="C75" s="13" t="s">
        <v>338</v>
      </c>
      <c r="D75" s="10" t="s">
        <v>779</v>
      </c>
      <c r="E75" s="25" t="s">
        <v>266</v>
      </c>
      <c r="F75" s="26"/>
      <c r="G75" s="26" t="s">
        <v>973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1281</v>
      </c>
      <c r="C76" s="13" t="s">
        <v>338</v>
      </c>
      <c r="D76" s="10" t="s">
        <v>782</v>
      </c>
      <c r="E76" s="25" t="s">
        <v>266</v>
      </c>
      <c r="F76" s="26"/>
      <c r="G76" s="26" t="s">
        <v>974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1282</v>
      </c>
      <c r="C77" s="13" t="s">
        <v>338</v>
      </c>
      <c r="D77" s="10" t="s">
        <v>785</v>
      </c>
      <c r="E77" s="25" t="s">
        <v>266</v>
      </c>
      <c r="F77" s="26"/>
      <c r="G77" s="26" t="s">
        <v>975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1283</v>
      </c>
      <c r="C78" s="13" t="s">
        <v>338</v>
      </c>
      <c r="D78" s="10" t="s">
        <v>788</v>
      </c>
      <c r="E78" s="25" t="s">
        <v>266</v>
      </c>
      <c r="F78" s="26"/>
      <c r="G78" s="26" t="s">
        <v>976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1284</v>
      </c>
      <c r="C79" s="13" t="s">
        <v>666</v>
      </c>
      <c r="D79" s="10" t="s">
        <v>790</v>
      </c>
      <c r="E79" s="25" t="s">
        <v>266</v>
      </c>
      <c r="F79" s="26"/>
      <c r="G79" s="26" t="s">
        <v>977</v>
      </c>
      <c r="H79" s="3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792</v>
      </c>
      <c r="C80" s="13" t="s">
        <v>338</v>
      </c>
      <c r="D80" s="10" t="s">
        <v>793</v>
      </c>
      <c r="E80" s="25" t="s">
        <v>266</v>
      </c>
      <c r="F80" s="26"/>
      <c r="G80" s="26" t="s">
        <v>978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1285</v>
      </c>
      <c r="C81" s="13" t="s">
        <v>666</v>
      </c>
      <c r="D81" s="10" t="s">
        <v>795</v>
      </c>
      <c r="E81" s="25" t="s">
        <v>266</v>
      </c>
      <c r="F81" s="26"/>
      <c r="G81" s="26" t="s">
        <v>979</v>
      </c>
      <c r="H81" s="3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797</v>
      </c>
      <c r="C82" s="13" t="s">
        <v>338</v>
      </c>
      <c r="D82" s="10" t="s">
        <v>798</v>
      </c>
      <c r="E82" s="25" t="s">
        <v>266</v>
      </c>
      <c r="F82" s="26"/>
      <c r="G82" s="26" t="s">
        <v>980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800</v>
      </c>
      <c r="C83" s="13" t="s">
        <v>338</v>
      </c>
      <c r="D83" s="10" t="s">
        <v>801</v>
      </c>
      <c r="E83" s="25" t="s">
        <v>266</v>
      </c>
      <c r="F83" s="26"/>
      <c r="G83" s="26" t="s">
        <v>981</v>
      </c>
      <c r="H83" s="3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1286</v>
      </c>
      <c r="C84" s="13" t="s">
        <v>666</v>
      </c>
      <c r="D84" s="10" t="s">
        <v>552</v>
      </c>
      <c r="E84" s="25" t="s">
        <v>266</v>
      </c>
      <c r="F84" s="26"/>
      <c r="G84" s="26" t="s">
        <v>982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805</v>
      </c>
      <c r="C85" s="13" t="s">
        <v>338</v>
      </c>
      <c r="D85" s="10" t="s">
        <v>806</v>
      </c>
      <c r="E85" s="25" t="s">
        <v>266</v>
      </c>
      <c r="F85" s="26"/>
      <c r="G85" s="26" t="s">
        <v>983</v>
      </c>
      <c r="H85" s="37"/>
      <c r="I85" s="26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808</v>
      </c>
      <c r="C86" s="13" t="s">
        <v>338</v>
      </c>
      <c r="D86" s="10" t="s">
        <v>809</v>
      </c>
      <c r="E86" s="25" t="s">
        <v>266</v>
      </c>
      <c r="F86" s="26"/>
      <c r="G86" s="26" t="s">
        <v>984</v>
      </c>
      <c r="H86" s="3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811</v>
      </c>
      <c r="C87" s="13" t="s">
        <v>338</v>
      </c>
      <c r="D87" s="10" t="s">
        <v>812</v>
      </c>
      <c r="E87" s="25" t="s">
        <v>266</v>
      </c>
      <c r="F87" s="26"/>
      <c r="G87" s="26" t="s">
        <v>985</v>
      </c>
      <c r="H87" s="3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814</v>
      </c>
      <c r="C88" s="13" t="s">
        <v>338</v>
      </c>
      <c r="D88" s="10" t="s">
        <v>815</v>
      </c>
      <c r="E88" s="25" t="s">
        <v>266</v>
      </c>
      <c r="F88" s="26"/>
      <c r="G88" s="26" t="s">
        <v>986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817</v>
      </c>
      <c r="C89" s="13" t="s">
        <v>338</v>
      </c>
      <c r="D89" s="10" t="s">
        <v>818</v>
      </c>
      <c r="E89" s="25" t="s">
        <v>266</v>
      </c>
      <c r="F89" s="26"/>
      <c r="G89" s="26" t="s">
        <v>987</v>
      </c>
      <c r="H89" s="3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820</v>
      </c>
      <c r="C90" s="13" t="s">
        <v>338</v>
      </c>
      <c r="D90" s="10" t="s">
        <v>821</v>
      </c>
      <c r="E90" s="25" t="s">
        <v>266</v>
      </c>
      <c r="F90" s="26"/>
      <c r="G90" s="26" t="s">
        <v>988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1287</v>
      </c>
      <c r="C91" s="13" t="s">
        <v>666</v>
      </c>
      <c r="D91" s="10" t="s">
        <v>557</v>
      </c>
      <c r="E91" s="25" t="s">
        <v>266</v>
      </c>
      <c r="F91" s="26"/>
      <c r="G91" s="26" t="s">
        <v>989</v>
      </c>
      <c r="H91" s="37"/>
      <c r="I91" s="26"/>
      <c r="J91" s="15" t="s">
        <v>632</v>
      </c>
      <c r="K91" s="15" t="s">
        <v>404</v>
      </c>
      <c r="L91" s="15" t="s">
        <v>633</v>
      </c>
    </row>
    <row r="92" s="1" customFormat="1" spans="1:12">
      <c r="A92" s="33"/>
      <c r="B92" s="13" t="s">
        <v>824</v>
      </c>
      <c r="C92" s="13" t="s">
        <v>338</v>
      </c>
      <c r="D92" s="10" t="s">
        <v>825</v>
      </c>
      <c r="E92" s="25" t="s">
        <v>266</v>
      </c>
      <c r="F92" s="26"/>
      <c r="G92" s="26" t="s">
        <v>990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827</v>
      </c>
      <c r="C93" s="13" t="s">
        <v>338</v>
      </c>
      <c r="D93" s="10" t="s">
        <v>828</v>
      </c>
      <c r="E93" s="25" t="s">
        <v>266</v>
      </c>
      <c r="F93" s="26"/>
      <c r="G93" s="26" t="s">
        <v>991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830</v>
      </c>
      <c r="C94" s="13" t="s">
        <v>338</v>
      </c>
      <c r="D94" s="10" t="s">
        <v>831</v>
      </c>
      <c r="E94" s="25" t="s">
        <v>266</v>
      </c>
      <c r="F94" s="26"/>
      <c r="G94" s="26" t="s">
        <v>992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833</v>
      </c>
      <c r="C95" s="13" t="s">
        <v>338</v>
      </c>
      <c r="D95" s="10" t="s">
        <v>834</v>
      </c>
      <c r="E95" s="25" t="s">
        <v>266</v>
      </c>
      <c r="F95" s="26"/>
      <c r="G95" s="26" t="s">
        <v>993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836</v>
      </c>
      <c r="C96" s="13" t="s">
        <v>338</v>
      </c>
      <c r="D96" s="10" t="s">
        <v>837</v>
      </c>
      <c r="E96" s="25" t="s">
        <v>266</v>
      </c>
      <c r="F96" s="26"/>
      <c r="G96" s="26" t="s">
        <v>994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839</v>
      </c>
      <c r="C97" s="13" t="s">
        <v>338</v>
      </c>
      <c r="D97" s="10" t="s">
        <v>840</v>
      </c>
      <c r="E97" s="25" t="s">
        <v>266</v>
      </c>
      <c r="F97" s="26"/>
      <c r="G97" s="26" t="s">
        <v>995</v>
      </c>
      <c r="H97" s="3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1288</v>
      </c>
      <c r="C98" s="13" t="s">
        <v>666</v>
      </c>
      <c r="D98" s="10" t="s">
        <v>842</v>
      </c>
      <c r="E98" s="25" t="s">
        <v>266</v>
      </c>
      <c r="F98" s="26"/>
      <c r="G98" s="26" t="s">
        <v>996</v>
      </c>
      <c r="H98" s="37"/>
      <c r="I98" s="26"/>
      <c r="J98" s="15" t="s">
        <v>632</v>
      </c>
      <c r="K98" s="15" t="s">
        <v>404</v>
      </c>
      <c r="L98" s="15" t="s">
        <v>633</v>
      </c>
    </row>
    <row r="99" s="1" customFormat="1" spans="1:12">
      <c r="A99" s="33"/>
      <c r="B99" s="75" t="s">
        <v>844</v>
      </c>
      <c r="C99" s="75" t="s">
        <v>338</v>
      </c>
      <c r="D99" s="76" t="s">
        <v>845</v>
      </c>
      <c r="E99" s="25" t="s">
        <v>266</v>
      </c>
      <c r="F99" s="26"/>
      <c r="G99" s="26" t="s">
        <v>997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75" t="s">
        <v>847</v>
      </c>
      <c r="C100" s="75" t="s">
        <v>338</v>
      </c>
      <c r="D100" s="76" t="s">
        <v>848</v>
      </c>
      <c r="E100" s="25" t="s">
        <v>266</v>
      </c>
      <c r="F100" s="26"/>
      <c r="G100" s="26" t="s">
        <v>998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75" t="s">
        <v>850</v>
      </c>
      <c r="C101" s="75" t="s">
        <v>338</v>
      </c>
      <c r="D101" s="76" t="s">
        <v>851</v>
      </c>
      <c r="E101" s="25" t="s">
        <v>266</v>
      </c>
      <c r="F101" s="26"/>
      <c r="G101" s="26" t="s">
        <v>999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75" t="s">
        <v>853</v>
      </c>
      <c r="C102" s="75" t="s">
        <v>338</v>
      </c>
      <c r="D102" s="76" t="s">
        <v>854</v>
      </c>
      <c r="E102" s="25" t="s">
        <v>266</v>
      </c>
      <c r="F102" s="26"/>
      <c r="G102" s="26" t="s">
        <v>1000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75" t="s">
        <v>856</v>
      </c>
      <c r="C103" s="75" t="s">
        <v>338</v>
      </c>
      <c r="D103" s="76" t="s">
        <v>857</v>
      </c>
      <c r="E103" s="25" t="s">
        <v>266</v>
      </c>
      <c r="F103" s="26"/>
      <c r="G103" s="26" t="s">
        <v>1001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859</v>
      </c>
      <c r="C104" s="13" t="s">
        <v>338</v>
      </c>
      <c r="D104" s="10" t="s">
        <v>860</v>
      </c>
      <c r="E104" s="25" t="s">
        <v>266</v>
      </c>
      <c r="F104" s="26"/>
      <c r="G104" s="26" t="s">
        <v>1002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1289</v>
      </c>
      <c r="C105" s="13" t="s">
        <v>666</v>
      </c>
      <c r="D105" s="10" t="s">
        <v>863</v>
      </c>
      <c r="E105" s="25" t="s">
        <v>266</v>
      </c>
      <c r="F105" s="26"/>
      <c r="G105" s="26" t="s">
        <v>1003</v>
      </c>
      <c r="H105" s="37"/>
      <c r="I105" s="26"/>
      <c r="J105" s="15" t="s">
        <v>632</v>
      </c>
      <c r="K105" s="15" t="s">
        <v>404</v>
      </c>
      <c r="L105" s="15" t="s">
        <v>633</v>
      </c>
    </row>
    <row r="106" s="1" customFormat="1" spans="1:12">
      <c r="A106" s="33"/>
      <c r="B106" s="13" t="s">
        <v>462</v>
      </c>
      <c r="C106" s="13" t="s">
        <v>666</v>
      </c>
      <c r="D106" s="10" t="s">
        <v>865</v>
      </c>
      <c r="E106" s="25" t="s">
        <v>266</v>
      </c>
      <c r="F106" s="26"/>
      <c r="G106" s="26" t="s">
        <v>1004</v>
      </c>
      <c r="H106" s="3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13" t="s">
        <v>1290</v>
      </c>
      <c r="C107" s="13" t="s">
        <v>666</v>
      </c>
      <c r="D107" s="10" t="s">
        <v>539</v>
      </c>
      <c r="E107" s="25" t="s">
        <v>266</v>
      </c>
      <c r="F107" s="26"/>
      <c r="G107" s="26" t="s">
        <v>1005</v>
      </c>
      <c r="H107" s="37"/>
      <c r="I107" s="26"/>
      <c r="J107" s="15" t="s">
        <v>632</v>
      </c>
      <c r="K107" s="15" t="s">
        <v>404</v>
      </c>
      <c r="L107" s="15" t="s">
        <v>633</v>
      </c>
    </row>
    <row r="108" s="1" customFormat="1" spans="1:12">
      <c r="A108" s="33"/>
      <c r="B108" s="13" t="s">
        <v>1291</v>
      </c>
      <c r="C108" s="13" t="s">
        <v>338</v>
      </c>
      <c r="D108" s="10" t="s">
        <v>869</v>
      </c>
      <c r="E108" s="25" t="s">
        <v>266</v>
      </c>
      <c r="F108" s="26"/>
      <c r="G108" s="26" t="s">
        <v>1006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1292</v>
      </c>
      <c r="C109" s="13" t="s">
        <v>338</v>
      </c>
      <c r="D109" s="10" t="s">
        <v>872</v>
      </c>
      <c r="E109" s="25" t="s">
        <v>266</v>
      </c>
      <c r="F109" s="26"/>
      <c r="G109" s="26" t="s">
        <v>1007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1293</v>
      </c>
      <c r="C110" s="13" t="s">
        <v>666</v>
      </c>
      <c r="D110" s="10" t="s">
        <v>544</v>
      </c>
      <c r="E110" s="25" t="s">
        <v>266</v>
      </c>
      <c r="F110" s="26"/>
      <c r="G110" s="26" t="s">
        <v>1008</v>
      </c>
      <c r="H110" s="37"/>
      <c r="I110" s="26"/>
      <c r="J110" s="15" t="s">
        <v>632</v>
      </c>
      <c r="K110" s="15" t="s">
        <v>404</v>
      </c>
      <c r="L110" s="15" t="s">
        <v>633</v>
      </c>
    </row>
    <row r="111" s="1" customFormat="1" spans="1:12">
      <c r="A111" s="33"/>
      <c r="B111" s="13" t="s">
        <v>875</v>
      </c>
      <c r="C111" s="13" t="s">
        <v>338</v>
      </c>
      <c r="D111" s="10" t="s">
        <v>876</v>
      </c>
      <c r="E111" s="25" t="s">
        <v>266</v>
      </c>
      <c r="F111" s="26"/>
      <c r="G111" s="26" t="s">
        <v>1009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887</v>
      </c>
      <c r="C112" s="13" t="s">
        <v>338</v>
      </c>
      <c r="D112" s="10" t="s">
        <v>888</v>
      </c>
      <c r="E112" s="25" t="s">
        <v>266</v>
      </c>
      <c r="F112" s="26"/>
      <c r="G112" s="26" t="s">
        <v>1013</v>
      </c>
      <c r="H112" s="37"/>
      <c r="I112" s="26"/>
      <c r="J112" s="15" t="s">
        <v>632</v>
      </c>
      <c r="K112" s="15" t="s">
        <v>294</v>
      </c>
      <c r="L112" s="15" t="s">
        <v>633</v>
      </c>
    </row>
    <row r="113" spans="2:12">
      <c r="B113" s="13" t="s">
        <v>1302</v>
      </c>
      <c r="C113" s="13" t="s">
        <v>338</v>
      </c>
      <c r="D113" s="10" t="s">
        <v>918</v>
      </c>
      <c r="E113" s="25" t="s">
        <v>266</v>
      </c>
      <c r="F113" s="26"/>
      <c r="G113" s="26" t="s">
        <v>1023</v>
      </c>
      <c r="H113" s="37"/>
      <c r="I113" s="26"/>
      <c r="J113" s="15" t="s">
        <v>632</v>
      </c>
      <c r="K113" s="15" t="s">
        <v>294</v>
      </c>
      <c r="L113" s="15" t="s">
        <v>633</v>
      </c>
    </row>
    <row r="114" spans="2:12">
      <c r="B114" s="13" t="s">
        <v>1303</v>
      </c>
      <c r="C114" s="13" t="s">
        <v>338</v>
      </c>
      <c r="D114" s="10" t="s">
        <v>921</v>
      </c>
      <c r="E114" s="25" t="s">
        <v>266</v>
      </c>
      <c r="F114" s="26"/>
      <c r="G114" s="26" t="s">
        <v>1024</v>
      </c>
      <c r="H114" s="37"/>
      <c r="I114" s="26"/>
      <c r="J114" s="15" t="s">
        <v>632</v>
      </c>
      <c r="K114" s="15" t="s">
        <v>294</v>
      </c>
      <c r="L114" s="15" t="s">
        <v>633</v>
      </c>
    </row>
    <row r="115" spans="2:12">
      <c r="B115" s="13" t="s">
        <v>1304</v>
      </c>
      <c r="C115" s="13" t="s">
        <v>338</v>
      </c>
      <c r="D115" s="10" t="s">
        <v>924</v>
      </c>
      <c r="E115" s="25" t="s">
        <v>266</v>
      </c>
      <c r="F115" s="26"/>
      <c r="G115" s="26" t="s">
        <v>1025</v>
      </c>
      <c r="H115" s="37"/>
      <c r="I115" s="26"/>
      <c r="J115" s="15" t="s">
        <v>632</v>
      </c>
      <c r="K115" s="15" t="s">
        <v>294</v>
      </c>
      <c r="L115" s="15" t="s">
        <v>633</v>
      </c>
    </row>
    <row r="116" spans="2:12">
      <c r="B116" s="17" t="s">
        <v>594</v>
      </c>
      <c r="C116" s="18" t="s">
        <v>307</v>
      </c>
      <c r="D116" s="19" t="s">
        <v>595</v>
      </c>
      <c r="E116" s="28"/>
      <c r="F116" s="28" t="s">
        <v>932</v>
      </c>
      <c r="G116" s="28" t="s">
        <v>932</v>
      </c>
      <c r="H116" s="17"/>
      <c r="I116" s="17"/>
      <c r="J116" s="17"/>
      <c r="K116" s="17"/>
      <c r="L116" s="17"/>
    </row>
    <row r="117" spans="2:12">
      <c r="B117" s="17" t="s">
        <v>596</v>
      </c>
      <c r="C117" s="18" t="s">
        <v>291</v>
      </c>
      <c r="D117" s="19" t="s">
        <v>597</v>
      </c>
      <c r="E117" s="28"/>
      <c r="F117" s="28" t="s">
        <v>932</v>
      </c>
      <c r="G117" s="28" t="s">
        <v>932</v>
      </c>
      <c r="H117" s="17" t="s">
        <v>932</v>
      </c>
      <c r="I117" s="17"/>
      <c r="J117" s="17"/>
      <c r="K117" s="17"/>
      <c r="L117" s="17"/>
    </row>
  </sheetData>
  <autoFilter xmlns:etc="http://www.wps.cn/officeDocument/2017/etCustomData" ref="A13:Q11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129</v>
      </c>
      <c r="D5" s="14" t="s">
        <v>130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83</v>
      </c>
      <c r="D9" s="14" t="s">
        <v>84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596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1033</v>
      </c>
      <c r="C15" s="32" t="s">
        <v>338</v>
      </c>
      <c r="D15" s="10" t="s">
        <v>377</v>
      </c>
      <c r="E15" s="25" t="s">
        <v>266</v>
      </c>
      <c r="F15" s="26" t="s">
        <v>1035</v>
      </c>
      <c r="G15" s="26" t="s">
        <v>1035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1036</v>
      </c>
      <c r="C16" s="32" t="s">
        <v>338</v>
      </c>
      <c r="D16" s="10" t="s">
        <v>1037</v>
      </c>
      <c r="E16" s="25" t="s">
        <v>266</v>
      </c>
      <c r="F16" s="26" t="s">
        <v>1038</v>
      </c>
      <c r="G16" s="26" t="s">
        <v>1038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1354</v>
      </c>
      <c r="C17" s="32" t="s">
        <v>385</v>
      </c>
      <c r="D17" s="10" t="s">
        <v>328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58">
        <v>6</v>
      </c>
    </row>
    <row r="18" s="1" customFormat="1" spans="1:12">
      <c r="A18" s="33"/>
      <c r="B18" s="13" t="s">
        <v>522</v>
      </c>
      <c r="C18" s="32" t="s">
        <v>307</v>
      </c>
      <c r="D18" s="10" t="s">
        <v>26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524</v>
      </c>
      <c r="C19" s="32" t="s">
        <v>307</v>
      </c>
      <c r="D19" s="10" t="s">
        <v>1355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1356</v>
      </c>
      <c r="C20" s="32" t="s">
        <v>307</v>
      </c>
      <c r="D20" s="10" t="s">
        <v>1357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1358</v>
      </c>
      <c r="C21" s="13" t="s">
        <v>307</v>
      </c>
      <c r="D21" s="10" t="s">
        <v>1359</v>
      </c>
      <c r="E21" s="25" t="s">
        <v>266</v>
      </c>
      <c r="F21" s="10"/>
      <c r="G21" s="26" t="s">
        <v>1360</v>
      </c>
      <c r="H21" s="37"/>
      <c r="I21" s="53"/>
      <c r="J21" s="15" t="s">
        <v>632</v>
      </c>
      <c r="K21" s="15" t="s">
        <v>294</v>
      </c>
      <c r="L21" s="15" t="s">
        <v>1361</v>
      </c>
    </row>
    <row r="22" s="1" customFormat="1" spans="1:12">
      <c r="A22" s="33"/>
      <c r="B22" s="13" t="s">
        <v>1362</v>
      </c>
      <c r="C22" s="13" t="s">
        <v>307</v>
      </c>
      <c r="D22" s="10" t="s">
        <v>1363</v>
      </c>
      <c r="E22" s="25" t="s">
        <v>266</v>
      </c>
      <c r="F22" s="26"/>
      <c r="G22" s="26" t="s">
        <v>934</v>
      </c>
      <c r="H22" s="27"/>
      <c r="I22" s="26"/>
      <c r="J22" s="15" t="s">
        <v>632</v>
      </c>
      <c r="K22" s="15" t="s">
        <v>294</v>
      </c>
      <c r="L22" s="15" t="s">
        <v>670</v>
      </c>
    </row>
    <row r="23" s="1" customFormat="1" spans="1:12">
      <c r="A23" s="33"/>
      <c r="B23" s="13" t="s">
        <v>1364</v>
      </c>
      <c r="C23" s="13" t="s">
        <v>307</v>
      </c>
      <c r="D23" s="10" t="s">
        <v>1365</v>
      </c>
      <c r="E23" s="25" t="s">
        <v>266</v>
      </c>
      <c r="F23" s="26"/>
      <c r="G23" s="26" t="s">
        <v>1366</v>
      </c>
      <c r="H23" s="27"/>
      <c r="I23" s="26"/>
      <c r="J23" s="15" t="s">
        <v>632</v>
      </c>
      <c r="K23" s="15" t="s">
        <v>1367</v>
      </c>
      <c r="L23" s="15" t="s">
        <v>670</v>
      </c>
    </row>
    <row r="24" s="1" customFormat="1" spans="1:12">
      <c r="A24" s="33"/>
      <c r="B24" s="13" t="s">
        <v>1368</v>
      </c>
      <c r="C24" s="13" t="s">
        <v>307</v>
      </c>
      <c r="D24" s="10" t="s">
        <v>1369</v>
      </c>
      <c r="E24" s="25" t="s">
        <v>266</v>
      </c>
      <c r="F24" s="26"/>
      <c r="G24" s="26" t="s">
        <v>1370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1371</v>
      </c>
      <c r="C25" s="13" t="s">
        <v>338</v>
      </c>
      <c r="D25" s="10" t="s">
        <v>1372</v>
      </c>
      <c r="E25" s="25" t="s">
        <v>266</v>
      </c>
      <c r="F25" s="26"/>
      <c r="G25" s="26" t="s">
        <v>1373</v>
      </c>
      <c r="H25" s="27"/>
      <c r="I25" s="26"/>
      <c r="J25" s="15" t="s">
        <v>632</v>
      </c>
      <c r="K25" s="15" t="s">
        <v>674</v>
      </c>
      <c r="L25" s="15" t="s">
        <v>633</v>
      </c>
    </row>
    <row r="26" s="1" customFormat="1" spans="1:12">
      <c r="A26" s="33"/>
      <c r="B26" s="32" t="s">
        <v>1374</v>
      </c>
      <c r="C26" s="32" t="s">
        <v>338</v>
      </c>
      <c r="D26" s="10" t="s">
        <v>1375</v>
      </c>
      <c r="E26" s="25" t="s">
        <v>266</v>
      </c>
      <c r="F26" s="26"/>
      <c r="G26" s="26" t="s">
        <v>1373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337</v>
      </c>
      <c r="C27" s="13" t="s">
        <v>307</v>
      </c>
      <c r="D27" s="10" t="s">
        <v>339</v>
      </c>
      <c r="E27" s="25" t="s">
        <v>266</v>
      </c>
      <c r="F27" s="26"/>
      <c r="G27" s="26" t="s">
        <v>1373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1376</v>
      </c>
      <c r="C28" s="13" t="s">
        <v>307</v>
      </c>
      <c r="D28" s="10" t="s">
        <v>1377</v>
      </c>
      <c r="E28" s="25" t="s">
        <v>266</v>
      </c>
      <c r="F28" s="26"/>
      <c r="G28" s="26" t="s">
        <v>1378</v>
      </c>
      <c r="H28" s="27"/>
      <c r="I28" s="26"/>
      <c r="J28" s="15" t="s">
        <v>632</v>
      </c>
      <c r="K28" s="15" t="s">
        <v>669</v>
      </c>
      <c r="L28" s="15" t="s">
        <v>670</v>
      </c>
    </row>
    <row r="29" s="1" customFormat="1" spans="1:12">
      <c r="A29" s="33"/>
      <c r="B29" s="13" t="s">
        <v>1379</v>
      </c>
      <c r="C29" s="13" t="s">
        <v>307</v>
      </c>
      <c r="D29" s="10" t="s">
        <v>1380</v>
      </c>
      <c r="E29" s="25" t="s">
        <v>266</v>
      </c>
      <c r="F29" s="26"/>
      <c r="G29" s="26" t="s">
        <v>1381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1382</v>
      </c>
      <c r="C30" s="13" t="s">
        <v>307</v>
      </c>
      <c r="D30" s="10" t="s">
        <v>1383</v>
      </c>
      <c r="E30" s="25" t="s">
        <v>266</v>
      </c>
      <c r="F30" s="26"/>
      <c r="G30" s="26" t="s">
        <v>1384</v>
      </c>
      <c r="H30" s="27"/>
      <c r="I30" s="26"/>
      <c r="J30" s="15" t="s">
        <v>632</v>
      </c>
      <c r="K30" s="15" t="s">
        <v>294</v>
      </c>
      <c r="L30" s="15" t="s">
        <v>1385</v>
      </c>
    </row>
    <row r="31" s="1" customFormat="1" spans="1:12">
      <c r="A31" s="33"/>
      <c r="B31" s="13" t="s">
        <v>1386</v>
      </c>
      <c r="C31" s="13" t="s">
        <v>307</v>
      </c>
      <c r="D31" s="10" t="s">
        <v>1387</v>
      </c>
      <c r="E31" s="25" t="s">
        <v>266</v>
      </c>
      <c r="F31" s="26"/>
      <c r="G31" s="26" t="s">
        <v>1388</v>
      </c>
      <c r="H31" s="27"/>
      <c r="I31" s="26"/>
      <c r="J31" s="15" t="s">
        <v>632</v>
      </c>
      <c r="K31" s="15" t="s">
        <v>404</v>
      </c>
      <c r="L31" s="15" t="s">
        <v>670</v>
      </c>
    </row>
    <row r="32" s="1" customFormat="1" spans="1:12">
      <c r="A32" s="33"/>
      <c r="B32" s="13" t="s">
        <v>1389</v>
      </c>
      <c r="C32" s="13" t="s">
        <v>307</v>
      </c>
      <c r="D32" s="10" t="s">
        <v>1390</v>
      </c>
      <c r="E32" s="25" t="s">
        <v>266</v>
      </c>
      <c r="F32" s="26"/>
      <c r="G32" s="26" t="s">
        <v>1391</v>
      </c>
      <c r="H32" s="27"/>
      <c r="I32" s="26"/>
      <c r="J32" s="15" t="s">
        <v>632</v>
      </c>
      <c r="K32" s="15" t="s">
        <v>294</v>
      </c>
      <c r="L32" s="15" t="s">
        <v>1385</v>
      </c>
    </row>
    <row r="33" s="1" customFormat="1" spans="1:12">
      <c r="A33" s="33"/>
      <c r="B33" s="13" t="s">
        <v>1392</v>
      </c>
      <c r="C33" s="13" t="s">
        <v>307</v>
      </c>
      <c r="D33" s="10" t="s">
        <v>1393</v>
      </c>
      <c r="E33" s="25" t="s">
        <v>266</v>
      </c>
      <c r="F33" s="26"/>
      <c r="G33" s="26" t="s">
        <v>1394</v>
      </c>
      <c r="H33" s="27"/>
      <c r="I33" s="26"/>
      <c r="J33" s="15" t="s">
        <v>632</v>
      </c>
      <c r="K33" s="15" t="s">
        <v>404</v>
      </c>
      <c r="L33" s="15" t="s">
        <v>670</v>
      </c>
    </row>
    <row r="34" s="1" customFormat="1" spans="1:12">
      <c r="A34" s="33"/>
      <c r="B34" s="13" t="s">
        <v>1395</v>
      </c>
      <c r="C34" s="13" t="s">
        <v>307</v>
      </c>
      <c r="D34" s="10" t="s">
        <v>1396</v>
      </c>
      <c r="E34" s="25" t="s">
        <v>266</v>
      </c>
      <c r="F34" s="26"/>
      <c r="G34" s="26" t="s">
        <v>1381</v>
      </c>
      <c r="H34" s="27"/>
      <c r="I34" s="26"/>
      <c r="J34" s="15" t="s">
        <v>632</v>
      </c>
      <c r="K34" s="15" t="s">
        <v>669</v>
      </c>
      <c r="L34" s="15" t="s">
        <v>670</v>
      </c>
    </row>
    <row r="35" s="1" customFormat="1" spans="1:12">
      <c r="A35" s="33"/>
      <c r="B35" s="13" t="s">
        <v>1397</v>
      </c>
      <c r="C35" s="13" t="s">
        <v>307</v>
      </c>
      <c r="D35" s="10" t="s">
        <v>1363</v>
      </c>
      <c r="E35" s="25" t="s">
        <v>266</v>
      </c>
      <c r="F35" s="26"/>
      <c r="G35" s="26" t="s">
        <v>934</v>
      </c>
      <c r="H35" s="27"/>
      <c r="I35" s="26"/>
      <c r="J35" s="15" t="s">
        <v>632</v>
      </c>
      <c r="K35" s="15" t="s">
        <v>294</v>
      </c>
      <c r="L35" s="15" t="s">
        <v>670</v>
      </c>
    </row>
    <row r="36" s="1" customFormat="1" spans="1:12">
      <c r="A36" s="33"/>
      <c r="B36" s="13" t="s">
        <v>1398</v>
      </c>
      <c r="C36" s="13" t="s">
        <v>307</v>
      </c>
      <c r="D36" s="10" t="s">
        <v>1399</v>
      </c>
      <c r="E36" s="25" t="s">
        <v>266</v>
      </c>
      <c r="F36" s="26"/>
      <c r="G36" s="26" t="s">
        <v>1366</v>
      </c>
      <c r="H36" s="27"/>
      <c r="I36" s="26"/>
      <c r="J36" s="15" t="s">
        <v>632</v>
      </c>
      <c r="K36" s="15" t="s">
        <v>1367</v>
      </c>
      <c r="L36" s="15" t="s">
        <v>670</v>
      </c>
    </row>
    <row r="37" s="1" customFormat="1" spans="1:12">
      <c r="A37" s="33"/>
      <c r="B37" s="13" t="s">
        <v>1400</v>
      </c>
      <c r="C37" s="13" t="s">
        <v>307</v>
      </c>
      <c r="D37" s="10" t="s">
        <v>1401</v>
      </c>
      <c r="E37" s="25" t="s">
        <v>266</v>
      </c>
      <c r="F37" s="26"/>
      <c r="G37" s="26" t="s">
        <v>1370</v>
      </c>
      <c r="H37" s="27"/>
      <c r="I37" s="26"/>
      <c r="J37" s="15" t="s">
        <v>632</v>
      </c>
      <c r="K37" s="15" t="s">
        <v>1367</v>
      </c>
      <c r="L37" s="15" t="s">
        <v>670</v>
      </c>
    </row>
    <row r="38" s="1" customFormat="1" spans="1:12">
      <c r="A38" s="33"/>
      <c r="B38" s="13" t="s">
        <v>1402</v>
      </c>
      <c r="C38" s="13" t="s">
        <v>307</v>
      </c>
      <c r="D38" s="10" t="s">
        <v>339</v>
      </c>
      <c r="E38" s="25" t="s">
        <v>266</v>
      </c>
      <c r="F38" s="26"/>
      <c r="G38" s="26" t="s">
        <v>1373</v>
      </c>
      <c r="H38" s="27"/>
      <c r="I38" s="26"/>
      <c r="J38" s="15" t="s">
        <v>632</v>
      </c>
      <c r="K38" s="15" t="s">
        <v>674</v>
      </c>
      <c r="L38" s="15" t="s">
        <v>633</v>
      </c>
    </row>
    <row r="39" s="1" customFormat="1" spans="1:12">
      <c r="A39" s="33"/>
      <c r="B39" s="13" t="s">
        <v>1403</v>
      </c>
      <c r="C39" s="13" t="s">
        <v>307</v>
      </c>
      <c r="D39" s="10" t="s">
        <v>1404</v>
      </c>
      <c r="E39" s="25" t="s">
        <v>266</v>
      </c>
      <c r="F39" s="26"/>
      <c r="G39" s="26" t="s">
        <v>1378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1405</v>
      </c>
      <c r="C40" s="13" t="s">
        <v>307</v>
      </c>
      <c r="D40" s="10" t="s">
        <v>1406</v>
      </c>
      <c r="E40" s="25" t="s">
        <v>266</v>
      </c>
      <c r="F40" s="26"/>
      <c r="G40" s="26" t="s">
        <v>1381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1407</v>
      </c>
      <c r="C41" s="13" t="s">
        <v>307</v>
      </c>
      <c r="D41" s="10" t="s">
        <v>1408</v>
      </c>
      <c r="E41" s="25" t="s">
        <v>266</v>
      </c>
      <c r="F41" s="26"/>
      <c r="G41" s="26" t="s">
        <v>1384</v>
      </c>
      <c r="H41" s="27"/>
      <c r="I41" s="26"/>
      <c r="J41" s="15" t="s">
        <v>632</v>
      </c>
      <c r="K41" s="15" t="s">
        <v>294</v>
      </c>
      <c r="L41" s="15" t="s">
        <v>1385</v>
      </c>
    </row>
    <row r="42" s="1" customFormat="1" spans="1:12">
      <c r="A42" s="33"/>
      <c r="B42" s="13" t="s">
        <v>1409</v>
      </c>
      <c r="C42" s="13" t="s">
        <v>307</v>
      </c>
      <c r="D42" s="10" t="s">
        <v>1410</v>
      </c>
      <c r="E42" s="25" t="s">
        <v>266</v>
      </c>
      <c r="F42" s="26"/>
      <c r="G42" s="26" t="s">
        <v>1388</v>
      </c>
      <c r="H42" s="27"/>
      <c r="I42" s="26"/>
      <c r="J42" s="15" t="s">
        <v>632</v>
      </c>
      <c r="K42" s="15" t="s">
        <v>644</v>
      </c>
      <c r="L42" s="15" t="s">
        <v>670</v>
      </c>
    </row>
    <row r="43" s="1" customFormat="1" spans="1:12">
      <c r="A43" s="33"/>
      <c r="B43" s="13" t="s">
        <v>1411</v>
      </c>
      <c r="C43" s="13" t="s">
        <v>307</v>
      </c>
      <c r="D43" s="10" t="s">
        <v>1412</v>
      </c>
      <c r="E43" s="25" t="s">
        <v>266</v>
      </c>
      <c r="F43" s="26"/>
      <c r="G43" s="26" t="s">
        <v>1391</v>
      </c>
      <c r="H43" s="27"/>
      <c r="I43" s="26"/>
      <c r="J43" s="15" t="s">
        <v>632</v>
      </c>
      <c r="K43" s="15" t="s">
        <v>294</v>
      </c>
      <c r="L43" s="15" t="s">
        <v>1385</v>
      </c>
    </row>
    <row r="44" s="1" customFormat="1" spans="1:12">
      <c r="A44" s="33"/>
      <c r="B44" s="13" t="s">
        <v>1413</v>
      </c>
      <c r="C44" s="13" t="s">
        <v>307</v>
      </c>
      <c r="D44" s="10" t="s">
        <v>1414</v>
      </c>
      <c r="E44" s="25" t="s">
        <v>266</v>
      </c>
      <c r="F44" s="26"/>
      <c r="G44" s="26" t="s">
        <v>1394</v>
      </c>
      <c r="H44" s="27"/>
      <c r="I44" s="26"/>
      <c r="J44" s="15" t="s">
        <v>632</v>
      </c>
      <c r="K44" s="15" t="s">
        <v>644</v>
      </c>
      <c r="L44" s="15" t="s">
        <v>670</v>
      </c>
    </row>
    <row r="45" s="1" customFormat="1" spans="1:12">
      <c r="A45" s="33"/>
      <c r="B45" s="13" t="s">
        <v>1415</v>
      </c>
      <c r="C45" s="13" t="s">
        <v>307</v>
      </c>
      <c r="D45" s="10" t="s">
        <v>1416</v>
      </c>
      <c r="E45" s="25" t="s">
        <v>266</v>
      </c>
      <c r="F45" s="26"/>
      <c r="G45" s="26" t="s">
        <v>1417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1418</v>
      </c>
      <c r="C46" s="13" t="s">
        <v>307</v>
      </c>
      <c r="D46" s="10" t="s">
        <v>1419</v>
      </c>
      <c r="E46" s="25" t="s">
        <v>266</v>
      </c>
      <c r="F46" s="26"/>
      <c r="G46" s="26" t="s">
        <v>933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1420</v>
      </c>
      <c r="C47" s="13" t="s">
        <v>307</v>
      </c>
      <c r="D47" s="10" t="s">
        <v>1421</v>
      </c>
      <c r="E47" s="25" t="s">
        <v>266</v>
      </c>
      <c r="F47" s="26"/>
      <c r="G47" s="26" t="s">
        <v>1422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1294</v>
      </c>
      <c r="C48" s="13" t="s">
        <v>338</v>
      </c>
      <c r="D48" s="10" t="s">
        <v>891</v>
      </c>
      <c r="E48" s="25" t="s">
        <v>266</v>
      </c>
      <c r="F48" s="26"/>
      <c r="G48" s="26" t="s">
        <v>1423</v>
      </c>
      <c r="H48" s="27"/>
      <c r="I48" s="26"/>
      <c r="J48" s="15" t="s">
        <v>632</v>
      </c>
      <c r="K48" s="15" t="s">
        <v>404</v>
      </c>
      <c r="L48" s="15" t="s">
        <v>633</v>
      </c>
    </row>
    <row r="49" s="1" customFormat="1" spans="1:12">
      <c r="A49" s="33"/>
      <c r="B49" s="13" t="s">
        <v>1295</v>
      </c>
      <c r="C49" s="13" t="s">
        <v>338</v>
      </c>
      <c r="D49" s="10" t="s">
        <v>894</v>
      </c>
      <c r="E49" s="25" t="s">
        <v>266</v>
      </c>
      <c r="F49" s="26"/>
      <c r="G49" s="26" t="s">
        <v>1424</v>
      </c>
      <c r="H49" s="27"/>
      <c r="I49" s="26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1296</v>
      </c>
      <c r="C50" s="13" t="s">
        <v>338</v>
      </c>
      <c r="D50" s="10" t="s">
        <v>897</v>
      </c>
      <c r="E50" s="25" t="s">
        <v>266</v>
      </c>
      <c r="F50" s="26"/>
      <c r="G50" s="26" t="s">
        <v>1425</v>
      </c>
      <c r="H50" s="27"/>
      <c r="I50" s="26"/>
      <c r="J50" s="15" t="s">
        <v>632</v>
      </c>
      <c r="K50" s="15" t="s">
        <v>404</v>
      </c>
      <c r="L50" s="15" t="s">
        <v>633</v>
      </c>
    </row>
    <row r="51" s="1" customFormat="1" spans="1:12">
      <c r="A51" s="33"/>
      <c r="B51" s="13" t="s">
        <v>1297</v>
      </c>
      <c r="C51" s="13" t="s">
        <v>338</v>
      </c>
      <c r="D51" s="10" t="s">
        <v>909</v>
      </c>
      <c r="E51" s="25" t="s">
        <v>266</v>
      </c>
      <c r="F51" s="26"/>
      <c r="G51" s="26" t="s">
        <v>1426</v>
      </c>
      <c r="H51" s="27"/>
      <c r="I51" s="26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1298</v>
      </c>
      <c r="C52" s="13" t="s">
        <v>338</v>
      </c>
      <c r="D52" s="10" t="s">
        <v>912</v>
      </c>
      <c r="E52" s="25" t="s">
        <v>266</v>
      </c>
      <c r="F52" s="26"/>
      <c r="G52" s="26" t="s">
        <v>1427</v>
      </c>
      <c r="H52" s="27"/>
      <c r="I52" s="26"/>
      <c r="J52" s="15" t="s">
        <v>632</v>
      </c>
      <c r="K52" s="15" t="s">
        <v>404</v>
      </c>
      <c r="L52" s="15" t="s">
        <v>633</v>
      </c>
    </row>
    <row r="53" s="1" customFormat="1" spans="1:12">
      <c r="A53" s="33"/>
      <c r="B53" s="13" t="s">
        <v>1299</v>
      </c>
      <c r="C53" s="13" t="s">
        <v>338</v>
      </c>
      <c r="D53" s="10" t="s">
        <v>915</v>
      </c>
      <c r="E53" s="25" t="s">
        <v>266</v>
      </c>
      <c r="F53" s="26"/>
      <c r="G53" s="26" t="s">
        <v>1428</v>
      </c>
      <c r="H53" s="27"/>
      <c r="I53" s="26"/>
      <c r="J53" s="15" t="s">
        <v>632</v>
      </c>
      <c r="K53" s="15" t="s">
        <v>404</v>
      </c>
      <c r="L53" s="15" t="s">
        <v>633</v>
      </c>
    </row>
    <row r="54" spans="2:12">
      <c r="B54" s="17" t="s">
        <v>594</v>
      </c>
      <c r="C54" s="18" t="s">
        <v>307</v>
      </c>
      <c r="D54" s="19" t="s">
        <v>595</v>
      </c>
      <c r="E54" s="28"/>
      <c r="F54" s="28"/>
      <c r="G54" s="28"/>
      <c r="H54" s="17"/>
      <c r="I54" s="17"/>
      <c r="J54" s="17"/>
      <c r="K54" s="17"/>
      <c r="L54" s="17"/>
    </row>
    <row r="55" spans="2:12">
      <c r="B55" s="17" t="s">
        <v>596</v>
      </c>
      <c r="C55" s="18" t="s">
        <v>291</v>
      </c>
      <c r="D55" s="19" t="s">
        <v>597</v>
      </c>
      <c r="E55" s="28"/>
      <c r="F55" s="28"/>
      <c r="G55" s="28"/>
      <c r="H55" s="17" t="s">
        <v>932</v>
      </c>
      <c r="I55" s="17"/>
      <c r="J55" s="17"/>
      <c r="K55" s="17"/>
      <c r="L55" s="17"/>
    </row>
  </sheetData>
  <autoFilter xmlns:etc="http://www.wps.cn/officeDocument/2017/etCustomData" ref="A13:Q5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133</v>
      </c>
      <c r="D5" s="14" t="s">
        <v>134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92</v>
      </c>
      <c r="D9" s="14" t="s">
        <v>93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596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1033</v>
      </c>
      <c r="C15" s="32" t="s">
        <v>338</v>
      </c>
      <c r="D15" s="10" t="s">
        <v>377</v>
      </c>
      <c r="E15" s="25" t="s">
        <v>266</v>
      </c>
      <c r="F15" s="26" t="s">
        <v>1035</v>
      </c>
      <c r="G15" s="26" t="s">
        <v>1035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1036</v>
      </c>
      <c r="C16" s="32" t="s">
        <v>338</v>
      </c>
      <c r="D16" s="10" t="s">
        <v>1037</v>
      </c>
      <c r="E16" s="25" t="s">
        <v>266</v>
      </c>
      <c r="F16" s="26" t="s">
        <v>1038</v>
      </c>
      <c r="G16" s="26" t="s">
        <v>1038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1354</v>
      </c>
      <c r="C17" s="32" t="s">
        <v>385</v>
      </c>
      <c r="D17" s="10" t="s">
        <v>1429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58">
        <v>6</v>
      </c>
    </row>
    <row r="18" s="1" customFormat="1" spans="1:12">
      <c r="A18" s="33"/>
      <c r="B18" s="13" t="s">
        <v>522</v>
      </c>
      <c r="C18" s="32" t="s">
        <v>307</v>
      </c>
      <c r="D18" s="10" t="s">
        <v>523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524</v>
      </c>
      <c r="C19" s="32" t="s">
        <v>307</v>
      </c>
      <c r="D19" s="10" t="s">
        <v>1430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1356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1431</v>
      </c>
      <c r="C21" s="13" t="s">
        <v>307</v>
      </c>
      <c r="D21" s="10" t="s">
        <v>1432</v>
      </c>
      <c r="E21" s="25" t="s">
        <v>266</v>
      </c>
      <c r="F21" s="10"/>
      <c r="G21" s="26" t="s">
        <v>1360</v>
      </c>
      <c r="H21" s="37"/>
      <c r="I21" s="53"/>
      <c r="J21" s="15" t="s">
        <v>632</v>
      </c>
      <c r="K21" s="15" t="s">
        <v>294</v>
      </c>
      <c r="L21" s="15" t="s">
        <v>1361</v>
      </c>
    </row>
    <row r="22" s="1" customFormat="1" spans="2:12">
      <c r="B22" s="13" t="s">
        <v>1362</v>
      </c>
      <c r="C22" s="13" t="s">
        <v>307</v>
      </c>
      <c r="D22" s="10" t="s">
        <v>1363</v>
      </c>
      <c r="E22" s="25" t="s">
        <v>266</v>
      </c>
      <c r="F22" s="10"/>
      <c r="G22" s="26" t="s">
        <v>934</v>
      </c>
      <c r="H22" s="37"/>
      <c r="I22" s="53"/>
      <c r="J22" s="15" t="s">
        <v>632</v>
      </c>
      <c r="K22" s="15" t="s">
        <v>294</v>
      </c>
      <c r="L22" s="15" t="s">
        <v>670</v>
      </c>
    </row>
    <row r="23" s="1" customFormat="1" spans="1:12">
      <c r="A23" s="33"/>
      <c r="B23" s="13" t="s">
        <v>1364</v>
      </c>
      <c r="C23" s="13" t="s">
        <v>307</v>
      </c>
      <c r="D23" s="10" t="s">
        <v>1365</v>
      </c>
      <c r="E23" s="25" t="s">
        <v>266</v>
      </c>
      <c r="F23" s="26"/>
      <c r="G23" s="26" t="s">
        <v>1366</v>
      </c>
      <c r="H23" s="27"/>
      <c r="I23" s="26"/>
      <c r="J23" s="15" t="s">
        <v>632</v>
      </c>
      <c r="K23" s="15" t="s">
        <v>1367</v>
      </c>
      <c r="L23" s="15" t="s">
        <v>670</v>
      </c>
    </row>
    <row r="24" s="1" customFormat="1" spans="1:12">
      <c r="A24" s="33"/>
      <c r="B24" s="13" t="s">
        <v>1368</v>
      </c>
      <c r="C24" s="13" t="s">
        <v>307</v>
      </c>
      <c r="D24" s="10" t="s">
        <v>1369</v>
      </c>
      <c r="E24" s="25" t="s">
        <v>266</v>
      </c>
      <c r="F24" s="26"/>
      <c r="G24" s="26" t="s">
        <v>1370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1371</v>
      </c>
      <c r="C25" s="13" t="s">
        <v>338</v>
      </c>
      <c r="D25" s="10" t="s">
        <v>1372</v>
      </c>
      <c r="E25" s="25" t="s">
        <v>266</v>
      </c>
      <c r="F25" s="26"/>
      <c r="G25" s="26" t="s">
        <v>1373</v>
      </c>
      <c r="H25" s="27"/>
      <c r="I25" s="26"/>
      <c r="J25" s="15" t="s">
        <v>632</v>
      </c>
      <c r="K25" s="15" t="s">
        <v>674</v>
      </c>
      <c r="L25" s="15" t="s">
        <v>633</v>
      </c>
    </row>
    <row r="26" s="1" customFormat="1" spans="1:12">
      <c r="A26" s="33"/>
      <c r="B26" s="13" t="s">
        <v>1374</v>
      </c>
      <c r="C26" s="13" t="s">
        <v>338</v>
      </c>
      <c r="D26" s="10" t="s">
        <v>1375</v>
      </c>
      <c r="E26" s="25" t="s">
        <v>266</v>
      </c>
      <c r="F26" s="26"/>
      <c r="G26" s="26" t="s">
        <v>1373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32" t="s">
        <v>337</v>
      </c>
      <c r="C27" s="32" t="s">
        <v>307</v>
      </c>
      <c r="D27" s="10" t="s">
        <v>1433</v>
      </c>
      <c r="E27" s="25" t="s">
        <v>266</v>
      </c>
      <c r="F27" s="26"/>
      <c r="G27" s="26" t="s">
        <v>1373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1376</v>
      </c>
      <c r="C28" s="13" t="s">
        <v>307</v>
      </c>
      <c r="D28" s="10" t="s">
        <v>1377</v>
      </c>
      <c r="E28" s="25" t="s">
        <v>266</v>
      </c>
      <c r="F28" s="26"/>
      <c r="G28" s="26" t="s">
        <v>1378</v>
      </c>
      <c r="H28" s="27"/>
      <c r="I28" s="26"/>
      <c r="J28" s="15" t="s">
        <v>632</v>
      </c>
      <c r="K28" s="15" t="s">
        <v>669</v>
      </c>
      <c r="L28" s="15" t="s">
        <v>670</v>
      </c>
    </row>
    <row r="29" s="1" customFormat="1" spans="1:12">
      <c r="A29" s="33"/>
      <c r="B29" s="13" t="s">
        <v>1379</v>
      </c>
      <c r="C29" s="13" t="s">
        <v>307</v>
      </c>
      <c r="D29" s="10" t="s">
        <v>1380</v>
      </c>
      <c r="E29" s="25" t="s">
        <v>266</v>
      </c>
      <c r="F29" s="26"/>
      <c r="G29" s="26" t="s">
        <v>1381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1434</v>
      </c>
      <c r="C30" s="13" t="s">
        <v>307</v>
      </c>
      <c r="D30" s="10" t="s">
        <v>1435</v>
      </c>
      <c r="E30" s="25" t="s">
        <v>266</v>
      </c>
      <c r="F30" s="26"/>
      <c r="G30" s="26" t="s">
        <v>1384</v>
      </c>
      <c r="H30" s="27"/>
      <c r="I30" s="26"/>
      <c r="J30" s="15" t="s">
        <v>632</v>
      </c>
      <c r="K30" s="15" t="s">
        <v>294</v>
      </c>
      <c r="L30" s="15" t="s">
        <v>1385</v>
      </c>
    </row>
    <row r="31" s="1" customFormat="1" spans="1:12">
      <c r="A31" s="33"/>
      <c r="B31" s="13" t="s">
        <v>1436</v>
      </c>
      <c r="C31" s="13" t="s">
        <v>307</v>
      </c>
      <c r="D31" s="10" t="s">
        <v>1437</v>
      </c>
      <c r="E31" s="25" t="s">
        <v>266</v>
      </c>
      <c r="F31" s="26"/>
      <c r="G31" s="26" t="s">
        <v>1394</v>
      </c>
      <c r="H31" s="27"/>
      <c r="I31" s="26"/>
      <c r="J31" s="15" t="s">
        <v>632</v>
      </c>
      <c r="K31" s="15" t="s">
        <v>404</v>
      </c>
      <c r="L31" s="15" t="s">
        <v>670</v>
      </c>
    </row>
    <row r="32" s="1" customFormat="1" spans="1:12">
      <c r="A32" s="33"/>
      <c r="B32" s="13" t="s">
        <v>1438</v>
      </c>
      <c r="C32" s="13" t="s">
        <v>307</v>
      </c>
      <c r="D32" s="10" t="s">
        <v>1439</v>
      </c>
      <c r="E32" s="25" t="s">
        <v>266</v>
      </c>
      <c r="F32" s="26"/>
      <c r="G32" s="26" t="s">
        <v>1384</v>
      </c>
      <c r="H32" s="27"/>
      <c r="I32" s="26"/>
      <c r="J32" s="15" t="s">
        <v>632</v>
      </c>
      <c r="K32" s="15" t="s">
        <v>294</v>
      </c>
      <c r="L32" s="15" t="s">
        <v>1385</v>
      </c>
    </row>
    <row r="33" s="1" customFormat="1" spans="1:12">
      <c r="A33" s="33"/>
      <c r="B33" s="13" t="s">
        <v>1440</v>
      </c>
      <c r="C33" s="13" t="s">
        <v>307</v>
      </c>
      <c r="D33" s="10" t="s">
        <v>1441</v>
      </c>
      <c r="E33" s="25" t="s">
        <v>266</v>
      </c>
      <c r="F33" s="26"/>
      <c r="G33" s="26" t="s">
        <v>1394</v>
      </c>
      <c r="H33" s="27"/>
      <c r="I33" s="26"/>
      <c r="J33" s="15" t="s">
        <v>632</v>
      </c>
      <c r="K33" s="15" t="s">
        <v>404</v>
      </c>
      <c r="L33" s="15" t="s">
        <v>670</v>
      </c>
    </row>
    <row r="34" s="1" customFormat="1" spans="1:12">
      <c r="A34" s="33"/>
      <c r="B34" s="13" t="s">
        <v>1442</v>
      </c>
      <c r="C34" s="13" t="s">
        <v>307</v>
      </c>
      <c r="D34" s="10" t="s">
        <v>1419</v>
      </c>
      <c r="E34" s="25" t="s">
        <v>266</v>
      </c>
      <c r="F34" s="26"/>
      <c r="G34" s="26" t="s">
        <v>933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1420</v>
      </c>
      <c r="C35" s="13" t="s">
        <v>307</v>
      </c>
      <c r="D35" s="10" t="s">
        <v>1421</v>
      </c>
      <c r="E35" s="25" t="s">
        <v>266</v>
      </c>
      <c r="F35" s="26"/>
      <c r="G35" s="26" t="s">
        <v>1422</v>
      </c>
      <c r="H35" s="2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1443</v>
      </c>
      <c r="C36" s="13" t="s">
        <v>338</v>
      </c>
      <c r="D36" s="10" t="s">
        <v>1444</v>
      </c>
      <c r="E36" s="25" t="s">
        <v>266</v>
      </c>
      <c r="F36" s="26"/>
      <c r="G36" s="26" t="s">
        <v>1445</v>
      </c>
      <c r="H36" s="2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1446</v>
      </c>
      <c r="C37" s="13" t="s">
        <v>338</v>
      </c>
      <c r="D37" s="10" t="s">
        <v>1447</v>
      </c>
      <c r="E37" s="25" t="s">
        <v>266</v>
      </c>
      <c r="F37" s="26"/>
      <c r="G37" s="26" t="s">
        <v>1448</v>
      </c>
      <c r="H37" s="2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1449</v>
      </c>
      <c r="C38" s="13" t="s">
        <v>338</v>
      </c>
      <c r="D38" s="10" t="s">
        <v>1450</v>
      </c>
      <c r="E38" s="25" t="s">
        <v>266</v>
      </c>
      <c r="F38" s="26"/>
      <c r="G38" s="26" t="s">
        <v>1451</v>
      </c>
      <c r="H38" s="27"/>
      <c r="I38" s="26"/>
      <c r="J38" s="15" t="s">
        <v>632</v>
      </c>
      <c r="K38" s="15" t="s">
        <v>294</v>
      </c>
      <c r="L38" s="58">
        <v>0</v>
      </c>
    </row>
    <row r="39" spans="2:12">
      <c r="B39" s="17" t="s">
        <v>594</v>
      </c>
      <c r="C39" s="18" t="s">
        <v>307</v>
      </c>
      <c r="D39" s="19" t="s">
        <v>595</v>
      </c>
      <c r="E39" s="28"/>
      <c r="F39" s="28"/>
      <c r="G39" s="28" t="s">
        <v>932</v>
      </c>
      <c r="H39" s="17"/>
      <c r="I39" s="17"/>
      <c r="J39" s="17"/>
      <c r="K39" s="17"/>
      <c r="L39" s="17"/>
    </row>
    <row r="40" spans="2:12">
      <c r="B40" s="17" t="s">
        <v>594</v>
      </c>
      <c r="C40" s="18" t="s">
        <v>291</v>
      </c>
      <c r="D40" s="19" t="s">
        <v>597</v>
      </c>
      <c r="E40" s="28"/>
      <c r="F40" s="28"/>
      <c r="G40" s="28" t="s">
        <v>932</v>
      </c>
      <c r="H40" s="17" t="s">
        <v>932</v>
      </c>
      <c r="I40" s="17"/>
      <c r="J40" s="17"/>
      <c r="K40" s="17"/>
      <c r="L40" s="17"/>
    </row>
  </sheetData>
  <autoFilter xmlns:etc="http://www.wps.cn/officeDocument/2017/etCustomData" ref="A13:Q4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136</v>
      </c>
      <c r="D5" s="14" t="s">
        <v>137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103</v>
      </c>
      <c r="D9" s="14" t="s">
        <v>104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1033</v>
      </c>
      <c r="C15" s="32" t="s">
        <v>338</v>
      </c>
      <c r="D15" s="10" t="s">
        <v>377</v>
      </c>
      <c r="E15" s="25" t="s">
        <v>266</v>
      </c>
      <c r="F15" s="26" t="s">
        <v>1035</v>
      </c>
      <c r="G15" s="26" t="s">
        <v>1035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1036</v>
      </c>
      <c r="C16" s="32" t="s">
        <v>338</v>
      </c>
      <c r="D16" s="10" t="s">
        <v>1037</v>
      </c>
      <c r="E16" s="25" t="s">
        <v>266</v>
      </c>
      <c r="F16" s="26" t="s">
        <v>1038</v>
      </c>
      <c r="G16" s="26" t="s">
        <v>1038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1354</v>
      </c>
      <c r="C17" s="32" t="s">
        <v>385</v>
      </c>
      <c r="D17" s="10" t="s">
        <v>1429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522</v>
      </c>
      <c r="C18" s="32" t="s">
        <v>307</v>
      </c>
      <c r="D18" s="10" t="s">
        <v>523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524</v>
      </c>
      <c r="C19" s="32" t="s">
        <v>307</v>
      </c>
      <c r="D19" s="10" t="s">
        <v>1430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1356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1452</v>
      </c>
      <c r="C21" s="13" t="s">
        <v>307</v>
      </c>
      <c r="D21" s="10" t="s">
        <v>1453</v>
      </c>
      <c r="E21" s="25" t="s">
        <v>266</v>
      </c>
      <c r="F21" s="10"/>
      <c r="G21" s="26" t="s">
        <v>1360</v>
      </c>
      <c r="H21" s="37"/>
      <c r="I21" s="53"/>
      <c r="J21" s="15" t="s">
        <v>632</v>
      </c>
      <c r="K21" s="15" t="s">
        <v>294</v>
      </c>
      <c r="L21" s="15" t="s">
        <v>1361</v>
      </c>
    </row>
    <row r="22" s="1" customFormat="1" spans="1:12">
      <c r="A22" s="33"/>
      <c r="B22" s="13" t="s">
        <v>1454</v>
      </c>
      <c r="C22" s="13" t="s">
        <v>338</v>
      </c>
      <c r="D22" s="10" t="s">
        <v>1455</v>
      </c>
      <c r="E22" s="25" t="s">
        <v>266</v>
      </c>
      <c r="F22" s="26"/>
      <c r="G22" s="26" t="s">
        <v>934</v>
      </c>
      <c r="H22" s="27"/>
      <c r="I22" s="26"/>
      <c r="J22" s="15" t="s">
        <v>632</v>
      </c>
      <c r="K22" s="15" t="s">
        <v>294</v>
      </c>
      <c r="L22" s="15" t="s">
        <v>670</v>
      </c>
    </row>
    <row r="23" s="1" customFormat="1" spans="1:12">
      <c r="A23" s="33"/>
      <c r="B23" s="13" t="s">
        <v>1456</v>
      </c>
      <c r="C23" s="13" t="s">
        <v>338</v>
      </c>
      <c r="D23" s="10" t="s">
        <v>1457</v>
      </c>
      <c r="E23" s="25" t="s">
        <v>266</v>
      </c>
      <c r="F23" s="26"/>
      <c r="G23" s="26" t="s">
        <v>1116</v>
      </c>
      <c r="H23" s="27"/>
      <c r="I23" s="26"/>
      <c r="J23" s="15" t="s">
        <v>632</v>
      </c>
      <c r="K23" s="15" t="s">
        <v>404</v>
      </c>
      <c r="L23" s="15" t="s">
        <v>670</v>
      </c>
    </row>
    <row r="24" s="1" customFormat="1" spans="1:12">
      <c r="A24" s="33"/>
      <c r="B24" s="13" t="s">
        <v>1364</v>
      </c>
      <c r="C24" s="13" t="s">
        <v>307</v>
      </c>
      <c r="D24" s="10" t="s">
        <v>1365</v>
      </c>
      <c r="E24" s="25" t="s">
        <v>266</v>
      </c>
      <c r="F24" s="26"/>
      <c r="G24" s="26" t="s">
        <v>1366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1368</v>
      </c>
      <c r="C25" s="13" t="s">
        <v>307</v>
      </c>
      <c r="D25" s="10" t="s">
        <v>1369</v>
      </c>
      <c r="E25" s="25" t="s">
        <v>266</v>
      </c>
      <c r="F25" s="26"/>
      <c r="G25" s="26" t="s">
        <v>1370</v>
      </c>
      <c r="H25" s="27"/>
      <c r="I25" s="26"/>
      <c r="J25" s="15" t="s">
        <v>632</v>
      </c>
      <c r="K25" s="15" t="s">
        <v>1367</v>
      </c>
      <c r="L25" s="15" t="s">
        <v>670</v>
      </c>
    </row>
    <row r="26" s="1" customFormat="1" spans="1:12">
      <c r="A26" s="33"/>
      <c r="B26" s="32" t="s">
        <v>1371</v>
      </c>
      <c r="C26" s="32" t="s">
        <v>338</v>
      </c>
      <c r="D26" s="10" t="s">
        <v>1372</v>
      </c>
      <c r="E26" s="25" t="s">
        <v>266</v>
      </c>
      <c r="F26" s="26"/>
      <c r="G26" s="26" t="s">
        <v>1373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1374</v>
      </c>
      <c r="C27" s="13" t="s">
        <v>338</v>
      </c>
      <c r="D27" s="10" t="s">
        <v>1375</v>
      </c>
      <c r="E27" s="25" t="s">
        <v>266</v>
      </c>
      <c r="F27" s="26"/>
      <c r="G27" s="26" t="s">
        <v>1373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337</v>
      </c>
      <c r="C28" s="13" t="s">
        <v>307</v>
      </c>
      <c r="D28" s="10" t="s">
        <v>1433</v>
      </c>
      <c r="E28" s="25" t="s">
        <v>266</v>
      </c>
      <c r="F28" s="26"/>
      <c r="G28" s="26" t="s">
        <v>1373</v>
      </c>
      <c r="H28" s="27"/>
      <c r="I28" s="26"/>
      <c r="J28" s="15" t="s">
        <v>632</v>
      </c>
      <c r="K28" s="15" t="s">
        <v>674</v>
      </c>
      <c r="L28" s="15" t="s">
        <v>633</v>
      </c>
    </row>
    <row r="29" s="1" customFormat="1" spans="1:12">
      <c r="A29" s="33"/>
      <c r="B29" s="13" t="s">
        <v>1376</v>
      </c>
      <c r="C29" s="13" t="s">
        <v>307</v>
      </c>
      <c r="D29" s="10" t="s">
        <v>1377</v>
      </c>
      <c r="E29" s="25" t="s">
        <v>266</v>
      </c>
      <c r="F29" s="26"/>
      <c r="G29" s="26" t="s">
        <v>1378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1379</v>
      </c>
      <c r="C30" s="13" t="s">
        <v>307</v>
      </c>
      <c r="D30" s="10" t="s">
        <v>1380</v>
      </c>
      <c r="E30" s="25" t="s">
        <v>266</v>
      </c>
      <c r="F30" s="26"/>
      <c r="G30" s="26" t="s">
        <v>1381</v>
      </c>
      <c r="H30" s="27"/>
      <c r="I30" s="26"/>
      <c r="J30" s="15" t="s">
        <v>632</v>
      </c>
      <c r="K30" s="15" t="s">
        <v>669</v>
      </c>
      <c r="L30" s="15" t="s">
        <v>670</v>
      </c>
    </row>
    <row r="31" s="1" customFormat="1" spans="1:12">
      <c r="A31" s="33"/>
      <c r="B31" s="13" t="s">
        <v>1458</v>
      </c>
      <c r="C31" s="13" t="s">
        <v>338</v>
      </c>
      <c r="D31" s="10" t="s">
        <v>1459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1420</v>
      </c>
      <c r="C32" s="13" t="s">
        <v>307</v>
      </c>
      <c r="D32" s="10" t="s">
        <v>1421</v>
      </c>
      <c r="E32" s="25" t="s">
        <v>266</v>
      </c>
      <c r="F32" s="26"/>
      <c r="G32" s="26" t="s">
        <v>1422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1302</v>
      </c>
      <c r="C33" s="13" t="s">
        <v>338</v>
      </c>
      <c r="D33" s="10" t="s">
        <v>918</v>
      </c>
      <c r="E33" s="25" t="s">
        <v>266</v>
      </c>
      <c r="F33" s="26"/>
      <c r="G33" s="26" t="s">
        <v>1023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1303</v>
      </c>
      <c r="C34" s="13" t="s">
        <v>338</v>
      </c>
      <c r="D34" s="10" t="s">
        <v>921</v>
      </c>
      <c r="E34" s="25" t="s">
        <v>266</v>
      </c>
      <c r="F34" s="26"/>
      <c r="G34" s="26" t="s">
        <v>1024</v>
      </c>
      <c r="H34" s="2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1304</v>
      </c>
      <c r="C35" s="13" t="s">
        <v>338</v>
      </c>
      <c r="D35" s="10" t="s">
        <v>924</v>
      </c>
      <c r="E35" s="25" t="s">
        <v>266</v>
      </c>
      <c r="F35" s="26"/>
      <c r="G35" s="26" t="s">
        <v>1025</v>
      </c>
      <c r="H35" s="27"/>
      <c r="I35" s="26"/>
      <c r="J35" s="15" t="s">
        <v>632</v>
      </c>
      <c r="K35" s="15" t="s">
        <v>294</v>
      </c>
      <c r="L35" s="15" t="s">
        <v>633</v>
      </c>
    </row>
    <row r="36" spans="2:12">
      <c r="B36" s="17" t="s">
        <v>594</v>
      </c>
      <c r="C36" s="18" t="s">
        <v>307</v>
      </c>
      <c r="D36" s="19" t="s">
        <v>595</v>
      </c>
      <c r="E36" s="28"/>
      <c r="F36" s="28"/>
      <c r="G36" s="28" t="s">
        <v>932</v>
      </c>
      <c r="H36" s="17"/>
      <c r="I36" s="17"/>
      <c r="J36" s="17"/>
      <c r="K36" s="17"/>
      <c r="L36" s="17"/>
    </row>
    <row r="37" spans="2:12">
      <c r="B37" s="17" t="s">
        <v>596</v>
      </c>
      <c r="C37" s="18" t="s">
        <v>291</v>
      </c>
      <c r="D37" s="19" t="s">
        <v>597</v>
      </c>
      <c r="E37" s="28"/>
      <c r="F37" s="28"/>
      <c r="G37" s="28" t="s">
        <v>932</v>
      </c>
      <c r="H37" s="17" t="s">
        <v>932</v>
      </c>
      <c r="I37" s="17"/>
      <c r="J37" s="17"/>
      <c r="K37" s="17"/>
      <c r="L37" s="17"/>
    </row>
  </sheetData>
  <autoFilter xmlns:etc="http://www.wps.cn/officeDocument/2017/etCustomData" ref="A13:Q3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139</v>
      </c>
      <c r="D5" s="14" t="s">
        <v>140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1" t="s">
        <v>113</v>
      </c>
      <c r="D9" s="11" t="s">
        <v>114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295</v>
      </c>
      <c r="C15" s="32" t="s">
        <v>291</v>
      </c>
      <c r="D15" s="10" t="s">
        <v>296</v>
      </c>
      <c r="E15" s="25" t="s">
        <v>266</v>
      </c>
      <c r="F15" s="26" t="s">
        <v>295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297</v>
      </c>
      <c r="C16" s="32" t="s">
        <v>291</v>
      </c>
      <c r="D16" s="10" t="s">
        <v>298</v>
      </c>
      <c r="E16" s="25" t="s">
        <v>266</v>
      </c>
      <c r="F16" s="10" t="s">
        <v>297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1460</v>
      </c>
      <c r="C17" s="32" t="s">
        <v>338</v>
      </c>
      <c r="D17" s="10" t="s">
        <v>1461</v>
      </c>
      <c r="E17" s="25" t="s">
        <v>266</v>
      </c>
      <c r="F17" s="26" t="s">
        <v>1462</v>
      </c>
      <c r="G17" s="26" t="s">
        <v>1462</v>
      </c>
      <c r="H17" s="37"/>
      <c r="I17" s="30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1354</v>
      </c>
      <c r="C18" s="32" t="s">
        <v>385</v>
      </c>
      <c r="D18" s="10" t="s">
        <v>328</v>
      </c>
      <c r="E18" s="25" t="s">
        <v>266</v>
      </c>
      <c r="F18" s="26" t="s">
        <v>327</v>
      </c>
      <c r="G18" s="26" t="s">
        <v>293</v>
      </c>
      <c r="H18" s="37"/>
      <c r="I18" s="30"/>
      <c r="J18" s="15" t="s">
        <v>604</v>
      </c>
      <c r="K18" s="15" t="s">
        <v>294</v>
      </c>
      <c r="L18" s="58">
        <v>6</v>
      </c>
    </row>
    <row r="19" s="1" customFormat="1" spans="1:12">
      <c r="A19" s="33"/>
      <c r="B19" s="13" t="s">
        <v>522</v>
      </c>
      <c r="C19" s="32" t="s">
        <v>307</v>
      </c>
      <c r="D19" s="10" t="s">
        <v>26</v>
      </c>
      <c r="E19" s="25" t="s">
        <v>266</v>
      </c>
      <c r="F19" s="26" t="s">
        <v>594</v>
      </c>
      <c r="G19" s="26"/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524</v>
      </c>
      <c r="C20" s="32" t="s">
        <v>307</v>
      </c>
      <c r="D20" s="10" t="s">
        <v>1355</v>
      </c>
      <c r="E20" s="25" t="s">
        <v>266</v>
      </c>
      <c r="F20" s="10" t="s">
        <v>517</v>
      </c>
      <c r="G20" s="26"/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1356</v>
      </c>
      <c r="C21" s="13" t="s">
        <v>307</v>
      </c>
      <c r="D21" s="10" t="s">
        <v>1357</v>
      </c>
      <c r="E21" s="25" t="s">
        <v>266</v>
      </c>
      <c r="F21" s="10" t="s">
        <v>520</v>
      </c>
      <c r="G21" s="26"/>
      <c r="H21" s="37"/>
      <c r="I21" s="53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1358</v>
      </c>
      <c r="C22" s="13" t="s">
        <v>307</v>
      </c>
      <c r="D22" s="10" t="s">
        <v>1359</v>
      </c>
      <c r="E22" s="25" t="s">
        <v>266</v>
      </c>
      <c r="F22" s="26"/>
      <c r="G22" s="26" t="s">
        <v>1360</v>
      </c>
      <c r="H22" s="27"/>
      <c r="I22" s="26"/>
      <c r="J22" s="15" t="s">
        <v>632</v>
      </c>
      <c r="K22" s="15" t="s">
        <v>294</v>
      </c>
      <c r="L22" s="15" t="s">
        <v>1361</v>
      </c>
    </row>
    <row r="23" s="1" customFormat="1" spans="1:12">
      <c r="A23" s="33"/>
      <c r="B23" s="13" t="s">
        <v>1362</v>
      </c>
      <c r="C23" s="13" t="s">
        <v>307</v>
      </c>
      <c r="D23" s="10" t="s">
        <v>1363</v>
      </c>
      <c r="E23" s="25" t="s">
        <v>266</v>
      </c>
      <c r="F23" s="26"/>
      <c r="G23" s="26" t="s">
        <v>934</v>
      </c>
      <c r="H23" s="27"/>
      <c r="I23" s="26"/>
      <c r="J23" s="15" t="s">
        <v>632</v>
      </c>
      <c r="K23" s="15" t="s">
        <v>294</v>
      </c>
      <c r="L23" s="15" t="s">
        <v>670</v>
      </c>
    </row>
    <row r="24" s="1" customFormat="1" spans="1:12">
      <c r="A24" s="33"/>
      <c r="B24" s="13" t="s">
        <v>1364</v>
      </c>
      <c r="C24" s="13" t="s">
        <v>307</v>
      </c>
      <c r="D24" s="10" t="s">
        <v>1365</v>
      </c>
      <c r="E24" s="25" t="s">
        <v>266</v>
      </c>
      <c r="F24" s="26"/>
      <c r="G24" s="26" t="s">
        <v>1366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1368</v>
      </c>
      <c r="C25" s="13" t="s">
        <v>307</v>
      </c>
      <c r="D25" s="10" t="s">
        <v>1369</v>
      </c>
      <c r="E25" s="25" t="s">
        <v>266</v>
      </c>
      <c r="F25" s="26"/>
      <c r="G25" s="26" t="s">
        <v>1370</v>
      </c>
      <c r="H25" s="27"/>
      <c r="I25" s="26"/>
      <c r="J25" s="15" t="s">
        <v>632</v>
      </c>
      <c r="K25" s="15" t="s">
        <v>1367</v>
      </c>
      <c r="L25" s="15" t="s">
        <v>670</v>
      </c>
    </row>
    <row r="26" s="1" customFormat="1" spans="1:12">
      <c r="A26" s="33"/>
      <c r="B26" s="32" t="s">
        <v>1371</v>
      </c>
      <c r="C26" s="32" t="s">
        <v>338</v>
      </c>
      <c r="D26" s="10" t="s">
        <v>1372</v>
      </c>
      <c r="E26" s="25" t="s">
        <v>266</v>
      </c>
      <c r="F26" s="26"/>
      <c r="G26" s="26" t="s">
        <v>1373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1374</v>
      </c>
      <c r="C27" s="13" t="s">
        <v>338</v>
      </c>
      <c r="D27" s="10" t="s">
        <v>1375</v>
      </c>
      <c r="E27" s="25" t="s">
        <v>266</v>
      </c>
      <c r="F27" s="26"/>
      <c r="G27" s="26" t="s">
        <v>1373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337</v>
      </c>
      <c r="C28" s="13" t="s">
        <v>307</v>
      </c>
      <c r="D28" s="10" t="s">
        <v>339</v>
      </c>
      <c r="E28" s="25" t="s">
        <v>266</v>
      </c>
      <c r="F28" s="26"/>
      <c r="G28" s="26" t="s">
        <v>1373</v>
      </c>
      <c r="H28" s="27"/>
      <c r="I28" s="26"/>
      <c r="J28" s="15" t="s">
        <v>632</v>
      </c>
      <c r="K28" s="15" t="s">
        <v>674</v>
      </c>
      <c r="L28" s="15" t="s">
        <v>633</v>
      </c>
    </row>
    <row r="29" s="1" customFormat="1" spans="1:12">
      <c r="A29" s="33"/>
      <c r="B29" s="13" t="s">
        <v>1376</v>
      </c>
      <c r="C29" s="13" t="s">
        <v>307</v>
      </c>
      <c r="D29" s="10" t="s">
        <v>1377</v>
      </c>
      <c r="E29" s="25" t="s">
        <v>266</v>
      </c>
      <c r="F29" s="26"/>
      <c r="G29" s="26" t="s">
        <v>1378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1379</v>
      </c>
      <c r="C30" s="13" t="s">
        <v>307</v>
      </c>
      <c r="D30" s="10" t="s">
        <v>1380</v>
      </c>
      <c r="E30" s="25" t="s">
        <v>266</v>
      </c>
      <c r="F30" s="26"/>
      <c r="G30" s="26" t="s">
        <v>1381</v>
      </c>
      <c r="H30" s="27"/>
      <c r="I30" s="26"/>
      <c r="J30" s="15" t="s">
        <v>632</v>
      </c>
      <c r="K30" s="15" t="s">
        <v>669</v>
      </c>
      <c r="L30" s="15" t="s">
        <v>670</v>
      </c>
    </row>
    <row r="31" s="1" customFormat="1" spans="1:12">
      <c r="A31" s="33"/>
      <c r="B31" s="13" t="s">
        <v>1382</v>
      </c>
      <c r="C31" s="13" t="s">
        <v>666</v>
      </c>
      <c r="D31" s="10" t="s">
        <v>1383</v>
      </c>
      <c r="E31" s="25" t="s">
        <v>266</v>
      </c>
      <c r="F31" s="26"/>
      <c r="G31" s="26" t="s">
        <v>1384</v>
      </c>
      <c r="H31" s="27"/>
      <c r="I31" s="26"/>
      <c r="J31" s="15" t="s">
        <v>632</v>
      </c>
      <c r="K31" s="15" t="s">
        <v>294</v>
      </c>
      <c r="L31" s="15" t="s">
        <v>1385</v>
      </c>
    </row>
    <row r="32" s="1" customFormat="1" spans="1:12">
      <c r="A32" s="33"/>
      <c r="B32" s="13" t="s">
        <v>1386</v>
      </c>
      <c r="C32" s="13" t="s">
        <v>307</v>
      </c>
      <c r="D32" s="10" t="s">
        <v>1387</v>
      </c>
      <c r="E32" s="25" t="s">
        <v>266</v>
      </c>
      <c r="F32" s="26"/>
      <c r="G32" s="26" t="s">
        <v>1388</v>
      </c>
      <c r="H32" s="27"/>
      <c r="I32" s="26"/>
      <c r="J32" s="15" t="s">
        <v>632</v>
      </c>
      <c r="K32" s="15" t="s">
        <v>404</v>
      </c>
      <c r="L32" s="15" t="s">
        <v>670</v>
      </c>
    </row>
    <row r="33" s="1" customFormat="1" spans="1:12">
      <c r="A33" s="33"/>
      <c r="B33" s="13" t="s">
        <v>1389</v>
      </c>
      <c r="C33" s="13" t="s">
        <v>666</v>
      </c>
      <c r="D33" s="10" t="s">
        <v>1390</v>
      </c>
      <c r="E33" s="25" t="s">
        <v>266</v>
      </c>
      <c r="F33" s="26"/>
      <c r="G33" s="26" t="s">
        <v>1391</v>
      </c>
      <c r="H33" s="27"/>
      <c r="I33" s="26"/>
      <c r="J33" s="15" t="s">
        <v>632</v>
      </c>
      <c r="K33" s="15" t="s">
        <v>294</v>
      </c>
      <c r="L33" s="15" t="s">
        <v>1385</v>
      </c>
    </row>
    <row r="34" s="1" customFormat="1" spans="1:12">
      <c r="A34" s="33"/>
      <c r="B34" s="13" t="s">
        <v>1392</v>
      </c>
      <c r="C34" s="13" t="s">
        <v>307</v>
      </c>
      <c r="D34" s="10" t="s">
        <v>1393</v>
      </c>
      <c r="E34" s="25" t="s">
        <v>266</v>
      </c>
      <c r="F34" s="26"/>
      <c r="G34" s="26" t="s">
        <v>1394</v>
      </c>
      <c r="H34" s="27"/>
      <c r="I34" s="26"/>
      <c r="J34" s="15" t="s">
        <v>632</v>
      </c>
      <c r="K34" s="15" t="s">
        <v>404</v>
      </c>
      <c r="L34" s="15" t="s">
        <v>670</v>
      </c>
    </row>
    <row r="35" s="1" customFormat="1" spans="1:12">
      <c r="A35" s="33"/>
      <c r="B35" s="13" t="s">
        <v>1395</v>
      </c>
      <c r="C35" s="13" t="s">
        <v>307</v>
      </c>
      <c r="D35" s="10" t="s">
        <v>1396</v>
      </c>
      <c r="E35" s="25" t="s">
        <v>266</v>
      </c>
      <c r="F35" s="26"/>
      <c r="G35" s="26" t="s">
        <v>1381</v>
      </c>
      <c r="H35" s="27"/>
      <c r="I35" s="26"/>
      <c r="J35" s="15" t="s">
        <v>632</v>
      </c>
      <c r="K35" s="15" t="s">
        <v>669</v>
      </c>
      <c r="L35" s="15" t="s">
        <v>670</v>
      </c>
    </row>
    <row r="36" s="1" customFormat="1" spans="1:12">
      <c r="A36" s="33"/>
      <c r="B36" s="13" t="s">
        <v>1397</v>
      </c>
      <c r="C36" s="13" t="s">
        <v>307</v>
      </c>
      <c r="D36" s="10" t="s">
        <v>1363</v>
      </c>
      <c r="E36" s="25" t="s">
        <v>266</v>
      </c>
      <c r="F36" s="26"/>
      <c r="G36" s="26" t="s">
        <v>934</v>
      </c>
      <c r="H36" s="27"/>
      <c r="I36" s="26"/>
      <c r="J36" s="15" t="s">
        <v>632</v>
      </c>
      <c r="K36" s="15" t="s">
        <v>294</v>
      </c>
      <c r="L36" s="15" t="s">
        <v>670</v>
      </c>
    </row>
    <row r="37" s="1" customFormat="1" spans="1:12">
      <c r="A37" s="33"/>
      <c r="B37" s="13" t="s">
        <v>1398</v>
      </c>
      <c r="C37" s="13" t="s">
        <v>307</v>
      </c>
      <c r="D37" s="10" t="s">
        <v>1399</v>
      </c>
      <c r="E37" s="25" t="s">
        <v>266</v>
      </c>
      <c r="F37" s="26"/>
      <c r="G37" s="26" t="s">
        <v>1366</v>
      </c>
      <c r="H37" s="27"/>
      <c r="I37" s="26"/>
      <c r="J37" s="15" t="s">
        <v>632</v>
      </c>
      <c r="K37" s="15" t="s">
        <v>1367</v>
      </c>
      <c r="L37" s="15" t="s">
        <v>670</v>
      </c>
    </row>
    <row r="38" s="1" customFormat="1" spans="1:12">
      <c r="A38" s="33"/>
      <c r="B38" s="13" t="s">
        <v>1400</v>
      </c>
      <c r="C38" s="13" t="s">
        <v>307</v>
      </c>
      <c r="D38" s="10" t="s">
        <v>1401</v>
      </c>
      <c r="E38" s="25" t="s">
        <v>266</v>
      </c>
      <c r="F38" s="26"/>
      <c r="G38" s="26" t="s">
        <v>1370</v>
      </c>
      <c r="H38" s="27"/>
      <c r="I38" s="26"/>
      <c r="J38" s="15" t="s">
        <v>632</v>
      </c>
      <c r="K38" s="15" t="s">
        <v>1367</v>
      </c>
      <c r="L38" s="15" t="s">
        <v>670</v>
      </c>
    </row>
    <row r="39" s="1" customFormat="1" spans="1:12">
      <c r="A39" s="33"/>
      <c r="B39" s="13" t="s">
        <v>1402</v>
      </c>
      <c r="C39" s="13" t="s">
        <v>307</v>
      </c>
      <c r="D39" s="10" t="s">
        <v>339</v>
      </c>
      <c r="E39" s="25" t="s">
        <v>266</v>
      </c>
      <c r="F39" s="26"/>
      <c r="G39" s="26" t="s">
        <v>1373</v>
      </c>
      <c r="H39" s="27"/>
      <c r="I39" s="26"/>
      <c r="J39" s="15" t="s">
        <v>632</v>
      </c>
      <c r="K39" s="15" t="s">
        <v>674</v>
      </c>
      <c r="L39" s="15" t="s">
        <v>633</v>
      </c>
    </row>
    <row r="40" s="1" customFormat="1" spans="1:12">
      <c r="A40" s="33"/>
      <c r="B40" s="13" t="s">
        <v>1403</v>
      </c>
      <c r="C40" s="13" t="s">
        <v>307</v>
      </c>
      <c r="D40" s="10" t="s">
        <v>1404</v>
      </c>
      <c r="E40" s="25" t="s">
        <v>266</v>
      </c>
      <c r="F40" s="26"/>
      <c r="G40" s="26" t="s">
        <v>1378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1405</v>
      </c>
      <c r="C41" s="13" t="s">
        <v>307</v>
      </c>
      <c r="D41" s="10" t="s">
        <v>1406</v>
      </c>
      <c r="E41" s="25" t="s">
        <v>266</v>
      </c>
      <c r="F41" s="26"/>
      <c r="G41" s="26" t="s">
        <v>1381</v>
      </c>
      <c r="H41" s="27"/>
      <c r="I41" s="26"/>
      <c r="J41" s="15" t="s">
        <v>632</v>
      </c>
      <c r="K41" s="15" t="s">
        <v>669</v>
      </c>
      <c r="L41" s="15" t="s">
        <v>670</v>
      </c>
    </row>
    <row r="42" s="1" customFormat="1" spans="1:12">
      <c r="A42" s="33"/>
      <c r="B42" s="13" t="s">
        <v>1407</v>
      </c>
      <c r="C42" s="13" t="s">
        <v>666</v>
      </c>
      <c r="D42" s="10" t="s">
        <v>1408</v>
      </c>
      <c r="E42" s="25" t="s">
        <v>266</v>
      </c>
      <c r="F42" s="26"/>
      <c r="G42" s="26" t="s">
        <v>1384</v>
      </c>
      <c r="H42" s="27"/>
      <c r="I42" s="26"/>
      <c r="J42" s="15" t="s">
        <v>632</v>
      </c>
      <c r="K42" s="15" t="s">
        <v>294</v>
      </c>
      <c r="L42" s="15" t="s">
        <v>1385</v>
      </c>
    </row>
    <row r="43" s="1" customFormat="1" spans="1:12">
      <c r="A43" s="33"/>
      <c r="B43" s="13" t="s">
        <v>1409</v>
      </c>
      <c r="C43" s="13" t="s">
        <v>307</v>
      </c>
      <c r="D43" s="10" t="s">
        <v>1410</v>
      </c>
      <c r="E43" s="25" t="s">
        <v>266</v>
      </c>
      <c r="F43" s="26"/>
      <c r="G43" s="26" t="s">
        <v>1388</v>
      </c>
      <c r="H43" s="27"/>
      <c r="I43" s="26"/>
      <c r="J43" s="15" t="s">
        <v>632</v>
      </c>
      <c r="K43" s="15" t="s">
        <v>644</v>
      </c>
      <c r="L43" s="15" t="s">
        <v>670</v>
      </c>
    </row>
    <row r="44" s="1" customFormat="1" spans="1:12">
      <c r="A44" s="33"/>
      <c r="B44" s="13" t="s">
        <v>1411</v>
      </c>
      <c r="C44" s="13" t="s">
        <v>666</v>
      </c>
      <c r="D44" s="10" t="s">
        <v>1412</v>
      </c>
      <c r="E44" s="25" t="s">
        <v>266</v>
      </c>
      <c r="F44" s="26"/>
      <c r="G44" s="26" t="s">
        <v>1391</v>
      </c>
      <c r="H44" s="27"/>
      <c r="I44" s="26"/>
      <c r="J44" s="15" t="s">
        <v>632</v>
      </c>
      <c r="K44" s="15" t="s">
        <v>294</v>
      </c>
      <c r="L44" s="15" t="s">
        <v>1385</v>
      </c>
    </row>
    <row r="45" s="1" customFormat="1" spans="1:12">
      <c r="A45" s="33"/>
      <c r="B45" s="13" t="s">
        <v>1413</v>
      </c>
      <c r="C45" s="13" t="s">
        <v>307</v>
      </c>
      <c r="D45" s="10" t="s">
        <v>1414</v>
      </c>
      <c r="E45" s="25" t="s">
        <v>266</v>
      </c>
      <c r="F45" s="26"/>
      <c r="G45" s="26" t="s">
        <v>1394</v>
      </c>
      <c r="H45" s="27"/>
      <c r="I45" s="26"/>
      <c r="J45" s="15" t="s">
        <v>632</v>
      </c>
      <c r="K45" s="15" t="s">
        <v>644</v>
      </c>
      <c r="L45" s="15" t="s">
        <v>670</v>
      </c>
    </row>
    <row r="46" s="1" customFormat="1" spans="1:12">
      <c r="A46" s="33"/>
      <c r="B46" s="13" t="s">
        <v>1415</v>
      </c>
      <c r="C46" s="13" t="s">
        <v>307</v>
      </c>
      <c r="D46" s="10" t="s">
        <v>1416</v>
      </c>
      <c r="E46" s="25" t="s">
        <v>266</v>
      </c>
      <c r="F46" s="26"/>
      <c r="G46" s="26" t="s">
        <v>1417</v>
      </c>
      <c r="H46" s="27"/>
      <c r="I46" s="26"/>
      <c r="J46" s="15" t="s">
        <v>632</v>
      </c>
      <c r="K46" s="15" t="s">
        <v>669</v>
      </c>
      <c r="L46" s="15" t="s">
        <v>670</v>
      </c>
    </row>
    <row r="47" s="1" customFormat="1" spans="1:12">
      <c r="A47" s="33"/>
      <c r="B47" s="13" t="s">
        <v>1418</v>
      </c>
      <c r="C47" s="13" t="s">
        <v>307</v>
      </c>
      <c r="D47" s="10" t="s">
        <v>1419</v>
      </c>
      <c r="E47" s="25" t="s">
        <v>266</v>
      </c>
      <c r="F47" s="26"/>
      <c r="G47" s="26" t="s">
        <v>933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1420</v>
      </c>
      <c r="C48" s="13" t="s">
        <v>307</v>
      </c>
      <c r="D48" s="10" t="s">
        <v>1421</v>
      </c>
      <c r="E48" s="25" t="s">
        <v>266</v>
      </c>
      <c r="F48" s="26"/>
      <c r="G48" s="26" t="s">
        <v>1422</v>
      </c>
      <c r="H48" s="27"/>
      <c r="I48" s="26"/>
      <c r="J48" s="15" t="s">
        <v>632</v>
      </c>
      <c r="K48" s="15" t="s">
        <v>294</v>
      </c>
      <c r="L48" s="15" t="s">
        <v>633</v>
      </c>
    </row>
    <row r="49" spans="2:12">
      <c r="B49" s="17" t="s">
        <v>594</v>
      </c>
      <c r="C49" s="18" t="s">
        <v>307</v>
      </c>
      <c r="D49" s="19" t="s">
        <v>595</v>
      </c>
      <c r="E49" s="28"/>
      <c r="F49" s="28"/>
      <c r="G49" s="28"/>
      <c r="H49" s="17"/>
      <c r="I49" s="17"/>
      <c r="J49" s="17"/>
      <c r="K49" s="17"/>
      <c r="L49" s="17"/>
    </row>
    <row r="50" spans="2:12">
      <c r="B50" s="17" t="s">
        <v>596</v>
      </c>
      <c r="C50" s="18" t="s">
        <v>291</v>
      </c>
      <c r="D50" s="19" t="s">
        <v>597</v>
      </c>
      <c r="E50" s="28"/>
      <c r="F50" s="28"/>
      <c r="G50" s="28"/>
      <c r="H50" s="17" t="s">
        <v>932</v>
      </c>
      <c r="I50" s="17"/>
      <c r="J50" s="17"/>
      <c r="K50" s="17"/>
      <c r="L50" s="17"/>
    </row>
  </sheetData>
  <autoFilter xmlns:etc="http://www.wps.cn/officeDocument/2017/etCustomData" ref="A13:Q5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142</v>
      </c>
      <c r="D5" s="14" t="s">
        <v>143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119</v>
      </c>
      <c r="D9" s="11" t="s">
        <v>120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295</v>
      </c>
      <c r="C15" s="32" t="s">
        <v>291</v>
      </c>
      <c r="D15" s="10" t="s">
        <v>296</v>
      </c>
      <c r="E15" s="25" t="s">
        <v>266</v>
      </c>
      <c r="F15" s="26" t="s">
        <v>295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297</v>
      </c>
      <c r="C16" s="32" t="s">
        <v>291</v>
      </c>
      <c r="D16" s="10" t="s">
        <v>298</v>
      </c>
      <c r="E16" s="25" t="s">
        <v>266</v>
      </c>
      <c r="F16" s="10" t="s">
        <v>297</v>
      </c>
      <c r="G16" s="26" t="s">
        <v>293</v>
      </c>
      <c r="H16" s="37"/>
      <c r="I16" s="15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1460</v>
      </c>
      <c r="C17" s="32" t="s">
        <v>338</v>
      </c>
      <c r="D17" s="10" t="s">
        <v>1461</v>
      </c>
      <c r="E17" s="25" t="s">
        <v>266</v>
      </c>
      <c r="F17" s="26" t="s">
        <v>1462</v>
      </c>
      <c r="G17" s="26" t="s">
        <v>1462</v>
      </c>
      <c r="H17" s="37"/>
      <c r="I17" s="15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1354</v>
      </c>
      <c r="C18" s="32" t="s">
        <v>385</v>
      </c>
      <c r="D18" s="10" t="s">
        <v>328</v>
      </c>
      <c r="E18" s="25" t="s">
        <v>266</v>
      </c>
      <c r="F18" s="26" t="s">
        <v>327</v>
      </c>
      <c r="G18" s="26" t="s">
        <v>293</v>
      </c>
      <c r="H18" s="37"/>
      <c r="I18" s="15"/>
      <c r="J18" s="15" t="s">
        <v>604</v>
      </c>
      <c r="K18" s="15" t="s">
        <v>294</v>
      </c>
      <c r="L18" s="58">
        <v>6</v>
      </c>
    </row>
    <row r="19" s="1" customFormat="1" spans="1:12">
      <c r="A19" s="33"/>
      <c r="B19" s="13" t="s">
        <v>522</v>
      </c>
      <c r="C19" s="32" t="s">
        <v>307</v>
      </c>
      <c r="D19" s="10" t="s">
        <v>26</v>
      </c>
      <c r="E19" s="25" t="s">
        <v>266</v>
      </c>
      <c r="F19" s="26" t="s">
        <v>594</v>
      </c>
      <c r="G19" s="26"/>
      <c r="H19" s="37"/>
      <c r="I19" s="15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524</v>
      </c>
      <c r="C20" s="32" t="s">
        <v>307</v>
      </c>
      <c r="D20" s="10" t="s">
        <v>1355</v>
      </c>
      <c r="E20" s="25" t="s">
        <v>266</v>
      </c>
      <c r="F20" s="10" t="s">
        <v>517</v>
      </c>
      <c r="G20" s="26"/>
      <c r="H20" s="37"/>
      <c r="I20" s="15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1356</v>
      </c>
      <c r="C21" s="13" t="s">
        <v>307</v>
      </c>
      <c r="D21" s="10" t="s">
        <v>1357</v>
      </c>
      <c r="E21" s="25" t="s">
        <v>266</v>
      </c>
      <c r="F21" s="10" t="s">
        <v>520</v>
      </c>
      <c r="G21" s="26"/>
      <c r="H21" s="37"/>
      <c r="I21" s="15"/>
      <c r="J21" s="15" t="s">
        <v>604</v>
      </c>
      <c r="K21" s="15" t="s">
        <v>294</v>
      </c>
      <c r="L21" s="15" t="s">
        <v>615</v>
      </c>
    </row>
    <row r="22" s="1" customFormat="1" spans="2:12">
      <c r="B22" s="13" t="s">
        <v>1431</v>
      </c>
      <c r="C22" s="13" t="s">
        <v>307</v>
      </c>
      <c r="D22" s="10" t="s">
        <v>1432</v>
      </c>
      <c r="E22" s="25" t="s">
        <v>266</v>
      </c>
      <c r="F22" s="10"/>
      <c r="G22" s="26" t="s">
        <v>1360</v>
      </c>
      <c r="H22" s="37"/>
      <c r="I22" s="15"/>
      <c r="J22" s="15" t="s">
        <v>632</v>
      </c>
      <c r="K22" s="15" t="s">
        <v>294</v>
      </c>
      <c r="L22" s="15" t="s">
        <v>1361</v>
      </c>
    </row>
    <row r="23" s="1" customFormat="1" spans="2:12">
      <c r="B23" s="13" t="s">
        <v>1362</v>
      </c>
      <c r="C23" s="13" t="s">
        <v>307</v>
      </c>
      <c r="D23" s="10" t="s">
        <v>1363</v>
      </c>
      <c r="E23" s="25" t="s">
        <v>266</v>
      </c>
      <c r="F23" s="10"/>
      <c r="G23" s="26" t="s">
        <v>934</v>
      </c>
      <c r="H23" s="37"/>
      <c r="I23" s="15"/>
      <c r="J23" s="15" t="s">
        <v>632</v>
      </c>
      <c r="K23" s="15" t="s">
        <v>294</v>
      </c>
      <c r="L23" s="15" t="s">
        <v>670</v>
      </c>
    </row>
    <row r="24" s="1" customFormat="1" spans="1:12">
      <c r="A24" s="33"/>
      <c r="B24" s="13" t="s">
        <v>1364</v>
      </c>
      <c r="C24" s="13" t="s">
        <v>307</v>
      </c>
      <c r="D24" s="10" t="s">
        <v>1365</v>
      </c>
      <c r="E24" s="25" t="s">
        <v>266</v>
      </c>
      <c r="F24" s="26"/>
      <c r="G24" s="26" t="s">
        <v>1366</v>
      </c>
      <c r="H24" s="27"/>
      <c r="I24" s="15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1368</v>
      </c>
      <c r="C25" s="13" t="s">
        <v>307</v>
      </c>
      <c r="D25" s="10" t="s">
        <v>1369</v>
      </c>
      <c r="E25" s="25" t="s">
        <v>266</v>
      </c>
      <c r="F25" s="26"/>
      <c r="G25" s="26" t="s">
        <v>1370</v>
      </c>
      <c r="H25" s="27"/>
      <c r="I25" s="15"/>
      <c r="J25" s="15" t="s">
        <v>632</v>
      </c>
      <c r="K25" s="15" t="s">
        <v>1367</v>
      </c>
      <c r="L25" s="15" t="s">
        <v>670</v>
      </c>
    </row>
    <row r="26" s="1" customFormat="1" spans="1:12">
      <c r="A26" s="33"/>
      <c r="B26" s="13" t="s">
        <v>1371</v>
      </c>
      <c r="C26" s="13" t="s">
        <v>338</v>
      </c>
      <c r="D26" s="10" t="s">
        <v>1372</v>
      </c>
      <c r="E26" s="25" t="s">
        <v>266</v>
      </c>
      <c r="F26" s="26"/>
      <c r="G26" s="26" t="s">
        <v>1373</v>
      </c>
      <c r="H26" s="27"/>
      <c r="I26" s="15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1374</v>
      </c>
      <c r="C27" s="13" t="s">
        <v>338</v>
      </c>
      <c r="D27" s="10" t="s">
        <v>1375</v>
      </c>
      <c r="E27" s="25" t="s">
        <v>266</v>
      </c>
      <c r="F27" s="26"/>
      <c r="G27" s="26" t="s">
        <v>1373</v>
      </c>
      <c r="H27" s="27"/>
      <c r="I27" s="15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32" t="s">
        <v>337</v>
      </c>
      <c r="C28" s="32" t="s">
        <v>307</v>
      </c>
      <c r="D28" s="10" t="s">
        <v>1433</v>
      </c>
      <c r="E28" s="25" t="s">
        <v>266</v>
      </c>
      <c r="F28" s="26"/>
      <c r="G28" s="26" t="s">
        <v>1373</v>
      </c>
      <c r="H28" s="27"/>
      <c r="I28" s="15"/>
      <c r="J28" s="15" t="s">
        <v>632</v>
      </c>
      <c r="K28" s="15" t="s">
        <v>674</v>
      </c>
      <c r="L28" s="15" t="s">
        <v>633</v>
      </c>
    </row>
    <row r="29" s="1" customFormat="1" spans="1:12">
      <c r="A29" s="33"/>
      <c r="B29" s="13" t="s">
        <v>1376</v>
      </c>
      <c r="C29" s="13" t="s">
        <v>307</v>
      </c>
      <c r="D29" s="10" t="s">
        <v>1377</v>
      </c>
      <c r="E29" s="25" t="s">
        <v>266</v>
      </c>
      <c r="F29" s="26"/>
      <c r="G29" s="26" t="s">
        <v>1378</v>
      </c>
      <c r="H29" s="27"/>
      <c r="I29" s="15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1379</v>
      </c>
      <c r="C30" s="13" t="s">
        <v>307</v>
      </c>
      <c r="D30" s="10" t="s">
        <v>1380</v>
      </c>
      <c r="E30" s="25" t="s">
        <v>266</v>
      </c>
      <c r="F30" s="26"/>
      <c r="G30" s="26" t="s">
        <v>1381</v>
      </c>
      <c r="H30" s="27"/>
      <c r="I30" s="15"/>
      <c r="J30" s="15" t="s">
        <v>632</v>
      </c>
      <c r="K30" s="15" t="s">
        <v>669</v>
      </c>
      <c r="L30" s="15" t="s">
        <v>670</v>
      </c>
    </row>
    <row r="31" s="1" customFormat="1" spans="1:12">
      <c r="A31" s="33"/>
      <c r="B31" s="13" t="s">
        <v>1434</v>
      </c>
      <c r="C31" s="13" t="s">
        <v>307</v>
      </c>
      <c r="D31" s="10" t="s">
        <v>1435</v>
      </c>
      <c r="E31" s="25" t="s">
        <v>266</v>
      </c>
      <c r="F31" s="26"/>
      <c r="G31" s="26" t="s">
        <v>1384</v>
      </c>
      <c r="H31" s="27"/>
      <c r="I31" s="15"/>
      <c r="J31" s="15" t="s">
        <v>632</v>
      </c>
      <c r="K31" s="15" t="s">
        <v>294</v>
      </c>
      <c r="L31" s="15" t="s">
        <v>1385</v>
      </c>
    </row>
    <row r="32" s="1" customFormat="1" spans="1:12">
      <c r="A32" s="33"/>
      <c r="B32" s="13" t="s">
        <v>1436</v>
      </c>
      <c r="C32" s="13" t="s">
        <v>307</v>
      </c>
      <c r="D32" s="10" t="s">
        <v>1437</v>
      </c>
      <c r="E32" s="25" t="s">
        <v>266</v>
      </c>
      <c r="F32" s="26"/>
      <c r="G32" s="26" t="s">
        <v>1394</v>
      </c>
      <c r="H32" s="27"/>
      <c r="I32" s="15"/>
      <c r="J32" s="15" t="s">
        <v>632</v>
      </c>
      <c r="K32" s="15" t="s">
        <v>404</v>
      </c>
      <c r="L32" s="15" t="s">
        <v>670</v>
      </c>
    </row>
    <row r="33" s="1" customFormat="1" spans="1:12">
      <c r="A33" s="33"/>
      <c r="B33" s="13" t="s">
        <v>1438</v>
      </c>
      <c r="C33" s="13" t="s">
        <v>307</v>
      </c>
      <c r="D33" s="10" t="s">
        <v>1439</v>
      </c>
      <c r="E33" s="25" t="s">
        <v>266</v>
      </c>
      <c r="F33" s="26"/>
      <c r="G33" s="26" t="s">
        <v>1384</v>
      </c>
      <c r="H33" s="27"/>
      <c r="I33" s="15"/>
      <c r="J33" s="15" t="s">
        <v>632</v>
      </c>
      <c r="K33" s="15" t="s">
        <v>294</v>
      </c>
      <c r="L33" s="15" t="s">
        <v>1385</v>
      </c>
    </row>
    <row r="34" s="1" customFormat="1" spans="1:12">
      <c r="A34" s="33"/>
      <c r="B34" s="13" t="s">
        <v>1440</v>
      </c>
      <c r="C34" s="13" t="s">
        <v>307</v>
      </c>
      <c r="D34" s="10" t="s">
        <v>1441</v>
      </c>
      <c r="E34" s="25" t="s">
        <v>266</v>
      </c>
      <c r="F34" s="26"/>
      <c r="G34" s="26" t="s">
        <v>1394</v>
      </c>
      <c r="H34" s="27"/>
      <c r="I34" s="15"/>
      <c r="J34" s="15" t="s">
        <v>632</v>
      </c>
      <c r="K34" s="15" t="s">
        <v>404</v>
      </c>
      <c r="L34" s="15" t="s">
        <v>670</v>
      </c>
    </row>
    <row r="35" s="1" customFormat="1" spans="1:12">
      <c r="A35" s="33"/>
      <c r="B35" s="13" t="s">
        <v>1442</v>
      </c>
      <c r="C35" s="13" t="s">
        <v>307</v>
      </c>
      <c r="D35" s="10" t="s">
        <v>1419</v>
      </c>
      <c r="E35" s="25" t="s">
        <v>266</v>
      </c>
      <c r="F35" s="26"/>
      <c r="G35" s="26" t="s">
        <v>933</v>
      </c>
      <c r="H35" s="27"/>
      <c r="I35" s="15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1420</v>
      </c>
      <c r="C36" s="13" t="s">
        <v>307</v>
      </c>
      <c r="D36" s="10" t="s">
        <v>1421</v>
      </c>
      <c r="E36" s="25" t="s">
        <v>266</v>
      </c>
      <c r="F36" s="26"/>
      <c r="G36" s="26" t="s">
        <v>1422</v>
      </c>
      <c r="H36" s="27"/>
      <c r="I36" s="15"/>
      <c r="J36" s="15" t="s">
        <v>632</v>
      </c>
      <c r="K36" s="15" t="s">
        <v>294</v>
      </c>
      <c r="L36" s="15" t="s">
        <v>633</v>
      </c>
    </row>
    <row r="37" spans="2:12">
      <c r="B37" s="17" t="s">
        <v>594</v>
      </c>
      <c r="C37" s="18" t="s">
        <v>307</v>
      </c>
      <c r="D37" s="19" t="s">
        <v>595</v>
      </c>
      <c r="E37" s="28"/>
      <c r="F37" s="28"/>
      <c r="G37" s="28" t="s">
        <v>932</v>
      </c>
      <c r="H37" s="17"/>
      <c r="I37" s="17"/>
      <c r="J37" s="17"/>
      <c r="K37" s="17"/>
      <c r="L37" s="17"/>
    </row>
    <row r="38" spans="2:12">
      <c r="B38" s="17" t="s">
        <v>594</v>
      </c>
      <c r="C38" s="18" t="s">
        <v>291</v>
      </c>
      <c r="D38" s="19" t="s">
        <v>597</v>
      </c>
      <c r="E38" s="28"/>
      <c r="F38" s="28"/>
      <c r="G38" s="28" t="s">
        <v>932</v>
      </c>
      <c r="H38" s="17" t="s">
        <v>932</v>
      </c>
      <c r="I38" s="17"/>
      <c r="J38" s="17"/>
      <c r="K38" s="17"/>
      <c r="L38" s="17"/>
    </row>
  </sheetData>
  <autoFilter xmlns:etc="http://www.wps.cn/officeDocument/2017/etCustomData" ref="A13:Q3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145</v>
      </c>
      <c r="D5" s="14" t="s">
        <v>146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127</v>
      </c>
      <c r="D9" s="11" t="s">
        <v>128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295</v>
      </c>
      <c r="C15" s="32" t="s">
        <v>291</v>
      </c>
      <c r="D15" s="10" t="s">
        <v>296</v>
      </c>
      <c r="E15" s="25" t="s">
        <v>266</v>
      </c>
      <c r="F15" s="26" t="s">
        <v>295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297</v>
      </c>
      <c r="C16" s="32" t="s">
        <v>291</v>
      </c>
      <c r="D16" s="10" t="s">
        <v>298</v>
      </c>
      <c r="E16" s="25" t="s">
        <v>266</v>
      </c>
      <c r="F16" s="10" t="s">
        <v>297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32" t="s">
        <v>1460</v>
      </c>
      <c r="C17" s="32" t="s">
        <v>291</v>
      </c>
      <c r="D17" s="10" t="s">
        <v>1461</v>
      </c>
      <c r="E17" s="25" t="s">
        <v>266</v>
      </c>
      <c r="F17" s="26" t="s">
        <v>1462</v>
      </c>
      <c r="G17" s="26" t="s">
        <v>1462</v>
      </c>
      <c r="H17" s="37"/>
      <c r="I17" s="30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1354</v>
      </c>
      <c r="C18" s="32" t="s">
        <v>385</v>
      </c>
      <c r="D18" s="10" t="s">
        <v>1429</v>
      </c>
      <c r="E18" s="25" t="s">
        <v>266</v>
      </c>
      <c r="F18" s="26" t="s">
        <v>327</v>
      </c>
      <c r="G18" s="26" t="s">
        <v>293</v>
      </c>
      <c r="H18" s="37" t="s">
        <v>1354</v>
      </c>
      <c r="I18" s="30" t="b">
        <f>H18=B18</f>
        <v>1</v>
      </c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13" t="s">
        <v>522</v>
      </c>
      <c r="C19" s="32" t="s">
        <v>307</v>
      </c>
      <c r="D19" s="10" t="s">
        <v>523</v>
      </c>
      <c r="E19" s="25" t="s">
        <v>266</v>
      </c>
      <c r="F19" s="26" t="s">
        <v>594</v>
      </c>
      <c r="G19" s="26" t="s">
        <v>293</v>
      </c>
      <c r="H19" s="37" t="s">
        <v>522</v>
      </c>
      <c r="I19" s="30" t="b">
        <f t="shared" ref="I19:I34" si="0">H19=B19</f>
        <v>1</v>
      </c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524</v>
      </c>
      <c r="C20" s="32" t="s">
        <v>307</v>
      </c>
      <c r="D20" s="10" t="s">
        <v>1430</v>
      </c>
      <c r="E20" s="25" t="s">
        <v>266</v>
      </c>
      <c r="F20" s="10" t="s">
        <v>517</v>
      </c>
      <c r="G20" s="26" t="s">
        <v>293</v>
      </c>
      <c r="H20" s="37" t="s">
        <v>524</v>
      </c>
      <c r="I20" s="30" t="b">
        <f t="shared" si="0"/>
        <v>1</v>
      </c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1356</v>
      </c>
      <c r="C21" s="32" t="s">
        <v>307</v>
      </c>
      <c r="D21" s="10" t="s">
        <v>617</v>
      </c>
      <c r="E21" s="25" t="s">
        <v>266</v>
      </c>
      <c r="F21" s="10" t="s">
        <v>520</v>
      </c>
      <c r="G21" s="26" t="s">
        <v>293</v>
      </c>
      <c r="H21" s="37" t="s">
        <v>1356</v>
      </c>
      <c r="I21" s="30" t="b">
        <f t="shared" si="0"/>
        <v>1</v>
      </c>
      <c r="J21" s="15" t="s">
        <v>604</v>
      </c>
      <c r="K21" s="15" t="s">
        <v>294</v>
      </c>
      <c r="L21" s="15" t="s">
        <v>615</v>
      </c>
    </row>
    <row r="22" s="1" customFormat="1" spans="2:12">
      <c r="B22" s="13" t="s">
        <v>1452</v>
      </c>
      <c r="C22" s="13" t="s">
        <v>307</v>
      </c>
      <c r="D22" s="10" t="s">
        <v>1453</v>
      </c>
      <c r="E22" s="25" t="s">
        <v>266</v>
      </c>
      <c r="F22" s="10"/>
      <c r="G22" s="26" t="s">
        <v>1360</v>
      </c>
      <c r="H22" s="37" t="s">
        <v>1452</v>
      </c>
      <c r="I22" s="30" t="b">
        <f t="shared" si="0"/>
        <v>1</v>
      </c>
      <c r="J22" s="15" t="s">
        <v>632</v>
      </c>
      <c r="K22" s="15" t="s">
        <v>294</v>
      </c>
      <c r="L22" s="15" t="s">
        <v>1361</v>
      </c>
    </row>
    <row r="23" s="1" customFormat="1" spans="1:12">
      <c r="A23" s="33"/>
      <c r="B23" s="13" t="s">
        <v>1454</v>
      </c>
      <c r="C23" s="13" t="s">
        <v>338</v>
      </c>
      <c r="D23" s="10" t="s">
        <v>1455</v>
      </c>
      <c r="E23" s="25" t="s">
        <v>266</v>
      </c>
      <c r="F23" s="26"/>
      <c r="G23" s="26" t="s">
        <v>934</v>
      </c>
      <c r="H23" s="37" t="s">
        <v>1454</v>
      </c>
      <c r="I23" s="30" t="b">
        <f t="shared" si="0"/>
        <v>1</v>
      </c>
      <c r="J23" s="15" t="s">
        <v>632</v>
      </c>
      <c r="K23" s="15" t="s">
        <v>294</v>
      </c>
      <c r="L23" s="15" t="s">
        <v>670</v>
      </c>
    </row>
    <row r="24" s="1" customFormat="1" spans="1:12">
      <c r="A24" s="33"/>
      <c r="B24" s="13" t="s">
        <v>1456</v>
      </c>
      <c r="C24" s="13" t="s">
        <v>338</v>
      </c>
      <c r="D24" s="10" t="s">
        <v>1457</v>
      </c>
      <c r="E24" s="25" t="s">
        <v>266</v>
      </c>
      <c r="F24" s="26"/>
      <c r="G24" s="26" t="s">
        <v>1116</v>
      </c>
      <c r="H24" s="37" t="s">
        <v>1456</v>
      </c>
      <c r="I24" s="30" t="b">
        <f t="shared" si="0"/>
        <v>1</v>
      </c>
      <c r="J24" s="15" t="s">
        <v>632</v>
      </c>
      <c r="K24" s="15" t="s">
        <v>404</v>
      </c>
      <c r="L24" s="15" t="s">
        <v>670</v>
      </c>
    </row>
    <row r="25" s="1" customFormat="1" spans="1:12">
      <c r="A25" s="33"/>
      <c r="B25" s="13" t="s">
        <v>1463</v>
      </c>
      <c r="C25" s="13" t="s">
        <v>307</v>
      </c>
      <c r="D25" s="10" t="s">
        <v>1365</v>
      </c>
      <c r="E25" s="25" t="s">
        <v>266</v>
      </c>
      <c r="F25" s="26"/>
      <c r="G25" s="26" t="s">
        <v>1464</v>
      </c>
      <c r="H25" s="37" t="s">
        <v>1463</v>
      </c>
      <c r="I25" s="30" t="b">
        <f t="shared" si="0"/>
        <v>1</v>
      </c>
      <c r="J25" s="15" t="s">
        <v>632</v>
      </c>
      <c r="K25" s="15" t="s">
        <v>644</v>
      </c>
      <c r="L25" s="15" t="s">
        <v>670</v>
      </c>
    </row>
    <row r="26" s="1" customFormat="1" spans="1:12">
      <c r="A26" s="33"/>
      <c r="B26" s="13" t="s">
        <v>1465</v>
      </c>
      <c r="C26" s="13" t="s">
        <v>307</v>
      </c>
      <c r="D26" s="10" t="s">
        <v>1369</v>
      </c>
      <c r="E26" s="25" t="s">
        <v>266</v>
      </c>
      <c r="F26" s="26"/>
      <c r="G26" s="26" t="s">
        <v>1466</v>
      </c>
      <c r="H26" s="37" t="s">
        <v>1465</v>
      </c>
      <c r="I26" s="30" t="b">
        <f t="shared" si="0"/>
        <v>1</v>
      </c>
      <c r="J26" s="15" t="s">
        <v>632</v>
      </c>
      <c r="K26" s="15" t="s">
        <v>644</v>
      </c>
      <c r="L26" s="15" t="s">
        <v>670</v>
      </c>
    </row>
    <row r="27" s="1" customFormat="1" spans="1:12">
      <c r="A27" s="33"/>
      <c r="B27" s="32" t="s">
        <v>1371</v>
      </c>
      <c r="C27" s="32" t="s">
        <v>338</v>
      </c>
      <c r="D27" s="10" t="s">
        <v>1372</v>
      </c>
      <c r="E27" s="25" t="s">
        <v>266</v>
      </c>
      <c r="F27" s="26"/>
      <c r="G27" s="26" t="s">
        <v>1323</v>
      </c>
      <c r="H27" s="37" t="s">
        <v>1371</v>
      </c>
      <c r="I27" s="30" t="b">
        <f t="shared" si="0"/>
        <v>1</v>
      </c>
      <c r="J27" s="15" t="s">
        <v>632</v>
      </c>
      <c r="K27" s="15" t="s">
        <v>404</v>
      </c>
      <c r="L27" s="15" t="s">
        <v>670</v>
      </c>
    </row>
    <row r="28" s="1" customFormat="1" spans="1:12">
      <c r="A28" s="33"/>
      <c r="B28" s="13" t="s">
        <v>1374</v>
      </c>
      <c r="C28" s="13" t="s">
        <v>338</v>
      </c>
      <c r="D28" s="10" t="s">
        <v>1375</v>
      </c>
      <c r="E28" s="25" t="s">
        <v>266</v>
      </c>
      <c r="F28" s="26"/>
      <c r="G28" s="26" t="s">
        <v>1323</v>
      </c>
      <c r="H28" s="37" t="s">
        <v>1374</v>
      </c>
      <c r="I28" s="30" t="b">
        <f t="shared" si="0"/>
        <v>1</v>
      </c>
      <c r="J28" s="15" t="s">
        <v>632</v>
      </c>
      <c r="K28" s="15" t="s">
        <v>404</v>
      </c>
      <c r="L28" s="15" t="s">
        <v>670</v>
      </c>
    </row>
    <row r="29" s="1" customFormat="1" spans="1:12">
      <c r="A29" s="33"/>
      <c r="B29" s="13" t="s">
        <v>1467</v>
      </c>
      <c r="C29" s="13" t="s">
        <v>307</v>
      </c>
      <c r="D29" s="10" t="s">
        <v>1433</v>
      </c>
      <c r="E29" s="25" t="s">
        <v>266</v>
      </c>
      <c r="F29" s="26"/>
      <c r="G29" s="26" t="s">
        <v>1323</v>
      </c>
      <c r="H29" s="37" t="s">
        <v>1467</v>
      </c>
      <c r="I29" s="30" t="b">
        <f t="shared" si="0"/>
        <v>1</v>
      </c>
      <c r="J29" s="15" t="s">
        <v>632</v>
      </c>
      <c r="K29" s="15" t="s">
        <v>404</v>
      </c>
      <c r="L29" s="15" t="s">
        <v>670</v>
      </c>
    </row>
    <row r="30" s="1" customFormat="1" spans="1:12">
      <c r="A30" s="33"/>
      <c r="B30" s="13" t="s">
        <v>1458</v>
      </c>
      <c r="C30" s="13" t="s">
        <v>338</v>
      </c>
      <c r="D30" s="10" t="s">
        <v>1459</v>
      </c>
      <c r="E30" s="25" t="s">
        <v>266</v>
      </c>
      <c r="F30" s="26"/>
      <c r="G30" s="26" t="s">
        <v>933</v>
      </c>
      <c r="H30" s="37" t="s">
        <v>1458</v>
      </c>
      <c r="I30" s="30" t="b">
        <f t="shared" si="0"/>
        <v>1</v>
      </c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13" t="s">
        <v>1420</v>
      </c>
      <c r="C31" s="13" t="s">
        <v>307</v>
      </c>
      <c r="D31" s="10" t="s">
        <v>1421</v>
      </c>
      <c r="E31" s="25" t="s">
        <v>266</v>
      </c>
      <c r="F31" s="26"/>
      <c r="G31" s="26" t="s">
        <v>1422</v>
      </c>
      <c r="H31" s="37" t="s">
        <v>1420</v>
      </c>
      <c r="I31" s="30" t="b">
        <f t="shared" si="0"/>
        <v>1</v>
      </c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1302</v>
      </c>
      <c r="C32" s="13" t="s">
        <v>338</v>
      </c>
      <c r="D32" s="10" t="s">
        <v>918</v>
      </c>
      <c r="E32" s="25" t="s">
        <v>266</v>
      </c>
      <c r="F32" s="26"/>
      <c r="G32" s="26" t="s">
        <v>1023</v>
      </c>
      <c r="H32" s="37" t="s">
        <v>1302</v>
      </c>
      <c r="I32" s="30" t="b">
        <f t="shared" si="0"/>
        <v>1</v>
      </c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1303</v>
      </c>
      <c r="C33" s="13" t="s">
        <v>338</v>
      </c>
      <c r="D33" s="10" t="s">
        <v>921</v>
      </c>
      <c r="E33" s="25" t="s">
        <v>266</v>
      </c>
      <c r="F33" s="26"/>
      <c r="G33" s="26" t="s">
        <v>1024</v>
      </c>
      <c r="H33" s="37" t="s">
        <v>1303</v>
      </c>
      <c r="I33" s="30" t="b">
        <f t="shared" si="0"/>
        <v>1</v>
      </c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1304</v>
      </c>
      <c r="C34" s="13" t="s">
        <v>338</v>
      </c>
      <c r="D34" s="10" t="s">
        <v>924</v>
      </c>
      <c r="E34" s="25" t="s">
        <v>266</v>
      </c>
      <c r="F34" s="26"/>
      <c r="G34" s="26" t="s">
        <v>1025</v>
      </c>
      <c r="H34" s="37" t="s">
        <v>1304</v>
      </c>
      <c r="I34" s="30" t="b">
        <f t="shared" si="0"/>
        <v>1</v>
      </c>
      <c r="J34" s="15" t="s">
        <v>632</v>
      </c>
      <c r="K34" s="15" t="s">
        <v>294</v>
      </c>
      <c r="L34" s="15" t="s">
        <v>633</v>
      </c>
    </row>
    <row r="35" spans="2:12">
      <c r="B35" s="17" t="s">
        <v>594</v>
      </c>
      <c r="C35" s="18" t="s">
        <v>307</v>
      </c>
      <c r="D35" s="19" t="s">
        <v>595</v>
      </c>
      <c r="E35" s="28"/>
      <c r="F35" s="28"/>
      <c r="G35" s="28" t="s">
        <v>932</v>
      </c>
      <c r="H35" s="17"/>
      <c r="I35" s="17"/>
      <c r="J35" s="17"/>
      <c r="K35" s="17"/>
      <c r="L35" s="17"/>
    </row>
    <row r="36" spans="2:12">
      <c r="B36" s="17" t="s">
        <v>596</v>
      </c>
      <c r="C36" s="18" t="s">
        <v>291</v>
      </c>
      <c r="D36" s="19" t="s">
        <v>597</v>
      </c>
      <c r="E36" s="28"/>
      <c r="F36" s="28"/>
      <c r="G36" s="28" t="s">
        <v>932</v>
      </c>
      <c r="H36" s="17" t="s">
        <v>932</v>
      </c>
      <c r="I36" s="17"/>
      <c r="J36" s="17"/>
      <c r="K36" s="17"/>
      <c r="L36" s="17"/>
    </row>
  </sheetData>
  <autoFilter xmlns:etc="http://www.wps.cn/officeDocument/2017/etCustomData" ref="A13:Q3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1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148</v>
      </c>
      <c r="D5" s="14" t="s">
        <v>149</v>
      </c>
      <c r="E5" s="13" t="s">
        <v>257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41</v>
      </c>
      <c r="D9" s="14" t="s">
        <v>42</v>
      </c>
      <c r="E9" s="13" t="s">
        <v>266</v>
      </c>
      <c r="F9" s="26"/>
      <c r="G9" s="26" t="s">
        <v>1468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32" t="s">
        <v>572</v>
      </c>
      <c r="C29" s="34" t="s">
        <v>291</v>
      </c>
      <c r="D29" s="10" t="s">
        <v>573</v>
      </c>
      <c r="E29" s="25" t="s">
        <v>266</v>
      </c>
      <c r="F29" s="10" t="s">
        <v>572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575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543</v>
      </c>
      <c r="C118" s="13" t="s">
        <v>666</v>
      </c>
      <c r="D118" s="10" t="s">
        <v>544</v>
      </c>
      <c r="E118" s="25" t="s">
        <v>266</v>
      </c>
      <c r="F118" s="26"/>
      <c r="G118" s="26" t="s">
        <v>1008</v>
      </c>
      <c r="H118" s="2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875</v>
      </c>
      <c r="C119" s="13" t="s">
        <v>338</v>
      </c>
      <c r="D119" s="10" t="s">
        <v>876</v>
      </c>
      <c r="E119" s="25" t="s">
        <v>266</v>
      </c>
      <c r="F119" s="26"/>
      <c r="G119" s="26" t="s">
        <v>1009</v>
      </c>
      <c r="H119" s="2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878</v>
      </c>
      <c r="C120" s="13" t="s">
        <v>666</v>
      </c>
      <c r="D120" s="10" t="s">
        <v>879</v>
      </c>
      <c r="E120" s="25" t="s">
        <v>266</v>
      </c>
      <c r="F120" s="26"/>
      <c r="G120" s="26" t="s">
        <v>1010</v>
      </c>
      <c r="H120" s="27"/>
      <c r="I120" s="26"/>
      <c r="J120" s="15" t="s">
        <v>632</v>
      </c>
      <c r="K120" s="15" t="s">
        <v>404</v>
      </c>
      <c r="L120" s="15" t="s">
        <v>633</v>
      </c>
    </row>
    <row r="121" s="1" customFormat="1" spans="1:12">
      <c r="A121" s="33"/>
      <c r="B121" s="13" t="s">
        <v>881</v>
      </c>
      <c r="C121" s="13" t="s">
        <v>666</v>
      </c>
      <c r="D121" s="10" t="s">
        <v>882</v>
      </c>
      <c r="E121" s="25" t="s">
        <v>266</v>
      </c>
      <c r="F121" s="26"/>
      <c r="G121" s="26" t="s">
        <v>1011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="1" customFormat="1" spans="1:12">
      <c r="A122" s="33"/>
      <c r="B122" s="13" t="s">
        <v>884</v>
      </c>
      <c r="C122" s="13" t="s">
        <v>666</v>
      </c>
      <c r="D122" s="10" t="s">
        <v>885</v>
      </c>
      <c r="E122" s="25" t="s">
        <v>266</v>
      </c>
      <c r="F122" s="26"/>
      <c r="G122" s="26" t="s">
        <v>1012</v>
      </c>
      <c r="H122" s="2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13" t="s">
        <v>887</v>
      </c>
      <c r="C123" s="13" t="s">
        <v>338</v>
      </c>
      <c r="D123" s="10" t="s">
        <v>888</v>
      </c>
      <c r="E123" s="25" t="s">
        <v>266</v>
      </c>
      <c r="F123" s="26"/>
      <c r="G123" s="26" t="s">
        <v>1013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="1" customFormat="1" spans="1:12">
      <c r="A124" s="33"/>
      <c r="B124" s="13" t="s">
        <v>890</v>
      </c>
      <c r="C124" s="13" t="s">
        <v>338</v>
      </c>
      <c r="D124" s="10" t="s">
        <v>891</v>
      </c>
      <c r="E124" s="25" t="s">
        <v>266</v>
      </c>
      <c r="F124" s="26"/>
      <c r="G124" s="26" t="s">
        <v>1014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="1" customFormat="1" spans="1:12">
      <c r="A125" s="33"/>
      <c r="B125" s="13" t="s">
        <v>893</v>
      </c>
      <c r="C125" s="13" t="s">
        <v>338</v>
      </c>
      <c r="D125" s="10" t="s">
        <v>894</v>
      </c>
      <c r="E125" s="25" t="s">
        <v>266</v>
      </c>
      <c r="F125" s="26"/>
      <c r="G125" s="26" t="s">
        <v>1015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="1" customFormat="1" spans="1:12">
      <c r="A126" s="33"/>
      <c r="B126" s="13" t="s">
        <v>896</v>
      </c>
      <c r="C126" s="13" t="s">
        <v>338</v>
      </c>
      <c r="D126" s="10" t="s">
        <v>897</v>
      </c>
      <c r="E126" s="25" t="s">
        <v>266</v>
      </c>
      <c r="F126" s="26"/>
      <c r="G126" s="26" t="s">
        <v>1016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="1" customFormat="1" spans="1:12">
      <c r="A127" s="33"/>
      <c r="B127" s="13" t="s">
        <v>899</v>
      </c>
      <c r="C127" s="13" t="s">
        <v>338</v>
      </c>
      <c r="D127" s="10" t="s">
        <v>900</v>
      </c>
      <c r="E127" s="25" t="s">
        <v>266</v>
      </c>
      <c r="F127" s="26"/>
      <c r="G127" s="26" t="s">
        <v>1017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="1" customFormat="1" spans="1:12">
      <c r="A128" s="33"/>
      <c r="B128" s="13" t="s">
        <v>902</v>
      </c>
      <c r="C128" s="13" t="s">
        <v>338</v>
      </c>
      <c r="D128" s="10" t="s">
        <v>903</v>
      </c>
      <c r="E128" s="25" t="s">
        <v>266</v>
      </c>
      <c r="F128" s="26"/>
      <c r="G128" s="26" t="s">
        <v>1018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="1" customFormat="1" spans="1:12">
      <c r="A129" s="33"/>
      <c r="B129" s="13" t="s">
        <v>905</v>
      </c>
      <c r="C129" s="13" t="s">
        <v>338</v>
      </c>
      <c r="D129" s="10" t="s">
        <v>906</v>
      </c>
      <c r="E129" s="25" t="s">
        <v>266</v>
      </c>
      <c r="F129" s="26"/>
      <c r="G129" s="26" t="s">
        <v>1019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="1" customFormat="1" spans="1:12">
      <c r="A130" s="33"/>
      <c r="B130" s="13" t="s">
        <v>908</v>
      </c>
      <c r="C130" s="13" t="s">
        <v>338</v>
      </c>
      <c r="D130" s="10" t="s">
        <v>909</v>
      </c>
      <c r="E130" s="25" t="s">
        <v>266</v>
      </c>
      <c r="F130" s="26"/>
      <c r="G130" s="26" t="s">
        <v>1020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="1" customFormat="1" spans="1:12">
      <c r="A131" s="33"/>
      <c r="B131" s="13" t="s">
        <v>911</v>
      </c>
      <c r="C131" s="13" t="s">
        <v>338</v>
      </c>
      <c r="D131" s="10" t="s">
        <v>912</v>
      </c>
      <c r="E131" s="25" t="s">
        <v>266</v>
      </c>
      <c r="F131" s="26"/>
      <c r="G131" s="26" t="s">
        <v>1021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="1" customFormat="1" spans="1:12">
      <c r="A132" s="33"/>
      <c r="B132" s="13" t="s">
        <v>914</v>
      </c>
      <c r="C132" s="13" t="s">
        <v>338</v>
      </c>
      <c r="D132" s="10" t="s">
        <v>915</v>
      </c>
      <c r="E132" s="25" t="s">
        <v>266</v>
      </c>
      <c r="F132" s="26"/>
      <c r="G132" s="26" t="s">
        <v>1022</v>
      </c>
      <c r="H132" s="27"/>
      <c r="I132" s="26"/>
      <c r="J132" s="15" t="s">
        <v>632</v>
      </c>
      <c r="K132" s="15" t="s">
        <v>294</v>
      </c>
      <c r="L132" s="15" t="s">
        <v>633</v>
      </c>
    </row>
    <row r="133" s="1" customFormat="1" spans="1:12">
      <c r="A133" s="33"/>
      <c r="B133" s="13" t="s">
        <v>917</v>
      </c>
      <c r="C133" s="13" t="s">
        <v>338</v>
      </c>
      <c r="D133" s="10" t="s">
        <v>918</v>
      </c>
      <c r="E133" s="25" t="s">
        <v>266</v>
      </c>
      <c r="F133" s="26"/>
      <c r="G133" s="26" t="s">
        <v>1023</v>
      </c>
      <c r="H133" s="27"/>
      <c r="I133" s="26"/>
      <c r="J133" s="15" t="s">
        <v>632</v>
      </c>
      <c r="K133" s="15" t="s">
        <v>294</v>
      </c>
      <c r="L133" s="15" t="s">
        <v>633</v>
      </c>
    </row>
    <row r="134" s="1" customFormat="1" spans="1:12">
      <c r="A134" s="33"/>
      <c r="B134" s="13" t="s">
        <v>920</v>
      </c>
      <c r="C134" s="13" t="s">
        <v>338</v>
      </c>
      <c r="D134" s="10" t="s">
        <v>921</v>
      </c>
      <c r="E134" s="25" t="s">
        <v>266</v>
      </c>
      <c r="F134" s="26"/>
      <c r="G134" s="26" t="s">
        <v>1024</v>
      </c>
      <c r="H134" s="27"/>
      <c r="I134" s="26"/>
      <c r="J134" s="15" t="s">
        <v>632</v>
      </c>
      <c r="K134" s="15" t="s">
        <v>294</v>
      </c>
      <c r="L134" s="15" t="s">
        <v>633</v>
      </c>
    </row>
    <row r="135" s="1" customFormat="1" spans="1:12">
      <c r="A135" s="33"/>
      <c r="B135" s="13" t="s">
        <v>923</v>
      </c>
      <c r="C135" s="13" t="s">
        <v>338</v>
      </c>
      <c r="D135" s="10" t="s">
        <v>924</v>
      </c>
      <c r="E135" s="25" t="s">
        <v>266</v>
      </c>
      <c r="F135" s="26"/>
      <c r="G135" s="26" t="s">
        <v>1025</v>
      </c>
      <c r="H135" s="27"/>
      <c r="I135" s="26"/>
      <c r="J135" s="15" t="s">
        <v>632</v>
      </c>
      <c r="K135" s="15" t="s">
        <v>294</v>
      </c>
      <c r="L135" s="15" t="s">
        <v>633</v>
      </c>
    </row>
    <row r="136" s="1" customFormat="1" spans="1:12">
      <c r="A136" s="33"/>
      <c r="B136" s="13" t="s">
        <v>926</v>
      </c>
      <c r="C136" s="13" t="s">
        <v>291</v>
      </c>
      <c r="D136" s="10" t="s">
        <v>927</v>
      </c>
      <c r="E136" s="25" t="s">
        <v>266</v>
      </c>
      <c r="F136" s="26"/>
      <c r="G136" s="35" t="s">
        <v>1026</v>
      </c>
      <c r="H136" s="27"/>
      <c r="I136" s="56">
        <v>20250415101139</v>
      </c>
      <c r="J136" s="15" t="s">
        <v>632</v>
      </c>
      <c r="K136" s="15" t="s">
        <v>294</v>
      </c>
      <c r="L136" s="15" t="s">
        <v>670</v>
      </c>
    </row>
    <row r="137" s="1" customFormat="1" spans="1:12">
      <c r="A137" s="33"/>
      <c r="B137" s="13" t="s">
        <v>929</v>
      </c>
      <c r="C137" s="13" t="s">
        <v>291</v>
      </c>
      <c r="D137" s="10" t="s">
        <v>930</v>
      </c>
      <c r="E137" s="25" t="s">
        <v>266</v>
      </c>
      <c r="F137" s="26"/>
      <c r="G137" s="35" t="s">
        <v>1027</v>
      </c>
      <c r="H137" s="27"/>
      <c r="I137" s="56">
        <v>20250415101024</v>
      </c>
      <c r="J137" s="15" t="s">
        <v>632</v>
      </c>
      <c r="K137" s="15" t="s">
        <v>294</v>
      </c>
      <c r="L137" s="15" t="s">
        <v>670</v>
      </c>
    </row>
    <row r="138" s="2" customFormat="1" spans="2:17">
      <c r="B138" s="17" t="s">
        <v>594</v>
      </c>
      <c r="C138" s="18" t="s">
        <v>307</v>
      </c>
      <c r="D138" s="19" t="s">
        <v>595</v>
      </c>
      <c r="E138" s="28"/>
      <c r="F138" s="28"/>
      <c r="G138" s="28" t="s">
        <v>932</v>
      </c>
      <c r="H138" s="17" t="s">
        <v>932</v>
      </c>
      <c r="I138" s="17"/>
      <c r="J138" s="17"/>
      <c r="K138" s="17"/>
      <c r="L138" s="17"/>
      <c r="M138" s="17"/>
      <c r="N138" s="17"/>
      <c r="O138" s="17"/>
      <c r="P138" s="17"/>
      <c r="Q138" s="17"/>
    </row>
    <row r="139" s="2" customFormat="1" spans="2:17">
      <c r="B139" s="17" t="s">
        <v>596</v>
      </c>
      <c r="C139" s="18" t="s">
        <v>291</v>
      </c>
      <c r="D139" s="19" t="s">
        <v>597</v>
      </c>
      <c r="E139" s="28"/>
      <c r="F139" s="28"/>
      <c r="G139" s="28" t="s">
        <v>932</v>
      </c>
      <c r="H139" s="17" t="s">
        <v>932</v>
      </c>
      <c r="I139" s="17"/>
      <c r="J139" s="17"/>
      <c r="K139" s="17"/>
      <c r="L139" s="17"/>
      <c r="M139" s="17"/>
      <c r="N139" s="17"/>
      <c r="O139" s="17"/>
      <c r="P139" s="17"/>
      <c r="Q139" s="17"/>
    </row>
    <row r="140" s="2" customFormat="1" spans="2:17">
      <c r="B140" s="17" t="s">
        <v>598</v>
      </c>
      <c r="C140" s="18" t="s">
        <v>307</v>
      </c>
      <c r="D140" s="19" t="s">
        <v>599</v>
      </c>
      <c r="E140" s="28"/>
      <c r="F140" s="28"/>
      <c r="G140" s="28" t="s">
        <v>932</v>
      </c>
      <c r="H140" s="17" t="s">
        <v>932</v>
      </c>
      <c r="I140" s="17"/>
      <c r="J140" s="17"/>
      <c r="K140" s="17"/>
      <c r="L140" s="17"/>
      <c r="M140" s="17"/>
      <c r="N140" s="17"/>
      <c r="O140" s="17"/>
      <c r="P140" s="17"/>
      <c r="Q140" s="17"/>
    </row>
    <row r="141" s="2" customFormat="1" spans="2:17">
      <c r="B141" s="17" t="s">
        <v>600</v>
      </c>
      <c r="C141" s="18" t="s">
        <v>307</v>
      </c>
      <c r="D141" s="19" t="s">
        <v>601</v>
      </c>
      <c r="E141" s="28"/>
      <c r="F141" s="28"/>
      <c r="G141" s="28" t="s">
        <v>932</v>
      </c>
      <c r="H141" s="17" t="s">
        <v>932</v>
      </c>
      <c r="I141" s="17"/>
      <c r="J141" s="17"/>
      <c r="K141" s="17"/>
      <c r="L141" s="17"/>
      <c r="M141" s="17"/>
      <c r="N141" s="17"/>
      <c r="O141" s="17"/>
      <c r="P141" s="17"/>
      <c r="Q141" s="17"/>
    </row>
  </sheetData>
  <autoFilter xmlns:etc="http://www.wps.cn/officeDocument/2017/etCustomData" ref="A13:Q141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6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150</v>
      </c>
      <c r="D5" s="11" t="s">
        <v>151</v>
      </c>
      <c r="E5" s="13" t="s">
        <v>257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148</v>
      </c>
      <c r="D9" s="14" t="s">
        <v>149</v>
      </c>
      <c r="E9" s="13" t="s">
        <v>266</v>
      </c>
      <c r="F9" s="26"/>
      <c r="G9" s="26" t="s">
        <v>1469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32" t="s">
        <v>572</v>
      </c>
      <c r="C29" s="34" t="s">
        <v>291</v>
      </c>
      <c r="D29" s="10" t="s">
        <v>573</v>
      </c>
      <c r="E29" s="25" t="s">
        <v>266</v>
      </c>
      <c r="F29" s="10" t="s">
        <v>572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575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543</v>
      </c>
      <c r="C118" s="13" t="s">
        <v>666</v>
      </c>
      <c r="D118" s="10" t="s">
        <v>544</v>
      </c>
      <c r="E118" s="25" t="s">
        <v>266</v>
      </c>
      <c r="F118" s="26"/>
      <c r="G118" s="26" t="s">
        <v>1008</v>
      </c>
      <c r="H118" s="2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875</v>
      </c>
      <c r="C119" s="13" t="s">
        <v>338</v>
      </c>
      <c r="D119" s="10" t="s">
        <v>876</v>
      </c>
      <c r="E119" s="25" t="s">
        <v>266</v>
      </c>
      <c r="F119" s="26"/>
      <c r="G119" s="26" t="s">
        <v>1009</v>
      </c>
      <c r="H119" s="2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878</v>
      </c>
      <c r="C120" s="13" t="s">
        <v>666</v>
      </c>
      <c r="D120" s="10" t="s">
        <v>879</v>
      </c>
      <c r="E120" s="25" t="s">
        <v>266</v>
      </c>
      <c r="F120" s="26"/>
      <c r="G120" s="26" t="s">
        <v>1010</v>
      </c>
      <c r="H120" s="27"/>
      <c r="I120" s="26"/>
      <c r="J120" s="15" t="s">
        <v>632</v>
      </c>
      <c r="K120" s="15" t="s">
        <v>404</v>
      </c>
      <c r="L120" s="15" t="s">
        <v>633</v>
      </c>
    </row>
    <row r="121" s="1" customFormat="1" spans="1:12">
      <c r="A121" s="33"/>
      <c r="B121" s="13" t="s">
        <v>881</v>
      </c>
      <c r="C121" s="13" t="s">
        <v>666</v>
      </c>
      <c r="D121" s="10" t="s">
        <v>882</v>
      </c>
      <c r="E121" s="25" t="s">
        <v>266</v>
      </c>
      <c r="F121" s="26"/>
      <c r="G121" s="26" t="s">
        <v>1011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="1" customFormat="1" spans="1:12">
      <c r="A122" s="33"/>
      <c r="B122" s="13" t="s">
        <v>884</v>
      </c>
      <c r="C122" s="13" t="s">
        <v>666</v>
      </c>
      <c r="D122" s="10" t="s">
        <v>885</v>
      </c>
      <c r="E122" s="25" t="s">
        <v>266</v>
      </c>
      <c r="F122" s="26"/>
      <c r="G122" s="26" t="s">
        <v>1012</v>
      </c>
      <c r="H122" s="2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13" t="s">
        <v>887</v>
      </c>
      <c r="C123" s="13" t="s">
        <v>338</v>
      </c>
      <c r="D123" s="10" t="s">
        <v>888</v>
      </c>
      <c r="E123" s="25" t="s">
        <v>266</v>
      </c>
      <c r="F123" s="26"/>
      <c r="G123" s="26" t="s">
        <v>1013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="1" customFormat="1" spans="1:12">
      <c r="A124" s="33"/>
      <c r="B124" s="13" t="s">
        <v>890</v>
      </c>
      <c r="C124" s="13" t="s">
        <v>338</v>
      </c>
      <c r="D124" s="10" t="s">
        <v>891</v>
      </c>
      <c r="E124" s="25" t="s">
        <v>266</v>
      </c>
      <c r="F124" s="26"/>
      <c r="G124" s="26" t="s">
        <v>1014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="1" customFormat="1" spans="1:12">
      <c r="A125" s="33"/>
      <c r="B125" s="13" t="s">
        <v>893</v>
      </c>
      <c r="C125" s="13" t="s">
        <v>338</v>
      </c>
      <c r="D125" s="10" t="s">
        <v>894</v>
      </c>
      <c r="E125" s="25" t="s">
        <v>266</v>
      </c>
      <c r="F125" s="26"/>
      <c r="G125" s="26" t="s">
        <v>1015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="1" customFormat="1" spans="1:12">
      <c r="A126" s="33"/>
      <c r="B126" s="13" t="s">
        <v>896</v>
      </c>
      <c r="C126" s="13" t="s">
        <v>338</v>
      </c>
      <c r="D126" s="10" t="s">
        <v>897</v>
      </c>
      <c r="E126" s="25" t="s">
        <v>266</v>
      </c>
      <c r="F126" s="26"/>
      <c r="G126" s="26" t="s">
        <v>1016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="1" customFormat="1" spans="1:12">
      <c r="A127" s="33"/>
      <c r="B127" s="13" t="s">
        <v>899</v>
      </c>
      <c r="C127" s="13" t="s">
        <v>338</v>
      </c>
      <c r="D127" s="10" t="s">
        <v>900</v>
      </c>
      <c r="E127" s="25" t="s">
        <v>266</v>
      </c>
      <c r="F127" s="26"/>
      <c r="G127" s="26" t="s">
        <v>1017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="1" customFormat="1" spans="1:12">
      <c r="A128" s="33"/>
      <c r="B128" s="13" t="s">
        <v>902</v>
      </c>
      <c r="C128" s="13" t="s">
        <v>338</v>
      </c>
      <c r="D128" s="10" t="s">
        <v>903</v>
      </c>
      <c r="E128" s="25" t="s">
        <v>266</v>
      </c>
      <c r="F128" s="26"/>
      <c r="G128" s="26" t="s">
        <v>1018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="1" customFormat="1" spans="1:12">
      <c r="A129" s="33"/>
      <c r="B129" s="13" t="s">
        <v>905</v>
      </c>
      <c r="C129" s="13" t="s">
        <v>338</v>
      </c>
      <c r="D129" s="10" t="s">
        <v>906</v>
      </c>
      <c r="E129" s="25" t="s">
        <v>266</v>
      </c>
      <c r="F129" s="26"/>
      <c r="G129" s="26" t="s">
        <v>1019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="1" customFormat="1" spans="1:12">
      <c r="A130" s="33"/>
      <c r="B130" s="13" t="s">
        <v>908</v>
      </c>
      <c r="C130" s="13" t="s">
        <v>338</v>
      </c>
      <c r="D130" s="10" t="s">
        <v>909</v>
      </c>
      <c r="E130" s="25" t="s">
        <v>266</v>
      </c>
      <c r="F130" s="26"/>
      <c r="G130" s="26" t="s">
        <v>1020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="1" customFormat="1" spans="1:12">
      <c r="A131" s="33"/>
      <c r="B131" s="13" t="s">
        <v>911</v>
      </c>
      <c r="C131" s="13" t="s">
        <v>338</v>
      </c>
      <c r="D131" s="10" t="s">
        <v>912</v>
      </c>
      <c r="E131" s="25" t="s">
        <v>266</v>
      </c>
      <c r="F131" s="26"/>
      <c r="G131" s="26" t="s">
        <v>1021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="1" customFormat="1" spans="1:12">
      <c r="A132" s="33"/>
      <c r="B132" s="13" t="s">
        <v>914</v>
      </c>
      <c r="C132" s="13" t="s">
        <v>338</v>
      </c>
      <c r="D132" s="10" t="s">
        <v>915</v>
      </c>
      <c r="E132" s="25" t="s">
        <v>266</v>
      </c>
      <c r="F132" s="26"/>
      <c r="G132" s="26" t="s">
        <v>1022</v>
      </c>
      <c r="H132" s="27"/>
      <c r="I132" s="26"/>
      <c r="J132" s="15" t="s">
        <v>632</v>
      </c>
      <c r="K132" s="15" t="s">
        <v>294</v>
      </c>
      <c r="L132" s="15" t="s">
        <v>633</v>
      </c>
    </row>
    <row r="133" s="2" customFormat="1" spans="2:17">
      <c r="B133" s="17" t="s">
        <v>594</v>
      </c>
      <c r="C133" s="18" t="s">
        <v>307</v>
      </c>
      <c r="D133" s="19" t="s">
        <v>595</v>
      </c>
      <c r="E133" s="28"/>
      <c r="F133" s="28"/>
      <c r="G133" s="28" t="s">
        <v>932</v>
      </c>
      <c r="H133" s="17" t="s">
        <v>932</v>
      </c>
      <c r="I133" s="17"/>
      <c r="J133" s="17"/>
      <c r="K133" s="17"/>
      <c r="L133" s="17"/>
      <c r="M133" s="17"/>
      <c r="N133" s="17"/>
      <c r="O133" s="17"/>
      <c r="P133" s="17"/>
      <c r="Q133" s="17"/>
    </row>
    <row r="134" s="2" customFormat="1" spans="2:17">
      <c r="B134" s="17" t="s">
        <v>596</v>
      </c>
      <c r="C134" s="18" t="s">
        <v>291</v>
      </c>
      <c r="D134" s="19" t="s">
        <v>597</v>
      </c>
      <c r="E134" s="28"/>
      <c r="F134" s="28"/>
      <c r="G134" s="28" t="s">
        <v>932</v>
      </c>
      <c r="H134" s="17" t="s">
        <v>932</v>
      </c>
      <c r="I134" s="17"/>
      <c r="J134" s="17"/>
      <c r="K134" s="17"/>
      <c r="L134" s="17"/>
      <c r="M134" s="17"/>
      <c r="N134" s="17"/>
      <c r="O134" s="17"/>
      <c r="P134" s="17"/>
      <c r="Q134" s="17"/>
    </row>
    <row r="135" s="2" customFormat="1" spans="2:17">
      <c r="B135" s="17" t="s">
        <v>598</v>
      </c>
      <c r="C135" s="18" t="s">
        <v>307</v>
      </c>
      <c r="D135" s="19" t="s">
        <v>599</v>
      </c>
      <c r="E135" s="28"/>
      <c r="F135" s="28"/>
      <c r="G135" s="28" t="s">
        <v>932</v>
      </c>
      <c r="H135" s="17" t="s">
        <v>932</v>
      </c>
      <c r="I135" s="17"/>
      <c r="J135" s="17"/>
      <c r="K135" s="17"/>
      <c r="L135" s="17"/>
      <c r="M135" s="17"/>
      <c r="N135" s="17"/>
      <c r="O135" s="17"/>
      <c r="P135" s="17"/>
      <c r="Q135" s="17"/>
    </row>
    <row r="136" s="2" customFormat="1" spans="2:17">
      <c r="B136" s="17" t="s">
        <v>600</v>
      </c>
      <c r="C136" s="18" t="s">
        <v>307</v>
      </c>
      <c r="D136" s="19" t="s">
        <v>601</v>
      </c>
      <c r="E136" s="28"/>
      <c r="F136" s="28"/>
      <c r="G136" s="28" t="s">
        <v>932</v>
      </c>
      <c r="H136" s="17" t="s">
        <v>932</v>
      </c>
      <c r="I136" s="17"/>
      <c r="J136" s="17"/>
      <c r="K136" s="17"/>
      <c r="L136" s="17"/>
      <c r="M136" s="17"/>
      <c r="N136" s="17"/>
      <c r="O136" s="17"/>
      <c r="P136" s="17"/>
      <c r="Q136" s="17"/>
    </row>
  </sheetData>
  <autoFilter xmlns:etc="http://www.wps.cn/officeDocument/2017/etCustomData" ref="A13:Q13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6"/>
  <sheetViews>
    <sheetView zoomScale="85" zoomScaleNormal="85" workbookViewId="0">
      <pane ySplit="5" topLeftCell="A77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152</v>
      </c>
      <c r="D5" s="11" t="s">
        <v>153</v>
      </c>
      <c r="E5" s="13" t="s">
        <v>257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148</v>
      </c>
      <c r="D9" s="14" t="s">
        <v>149</v>
      </c>
      <c r="E9" s="13" t="s">
        <v>266</v>
      </c>
      <c r="F9" s="26"/>
      <c r="G9" s="26" t="s">
        <v>1470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37" t="s">
        <v>1471</v>
      </c>
      <c r="I28" s="15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32" t="s">
        <v>572</v>
      </c>
      <c r="C29" s="34" t="s">
        <v>291</v>
      </c>
      <c r="D29" s="10" t="s">
        <v>573</v>
      </c>
      <c r="E29" s="25" t="s">
        <v>266</v>
      </c>
      <c r="F29" s="10" t="s">
        <v>572</v>
      </c>
      <c r="G29" s="26" t="s">
        <v>293</v>
      </c>
      <c r="H29" s="37" t="s">
        <v>1472</v>
      </c>
      <c r="I29" s="15"/>
      <c r="J29" s="15" t="s">
        <v>604</v>
      </c>
      <c r="K29" s="15" t="s">
        <v>294</v>
      </c>
      <c r="L29" s="15" t="s">
        <v>575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ht="65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 t="s">
        <v>1473</v>
      </c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543</v>
      </c>
      <c r="C118" s="13" t="s">
        <v>666</v>
      </c>
      <c r="D118" s="10" t="s">
        <v>544</v>
      </c>
      <c r="E118" s="25" t="s">
        <v>266</v>
      </c>
      <c r="F118" s="26"/>
      <c r="G118" s="26" t="s">
        <v>1008</v>
      </c>
      <c r="H118" s="2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875</v>
      </c>
      <c r="C119" s="13" t="s">
        <v>338</v>
      </c>
      <c r="D119" s="10" t="s">
        <v>876</v>
      </c>
      <c r="E119" s="25" t="s">
        <v>266</v>
      </c>
      <c r="F119" s="26"/>
      <c r="G119" s="26" t="s">
        <v>1009</v>
      </c>
      <c r="H119" s="2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878</v>
      </c>
      <c r="C120" s="13" t="s">
        <v>666</v>
      </c>
      <c r="D120" s="10" t="s">
        <v>879</v>
      </c>
      <c r="E120" s="25" t="s">
        <v>266</v>
      </c>
      <c r="F120" s="26"/>
      <c r="G120" s="26" t="s">
        <v>1010</v>
      </c>
      <c r="H120" s="27"/>
      <c r="I120" s="26"/>
      <c r="J120" s="15" t="s">
        <v>632</v>
      </c>
      <c r="K120" s="15" t="s">
        <v>404</v>
      </c>
      <c r="L120" s="15" t="s">
        <v>633</v>
      </c>
    </row>
    <row r="121" s="1" customFormat="1" spans="1:12">
      <c r="A121" s="33"/>
      <c r="B121" s="13" t="s">
        <v>881</v>
      </c>
      <c r="C121" s="13" t="s">
        <v>666</v>
      </c>
      <c r="D121" s="10" t="s">
        <v>882</v>
      </c>
      <c r="E121" s="25" t="s">
        <v>266</v>
      </c>
      <c r="F121" s="26"/>
      <c r="G121" s="26" t="s">
        <v>1011</v>
      </c>
      <c r="H121" s="27"/>
      <c r="I121" s="26"/>
      <c r="J121" s="15" t="s">
        <v>632</v>
      </c>
      <c r="K121" s="15" t="s">
        <v>294</v>
      </c>
      <c r="L121" s="15" t="s">
        <v>633</v>
      </c>
    </row>
    <row r="122" s="1" customFormat="1" spans="1:12">
      <c r="A122" s="33"/>
      <c r="B122" s="13" t="s">
        <v>884</v>
      </c>
      <c r="C122" s="13" t="s">
        <v>666</v>
      </c>
      <c r="D122" s="10" t="s">
        <v>885</v>
      </c>
      <c r="E122" s="25" t="s">
        <v>266</v>
      </c>
      <c r="F122" s="26"/>
      <c r="G122" s="26" t="s">
        <v>1012</v>
      </c>
      <c r="H122" s="2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13" t="s">
        <v>887</v>
      </c>
      <c r="C123" s="13" t="s">
        <v>338</v>
      </c>
      <c r="D123" s="10" t="s">
        <v>888</v>
      </c>
      <c r="E123" s="25" t="s">
        <v>266</v>
      </c>
      <c r="F123" s="26"/>
      <c r="G123" s="26" t="s">
        <v>1013</v>
      </c>
      <c r="H123" s="27"/>
      <c r="I123" s="26"/>
      <c r="J123" s="15" t="s">
        <v>632</v>
      </c>
      <c r="K123" s="15" t="s">
        <v>294</v>
      </c>
      <c r="L123" s="15" t="s">
        <v>633</v>
      </c>
    </row>
    <row r="124" s="1" customFormat="1" spans="1:12">
      <c r="A124" s="33"/>
      <c r="B124" s="13" t="s">
        <v>890</v>
      </c>
      <c r="C124" s="13" t="s">
        <v>338</v>
      </c>
      <c r="D124" s="10" t="s">
        <v>891</v>
      </c>
      <c r="E124" s="25" t="s">
        <v>266</v>
      </c>
      <c r="F124" s="26"/>
      <c r="G124" s="26" t="s">
        <v>1014</v>
      </c>
      <c r="H124" s="27"/>
      <c r="I124" s="26"/>
      <c r="J124" s="15" t="s">
        <v>632</v>
      </c>
      <c r="K124" s="15" t="s">
        <v>294</v>
      </c>
      <c r="L124" s="15" t="s">
        <v>633</v>
      </c>
    </row>
    <row r="125" s="1" customFormat="1" spans="1:12">
      <c r="A125" s="33"/>
      <c r="B125" s="13" t="s">
        <v>893</v>
      </c>
      <c r="C125" s="13" t="s">
        <v>338</v>
      </c>
      <c r="D125" s="10" t="s">
        <v>894</v>
      </c>
      <c r="E125" s="25" t="s">
        <v>266</v>
      </c>
      <c r="F125" s="26"/>
      <c r="G125" s="26" t="s">
        <v>1015</v>
      </c>
      <c r="H125" s="27"/>
      <c r="I125" s="26"/>
      <c r="J125" s="15" t="s">
        <v>632</v>
      </c>
      <c r="K125" s="15" t="s">
        <v>294</v>
      </c>
      <c r="L125" s="15" t="s">
        <v>633</v>
      </c>
    </row>
    <row r="126" s="1" customFormat="1" spans="1:12">
      <c r="A126" s="33"/>
      <c r="B126" s="13" t="s">
        <v>896</v>
      </c>
      <c r="C126" s="13" t="s">
        <v>338</v>
      </c>
      <c r="D126" s="10" t="s">
        <v>897</v>
      </c>
      <c r="E126" s="25" t="s">
        <v>266</v>
      </c>
      <c r="F126" s="26"/>
      <c r="G126" s="26" t="s">
        <v>1016</v>
      </c>
      <c r="H126" s="27"/>
      <c r="I126" s="26"/>
      <c r="J126" s="15" t="s">
        <v>632</v>
      </c>
      <c r="K126" s="15" t="s">
        <v>294</v>
      </c>
      <c r="L126" s="15" t="s">
        <v>633</v>
      </c>
    </row>
    <row r="127" s="1" customFormat="1" spans="1:12">
      <c r="A127" s="33"/>
      <c r="B127" s="13" t="s">
        <v>899</v>
      </c>
      <c r="C127" s="13" t="s">
        <v>338</v>
      </c>
      <c r="D127" s="10" t="s">
        <v>900</v>
      </c>
      <c r="E127" s="25" t="s">
        <v>266</v>
      </c>
      <c r="F127" s="26"/>
      <c r="G127" s="26" t="s">
        <v>1017</v>
      </c>
      <c r="H127" s="27"/>
      <c r="I127" s="26"/>
      <c r="J127" s="15" t="s">
        <v>632</v>
      </c>
      <c r="K127" s="15" t="s">
        <v>294</v>
      </c>
      <c r="L127" s="15" t="s">
        <v>633</v>
      </c>
    </row>
    <row r="128" s="1" customFormat="1" spans="1:12">
      <c r="A128" s="33"/>
      <c r="B128" s="13" t="s">
        <v>902</v>
      </c>
      <c r="C128" s="13" t="s">
        <v>338</v>
      </c>
      <c r="D128" s="10" t="s">
        <v>903</v>
      </c>
      <c r="E128" s="25" t="s">
        <v>266</v>
      </c>
      <c r="F128" s="26"/>
      <c r="G128" s="26" t="s">
        <v>1018</v>
      </c>
      <c r="H128" s="27"/>
      <c r="I128" s="26"/>
      <c r="J128" s="15" t="s">
        <v>632</v>
      </c>
      <c r="K128" s="15" t="s">
        <v>294</v>
      </c>
      <c r="L128" s="15" t="s">
        <v>633</v>
      </c>
    </row>
    <row r="129" s="1" customFormat="1" spans="1:12">
      <c r="A129" s="33"/>
      <c r="B129" s="13" t="s">
        <v>905</v>
      </c>
      <c r="C129" s="13" t="s">
        <v>338</v>
      </c>
      <c r="D129" s="10" t="s">
        <v>906</v>
      </c>
      <c r="E129" s="25" t="s">
        <v>266</v>
      </c>
      <c r="F129" s="26"/>
      <c r="G129" s="26" t="s">
        <v>1019</v>
      </c>
      <c r="H129" s="27"/>
      <c r="I129" s="26"/>
      <c r="J129" s="15" t="s">
        <v>632</v>
      </c>
      <c r="K129" s="15" t="s">
        <v>294</v>
      </c>
      <c r="L129" s="15" t="s">
        <v>633</v>
      </c>
    </row>
    <row r="130" s="1" customFormat="1" spans="1:12">
      <c r="A130" s="33"/>
      <c r="B130" s="13" t="s">
        <v>908</v>
      </c>
      <c r="C130" s="13" t="s">
        <v>338</v>
      </c>
      <c r="D130" s="10" t="s">
        <v>909</v>
      </c>
      <c r="E130" s="25" t="s">
        <v>266</v>
      </c>
      <c r="F130" s="26"/>
      <c r="G130" s="26" t="s">
        <v>1020</v>
      </c>
      <c r="H130" s="27"/>
      <c r="I130" s="26"/>
      <c r="J130" s="15" t="s">
        <v>632</v>
      </c>
      <c r="K130" s="15" t="s">
        <v>294</v>
      </c>
      <c r="L130" s="15" t="s">
        <v>633</v>
      </c>
    </row>
    <row r="131" s="1" customFormat="1" spans="1:12">
      <c r="A131" s="33"/>
      <c r="B131" s="13" t="s">
        <v>911</v>
      </c>
      <c r="C131" s="13" t="s">
        <v>338</v>
      </c>
      <c r="D131" s="10" t="s">
        <v>912</v>
      </c>
      <c r="E131" s="25" t="s">
        <v>266</v>
      </c>
      <c r="F131" s="26"/>
      <c r="G131" s="26" t="s">
        <v>1021</v>
      </c>
      <c r="H131" s="27"/>
      <c r="I131" s="26"/>
      <c r="J131" s="15" t="s">
        <v>632</v>
      </c>
      <c r="K131" s="15" t="s">
        <v>294</v>
      </c>
      <c r="L131" s="15" t="s">
        <v>633</v>
      </c>
    </row>
    <row r="132" s="1" customFormat="1" spans="1:12">
      <c r="A132" s="33"/>
      <c r="B132" s="13" t="s">
        <v>914</v>
      </c>
      <c r="C132" s="13" t="s">
        <v>338</v>
      </c>
      <c r="D132" s="10" t="s">
        <v>915</v>
      </c>
      <c r="E132" s="25" t="s">
        <v>266</v>
      </c>
      <c r="F132" s="26"/>
      <c r="G132" s="26" t="s">
        <v>1022</v>
      </c>
      <c r="H132" s="27"/>
      <c r="I132" s="26"/>
      <c r="J132" s="15" t="s">
        <v>632</v>
      </c>
      <c r="K132" s="15" t="s">
        <v>294</v>
      </c>
      <c r="L132" s="15" t="s">
        <v>633</v>
      </c>
    </row>
    <row r="133" s="2" customFormat="1" spans="2:17">
      <c r="B133" s="17" t="s">
        <v>594</v>
      </c>
      <c r="C133" s="18" t="s">
        <v>307</v>
      </c>
      <c r="D133" s="19" t="s">
        <v>595</v>
      </c>
      <c r="E133" s="28"/>
      <c r="F133" s="28"/>
      <c r="G133" s="28" t="s">
        <v>932</v>
      </c>
      <c r="H133" s="17" t="s">
        <v>932</v>
      </c>
      <c r="I133" s="17"/>
      <c r="J133" s="17"/>
      <c r="K133" s="17"/>
      <c r="L133" s="17"/>
      <c r="M133" s="17"/>
      <c r="N133" s="17"/>
      <c r="O133" s="17"/>
      <c r="P133" s="17"/>
      <c r="Q133" s="17"/>
    </row>
    <row r="134" s="2" customFormat="1" spans="2:17">
      <c r="B134" s="17" t="s">
        <v>596</v>
      </c>
      <c r="C134" s="18" t="s">
        <v>291</v>
      </c>
      <c r="D134" s="19" t="s">
        <v>597</v>
      </c>
      <c r="E134" s="28"/>
      <c r="F134" s="28"/>
      <c r="G134" s="28" t="s">
        <v>932</v>
      </c>
      <c r="H134" s="17" t="s">
        <v>932</v>
      </c>
      <c r="I134" s="17"/>
      <c r="J134" s="17"/>
      <c r="K134" s="17"/>
      <c r="L134" s="17"/>
      <c r="M134" s="17"/>
      <c r="N134" s="17"/>
      <c r="O134" s="17"/>
      <c r="P134" s="17"/>
      <c r="Q134" s="17"/>
    </row>
    <row r="135" s="2" customFormat="1" spans="2:17">
      <c r="B135" s="17" t="s">
        <v>598</v>
      </c>
      <c r="C135" s="18" t="s">
        <v>307</v>
      </c>
      <c r="D135" s="19" t="s">
        <v>599</v>
      </c>
      <c r="E135" s="28"/>
      <c r="F135" s="28"/>
      <c r="G135" s="28" t="s">
        <v>932</v>
      </c>
      <c r="H135" s="17" t="s">
        <v>932</v>
      </c>
      <c r="I135" s="17"/>
      <c r="J135" s="17"/>
      <c r="K135" s="17"/>
      <c r="L135" s="17"/>
      <c r="M135" s="17"/>
      <c r="N135" s="17"/>
      <c r="O135" s="17"/>
      <c r="P135" s="17"/>
      <c r="Q135" s="17"/>
    </row>
    <row r="136" s="2" customFormat="1" spans="2:17">
      <c r="B136" s="17" t="s">
        <v>600</v>
      </c>
      <c r="C136" s="18" t="s">
        <v>307</v>
      </c>
      <c r="D136" s="19" t="s">
        <v>601</v>
      </c>
      <c r="E136" s="28"/>
      <c r="F136" s="28"/>
      <c r="G136" s="28" t="s">
        <v>932</v>
      </c>
      <c r="H136" s="17" t="s">
        <v>932</v>
      </c>
      <c r="I136" s="17"/>
      <c r="J136" s="17"/>
      <c r="K136" s="17"/>
      <c r="L136" s="17"/>
      <c r="M136" s="17"/>
      <c r="N136" s="17"/>
      <c r="O136" s="17"/>
      <c r="P136" s="17"/>
      <c r="Q136" s="17"/>
    </row>
  </sheetData>
  <autoFilter xmlns:etc="http://www.wps.cn/officeDocument/2017/etCustomData" ref="A13:Q13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4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154</v>
      </c>
      <c r="D5" s="11" t="s">
        <v>155</v>
      </c>
      <c r="E5" s="13" t="s">
        <v>257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148</v>
      </c>
      <c r="D9" s="14" t="s">
        <v>149</v>
      </c>
      <c r="E9" s="13" t="s">
        <v>266</v>
      </c>
      <c r="F9" s="26"/>
      <c r="G9" s="26" t="s">
        <v>1474</v>
      </c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37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10" t="s">
        <v>522</v>
      </c>
      <c r="G21" s="26" t="s">
        <v>293</v>
      </c>
      <c r="H21" s="3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10" t="s">
        <v>524</v>
      </c>
      <c r="G22" s="26" t="s">
        <v>293</v>
      </c>
      <c r="H22" s="3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10" t="s">
        <v>526</v>
      </c>
      <c r="G23" s="26" t="s">
        <v>293</v>
      </c>
      <c r="H23" s="3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10" t="s">
        <v>514</v>
      </c>
      <c r="G24" s="26" t="s">
        <v>293</v>
      </c>
      <c r="H24" s="37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13" t="s">
        <v>295</v>
      </c>
      <c r="C25" s="13" t="s">
        <v>291</v>
      </c>
      <c r="D25" s="10" t="s">
        <v>618</v>
      </c>
      <c r="E25" s="25" t="s">
        <v>266</v>
      </c>
      <c r="F25" s="10" t="s">
        <v>295</v>
      </c>
      <c r="G25" s="26" t="s">
        <v>293</v>
      </c>
      <c r="H25" s="3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10" t="s">
        <v>297</v>
      </c>
      <c r="G26" s="26" t="s">
        <v>293</v>
      </c>
      <c r="H26" s="37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10" t="s">
        <v>300</v>
      </c>
      <c r="G27" s="26" t="s">
        <v>293</v>
      </c>
      <c r="H27" s="37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37"/>
      <c r="I28" s="15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32" t="s">
        <v>572</v>
      </c>
      <c r="C29" s="34" t="s">
        <v>291</v>
      </c>
      <c r="D29" s="10" t="s">
        <v>573</v>
      </c>
      <c r="E29" s="25" t="s">
        <v>266</v>
      </c>
      <c r="F29" s="10" t="s">
        <v>572</v>
      </c>
      <c r="G29" s="26" t="s">
        <v>293</v>
      </c>
      <c r="H29" s="37"/>
      <c r="I29" s="15"/>
      <c r="J29" s="15" t="s">
        <v>604</v>
      </c>
      <c r="K29" s="15" t="s">
        <v>294</v>
      </c>
      <c r="L29" s="15" t="s">
        <v>575</v>
      </c>
    </row>
    <row r="30" s="1" customFormat="1" spans="1:12">
      <c r="A30" s="33"/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37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2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634</v>
      </c>
      <c r="C32" s="13" t="s">
        <v>338</v>
      </c>
      <c r="D32" s="10" t="s">
        <v>635</v>
      </c>
      <c r="E32" s="25" t="s">
        <v>266</v>
      </c>
      <c r="F32" s="26"/>
      <c r="G32" s="26" t="s">
        <v>934</v>
      </c>
      <c r="H32" s="2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637</v>
      </c>
      <c r="C33" s="13" t="s">
        <v>338</v>
      </c>
      <c r="D33" s="10" t="s">
        <v>638</v>
      </c>
      <c r="E33" s="25" t="s">
        <v>266</v>
      </c>
      <c r="F33" s="26"/>
      <c r="G33" s="26" t="s">
        <v>935</v>
      </c>
      <c r="H33" s="2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32" t="s">
        <v>337</v>
      </c>
      <c r="C34" s="32" t="s">
        <v>338</v>
      </c>
      <c r="D34" s="10" t="s">
        <v>640</v>
      </c>
      <c r="E34" s="25" t="s">
        <v>266</v>
      </c>
      <c r="F34" s="26"/>
      <c r="G34" s="26" t="s">
        <v>641</v>
      </c>
      <c r="H34" s="27"/>
      <c r="I34" s="26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342</v>
      </c>
      <c r="C35" s="13" t="s">
        <v>338</v>
      </c>
      <c r="D35" s="10" t="s">
        <v>642</v>
      </c>
      <c r="E35" s="25" t="s">
        <v>266</v>
      </c>
      <c r="F35" s="26"/>
      <c r="G35" s="26" t="s">
        <v>643</v>
      </c>
      <c r="H35" s="2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340</v>
      </c>
      <c r="C36" s="13" t="s">
        <v>338</v>
      </c>
      <c r="D36" s="10" t="s">
        <v>645</v>
      </c>
      <c r="E36" s="25" t="s">
        <v>266</v>
      </c>
      <c r="F36" s="26"/>
      <c r="G36" s="26" t="s">
        <v>646</v>
      </c>
      <c r="H36" s="2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647</v>
      </c>
      <c r="C37" s="13" t="s">
        <v>338</v>
      </c>
      <c r="D37" s="10" t="s">
        <v>648</v>
      </c>
      <c r="E37" s="25" t="s">
        <v>266</v>
      </c>
      <c r="F37" s="26"/>
      <c r="G37" s="26" t="s">
        <v>936</v>
      </c>
      <c r="H37" s="2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650</v>
      </c>
      <c r="C38" s="13" t="s">
        <v>338</v>
      </c>
      <c r="D38" s="10" t="s">
        <v>651</v>
      </c>
      <c r="E38" s="25" t="s">
        <v>266</v>
      </c>
      <c r="F38" s="26"/>
      <c r="G38" s="26" t="s">
        <v>937</v>
      </c>
      <c r="H38" s="2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653</v>
      </c>
      <c r="C39" s="13" t="s">
        <v>338</v>
      </c>
      <c r="D39" s="10" t="s">
        <v>654</v>
      </c>
      <c r="E39" s="25" t="s">
        <v>266</v>
      </c>
      <c r="F39" s="26"/>
      <c r="G39" s="26" t="s">
        <v>938</v>
      </c>
      <c r="H39" s="2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656</v>
      </c>
      <c r="C40" s="13" t="s">
        <v>338</v>
      </c>
      <c r="D40" s="10" t="s">
        <v>657</v>
      </c>
      <c r="E40" s="25" t="s">
        <v>266</v>
      </c>
      <c r="F40" s="26"/>
      <c r="G40" s="26" t="s">
        <v>939</v>
      </c>
      <c r="H40" s="27"/>
      <c r="I40" s="26"/>
      <c r="J40" s="15" t="s">
        <v>632</v>
      </c>
      <c r="K40" s="15" t="s">
        <v>644</v>
      </c>
      <c r="L40" s="15" t="s">
        <v>633</v>
      </c>
    </row>
    <row r="41" s="1" customFormat="1" spans="1:12">
      <c r="A41" s="33"/>
      <c r="B41" s="13" t="s">
        <v>659</v>
      </c>
      <c r="C41" s="13" t="s">
        <v>338</v>
      </c>
      <c r="D41" s="10" t="s">
        <v>660</v>
      </c>
      <c r="E41" s="25" t="s">
        <v>266</v>
      </c>
      <c r="F41" s="26"/>
      <c r="G41" s="26" t="s">
        <v>940</v>
      </c>
      <c r="H41" s="2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662</v>
      </c>
      <c r="C42" s="13" t="s">
        <v>338</v>
      </c>
      <c r="D42" s="10" t="s">
        <v>663</v>
      </c>
      <c r="E42" s="25" t="s">
        <v>266</v>
      </c>
      <c r="F42" s="26"/>
      <c r="G42" s="26" t="s">
        <v>941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665</v>
      </c>
      <c r="C43" s="13" t="s">
        <v>666</v>
      </c>
      <c r="D43" s="10" t="s">
        <v>667</v>
      </c>
      <c r="E43" s="25" t="s">
        <v>266</v>
      </c>
      <c r="F43" s="26"/>
      <c r="G43" s="26" t="s">
        <v>942</v>
      </c>
      <c r="H43" s="27"/>
      <c r="I43" s="26"/>
      <c r="J43" s="15" t="s">
        <v>632</v>
      </c>
      <c r="K43" s="15" t="s">
        <v>669</v>
      </c>
      <c r="L43" s="15" t="s">
        <v>670</v>
      </c>
    </row>
    <row r="44" s="1" customFormat="1" spans="1:12">
      <c r="A44" s="33"/>
      <c r="B44" s="13" t="s">
        <v>671</v>
      </c>
      <c r="C44" s="13" t="s">
        <v>666</v>
      </c>
      <c r="D44" s="10" t="s">
        <v>672</v>
      </c>
      <c r="E44" s="25" t="s">
        <v>266</v>
      </c>
      <c r="F44" s="26"/>
      <c r="G44" s="26" t="s">
        <v>943</v>
      </c>
      <c r="H44" s="27"/>
      <c r="I44" s="26"/>
      <c r="J44" s="15" t="s">
        <v>632</v>
      </c>
      <c r="K44" s="15" t="s">
        <v>674</v>
      </c>
      <c r="L44" s="15" t="s">
        <v>670</v>
      </c>
    </row>
    <row r="45" s="1" customFormat="1" spans="1:12">
      <c r="A45" s="33"/>
      <c r="B45" s="13" t="s">
        <v>675</v>
      </c>
      <c r="C45" s="13" t="s">
        <v>666</v>
      </c>
      <c r="D45" s="10" t="s">
        <v>676</v>
      </c>
      <c r="E45" s="25" t="s">
        <v>266</v>
      </c>
      <c r="F45" s="26"/>
      <c r="G45" s="26" t="s">
        <v>944</v>
      </c>
      <c r="H45" s="27"/>
      <c r="I45" s="26"/>
      <c r="J45" s="15" t="s">
        <v>632</v>
      </c>
      <c r="K45" s="15" t="s">
        <v>669</v>
      </c>
      <c r="L45" s="15" t="s">
        <v>670</v>
      </c>
    </row>
    <row r="46" s="1" customFormat="1" spans="1:12">
      <c r="A46" s="33"/>
      <c r="B46" s="13" t="s">
        <v>678</v>
      </c>
      <c r="C46" s="13" t="s">
        <v>666</v>
      </c>
      <c r="D46" s="10" t="s">
        <v>679</v>
      </c>
      <c r="E46" s="25" t="s">
        <v>266</v>
      </c>
      <c r="F46" s="26"/>
      <c r="G46" s="26" t="s">
        <v>945</v>
      </c>
      <c r="H46" s="27"/>
      <c r="I46" s="26"/>
      <c r="J46" s="15" t="s">
        <v>632</v>
      </c>
      <c r="K46" s="15" t="s">
        <v>674</v>
      </c>
      <c r="L46" s="15" t="s">
        <v>670</v>
      </c>
    </row>
    <row r="47" s="1" customFormat="1" spans="1:12">
      <c r="A47" s="33"/>
      <c r="B47" s="13" t="s">
        <v>681</v>
      </c>
      <c r="C47" s="13" t="s">
        <v>666</v>
      </c>
      <c r="D47" s="10" t="s">
        <v>682</v>
      </c>
      <c r="E47" s="25" t="s">
        <v>266</v>
      </c>
      <c r="F47" s="26"/>
      <c r="G47" s="26" t="s">
        <v>946</v>
      </c>
      <c r="H47" s="27"/>
      <c r="I47" s="26"/>
      <c r="J47" s="15" t="s">
        <v>632</v>
      </c>
      <c r="K47" s="15" t="s">
        <v>669</v>
      </c>
      <c r="L47" s="15" t="s">
        <v>670</v>
      </c>
    </row>
    <row r="48" s="1" customFormat="1" spans="1:12">
      <c r="A48" s="33"/>
      <c r="B48" s="13" t="s">
        <v>684</v>
      </c>
      <c r="C48" s="13" t="s">
        <v>666</v>
      </c>
      <c r="D48" s="10" t="s">
        <v>685</v>
      </c>
      <c r="E48" s="25" t="s">
        <v>266</v>
      </c>
      <c r="F48" s="26"/>
      <c r="G48" s="26" t="s">
        <v>947</v>
      </c>
      <c r="H48" s="27"/>
      <c r="I48" s="26"/>
      <c r="J48" s="15" t="s">
        <v>632</v>
      </c>
      <c r="K48" s="15" t="s">
        <v>674</v>
      </c>
      <c r="L48" s="15" t="s">
        <v>670</v>
      </c>
    </row>
    <row r="49" s="1" customFormat="1" spans="1:12">
      <c r="A49" s="33"/>
      <c r="B49" s="13" t="s">
        <v>687</v>
      </c>
      <c r="C49" s="13" t="s">
        <v>666</v>
      </c>
      <c r="D49" s="10" t="s">
        <v>688</v>
      </c>
      <c r="E49" s="25" t="s">
        <v>266</v>
      </c>
      <c r="F49" s="26"/>
      <c r="G49" s="26" t="s">
        <v>948</v>
      </c>
      <c r="H49" s="27"/>
      <c r="I49" s="26"/>
      <c r="J49" s="15" t="s">
        <v>632</v>
      </c>
      <c r="K49" s="15" t="s">
        <v>669</v>
      </c>
      <c r="L49" s="15" t="s">
        <v>670</v>
      </c>
    </row>
    <row r="50" s="1" customFormat="1" spans="1:12">
      <c r="A50" s="33"/>
      <c r="B50" s="13" t="s">
        <v>690</v>
      </c>
      <c r="C50" s="13" t="s">
        <v>666</v>
      </c>
      <c r="D50" s="10" t="s">
        <v>691</v>
      </c>
      <c r="E50" s="25" t="s">
        <v>266</v>
      </c>
      <c r="F50" s="26"/>
      <c r="G50" s="26" t="s">
        <v>949</v>
      </c>
      <c r="H50" s="27"/>
      <c r="I50" s="26"/>
      <c r="J50" s="15" t="s">
        <v>632</v>
      </c>
      <c r="K50" s="15" t="s">
        <v>674</v>
      </c>
      <c r="L50" s="15" t="s">
        <v>670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26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26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26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26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26"/>
      <c r="G55" s="26" t="s">
        <v>950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26"/>
      <c r="G56" s="26" t="s">
        <v>951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26"/>
      <c r="G57" s="26" t="s">
        <v>952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26"/>
      <c r="G58" s="26" t="s">
        <v>953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26"/>
      <c r="G59" s="26" t="s">
        <v>954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26"/>
      <c r="G60" s="26" t="s">
        <v>955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26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26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528</v>
      </c>
      <c r="C63" s="13" t="s">
        <v>338</v>
      </c>
      <c r="D63" s="10" t="s">
        <v>723</v>
      </c>
      <c r="E63" s="25" t="s">
        <v>266</v>
      </c>
      <c r="F63" s="26"/>
      <c r="G63" s="26" t="s">
        <v>724</v>
      </c>
      <c r="H63" s="2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532</v>
      </c>
      <c r="C64" s="13" t="s">
        <v>338</v>
      </c>
      <c r="D64" s="10" t="s">
        <v>725</v>
      </c>
      <c r="E64" s="25" t="s">
        <v>266</v>
      </c>
      <c r="F64" s="26"/>
      <c r="G64" s="26" t="s">
        <v>726</v>
      </c>
      <c r="H64" s="2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535</v>
      </c>
      <c r="C65" s="13" t="s">
        <v>338</v>
      </c>
      <c r="D65" s="10" t="s">
        <v>536</v>
      </c>
      <c r="E65" s="25" t="s">
        <v>266</v>
      </c>
      <c r="F65" s="26"/>
      <c r="G65" s="26" t="s">
        <v>727</v>
      </c>
      <c r="H65" s="2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728</v>
      </c>
      <c r="C66" s="13" t="s">
        <v>338</v>
      </c>
      <c r="D66" s="10" t="s">
        <v>729</v>
      </c>
      <c r="E66" s="25" t="s">
        <v>266</v>
      </c>
      <c r="F66" s="26"/>
      <c r="G66" s="26" t="s">
        <v>956</v>
      </c>
      <c r="H66" s="2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730</v>
      </c>
      <c r="C67" s="13" t="s">
        <v>666</v>
      </c>
      <c r="D67" s="10" t="s">
        <v>731</v>
      </c>
      <c r="E67" s="25" t="s">
        <v>266</v>
      </c>
      <c r="F67" s="26"/>
      <c r="G67" s="26" t="s">
        <v>957</v>
      </c>
      <c r="H67" s="2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733</v>
      </c>
      <c r="C68" s="13" t="s">
        <v>338</v>
      </c>
      <c r="D68" s="10" t="s">
        <v>734</v>
      </c>
      <c r="E68" s="25" t="s">
        <v>266</v>
      </c>
      <c r="F68" s="26"/>
      <c r="G68" s="26" t="s">
        <v>958</v>
      </c>
      <c r="H68" s="2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736</v>
      </c>
      <c r="C69" s="13" t="s">
        <v>338</v>
      </c>
      <c r="D69" s="10" t="s">
        <v>737</v>
      </c>
      <c r="E69" s="25" t="s">
        <v>266</v>
      </c>
      <c r="F69" s="26"/>
      <c r="G69" s="26" t="s">
        <v>959</v>
      </c>
      <c r="H69" s="2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739</v>
      </c>
      <c r="C70" s="13" t="s">
        <v>338</v>
      </c>
      <c r="D70" s="10" t="s">
        <v>740</v>
      </c>
      <c r="E70" s="25" t="s">
        <v>266</v>
      </c>
      <c r="F70" s="26"/>
      <c r="G70" s="26" t="s">
        <v>960</v>
      </c>
      <c r="H70" s="2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742</v>
      </c>
      <c r="C71" s="13" t="s">
        <v>338</v>
      </c>
      <c r="D71" s="10" t="s">
        <v>743</v>
      </c>
      <c r="E71" s="25" t="s">
        <v>266</v>
      </c>
      <c r="F71" s="26"/>
      <c r="G71" s="26" t="s">
        <v>961</v>
      </c>
      <c r="H71" s="2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745</v>
      </c>
      <c r="C72" s="13" t="s">
        <v>338</v>
      </c>
      <c r="D72" s="10" t="s">
        <v>746</v>
      </c>
      <c r="E72" s="25" t="s">
        <v>266</v>
      </c>
      <c r="F72" s="26"/>
      <c r="G72" s="26" t="s">
        <v>962</v>
      </c>
      <c r="H72" s="2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748</v>
      </c>
      <c r="C73" s="13" t="s">
        <v>338</v>
      </c>
      <c r="D73" s="10" t="s">
        <v>749</v>
      </c>
      <c r="E73" s="25" t="s">
        <v>266</v>
      </c>
      <c r="F73" s="26"/>
      <c r="G73" s="26" t="s">
        <v>963</v>
      </c>
      <c r="H73" s="2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751</v>
      </c>
      <c r="C74" s="13" t="s">
        <v>666</v>
      </c>
      <c r="D74" s="10" t="s">
        <v>752</v>
      </c>
      <c r="E74" s="25" t="s">
        <v>266</v>
      </c>
      <c r="F74" s="26"/>
      <c r="G74" s="26" t="s">
        <v>964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754</v>
      </c>
      <c r="C75" s="13" t="s">
        <v>338</v>
      </c>
      <c r="D75" s="10" t="s">
        <v>755</v>
      </c>
      <c r="E75" s="25" t="s">
        <v>266</v>
      </c>
      <c r="F75" s="26"/>
      <c r="G75" s="26" t="s">
        <v>965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757</v>
      </c>
      <c r="C76" s="13" t="s">
        <v>338</v>
      </c>
      <c r="D76" s="10" t="s">
        <v>758</v>
      </c>
      <c r="E76" s="25" t="s">
        <v>266</v>
      </c>
      <c r="F76" s="26"/>
      <c r="G76" s="26" t="s">
        <v>966</v>
      </c>
      <c r="H76" s="2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760</v>
      </c>
      <c r="C77" s="13" t="s">
        <v>338</v>
      </c>
      <c r="D77" s="10" t="s">
        <v>761</v>
      </c>
      <c r="E77" s="25" t="s">
        <v>266</v>
      </c>
      <c r="F77" s="26"/>
      <c r="G77" s="26" t="s">
        <v>967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763</v>
      </c>
      <c r="C78" s="13" t="s">
        <v>338</v>
      </c>
      <c r="D78" s="10" t="s">
        <v>764</v>
      </c>
      <c r="E78" s="25" t="s">
        <v>266</v>
      </c>
      <c r="F78" s="26"/>
      <c r="G78" s="26" t="s">
        <v>968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766</v>
      </c>
      <c r="C79" s="13" t="s">
        <v>338</v>
      </c>
      <c r="D79" s="10" t="s">
        <v>767</v>
      </c>
      <c r="E79" s="25" t="s">
        <v>266</v>
      </c>
      <c r="F79" s="26"/>
      <c r="G79" s="26" t="s">
        <v>969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769</v>
      </c>
      <c r="C80" s="13" t="s">
        <v>666</v>
      </c>
      <c r="D80" s="10" t="s">
        <v>770</v>
      </c>
      <c r="E80" s="25" t="s">
        <v>266</v>
      </c>
      <c r="F80" s="26"/>
      <c r="G80" s="26" t="s">
        <v>970</v>
      </c>
      <c r="H80" s="2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772</v>
      </c>
      <c r="C81" s="13" t="s">
        <v>666</v>
      </c>
      <c r="D81" s="10" t="s">
        <v>773</v>
      </c>
      <c r="E81" s="25" t="s">
        <v>266</v>
      </c>
      <c r="F81" s="26"/>
      <c r="G81" s="26" t="s">
        <v>971</v>
      </c>
      <c r="H81" s="2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775</v>
      </c>
      <c r="C82" s="13" t="s">
        <v>338</v>
      </c>
      <c r="D82" s="10" t="s">
        <v>776</v>
      </c>
      <c r="E82" s="25" t="s">
        <v>266</v>
      </c>
      <c r="F82" s="26"/>
      <c r="G82" s="26" t="s">
        <v>972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778</v>
      </c>
      <c r="C83" s="13" t="s">
        <v>338</v>
      </c>
      <c r="D83" s="10" t="s">
        <v>779</v>
      </c>
      <c r="E83" s="25" t="s">
        <v>266</v>
      </c>
      <c r="F83" s="26"/>
      <c r="G83" s="26" t="s">
        <v>973</v>
      </c>
      <c r="H83" s="2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781</v>
      </c>
      <c r="C84" s="13" t="s">
        <v>338</v>
      </c>
      <c r="D84" s="10" t="s">
        <v>782</v>
      </c>
      <c r="E84" s="25" t="s">
        <v>266</v>
      </c>
      <c r="F84" s="26"/>
      <c r="G84" s="26" t="s">
        <v>974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784</v>
      </c>
      <c r="C85" s="13" t="s">
        <v>338</v>
      </c>
      <c r="D85" s="10" t="s">
        <v>785</v>
      </c>
      <c r="E85" s="25" t="s">
        <v>266</v>
      </c>
      <c r="F85" s="26"/>
      <c r="G85" s="26" t="s">
        <v>975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787</v>
      </c>
      <c r="C86" s="13" t="s">
        <v>338</v>
      </c>
      <c r="D86" s="10" t="s">
        <v>788</v>
      </c>
      <c r="E86" s="25" t="s">
        <v>266</v>
      </c>
      <c r="F86" s="26"/>
      <c r="G86" s="26" t="s">
        <v>976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413</v>
      </c>
      <c r="C87" s="13" t="s">
        <v>666</v>
      </c>
      <c r="D87" s="10" t="s">
        <v>790</v>
      </c>
      <c r="E87" s="25" t="s">
        <v>266</v>
      </c>
      <c r="F87" s="26"/>
      <c r="G87" s="26" t="s">
        <v>977</v>
      </c>
      <c r="H87" s="2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792</v>
      </c>
      <c r="C88" s="13" t="s">
        <v>338</v>
      </c>
      <c r="D88" s="10" t="s">
        <v>793</v>
      </c>
      <c r="E88" s="25" t="s">
        <v>266</v>
      </c>
      <c r="F88" s="26"/>
      <c r="G88" s="26" t="s">
        <v>978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418</v>
      </c>
      <c r="C89" s="13" t="s">
        <v>666</v>
      </c>
      <c r="D89" s="10" t="s">
        <v>795</v>
      </c>
      <c r="E89" s="25" t="s">
        <v>266</v>
      </c>
      <c r="F89" s="26"/>
      <c r="G89" s="26" t="s">
        <v>979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797</v>
      </c>
      <c r="C90" s="13" t="s">
        <v>338</v>
      </c>
      <c r="D90" s="10" t="s">
        <v>798</v>
      </c>
      <c r="E90" s="25" t="s">
        <v>266</v>
      </c>
      <c r="F90" s="26"/>
      <c r="G90" s="26" t="s">
        <v>980</v>
      </c>
      <c r="H90" s="2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800</v>
      </c>
      <c r="C91" s="13" t="s">
        <v>338</v>
      </c>
      <c r="D91" s="10" t="s">
        <v>801</v>
      </c>
      <c r="E91" s="25" t="s">
        <v>266</v>
      </c>
      <c r="F91" s="26"/>
      <c r="G91" s="26" t="s">
        <v>981</v>
      </c>
      <c r="H91" s="2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551</v>
      </c>
      <c r="C92" s="13" t="s">
        <v>666</v>
      </c>
      <c r="D92" s="10" t="s">
        <v>552</v>
      </c>
      <c r="E92" s="25" t="s">
        <v>266</v>
      </c>
      <c r="F92" s="26"/>
      <c r="G92" s="26" t="s">
        <v>982</v>
      </c>
      <c r="H92" s="27"/>
      <c r="I92" s="26"/>
      <c r="J92" s="15" t="s">
        <v>632</v>
      </c>
      <c r="K92" s="15" t="s">
        <v>404</v>
      </c>
      <c r="L92" s="15" t="s">
        <v>633</v>
      </c>
    </row>
    <row r="93" s="1" customFormat="1" spans="1:12">
      <c r="A93" s="33"/>
      <c r="B93" s="13" t="s">
        <v>805</v>
      </c>
      <c r="C93" s="13" t="s">
        <v>338</v>
      </c>
      <c r="D93" s="10" t="s">
        <v>806</v>
      </c>
      <c r="E93" s="25" t="s">
        <v>266</v>
      </c>
      <c r="F93" s="26"/>
      <c r="G93" s="26" t="s">
        <v>983</v>
      </c>
      <c r="H93" s="2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808</v>
      </c>
      <c r="C94" s="13" t="s">
        <v>338</v>
      </c>
      <c r="D94" s="10" t="s">
        <v>809</v>
      </c>
      <c r="E94" s="25" t="s">
        <v>266</v>
      </c>
      <c r="F94" s="26"/>
      <c r="G94" s="26" t="s">
        <v>984</v>
      </c>
      <c r="H94" s="27"/>
      <c r="I94" s="26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811</v>
      </c>
      <c r="C95" s="13" t="s">
        <v>338</v>
      </c>
      <c r="D95" s="10" t="s">
        <v>812</v>
      </c>
      <c r="E95" s="25" t="s">
        <v>266</v>
      </c>
      <c r="F95" s="26"/>
      <c r="G95" s="26" t="s">
        <v>985</v>
      </c>
      <c r="H95" s="27"/>
      <c r="I95" s="26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814</v>
      </c>
      <c r="C96" s="13" t="s">
        <v>338</v>
      </c>
      <c r="D96" s="10" t="s">
        <v>815</v>
      </c>
      <c r="E96" s="25" t="s">
        <v>266</v>
      </c>
      <c r="F96" s="26"/>
      <c r="G96" s="26" t="s">
        <v>986</v>
      </c>
      <c r="H96" s="27"/>
      <c r="I96" s="26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817</v>
      </c>
      <c r="C97" s="13" t="s">
        <v>338</v>
      </c>
      <c r="D97" s="10" t="s">
        <v>818</v>
      </c>
      <c r="E97" s="25" t="s">
        <v>266</v>
      </c>
      <c r="F97" s="26"/>
      <c r="G97" s="26" t="s">
        <v>987</v>
      </c>
      <c r="H97" s="27"/>
      <c r="I97" s="26"/>
      <c r="J97" s="15" t="s">
        <v>632</v>
      </c>
      <c r="K97" s="15" t="s">
        <v>803</v>
      </c>
      <c r="L97" s="15" t="s">
        <v>633</v>
      </c>
    </row>
    <row r="98" s="1" customFormat="1" spans="1:12">
      <c r="A98" s="33"/>
      <c r="B98" s="13" t="s">
        <v>820</v>
      </c>
      <c r="C98" s="13" t="s">
        <v>338</v>
      </c>
      <c r="D98" s="10" t="s">
        <v>821</v>
      </c>
      <c r="E98" s="25" t="s">
        <v>266</v>
      </c>
      <c r="F98" s="26"/>
      <c r="G98" s="26" t="s">
        <v>988</v>
      </c>
      <c r="H98" s="27"/>
      <c r="I98" s="26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556</v>
      </c>
      <c r="C99" s="13" t="s">
        <v>666</v>
      </c>
      <c r="D99" s="10" t="s">
        <v>557</v>
      </c>
      <c r="E99" s="25" t="s">
        <v>266</v>
      </c>
      <c r="F99" s="26"/>
      <c r="G99" s="26" t="s">
        <v>989</v>
      </c>
      <c r="H99" s="27"/>
      <c r="I99" s="26"/>
      <c r="J99" s="15" t="s">
        <v>632</v>
      </c>
      <c r="K99" s="15" t="s">
        <v>404</v>
      </c>
      <c r="L99" s="15" t="s">
        <v>633</v>
      </c>
    </row>
    <row r="100" s="1" customFormat="1" spans="1:12">
      <c r="A100" s="33"/>
      <c r="B100" s="13" t="s">
        <v>824</v>
      </c>
      <c r="C100" s="13" t="s">
        <v>338</v>
      </c>
      <c r="D100" s="10" t="s">
        <v>825</v>
      </c>
      <c r="E100" s="25" t="s">
        <v>266</v>
      </c>
      <c r="F100" s="26"/>
      <c r="G100" s="26" t="s">
        <v>990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827</v>
      </c>
      <c r="C101" s="13" t="s">
        <v>338</v>
      </c>
      <c r="D101" s="10" t="s">
        <v>828</v>
      </c>
      <c r="E101" s="25" t="s">
        <v>266</v>
      </c>
      <c r="F101" s="26"/>
      <c r="G101" s="26" t="s">
        <v>991</v>
      </c>
      <c r="H101" s="27"/>
      <c r="I101" s="26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830</v>
      </c>
      <c r="C102" s="13" t="s">
        <v>338</v>
      </c>
      <c r="D102" s="10" t="s">
        <v>831</v>
      </c>
      <c r="E102" s="25" t="s">
        <v>266</v>
      </c>
      <c r="F102" s="26"/>
      <c r="G102" s="26" t="s">
        <v>992</v>
      </c>
      <c r="H102" s="27"/>
      <c r="I102" s="26"/>
      <c r="J102" s="15" t="s">
        <v>632</v>
      </c>
      <c r="K102" s="15" t="s">
        <v>803</v>
      </c>
      <c r="L102" s="15" t="s">
        <v>633</v>
      </c>
    </row>
    <row r="103" s="1" customFormat="1" spans="1:12">
      <c r="A103" s="33"/>
      <c r="B103" s="13" t="s">
        <v>833</v>
      </c>
      <c r="C103" s="13" t="s">
        <v>338</v>
      </c>
      <c r="D103" s="10" t="s">
        <v>834</v>
      </c>
      <c r="E103" s="25" t="s">
        <v>266</v>
      </c>
      <c r="F103" s="26"/>
      <c r="G103" s="26" t="s">
        <v>993</v>
      </c>
      <c r="H103" s="2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13" t="s">
        <v>836</v>
      </c>
      <c r="C104" s="13" t="s">
        <v>338</v>
      </c>
      <c r="D104" s="10" t="s">
        <v>837</v>
      </c>
      <c r="E104" s="25" t="s">
        <v>266</v>
      </c>
      <c r="F104" s="26"/>
      <c r="G104" s="26" t="s">
        <v>994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13" t="s">
        <v>839</v>
      </c>
      <c r="C105" s="13" t="s">
        <v>338</v>
      </c>
      <c r="D105" s="10" t="s">
        <v>840</v>
      </c>
      <c r="E105" s="25" t="s">
        <v>266</v>
      </c>
      <c r="F105" s="26"/>
      <c r="G105" s="26" t="s">
        <v>995</v>
      </c>
      <c r="H105" s="27"/>
      <c r="I105" s="26"/>
      <c r="J105" s="15" t="s">
        <v>632</v>
      </c>
      <c r="K105" s="15" t="s">
        <v>294</v>
      </c>
      <c r="L105" s="15" t="s">
        <v>633</v>
      </c>
    </row>
    <row r="106" s="1" customFormat="1" spans="1:12">
      <c r="A106" s="33"/>
      <c r="B106" s="13" t="s">
        <v>560</v>
      </c>
      <c r="C106" s="13" t="s">
        <v>666</v>
      </c>
      <c r="D106" s="10" t="s">
        <v>842</v>
      </c>
      <c r="E106" s="25" t="s">
        <v>266</v>
      </c>
      <c r="F106" s="26"/>
      <c r="G106" s="26" t="s">
        <v>996</v>
      </c>
      <c r="H106" s="27"/>
      <c r="I106" s="26"/>
      <c r="J106" s="15" t="s">
        <v>632</v>
      </c>
      <c r="K106" s="15" t="s">
        <v>404</v>
      </c>
      <c r="L106" s="15" t="s">
        <v>633</v>
      </c>
    </row>
    <row r="107" s="1" customFormat="1" spans="1:12">
      <c r="A107" s="33"/>
      <c r="B107" s="75" t="s">
        <v>844</v>
      </c>
      <c r="C107" s="75" t="s">
        <v>338</v>
      </c>
      <c r="D107" s="76" t="s">
        <v>845</v>
      </c>
      <c r="E107" s="25" t="s">
        <v>266</v>
      </c>
      <c r="F107" s="26"/>
      <c r="G107" s="26" t="s">
        <v>997</v>
      </c>
      <c r="H107" s="27"/>
      <c r="I107" s="26"/>
      <c r="J107" s="15" t="s">
        <v>632</v>
      </c>
      <c r="K107" s="15" t="s">
        <v>803</v>
      </c>
      <c r="L107" s="15" t="s">
        <v>633</v>
      </c>
    </row>
    <row r="108" s="1" customFormat="1" spans="1:12">
      <c r="A108" s="33"/>
      <c r="B108" s="75" t="s">
        <v>847</v>
      </c>
      <c r="C108" s="75" t="s">
        <v>338</v>
      </c>
      <c r="D108" s="76" t="s">
        <v>848</v>
      </c>
      <c r="E108" s="25" t="s">
        <v>266</v>
      </c>
      <c r="F108" s="26"/>
      <c r="G108" s="26" t="s">
        <v>998</v>
      </c>
      <c r="H108" s="2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75" t="s">
        <v>850</v>
      </c>
      <c r="C109" s="75" t="s">
        <v>338</v>
      </c>
      <c r="D109" s="76" t="s">
        <v>851</v>
      </c>
      <c r="E109" s="25" t="s">
        <v>266</v>
      </c>
      <c r="F109" s="26"/>
      <c r="G109" s="26" t="s">
        <v>999</v>
      </c>
      <c r="H109" s="2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75" t="s">
        <v>853</v>
      </c>
      <c r="C110" s="75" t="s">
        <v>338</v>
      </c>
      <c r="D110" s="76" t="s">
        <v>854</v>
      </c>
      <c r="E110" s="25" t="s">
        <v>266</v>
      </c>
      <c r="F110" s="26"/>
      <c r="G110" s="26" t="s">
        <v>1000</v>
      </c>
      <c r="H110" s="2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75" t="s">
        <v>856</v>
      </c>
      <c r="C111" s="75" t="s">
        <v>338</v>
      </c>
      <c r="D111" s="76" t="s">
        <v>857</v>
      </c>
      <c r="E111" s="25" t="s">
        <v>266</v>
      </c>
      <c r="F111" s="26"/>
      <c r="G111" s="26" t="s">
        <v>1001</v>
      </c>
      <c r="H111" s="2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859</v>
      </c>
      <c r="C112" s="13" t="s">
        <v>338</v>
      </c>
      <c r="D112" s="10" t="s">
        <v>860</v>
      </c>
      <c r="E112" s="25" t="s">
        <v>266</v>
      </c>
      <c r="F112" s="26"/>
      <c r="G112" s="26" t="s">
        <v>1002</v>
      </c>
      <c r="H112" s="2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862</v>
      </c>
      <c r="C113" s="13" t="s">
        <v>666</v>
      </c>
      <c r="D113" s="10" t="s">
        <v>863</v>
      </c>
      <c r="E113" s="25" t="s">
        <v>266</v>
      </c>
      <c r="F113" s="26"/>
      <c r="G113" s="26" t="s">
        <v>1003</v>
      </c>
      <c r="H113" s="27"/>
      <c r="I113" s="26"/>
      <c r="J113" s="15" t="s">
        <v>632</v>
      </c>
      <c r="K113" s="15" t="s">
        <v>404</v>
      </c>
      <c r="L113" s="15" t="s">
        <v>633</v>
      </c>
    </row>
    <row r="114" s="1" customFormat="1" spans="1:12">
      <c r="A114" s="33"/>
      <c r="B114" s="13" t="s">
        <v>462</v>
      </c>
      <c r="C114" s="13" t="s">
        <v>666</v>
      </c>
      <c r="D114" s="10" t="s">
        <v>865</v>
      </c>
      <c r="E114" s="25" t="s">
        <v>266</v>
      </c>
      <c r="F114" s="26"/>
      <c r="G114" s="26" t="s">
        <v>1004</v>
      </c>
      <c r="H114" s="27"/>
      <c r="I114" s="26"/>
      <c r="J114" s="15" t="s">
        <v>632</v>
      </c>
      <c r="K114" s="15" t="s">
        <v>404</v>
      </c>
      <c r="L114" s="15" t="s">
        <v>633</v>
      </c>
    </row>
    <row r="115" s="1" customFormat="1" spans="1:12">
      <c r="A115" s="33"/>
      <c r="B115" s="13" t="s">
        <v>538</v>
      </c>
      <c r="C115" s="13" t="s">
        <v>666</v>
      </c>
      <c r="D115" s="10" t="s">
        <v>539</v>
      </c>
      <c r="E115" s="25" t="s">
        <v>266</v>
      </c>
      <c r="F115" s="26"/>
      <c r="G115" s="26" t="s">
        <v>1005</v>
      </c>
      <c r="H115" s="2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868</v>
      </c>
      <c r="C116" s="13" t="s">
        <v>338</v>
      </c>
      <c r="D116" s="10" t="s">
        <v>869</v>
      </c>
      <c r="E116" s="25" t="s">
        <v>266</v>
      </c>
      <c r="F116" s="26"/>
      <c r="G116" s="26" t="s">
        <v>1006</v>
      </c>
      <c r="H116" s="2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871</v>
      </c>
      <c r="C117" s="13" t="s">
        <v>338</v>
      </c>
      <c r="D117" s="10" t="s">
        <v>872</v>
      </c>
      <c r="E117" s="25" t="s">
        <v>266</v>
      </c>
      <c r="F117" s="26"/>
      <c r="G117" s="26" t="s">
        <v>1007</v>
      </c>
      <c r="H117" s="2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917</v>
      </c>
      <c r="C118" s="13" t="s">
        <v>338</v>
      </c>
      <c r="D118" s="10" t="s">
        <v>918</v>
      </c>
      <c r="E118" s="25" t="s">
        <v>266</v>
      </c>
      <c r="F118" s="26"/>
      <c r="G118" s="26" t="s">
        <v>1023</v>
      </c>
      <c r="H118" s="27"/>
      <c r="I118" s="26"/>
      <c r="J118" s="15" t="s">
        <v>632</v>
      </c>
      <c r="K118" s="15" t="s">
        <v>294</v>
      </c>
      <c r="L118" s="15" t="s">
        <v>633</v>
      </c>
    </row>
    <row r="119" s="1" customFormat="1" spans="1:12">
      <c r="A119" s="33"/>
      <c r="B119" s="13" t="s">
        <v>920</v>
      </c>
      <c r="C119" s="13" t="s">
        <v>338</v>
      </c>
      <c r="D119" s="10" t="s">
        <v>921</v>
      </c>
      <c r="E119" s="25" t="s">
        <v>266</v>
      </c>
      <c r="F119" s="26"/>
      <c r="G119" s="26" t="s">
        <v>1024</v>
      </c>
      <c r="H119" s="27"/>
      <c r="I119" s="26"/>
      <c r="J119" s="15" t="s">
        <v>632</v>
      </c>
      <c r="K119" s="15" t="s">
        <v>294</v>
      </c>
      <c r="L119" s="15" t="s">
        <v>633</v>
      </c>
    </row>
    <row r="120" s="1" customFormat="1" spans="1:12">
      <c r="A120" s="33"/>
      <c r="B120" s="13" t="s">
        <v>923</v>
      </c>
      <c r="C120" s="13" t="s">
        <v>338</v>
      </c>
      <c r="D120" s="10" t="s">
        <v>924</v>
      </c>
      <c r="E120" s="25" t="s">
        <v>266</v>
      </c>
      <c r="F120" s="26"/>
      <c r="G120" s="26" t="s">
        <v>1025</v>
      </c>
      <c r="H120" s="27"/>
      <c r="I120" s="26"/>
      <c r="J120" s="15" t="s">
        <v>632</v>
      </c>
      <c r="K120" s="15" t="s">
        <v>294</v>
      </c>
      <c r="L120" s="15" t="s">
        <v>633</v>
      </c>
    </row>
    <row r="121" s="2" customFormat="1" spans="2:17">
      <c r="B121" s="17" t="s">
        <v>594</v>
      </c>
      <c r="C121" s="18" t="s">
        <v>307</v>
      </c>
      <c r="D121" s="19" t="s">
        <v>595</v>
      </c>
      <c r="E121" s="28"/>
      <c r="F121" s="28"/>
      <c r="G121" s="28" t="s">
        <v>932</v>
      </c>
      <c r="H121" s="17" t="s">
        <v>932</v>
      </c>
      <c r="I121" s="17"/>
      <c r="J121" s="17"/>
      <c r="K121" s="17"/>
      <c r="L121" s="17"/>
      <c r="M121" s="17"/>
      <c r="N121" s="17"/>
      <c r="O121" s="17"/>
      <c r="P121" s="17"/>
      <c r="Q121" s="17"/>
    </row>
    <row r="122" s="2" customFormat="1" spans="2:17">
      <c r="B122" s="17" t="s">
        <v>596</v>
      </c>
      <c r="C122" s="18" t="s">
        <v>291</v>
      </c>
      <c r="D122" s="19" t="s">
        <v>597</v>
      </c>
      <c r="E122" s="28"/>
      <c r="F122" s="28"/>
      <c r="G122" s="28" t="s">
        <v>932</v>
      </c>
      <c r="H122" s="17" t="s">
        <v>932</v>
      </c>
      <c r="I122" s="17"/>
      <c r="J122" s="17"/>
      <c r="K122" s="17"/>
      <c r="L122" s="17"/>
      <c r="M122" s="17"/>
      <c r="N122" s="17"/>
      <c r="O122" s="17"/>
      <c r="P122" s="17"/>
      <c r="Q122" s="17"/>
    </row>
    <row r="123" s="2" customFormat="1" spans="2:17">
      <c r="B123" s="17" t="s">
        <v>598</v>
      </c>
      <c r="C123" s="18" t="s">
        <v>307</v>
      </c>
      <c r="D123" s="19" t="s">
        <v>599</v>
      </c>
      <c r="E123" s="28"/>
      <c r="F123" s="28"/>
      <c r="G123" s="28" t="s">
        <v>932</v>
      </c>
      <c r="H123" s="17" t="s">
        <v>932</v>
      </c>
      <c r="I123" s="17"/>
      <c r="J123" s="17"/>
      <c r="K123" s="17"/>
      <c r="L123" s="17"/>
      <c r="M123" s="17"/>
      <c r="N123" s="17"/>
      <c r="O123" s="17"/>
      <c r="P123" s="17"/>
      <c r="Q123" s="17"/>
    </row>
    <row r="124" s="2" customFormat="1" spans="2:17">
      <c r="B124" s="17" t="s">
        <v>600</v>
      </c>
      <c r="C124" s="18" t="s">
        <v>307</v>
      </c>
      <c r="D124" s="19" t="s">
        <v>601</v>
      </c>
      <c r="E124" s="28"/>
      <c r="F124" s="28"/>
      <c r="G124" s="28" t="s">
        <v>932</v>
      </c>
      <c r="H124" s="17" t="s">
        <v>932</v>
      </c>
      <c r="I124" s="17"/>
      <c r="J124" s="17"/>
      <c r="K124" s="17"/>
      <c r="L124" s="17"/>
      <c r="M124" s="17"/>
      <c r="N124" s="17"/>
      <c r="O124" s="17"/>
      <c r="P124" s="17"/>
      <c r="Q124" s="17"/>
    </row>
  </sheetData>
  <autoFilter xmlns:etc="http://www.wps.cn/officeDocument/2017/etCustomData" ref="A13:Q124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zoomScale="85" zoomScaleNormal="85" workbookViewId="0">
      <pane ySplit="5" topLeftCell="A42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27.775" style="3" customWidth="1"/>
    <col min="3" max="3" width="32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0.5583333333333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156</v>
      </c>
      <c r="D5" s="11" t="s">
        <v>1475</v>
      </c>
      <c r="E5" s="13" t="s">
        <v>27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3.2" customHeight="1" spans="2:8">
      <c r="B9" s="13"/>
      <c r="C9" s="10" t="s">
        <v>1476</v>
      </c>
      <c r="D9" s="11" t="s">
        <v>1477</v>
      </c>
      <c r="E9" s="13" t="s">
        <v>266</v>
      </c>
      <c r="F9" s="26"/>
      <c r="G9" s="68" t="s">
        <v>1478</v>
      </c>
      <c r="H9" s="43"/>
    </row>
    <row r="10" spans="2:8">
      <c r="B10" s="13"/>
      <c r="C10" s="10" t="s">
        <v>1479</v>
      </c>
      <c r="D10" s="11" t="s">
        <v>1480</v>
      </c>
      <c r="E10" s="13" t="s">
        <v>269</v>
      </c>
      <c r="F10" s="26" t="s">
        <v>1481</v>
      </c>
      <c r="G10" s="69"/>
      <c r="H10" s="43" t="s">
        <v>44</v>
      </c>
    </row>
    <row r="11" spans="2:8">
      <c r="B11" s="13"/>
      <c r="C11" s="41" t="s">
        <v>150</v>
      </c>
      <c r="D11" s="41" t="s">
        <v>151</v>
      </c>
      <c r="E11" s="40" t="s">
        <v>1311</v>
      </c>
      <c r="F11" s="13"/>
      <c r="G11" s="70"/>
      <c r="H11" s="13"/>
    </row>
    <row r="12" spans="2:2">
      <c r="B12" s="3" t="s">
        <v>279</v>
      </c>
    </row>
    <row r="13" ht="13.5" spans="2:12">
      <c r="B13" s="7" t="s">
        <v>279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3.5" spans="2:12">
      <c r="B14" s="8" t="s">
        <v>280</v>
      </c>
      <c r="C14" s="8" t="s">
        <v>281</v>
      </c>
      <c r="D14" s="8" t="s">
        <v>282</v>
      </c>
      <c r="E14" s="8" t="s">
        <v>283</v>
      </c>
      <c r="F14" s="12" t="s">
        <v>284</v>
      </c>
      <c r="G14" s="12" t="s">
        <v>285</v>
      </c>
      <c r="H14" s="8" t="s">
        <v>286</v>
      </c>
      <c r="I14" s="8" t="s">
        <v>17</v>
      </c>
      <c r="J14" s="8" t="s">
        <v>287</v>
      </c>
      <c r="K14" s="8" t="s">
        <v>288</v>
      </c>
      <c r="L14" s="8" t="s">
        <v>289</v>
      </c>
    </row>
    <row r="15" s="1" customFormat="1" spans="2:12">
      <c r="B15" s="32" t="s">
        <v>602</v>
      </c>
      <c r="C15" s="32" t="s">
        <v>291</v>
      </c>
      <c r="D15" s="10" t="s">
        <v>614</v>
      </c>
      <c r="E15" s="25" t="s">
        <v>266</v>
      </c>
      <c r="F15" s="26" t="s">
        <v>602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294</v>
      </c>
    </row>
    <row r="16" s="1" customFormat="1" spans="2:12">
      <c r="B16" s="32" t="s">
        <v>606</v>
      </c>
      <c r="C16" s="32" t="s">
        <v>307</v>
      </c>
      <c r="D16" s="10" t="s">
        <v>48</v>
      </c>
      <c r="E16" s="25" t="s">
        <v>266</v>
      </c>
      <c r="F16" s="26" t="s">
        <v>606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2:12">
      <c r="B17" s="32" t="s">
        <v>257</v>
      </c>
      <c r="C17" s="32" t="s">
        <v>307</v>
      </c>
      <c r="D17" s="10" t="s">
        <v>37</v>
      </c>
      <c r="E17" s="25" t="s">
        <v>266</v>
      </c>
      <c r="F17" s="26" t="s">
        <v>257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32" t="s">
        <v>295</v>
      </c>
      <c r="C18" s="32" t="s">
        <v>291</v>
      </c>
      <c r="D18" s="10" t="s">
        <v>603</v>
      </c>
      <c r="E18" s="25" t="s">
        <v>266</v>
      </c>
      <c r="F18" s="26" t="s">
        <v>295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32" t="s">
        <v>1482</v>
      </c>
      <c r="C19" s="32" t="s">
        <v>291</v>
      </c>
      <c r="D19" s="10" t="s">
        <v>1483</v>
      </c>
      <c r="E19" s="25" t="s">
        <v>266</v>
      </c>
      <c r="F19" s="26" t="s">
        <v>1482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32" t="s">
        <v>1484</v>
      </c>
      <c r="C20" s="32" t="s">
        <v>291</v>
      </c>
      <c r="D20" s="10" t="s">
        <v>1485</v>
      </c>
      <c r="E20" s="25" t="s">
        <v>266</v>
      </c>
      <c r="F20" s="10" t="s">
        <v>1484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1486</v>
      </c>
      <c r="C21" s="32" t="s">
        <v>291</v>
      </c>
      <c r="D21" s="10" t="s">
        <v>1487</v>
      </c>
      <c r="E21" s="25" t="s">
        <v>266</v>
      </c>
      <c r="F21" s="10" t="s">
        <v>1486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1488</v>
      </c>
      <c r="C22" s="32" t="s">
        <v>291</v>
      </c>
      <c r="D22" s="10" t="s">
        <v>1489</v>
      </c>
      <c r="E22" s="25" t="s">
        <v>266</v>
      </c>
      <c r="F22" s="10" t="s">
        <v>1488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1490</v>
      </c>
      <c r="C23" s="32" t="s">
        <v>666</v>
      </c>
      <c r="D23" s="10" t="s">
        <v>1491</v>
      </c>
      <c r="E23" s="25" t="s">
        <v>266</v>
      </c>
      <c r="F23" s="10" t="s">
        <v>1490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1492</v>
      </c>
      <c r="C24" s="32" t="s">
        <v>666</v>
      </c>
      <c r="D24" s="10" t="s">
        <v>1493</v>
      </c>
      <c r="E24" s="25" t="s">
        <v>266</v>
      </c>
      <c r="F24" s="10" t="s">
        <v>1492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10" t="s">
        <v>514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331</v>
      </c>
      <c r="C26" s="13" t="s">
        <v>307</v>
      </c>
      <c r="D26" s="10" t="s">
        <v>623</v>
      </c>
      <c r="E26" s="25" t="s">
        <v>1494</v>
      </c>
      <c r="F26" s="26" t="s">
        <v>331</v>
      </c>
      <c r="G26" s="26" t="s">
        <v>293</v>
      </c>
      <c r="H26" s="27"/>
      <c r="I26" s="15"/>
      <c r="J26" s="15" t="s">
        <v>604</v>
      </c>
      <c r="K26" s="15" t="s">
        <v>294</v>
      </c>
      <c r="L26" s="15" t="s">
        <v>294</v>
      </c>
    </row>
    <row r="27" s="1" customFormat="1" ht="13.8" customHeight="1" spans="1:12">
      <c r="A27" s="33"/>
      <c r="B27" s="13" t="s">
        <v>1273</v>
      </c>
      <c r="C27" s="13" t="s">
        <v>338</v>
      </c>
      <c r="D27" s="10" t="s">
        <v>640</v>
      </c>
      <c r="E27" s="25" t="s">
        <v>1494</v>
      </c>
      <c r="F27" s="26"/>
      <c r="G27" s="26" t="s">
        <v>1495</v>
      </c>
      <c r="H27" s="46" t="s">
        <v>1496</v>
      </c>
      <c r="I27" s="49"/>
      <c r="J27" s="15" t="s">
        <v>632</v>
      </c>
      <c r="K27" s="15" t="s">
        <v>404</v>
      </c>
      <c r="L27" s="15" t="s">
        <v>633</v>
      </c>
    </row>
    <row r="28" s="1" customFormat="1" spans="1:12">
      <c r="A28" s="33"/>
      <c r="B28" s="13" t="s">
        <v>1044</v>
      </c>
      <c r="C28" s="13" t="s">
        <v>338</v>
      </c>
      <c r="D28" s="10" t="s">
        <v>642</v>
      </c>
      <c r="E28" s="25" t="s">
        <v>1494</v>
      </c>
      <c r="F28" s="26"/>
      <c r="G28" s="26" t="s">
        <v>1497</v>
      </c>
      <c r="H28" s="46" t="s">
        <v>1498</v>
      </c>
      <c r="I28" s="49"/>
      <c r="J28" s="15" t="s">
        <v>632</v>
      </c>
      <c r="K28" s="15" t="s">
        <v>644</v>
      </c>
      <c r="L28" s="15" t="s">
        <v>633</v>
      </c>
    </row>
    <row r="29" s="1" customFormat="1" spans="1:12">
      <c r="A29" s="33"/>
      <c r="B29" s="13" t="s">
        <v>1045</v>
      </c>
      <c r="C29" s="13" t="s">
        <v>338</v>
      </c>
      <c r="D29" s="10" t="s">
        <v>645</v>
      </c>
      <c r="E29" s="25" t="s">
        <v>1494</v>
      </c>
      <c r="F29" s="26"/>
      <c r="G29" s="26" t="s">
        <v>1499</v>
      </c>
      <c r="H29" s="46" t="s">
        <v>1500</v>
      </c>
      <c r="I29" s="49"/>
      <c r="J29" s="15" t="s">
        <v>632</v>
      </c>
      <c r="K29" s="15" t="s">
        <v>644</v>
      </c>
      <c r="L29" s="15" t="s">
        <v>633</v>
      </c>
    </row>
    <row r="30" s="1" customFormat="1" spans="2:12">
      <c r="B30" s="32" t="s">
        <v>1088</v>
      </c>
      <c r="C30" s="34" t="s">
        <v>338</v>
      </c>
      <c r="D30" s="10" t="s">
        <v>1089</v>
      </c>
      <c r="E30" s="25" t="s">
        <v>1494</v>
      </c>
      <c r="F30" s="26"/>
      <c r="G30" s="26" t="s">
        <v>1501</v>
      </c>
      <c r="H30" s="46" t="s">
        <v>1502</v>
      </c>
      <c r="I30" s="49"/>
      <c r="J30" s="15" t="s">
        <v>632</v>
      </c>
      <c r="K30" s="15" t="s">
        <v>404</v>
      </c>
      <c r="L30" s="15" t="s">
        <v>633</v>
      </c>
    </row>
    <row r="31" s="1" customFormat="1" spans="2:12">
      <c r="B31" s="32" t="s">
        <v>1101</v>
      </c>
      <c r="C31" s="34" t="s">
        <v>338</v>
      </c>
      <c r="D31" s="10" t="s">
        <v>1102</v>
      </c>
      <c r="E31" s="25" t="s">
        <v>1494</v>
      </c>
      <c r="F31" s="26"/>
      <c r="G31" s="26" t="s">
        <v>1503</v>
      </c>
      <c r="H31" s="46" t="s">
        <v>1504</v>
      </c>
      <c r="I31" s="49"/>
      <c r="J31" s="15" t="s">
        <v>632</v>
      </c>
      <c r="K31" s="15" t="s">
        <v>404</v>
      </c>
      <c r="L31" s="15" t="s">
        <v>633</v>
      </c>
    </row>
    <row r="32" s="33" customFormat="1" spans="2:13">
      <c r="B32" s="32" t="s">
        <v>1114</v>
      </c>
      <c r="C32" s="13" t="s">
        <v>338</v>
      </c>
      <c r="D32" s="10" t="s">
        <v>1505</v>
      </c>
      <c r="E32" s="25" t="s">
        <v>1494</v>
      </c>
      <c r="F32" s="26"/>
      <c r="G32" s="26" t="s">
        <v>1506</v>
      </c>
      <c r="H32" s="46" t="s">
        <v>1507</v>
      </c>
      <c r="I32" s="49"/>
      <c r="J32" s="15" t="s">
        <v>632</v>
      </c>
      <c r="K32" s="15" t="s">
        <v>404</v>
      </c>
      <c r="L32" s="15" t="s">
        <v>633</v>
      </c>
      <c r="M32" s="1"/>
    </row>
    <row r="33" s="1" customFormat="1" spans="1:12">
      <c r="A33" s="33"/>
      <c r="B33" s="13" t="s">
        <v>1276</v>
      </c>
      <c r="C33" s="13" t="s">
        <v>338</v>
      </c>
      <c r="D33" s="10" t="s">
        <v>529</v>
      </c>
      <c r="E33" s="25" t="s">
        <v>1494</v>
      </c>
      <c r="F33" s="26"/>
      <c r="G33" s="26" t="s">
        <v>1508</v>
      </c>
      <c r="H33" s="46" t="s">
        <v>1509</v>
      </c>
      <c r="I33" s="49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1277</v>
      </c>
      <c r="C34" s="13" t="s">
        <v>338</v>
      </c>
      <c r="D34" s="10" t="s">
        <v>1510</v>
      </c>
      <c r="E34" s="25" t="s">
        <v>1494</v>
      </c>
      <c r="F34" s="26"/>
      <c r="G34" s="26" t="s">
        <v>1511</v>
      </c>
      <c r="H34" s="46" t="s">
        <v>1512</v>
      </c>
      <c r="I34" s="49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1278</v>
      </c>
      <c r="C35" s="13" t="s">
        <v>338</v>
      </c>
      <c r="D35" s="10" t="s">
        <v>1513</v>
      </c>
      <c r="E35" s="25" t="s">
        <v>1494</v>
      </c>
      <c r="F35" s="26"/>
      <c r="G35" s="26" t="s">
        <v>1514</v>
      </c>
      <c r="H35" s="46" t="s">
        <v>1515</v>
      </c>
      <c r="I35" s="49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32" t="s">
        <v>1516</v>
      </c>
      <c r="C36" s="32" t="s">
        <v>338</v>
      </c>
      <c r="D36" s="10" t="s">
        <v>552</v>
      </c>
      <c r="E36" s="25" t="s">
        <v>1494</v>
      </c>
      <c r="F36" s="26"/>
      <c r="G36" s="26" t="s">
        <v>1517</v>
      </c>
      <c r="H36" s="46" t="s">
        <v>1518</v>
      </c>
      <c r="I36" s="49"/>
      <c r="J36" s="15" t="s">
        <v>632</v>
      </c>
      <c r="K36" s="15" t="s">
        <v>404</v>
      </c>
      <c r="L36" s="15" t="s">
        <v>633</v>
      </c>
    </row>
    <row r="37" s="1" customFormat="1" spans="1:12">
      <c r="A37" s="33"/>
      <c r="B37" s="13" t="s">
        <v>1519</v>
      </c>
      <c r="C37" s="13" t="s">
        <v>338</v>
      </c>
      <c r="D37" s="10" t="s">
        <v>557</v>
      </c>
      <c r="E37" s="25" t="s">
        <v>1494</v>
      </c>
      <c r="F37" s="26"/>
      <c r="G37" s="26" t="s">
        <v>1520</v>
      </c>
      <c r="H37" s="46" t="s">
        <v>1521</v>
      </c>
      <c r="I37" s="49"/>
      <c r="J37" s="15" t="s">
        <v>632</v>
      </c>
      <c r="K37" s="15" t="s">
        <v>404</v>
      </c>
      <c r="L37" s="15" t="s">
        <v>633</v>
      </c>
    </row>
    <row r="38" s="1" customFormat="1" spans="1:12">
      <c r="A38" s="33"/>
      <c r="B38" s="13" t="s">
        <v>1129</v>
      </c>
      <c r="C38" s="13" t="s">
        <v>338</v>
      </c>
      <c r="D38" s="10" t="s">
        <v>842</v>
      </c>
      <c r="E38" s="25" t="s">
        <v>1494</v>
      </c>
      <c r="F38" s="26"/>
      <c r="G38" s="26" t="s">
        <v>1522</v>
      </c>
      <c r="H38" s="46" t="s">
        <v>1523</v>
      </c>
      <c r="I38" s="49"/>
      <c r="J38" s="15" t="s">
        <v>632</v>
      </c>
      <c r="K38" s="15" t="s">
        <v>404</v>
      </c>
      <c r="L38" s="15" t="s">
        <v>633</v>
      </c>
    </row>
    <row r="39" s="1" customFormat="1" spans="1:12">
      <c r="A39" s="33"/>
      <c r="B39" s="13" t="s">
        <v>1524</v>
      </c>
      <c r="C39" s="13" t="s">
        <v>338</v>
      </c>
      <c r="D39" s="10" t="s">
        <v>1525</v>
      </c>
      <c r="E39" s="25" t="s">
        <v>1494</v>
      </c>
      <c r="F39" s="26"/>
      <c r="G39" s="10" t="s">
        <v>1526</v>
      </c>
      <c r="H39" s="46"/>
      <c r="I39" s="49"/>
      <c r="J39" s="15" t="s">
        <v>632</v>
      </c>
      <c r="K39" s="15" t="s">
        <v>294</v>
      </c>
      <c r="L39" s="15" t="s">
        <v>1264</v>
      </c>
    </row>
    <row r="40" s="1" customFormat="1" spans="1:12">
      <c r="A40" s="33"/>
      <c r="B40" s="13" t="s">
        <v>1527</v>
      </c>
      <c r="C40" s="13" t="s">
        <v>338</v>
      </c>
      <c r="D40" s="10" t="s">
        <v>1528</v>
      </c>
      <c r="E40" s="25" t="s">
        <v>1494</v>
      </c>
      <c r="F40" s="26"/>
      <c r="G40" s="10" t="s">
        <v>1529</v>
      </c>
      <c r="H40" s="46"/>
      <c r="I40" s="49"/>
      <c r="J40" s="15" t="s">
        <v>632</v>
      </c>
      <c r="K40" s="15" t="s">
        <v>294</v>
      </c>
      <c r="L40" s="15" t="s">
        <v>1264</v>
      </c>
    </row>
    <row r="41" s="1" customFormat="1" spans="1:12">
      <c r="A41" s="33"/>
      <c r="B41" s="13" t="s">
        <v>1294</v>
      </c>
      <c r="C41" s="13" t="s">
        <v>338</v>
      </c>
      <c r="D41" s="10" t="s">
        <v>891</v>
      </c>
      <c r="E41" s="25" t="s">
        <v>1494</v>
      </c>
      <c r="F41" s="26"/>
      <c r="G41" s="26" t="s">
        <v>1530</v>
      </c>
      <c r="H41" s="46" t="s">
        <v>1531</v>
      </c>
      <c r="I41" s="49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1295</v>
      </c>
      <c r="C42" s="13" t="s">
        <v>338</v>
      </c>
      <c r="D42" s="10" t="s">
        <v>894</v>
      </c>
      <c r="E42" s="25" t="s">
        <v>1494</v>
      </c>
      <c r="F42" s="26"/>
      <c r="G42" s="26" t="s">
        <v>1532</v>
      </c>
      <c r="H42" s="46" t="s">
        <v>1533</v>
      </c>
      <c r="I42" s="49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1296</v>
      </c>
      <c r="C43" s="13" t="s">
        <v>338</v>
      </c>
      <c r="D43" s="10" t="s">
        <v>897</v>
      </c>
      <c r="E43" s="25" t="s">
        <v>1494</v>
      </c>
      <c r="F43" s="26"/>
      <c r="G43" s="26" t="s">
        <v>1534</v>
      </c>
      <c r="H43" s="46" t="s">
        <v>1535</v>
      </c>
      <c r="I43" s="49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1297</v>
      </c>
      <c r="C44" s="13" t="s">
        <v>338</v>
      </c>
      <c r="D44" s="10" t="s">
        <v>909</v>
      </c>
      <c r="E44" s="25" t="s">
        <v>1494</v>
      </c>
      <c r="F44" s="26"/>
      <c r="G44" s="26" t="s">
        <v>1536</v>
      </c>
      <c r="H44" s="46" t="s">
        <v>1537</v>
      </c>
      <c r="I44" s="49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1298</v>
      </c>
      <c r="C45" s="13" t="s">
        <v>338</v>
      </c>
      <c r="D45" s="10" t="s">
        <v>912</v>
      </c>
      <c r="E45" s="25" t="s">
        <v>1494</v>
      </c>
      <c r="F45" s="26"/>
      <c r="G45" s="26" t="s">
        <v>1538</v>
      </c>
      <c r="H45" s="46" t="s">
        <v>1539</v>
      </c>
      <c r="I45" s="49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1299</v>
      </c>
      <c r="C46" s="13" t="s">
        <v>338</v>
      </c>
      <c r="D46" s="10" t="s">
        <v>915</v>
      </c>
      <c r="E46" s="25" t="s">
        <v>1494</v>
      </c>
      <c r="F46" s="26"/>
      <c r="G46" s="26" t="s">
        <v>1540</v>
      </c>
      <c r="H46" s="46" t="s">
        <v>1541</v>
      </c>
      <c r="I46" s="49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1292</v>
      </c>
      <c r="C47" s="13" t="s">
        <v>338</v>
      </c>
      <c r="D47" s="10" t="s">
        <v>872</v>
      </c>
      <c r="E47" s="25" t="s">
        <v>1494</v>
      </c>
      <c r="F47" s="26"/>
      <c r="G47" s="26" t="s">
        <v>1542</v>
      </c>
      <c r="H47" s="46" t="s">
        <v>1543</v>
      </c>
      <c r="I47" s="49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1291</v>
      </c>
      <c r="C48" s="13" t="s">
        <v>338</v>
      </c>
      <c r="D48" s="10" t="s">
        <v>869</v>
      </c>
      <c r="E48" s="25" t="s">
        <v>1494</v>
      </c>
      <c r="F48" s="26"/>
      <c r="G48" s="26" t="s">
        <v>1544</v>
      </c>
      <c r="H48" s="46" t="s">
        <v>1545</v>
      </c>
      <c r="I48" s="49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1546</v>
      </c>
      <c r="C49" s="13" t="s">
        <v>338</v>
      </c>
      <c r="D49" s="10" t="s">
        <v>1547</v>
      </c>
      <c r="E49" s="25" t="s">
        <v>1494</v>
      </c>
      <c r="F49" s="26"/>
      <c r="G49" s="26" t="s">
        <v>1548</v>
      </c>
      <c r="H49" s="46" t="s">
        <v>1549</v>
      </c>
      <c r="I49" s="49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1550</v>
      </c>
      <c r="C50" s="13" t="s">
        <v>338</v>
      </c>
      <c r="D50" s="10" t="s">
        <v>1551</v>
      </c>
      <c r="E50" s="25" t="s">
        <v>1494</v>
      </c>
      <c r="F50" s="26"/>
      <c r="G50" s="26" t="s">
        <v>1552</v>
      </c>
      <c r="H50" s="48" t="s">
        <v>1553</v>
      </c>
      <c r="I50" s="50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1554</v>
      </c>
      <c r="C51" s="13" t="s">
        <v>338</v>
      </c>
      <c r="D51" s="10" t="s">
        <v>1555</v>
      </c>
      <c r="E51" s="25" t="s">
        <v>1494</v>
      </c>
      <c r="F51" s="26"/>
      <c r="G51" s="26" t="s">
        <v>1556</v>
      </c>
      <c r="H51" s="46" t="s">
        <v>1557</v>
      </c>
      <c r="I51" s="49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1558</v>
      </c>
      <c r="C52" s="13" t="s">
        <v>338</v>
      </c>
      <c r="D52" s="10" t="s">
        <v>1559</v>
      </c>
      <c r="E52" s="25" t="s">
        <v>1494</v>
      </c>
      <c r="F52" s="26"/>
      <c r="G52" s="26" t="s">
        <v>1560</v>
      </c>
      <c r="H52" s="46" t="s">
        <v>1557</v>
      </c>
      <c r="I52" s="49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1561</v>
      </c>
      <c r="C53" s="13" t="s">
        <v>338</v>
      </c>
      <c r="D53" s="10" t="s">
        <v>1562</v>
      </c>
      <c r="E53" s="25" t="s">
        <v>1494</v>
      </c>
      <c r="F53" s="26"/>
      <c r="G53" s="26" t="s">
        <v>1563</v>
      </c>
      <c r="H53" s="46" t="s">
        <v>1557</v>
      </c>
      <c r="I53" s="49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1564</v>
      </c>
      <c r="C54" s="13" t="s">
        <v>338</v>
      </c>
      <c r="D54" s="10" t="s">
        <v>1565</v>
      </c>
      <c r="E54" s="25" t="s">
        <v>1494</v>
      </c>
      <c r="F54" s="26"/>
      <c r="G54" s="26" t="s">
        <v>1566</v>
      </c>
      <c r="H54" s="46" t="s">
        <v>1557</v>
      </c>
      <c r="I54" s="49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1567</v>
      </c>
      <c r="C55" s="13" t="s">
        <v>338</v>
      </c>
      <c r="D55" s="10" t="s">
        <v>1568</v>
      </c>
      <c r="E55" s="25" t="s">
        <v>1494</v>
      </c>
      <c r="F55" s="26"/>
      <c r="G55" s="26" t="s">
        <v>1569</v>
      </c>
      <c r="H55" s="46" t="s">
        <v>1557</v>
      </c>
      <c r="I55" s="49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730</v>
      </c>
      <c r="C56" s="13" t="s">
        <v>338</v>
      </c>
      <c r="D56" s="10" t="s">
        <v>731</v>
      </c>
      <c r="E56" s="25" t="s">
        <v>1494</v>
      </c>
      <c r="F56" s="26"/>
      <c r="G56" s="26" t="s">
        <v>1570</v>
      </c>
      <c r="H56" s="46"/>
      <c r="I56" s="49"/>
      <c r="J56" s="15" t="s">
        <v>632</v>
      </c>
      <c r="K56" s="15" t="s">
        <v>404</v>
      </c>
      <c r="L56" s="15" t="s">
        <v>633</v>
      </c>
    </row>
    <row r="57" s="1" customFormat="1" spans="1:12">
      <c r="A57" s="33"/>
      <c r="B57" s="13" t="s">
        <v>1091</v>
      </c>
      <c r="C57" s="13" t="s">
        <v>338</v>
      </c>
      <c r="D57" s="10" t="s">
        <v>1092</v>
      </c>
      <c r="E57" s="25" t="s">
        <v>1494</v>
      </c>
      <c r="F57" s="26"/>
      <c r="G57" s="26" t="s">
        <v>1571</v>
      </c>
      <c r="H57" s="46" t="s">
        <v>1572</v>
      </c>
      <c r="I57" s="49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1093</v>
      </c>
      <c r="C58" s="13" t="s">
        <v>338</v>
      </c>
      <c r="D58" s="10" t="s">
        <v>1094</v>
      </c>
      <c r="E58" s="25" t="s">
        <v>1494</v>
      </c>
      <c r="F58" s="26"/>
      <c r="G58" s="26" t="s">
        <v>1573</v>
      </c>
      <c r="H58" s="46" t="s">
        <v>1574</v>
      </c>
      <c r="I58" s="49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1095</v>
      </c>
      <c r="C59" s="13" t="s">
        <v>338</v>
      </c>
      <c r="D59" s="10" t="s">
        <v>1096</v>
      </c>
      <c r="E59" s="25" t="s">
        <v>1494</v>
      </c>
      <c r="F59" s="26"/>
      <c r="G59" s="26" t="s">
        <v>1575</v>
      </c>
      <c r="H59" s="46" t="s">
        <v>1576</v>
      </c>
      <c r="I59" s="49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1097</v>
      </c>
      <c r="C60" s="13" t="s">
        <v>338</v>
      </c>
      <c r="D60" s="10" t="s">
        <v>1098</v>
      </c>
      <c r="E60" s="25" t="s">
        <v>1494</v>
      </c>
      <c r="F60" s="26"/>
      <c r="G60" s="26" t="s">
        <v>1577</v>
      </c>
      <c r="H60" s="46" t="s">
        <v>1578</v>
      </c>
      <c r="I60" s="49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1099</v>
      </c>
      <c r="C61" s="13" t="s">
        <v>338</v>
      </c>
      <c r="D61" s="10" t="s">
        <v>1100</v>
      </c>
      <c r="E61" s="25" t="s">
        <v>1494</v>
      </c>
      <c r="F61" s="26"/>
      <c r="G61" s="26" t="s">
        <v>1579</v>
      </c>
      <c r="H61" s="46" t="s">
        <v>1580</v>
      </c>
      <c r="I61" s="49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751</v>
      </c>
      <c r="C62" s="13" t="s">
        <v>338</v>
      </c>
      <c r="D62" s="10" t="s">
        <v>752</v>
      </c>
      <c r="E62" s="25" t="s">
        <v>1494</v>
      </c>
      <c r="F62" s="26"/>
      <c r="G62" s="26" t="s">
        <v>1581</v>
      </c>
      <c r="H62" s="46"/>
      <c r="I62" s="49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1104</v>
      </c>
      <c r="C63" s="13" t="s">
        <v>338</v>
      </c>
      <c r="D63" s="10" t="s">
        <v>1105</v>
      </c>
      <c r="E63" s="25" t="s">
        <v>1494</v>
      </c>
      <c r="F63" s="26"/>
      <c r="G63" s="26" t="s">
        <v>1582</v>
      </c>
      <c r="H63" s="46" t="s">
        <v>1583</v>
      </c>
      <c r="I63" s="49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1106</v>
      </c>
      <c r="C64" s="13" t="s">
        <v>338</v>
      </c>
      <c r="D64" s="10" t="s">
        <v>1107</v>
      </c>
      <c r="E64" s="25" t="s">
        <v>1494</v>
      </c>
      <c r="F64" s="26"/>
      <c r="G64" s="26" t="s">
        <v>1584</v>
      </c>
      <c r="H64" s="46" t="s">
        <v>1585</v>
      </c>
      <c r="I64" s="49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1108</v>
      </c>
      <c r="C65" s="13" t="s">
        <v>338</v>
      </c>
      <c r="D65" s="10" t="s">
        <v>1109</v>
      </c>
      <c r="E65" s="25" t="s">
        <v>1494</v>
      </c>
      <c r="F65" s="26"/>
      <c r="G65" s="26" t="s">
        <v>1586</v>
      </c>
      <c r="H65" s="46" t="s">
        <v>1587</v>
      </c>
      <c r="I65" s="49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1110</v>
      </c>
      <c r="C66" s="13" t="s">
        <v>338</v>
      </c>
      <c r="D66" s="10" t="s">
        <v>1111</v>
      </c>
      <c r="E66" s="25" t="s">
        <v>1494</v>
      </c>
      <c r="F66" s="26"/>
      <c r="G66" s="26" t="s">
        <v>1588</v>
      </c>
      <c r="H66" s="46" t="s">
        <v>1589</v>
      </c>
      <c r="I66" s="49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1112</v>
      </c>
      <c r="C67" s="13" t="s">
        <v>338</v>
      </c>
      <c r="D67" s="10" t="s">
        <v>1113</v>
      </c>
      <c r="E67" s="25" t="s">
        <v>1494</v>
      </c>
      <c r="F67" s="26"/>
      <c r="G67" s="26" t="s">
        <v>1590</v>
      </c>
      <c r="H67" s="46" t="s">
        <v>1591</v>
      </c>
      <c r="I67" s="49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772</v>
      </c>
      <c r="C68" s="13" t="s">
        <v>338</v>
      </c>
      <c r="D68" s="10" t="s">
        <v>773</v>
      </c>
      <c r="E68" s="25" t="s">
        <v>1494</v>
      </c>
      <c r="F68" s="26"/>
      <c r="G68" s="26" t="s">
        <v>1592</v>
      </c>
      <c r="H68" s="46"/>
      <c r="I68" s="49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13" t="s">
        <v>1279</v>
      </c>
      <c r="C69" s="13" t="s">
        <v>338</v>
      </c>
      <c r="D69" s="10" t="s">
        <v>1593</v>
      </c>
      <c r="E69" s="25" t="s">
        <v>1494</v>
      </c>
      <c r="F69" s="26"/>
      <c r="G69" s="26" t="s">
        <v>1594</v>
      </c>
      <c r="H69" s="46" t="s">
        <v>1595</v>
      </c>
      <c r="I69" s="49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1280</v>
      </c>
      <c r="C70" s="13" t="s">
        <v>338</v>
      </c>
      <c r="D70" s="10" t="s">
        <v>1596</v>
      </c>
      <c r="E70" s="25" t="s">
        <v>1494</v>
      </c>
      <c r="F70" s="26"/>
      <c r="G70" s="26" t="s">
        <v>1597</v>
      </c>
      <c r="H70" s="46" t="s">
        <v>1598</v>
      </c>
      <c r="I70" s="49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1281</v>
      </c>
      <c r="C71" s="13" t="s">
        <v>338</v>
      </c>
      <c r="D71" s="10" t="s">
        <v>1599</v>
      </c>
      <c r="E71" s="25" t="s">
        <v>1494</v>
      </c>
      <c r="F71" s="26"/>
      <c r="G71" s="26" t="s">
        <v>1600</v>
      </c>
      <c r="H71" s="46" t="s">
        <v>1601</v>
      </c>
      <c r="I71" s="49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1282</v>
      </c>
      <c r="C72" s="13" t="s">
        <v>338</v>
      </c>
      <c r="D72" s="10" t="s">
        <v>1602</v>
      </c>
      <c r="E72" s="25" t="s">
        <v>1494</v>
      </c>
      <c r="F72" s="26"/>
      <c r="G72" s="26" t="s">
        <v>1603</v>
      </c>
      <c r="H72" s="46" t="s">
        <v>1604</v>
      </c>
      <c r="I72" s="49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1283</v>
      </c>
      <c r="C73" s="13" t="s">
        <v>338</v>
      </c>
      <c r="D73" s="10" t="s">
        <v>1605</v>
      </c>
      <c r="E73" s="25" t="s">
        <v>1494</v>
      </c>
      <c r="F73" s="26"/>
      <c r="G73" s="26" t="s">
        <v>1606</v>
      </c>
      <c r="H73" s="46" t="s">
        <v>1607</v>
      </c>
      <c r="I73" s="49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1286</v>
      </c>
      <c r="C74" s="13" t="s">
        <v>338</v>
      </c>
      <c r="D74" s="10" t="s">
        <v>1608</v>
      </c>
      <c r="E74" s="25" t="s">
        <v>1494</v>
      </c>
      <c r="F74" s="26"/>
      <c r="G74" s="26" t="s">
        <v>1609</v>
      </c>
      <c r="H74" s="46"/>
      <c r="I74" s="49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805</v>
      </c>
      <c r="C75" s="13" t="s">
        <v>338</v>
      </c>
      <c r="D75" s="10" t="s">
        <v>806</v>
      </c>
      <c r="E75" s="25" t="s">
        <v>1494</v>
      </c>
      <c r="F75" s="26"/>
      <c r="G75" s="26" t="s">
        <v>1610</v>
      </c>
      <c r="H75" s="46" t="s">
        <v>1611</v>
      </c>
      <c r="I75" s="49"/>
      <c r="J75" s="15" t="s">
        <v>632</v>
      </c>
      <c r="K75" s="15" t="s">
        <v>803</v>
      </c>
      <c r="L75" s="15" t="s">
        <v>633</v>
      </c>
    </row>
    <row r="76" s="1" customFormat="1" spans="1:12">
      <c r="A76" s="33"/>
      <c r="B76" s="13" t="s">
        <v>808</v>
      </c>
      <c r="C76" s="13" t="s">
        <v>338</v>
      </c>
      <c r="D76" s="10" t="s">
        <v>809</v>
      </c>
      <c r="E76" s="25" t="s">
        <v>1494</v>
      </c>
      <c r="F76" s="26"/>
      <c r="G76" s="26" t="s">
        <v>1612</v>
      </c>
      <c r="H76" s="46" t="s">
        <v>1613</v>
      </c>
      <c r="I76" s="49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811</v>
      </c>
      <c r="C77" s="13" t="s">
        <v>338</v>
      </c>
      <c r="D77" s="10" t="s">
        <v>812</v>
      </c>
      <c r="E77" s="25" t="s">
        <v>1494</v>
      </c>
      <c r="F77" s="26"/>
      <c r="G77" s="26" t="s">
        <v>1614</v>
      </c>
      <c r="H77" s="46" t="s">
        <v>1615</v>
      </c>
      <c r="I77" s="49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814</v>
      </c>
      <c r="C78" s="13" t="s">
        <v>338</v>
      </c>
      <c r="D78" s="10" t="s">
        <v>815</v>
      </c>
      <c r="E78" s="25" t="s">
        <v>1494</v>
      </c>
      <c r="F78" s="26"/>
      <c r="G78" s="26" t="s">
        <v>1616</v>
      </c>
      <c r="H78" s="46" t="s">
        <v>1617</v>
      </c>
      <c r="I78" s="49"/>
      <c r="J78" s="15" t="s">
        <v>632</v>
      </c>
      <c r="K78" s="15" t="s">
        <v>803</v>
      </c>
      <c r="L78" s="15" t="s">
        <v>633</v>
      </c>
    </row>
    <row r="79" s="1" customFormat="1" spans="1:12">
      <c r="A79" s="33"/>
      <c r="B79" s="13" t="s">
        <v>817</v>
      </c>
      <c r="C79" s="13" t="s">
        <v>338</v>
      </c>
      <c r="D79" s="10" t="s">
        <v>818</v>
      </c>
      <c r="E79" s="25" t="s">
        <v>1494</v>
      </c>
      <c r="F79" s="26"/>
      <c r="G79" s="26" t="s">
        <v>1618</v>
      </c>
      <c r="H79" s="46" t="s">
        <v>1619</v>
      </c>
      <c r="I79" s="49"/>
      <c r="J79" s="15" t="s">
        <v>632</v>
      </c>
      <c r="K79" s="15" t="s">
        <v>803</v>
      </c>
      <c r="L79" s="15" t="s">
        <v>633</v>
      </c>
    </row>
    <row r="80" s="1" customFormat="1" spans="1:12">
      <c r="A80" s="33"/>
      <c r="B80" s="13" t="s">
        <v>1287</v>
      </c>
      <c r="C80" s="13" t="s">
        <v>338</v>
      </c>
      <c r="D80" s="10" t="s">
        <v>1620</v>
      </c>
      <c r="E80" s="25" t="s">
        <v>1494</v>
      </c>
      <c r="F80" s="26"/>
      <c r="G80" s="26" t="s">
        <v>1621</v>
      </c>
      <c r="H80" s="46"/>
      <c r="I80" s="49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824</v>
      </c>
      <c r="C81" s="13" t="s">
        <v>338</v>
      </c>
      <c r="D81" s="10" t="s">
        <v>825</v>
      </c>
      <c r="E81" s="25" t="s">
        <v>1494</v>
      </c>
      <c r="F81" s="26"/>
      <c r="G81" s="26" t="s">
        <v>1622</v>
      </c>
      <c r="H81" s="46" t="s">
        <v>1623</v>
      </c>
      <c r="I81" s="49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827</v>
      </c>
      <c r="C82" s="13" t="s">
        <v>338</v>
      </c>
      <c r="D82" s="10" t="s">
        <v>828</v>
      </c>
      <c r="E82" s="25" t="s">
        <v>1494</v>
      </c>
      <c r="F82" s="26"/>
      <c r="G82" s="26" t="s">
        <v>1624</v>
      </c>
      <c r="H82" s="46" t="s">
        <v>1625</v>
      </c>
      <c r="I82" s="49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830</v>
      </c>
      <c r="C83" s="13" t="s">
        <v>338</v>
      </c>
      <c r="D83" s="10" t="s">
        <v>831</v>
      </c>
      <c r="E83" s="25" t="s">
        <v>1494</v>
      </c>
      <c r="F83" s="26"/>
      <c r="G83" s="26" t="s">
        <v>1626</v>
      </c>
      <c r="H83" s="46" t="s">
        <v>1627</v>
      </c>
      <c r="I83" s="49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833</v>
      </c>
      <c r="C84" s="13" t="s">
        <v>338</v>
      </c>
      <c r="D84" s="10" t="s">
        <v>834</v>
      </c>
      <c r="E84" s="25" t="s">
        <v>1494</v>
      </c>
      <c r="F84" s="26"/>
      <c r="G84" s="26" t="s">
        <v>1628</v>
      </c>
      <c r="H84" s="46" t="s">
        <v>1629</v>
      </c>
      <c r="I84" s="49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836</v>
      </c>
      <c r="C85" s="13" t="s">
        <v>338</v>
      </c>
      <c r="D85" s="10" t="s">
        <v>837</v>
      </c>
      <c r="E85" s="25" t="s">
        <v>1494</v>
      </c>
      <c r="F85" s="26"/>
      <c r="G85" s="26" t="s">
        <v>1630</v>
      </c>
      <c r="H85" s="46" t="s">
        <v>1631</v>
      </c>
      <c r="I85" s="49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1288</v>
      </c>
      <c r="C86" s="13" t="s">
        <v>338</v>
      </c>
      <c r="D86" s="10" t="s">
        <v>561</v>
      </c>
      <c r="E86" s="25" t="s">
        <v>1494</v>
      </c>
      <c r="F86" s="26"/>
      <c r="G86" s="26" t="s">
        <v>1632</v>
      </c>
      <c r="H86" s="46"/>
      <c r="I86" s="49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844</v>
      </c>
      <c r="C87" s="13" t="s">
        <v>338</v>
      </c>
      <c r="D87" s="10" t="s">
        <v>845</v>
      </c>
      <c r="E87" s="25" t="s">
        <v>1494</v>
      </c>
      <c r="F87" s="26"/>
      <c r="G87" s="26" t="s">
        <v>1633</v>
      </c>
      <c r="H87" s="46" t="s">
        <v>1634</v>
      </c>
      <c r="I87" s="49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847</v>
      </c>
      <c r="C88" s="13" t="s">
        <v>338</v>
      </c>
      <c r="D88" s="10" t="s">
        <v>848</v>
      </c>
      <c r="E88" s="25" t="s">
        <v>1494</v>
      </c>
      <c r="F88" s="26"/>
      <c r="G88" s="26" t="s">
        <v>1635</v>
      </c>
      <c r="H88" s="46" t="s">
        <v>1636</v>
      </c>
      <c r="I88" s="49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850</v>
      </c>
      <c r="C89" s="13" t="s">
        <v>338</v>
      </c>
      <c r="D89" s="10" t="s">
        <v>851</v>
      </c>
      <c r="E89" s="25" t="s">
        <v>1494</v>
      </c>
      <c r="F89" s="26"/>
      <c r="G89" s="26" t="s">
        <v>1637</v>
      </c>
      <c r="H89" s="46" t="s">
        <v>1638</v>
      </c>
      <c r="I89" s="49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853</v>
      </c>
      <c r="C90" s="13" t="s">
        <v>338</v>
      </c>
      <c r="D90" s="10" t="s">
        <v>854</v>
      </c>
      <c r="E90" s="25" t="s">
        <v>1494</v>
      </c>
      <c r="F90" s="26"/>
      <c r="G90" s="26" t="s">
        <v>1639</v>
      </c>
      <c r="H90" s="46" t="s">
        <v>1640</v>
      </c>
      <c r="I90" s="49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856</v>
      </c>
      <c r="C91" s="13" t="s">
        <v>338</v>
      </c>
      <c r="D91" s="10" t="s">
        <v>857</v>
      </c>
      <c r="E91" s="25" t="s">
        <v>1494</v>
      </c>
      <c r="F91" s="26"/>
      <c r="G91" s="26" t="s">
        <v>1641</v>
      </c>
      <c r="H91" s="46" t="s">
        <v>1642</v>
      </c>
      <c r="I91" s="49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13" t="s">
        <v>1643</v>
      </c>
      <c r="C92" s="13" t="s">
        <v>666</v>
      </c>
      <c r="D92" s="10" t="s">
        <v>1644</v>
      </c>
      <c r="E92" s="25" t="s">
        <v>1494</v>
      </c>
      <c r="F92" s="26"/>
      <c r="G92" s="26" t="s">
        <v>1645</v>
      </c>
      <c r="H92" s="46" t="s">
        <v>1646</v>
      </c>
      <c r="I92" s="49"/>
      <c r="J92" s="15" t="s">
        <v>632</v>
      </c>
      <c r="K92" s="15" t="s">
        <v>294</v>
      </c>
      <c r="L92" s="15">
        <v>0</v>
      </c>
    </row>
    <row r="93" s="1" customFormat="1" spans="1:12">
      <c r="A93" s="33"/>
      <c r="B93" s="13" t="s">
        <v>1647</v>
      </c>
      <c r="C93" s="13" t="s">
        <v>338</v>
      </c>
      <c r="D93" s="10" t="s">
        <v>1648</v>
      </c>
      <c r="E93" s="25" t="s">
        <v>1494</v>
      </c>
      <c r="F93" s="26"/>
      <c r="G93" s="26" t="s">
        <v>1649</v>
      </c>
      <c r="H93" s="46"/>
      <c r="I93" s="49"/>
      <c r="J93" s="15" t="s">
        <v>632</v>
      </c>
      <c r="K93" s="15" t="s">
        <v>294</v>
      </c>
      <c r="L93" s="15">
        <v>0</v>
      </c>
    </row>
    <row r="94" s="1" customFormat="1" spans="1:12">
      <c r="A94" s="33"/>
      <c r="B94" s="13" t="s">
        <v>1650</v>
      </c>
      <c r="C94" s="13" t="s">
        <v>338</v>
      </c>
      <c r="D94" s="10" t="s">
        <v>1651</v>
      </c>
      <c r="E94" s="25" t="s">
        <v>1494</v>
      </c>
      <c r="F94" s="26"/>
      <c r="G94" s="26" t="s">
        <v>1652</v>
      </c>
      <c r="H94" s="46" t="s">
        <v>1653</v>
      </c>
      <c r="I94" s="49"/>
      <c r="J94" s="15" t="s">
        <v>632</v>
      </c>
      <c r="K94" s="15" t="s">
        <v>294</v>
      </c>
      <c r="L94" s="15">
        <v>0</v>
      </c>
    </row>
    <row r="95" s="1" customFormat="1" spans="1:12">
      <c r="A95" s="33"/>
      <c r="B95" s="13" t="s">
        <v>1654</v>
      </c>
      <c r="C95" s="13" t="s">
        <v>338</v>
      </c>
      <c r="D95" s="10" t="s">
        <v>1655</v>
      </c>
      <c r="E95" s="25" t="s">
        <v>1494</v>
      </c>
      <c r="F95" s="26"/>
      <c r="G95" s="26" t="s">
        <v>1656</v>
      </c>
      <c r="H95" s="46" t="s">
        <v>1653</v>
      </c>
      <c r="I95" s="49"/>
      <c r="J95" s="15" t="s">
        <v>632</v>
      </c>
      <c r="K95" s="15" t="s">
        <v>294</v>
      </c>
      <c r="L95" s="15">
        <v>0</v>
      </c>
    </row>
    <row r="96" s="1" customFormat="1" spans="1:12">
      <c r="A96" s="33"/>
      <c r="B96" s="13" t="s">
        <v>1657</v>
      </c>
      <c r="C96" s="13" t="s">
        <v>338</v>
      </c>
      <c r="D96" s="10" t="s">
        <v>1658</v>
      </c>
      <c r="E96" s="25" t="s">
        <v>1494</v>
      </c>
      <c r="F96" s="26"/>
      <c r="G96" s="26" t="s">
        <v>1659</v>
      </c>
      <c r="H96" s="46" t="s">
        <v>1653</v>
      </c>
      <c r="I96" s="49"/>
      <c r="J96" s="15" t="s">
        <v>632</v>
      </c>
      <c r="K96" s="15" t="s">
        <v>294</v>
      </c>
      <c r="L96" s="15">
        <v>0</v>
      </c>
    </row>
    <row r="97" s="1" customFormat="1" spans="1:12">
      <c r="A97" s="33"/>
      <c r="B97" s="13" t="s">
        <v>1660</v>
      </c>
      <c r="C97" s="13" t="s">
        <v>338</v>
      </c>
      <c r="D97" s="10" t="s">
        <v>1661</v>
      </c>
      <c r="E97" s="25" t="s">
        <v>1494</v>
      </c>
      <c r="F97" s="26"/>
      <c r="G97" s="26" t="s">
        <v>1662</v>
      </c>
      <c r="H97" s="46" t="s">
        <v>1653</v>
      </c>
      <c r="I97" s="49"/>
      <c r="J97" s="15" t="s">
        <v>632</v>
      </c>
      <c r="K97" s="15" t="s">
        <v>294</v>
      </c>
      <c r="L97" s="15">
        <v>0</v>
      </c>
    </row>
    <row r="98" s="1" customFormat="1" spans="1:12">
      <c r="A98" s="33"/>
      <c r="B98" s="13" t="s">
        <v>1663</v>
      </c>
      <c r="C98" s="13" t="s">
        <v>338</v>
      </c>
      <c r="D98" s="10" t="s">
        <v>1664</v>
      </c>
      <c r="E98" s="25" t="s">
        <v>1494</v>
      </c>
      <c r="F98" s="26"/>
      <c r="G98" s="26" t="s">
        <v>1665</v>
      </c>
      <c r="H98" s="46" t="s">
        <v>1653</v>
      </c>
      <c r="I98" s="49"/>
      <c r="J98" s="15" t="s">
        <v>632</v>
      </c>
      <c r="K98" s="15" t="s">
        <v>294</v>
      </c>
      <c r="L98" s="15">
        <v>0</v>
      </c>
    </row>
    <row r="99" s="1" customFormat="1" spans="1:12">
      <c r="A99" s="33"/>
      <c r="B99" s="13" t="s">
        <v>1666</v>
      </c>
      <c r="C99" s="13" t="s">
        <v>338</v>
      </c>
      <c r="D99" s="10" t="s">
        <v>1667</v>
      </c>
      <c r="E99" s="25" t="s">
        <v>1494</v>
      </c>
      <c r="F99" s="26"/>
      <c r="G99" s="26" t="s">
        <v>1668</v>
      </c>
      <c r="H99" s="46" t="s">
        <v>1653</v>
      </c>
      <c r="I99" s="49"/>
      <c r="J99" s="15" t="s">
        <v>632</v>
      </c>
      <c r="K99" s="15" t="s">
        <v>294</v>
      </c>
      <c r="L99" s="15">
        <v>0</v>
      </c>
    </row>
    <row r="100" s="1" customFormat="1" spans="1:12">
      <c r="A100" s="33"/>
      <c r="B100" s="13" t="s">
        <v>1669</v>
      </c>
      <c r="C100" s="13" t="s">
        <v>338</v>
      </c>
      <c r="D100" s="10" t="s">
        <v>1670</v>
      </c>
      <c r="E100" s="25" t="s">
        <v>1494</v>
      </c>
      <c r="F100" s="26"/>
      <c r="G100" s="26" t="s">
        <v>1671</v>
      </c>
      <c r="H100" s="46" t="s">
        <v>1653</v>
      </c>
      <c r="I100" s="49"/>
      <c r="J100" s="15" t="s">
        <v>632</v>
      </c>
      <c r="K100" s="15" t="s">
        <v>294</v>
      </c>
      <c r="L100" s="15">
        <v>0</v>
      </c>
    </row>
    <row r="101" s="1" customFormat="1" spans="1:12">
      <c r="A101" s="33"/>
      <c r="B101" s="13" t="s">
        <v>1672</v>
      </c>
      <c r="C101" s="13" t="s">
        <v>338</v>
      </c>
      <c r="D101" s="10" t="s">
        <v>1673</v>
      </c>
      <c r="E101" s="25" t="s">
        <v>1494</v>
      </c>
      <c r="F101" s="26"/>
      <c r="G101" s="26" t="s">
        <v>1674</v>
      </c>
      <c r="H101" s="46" t="s">
        <v>1653</v>
      </c>
      <c r="I101" s="49"/>
      <c r="J101" s="15" t="s">
        <v>632</v>
      </c>
      <c r="K101" s="15" t="s">
        <v>294</v>
      </c>
      <c r="L101" s="15">
        <v>0</v>
      </c>
    </row>
    <row r="102" s="1" customFormat="1" spans="1:12">
      <c r="A102" s="33"/>
      <c r="B102" s="13" t="s">
        <v>1675</v>
      </c>
      <c r="C102" s="13" t="s">
        <v>338</v>
      </c>
      <c r="D102" s="10" t="s">
        <v>1676</v>
      </c>
      <c r="E102" s="25" t="s">
        <v>1494</v>
      </c>
      <c r="F102" s="26"/>
      <c r="G102" s="26" t="s">
        <v>1677</v>
      </c>
      <c r="H102" s="46" t="s">
        <v>1653</v>
      </c>
      <c r="I102" s="49"/>
      <c r="J102" s="15" t="s">
        <v>632</v>
      </c>
      <c r="K102" s="15" t="s">
        <v>294</v>
      </c>
      <c r="L102" s="15">
        <v>0</v>
      </c>
    </row>
    <row r="103" s="1" customFormat="1" spans="1:12">
      <c r="A103" s="33"/>
      <c r="B103" s="52" t="s">
        <v>1678</v>
      </c>
      <c r="C103" s="52" t="s">
        <v>338</v>
      </c>
      <c r="D103" s="10" t="s">
        <v>1679</v>
      </c>
      <c r="E103" s="25" t="s">
        <v>1494</v>
      </c>
      <c r="F103" s="26"/>
      <c r="G103" s="26" t="s">
        <v>1680</v>
      </c>
      <c r="H103" s="46" t="s">
        <v>1653</v>
      </c>
      <c r="I103" s="49"/>
      <c r="J103" s="15" t="s">
        <v>632</v>
      </c>
      <c r="K103" s="15" t="s">
        <v>294</v>
      </c>
      <c r="L103" s="15">
        <v>0</v>
      </c>
    </row>
    <row r="104" s="2" customFormat="1" spans="2:17">
      <c r="B104" s="17" t="s">
        <v>594</v>
      </c>
      <c r="C104" s="18" t="s">
        <v>307</v>
      </c>
      <c r="D104" s="19" t="s">
        <v>595</v>
      </c>
      <c r="E104" s="28"/>
      <c r="F104" s="28" t="s">
        <v>932</v>
      </c>
      <c r="G104" s="28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="2" customFormat="1" spans="2:17">
      <c r="B105" s="17" t="s">
        <v>596</v>
      </c>
      <c r="C105" s="18" t="s">
        <v>291</v>
      </c>
      <c r="D105" s="19" t="s">
        <v>597</v>
      </c>
      <c r="E105" s="28"/>
      <c r="F105" s="28" t="s">
        <v>932</v>
      </c>
      <c r="G105" s="28" t="s">
        <v>932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</sheetData>
  <autoFilter xmlns:etc="http://www.wps.cn/officeDocument/2017/etCustomData" ref="A14:Q105" etc:filterBottomFollowUsedRange="0">
    <extLst/>
  </autoFilter>
  <mergeCells count="82">
    <mergeCell ref="B2:H2"/>
    <mergeCell ref="B3:H3"/>
    <mergeCell ref="B7:H7"/>
    <mergeCell ref="B13:L13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G9:G11"/>
  </mergeCells>
  <pageMargins left="0.7" right="0.7" top="0.75" bottom="0.75" header="0.3" footer="0.3"/>
  <pageSetup paperSize="9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workbookViewId="0">
      <pane ySplit="5" topLeftCell="A6" activePane="bottomLeft" state="frozen"/>
      <selection/>
      <selection pane="bottomLeft" activeCell="G68" sqref="G68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30.1083333333333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161</v>
      </c>
      <c r="D5" s="11" t="s">
        <v>1681</v>
      </c>
      <c r="E5" s="13" t="s">
        <v>27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3.2" customHeight="1" spans="2:8">
      <c r="B9" s="13"/>
      <c r="C9" s="10" t="s">
        <v>1476</v>
      </c>
      <c r="D9" s="11" t="s">
        <v>1477</v>
      </c>
      <c r="E9" s="13" t="s">
        <v>266</v>
      </c>
      <c r="F9" s="26"/>
      <c r="G9" s="68" t="s">
        <v>1682</v>
      </c>
      <c r="H9" s="43"/>
    </row>
    <row r="10" spans="2:8">
      <c r="B10" s="13"/>
      <c r="C10" s="10" t="s">
        <v>1683</v>
      </c>
      <c r="D10" s="11" t="s">
        <v>1684</v>
      </c>
      <c r="E10" s="13" t="s">
        <v>269</v>
      </c>
      <c r="F10" s="26" t="s">
        <v>1481</v>
      </c>
      <c r="G10" s="69"/>
      <c r="H10" s="43" t="s">
        <v>44</v>
      </c>
    </row>
    <row r="11" spans="2:8">
      <c r="B11" s="13"/>
      <c r="C11" s="41" t="s">
        <v>152</v>
      </c>
      <c r="D11" s="41" t="s">
        <v>153</v>
      </c>
      <c r="E11" s="40" t="s">
        <v>1311</v>
      </c>
      <c r="F11" s="13"/>
      <c r="G11" s="70"/>
      <c r="H11" s="13"/>
    </row>
    <row r="12" spans="3:7">
      <c r="C12" s="71"/>
      <c r="D12" s="72"/>
      <c r="G12" s="29"/>
    </row>
    <row r="13" spans="2:2">
      <c r="B13" s="3" t="s">
        <v>279</v>
      </c>
    </row>
    <row r="14" ht="13.5" spans="2:12">
      <c r="B14" s="7" t="s">
        <v>279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3.5" spans="2:12">
      <c r="B15" s="8" t="s">
        <v>280</v>
      </c>
      <c r="C15" s="8" t="s">
        <v>281</v>
      </c>
      <c r="D15" s="8" t="s">
        <v>282</v>
      </c>
      <c r="E15" s="8" t="s">
        <v>283</v>
      </c>
      <c r="F15" s="12" t="s">
        <v>284</v>
      </c>
      <c r="G15" s="12" t="s">
        <v>285</v>
      </c>
      <c r="H15" s="8" t="s">
        <v>286</v>
      </c>
      <c r="I15" s="8" t="s">
        <v>17</v>
      </c>
      <c r="J15" s="8" t="s">
        <v>287</v>
      </c>
      <c r="K15" s="8" t="s">
        <v>288</v>
      </c>
      <c r="L15" s="8" t="s">
        <v>289</v>
      </c>
    </row>
    <row r="16" s="1" customFormat="1" spans="2:12">
      <c r="B16" s="32" t="s">
        <v>602</v>
      </c>
      <c r="C16" s="32" t="s">
        <v>291</v>
      </c>
      <c r="D16" s="10" t="s">
        <v>614</v>
      </c>
      <c r="E16" s="25" t="s">
        <v>266</v>
      </c>
      <c r="F16" s="26" t="s">
        <v>602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2:12">
      <c r="B17" s="32" t="s">
        <v>606</v>
      </c>
      <c r="C17" s="32" t="s">
        <v>307</v>
      </c>
      <c r="D17" s="10" t="s">
        <v>48</v>
      </c>
      <c r="E17" s="25" t="s">
        <v>266</v>
      </c>
      <c r="F17" s="26" t="s">
        <v>606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2:12">
      <c r="B18" s="32" t="s">
        <v>257</v>
      </c>
      <c r="C18" s="32" t="s">
        <v>307</v>
      </c>
      <c r="D18" s="10" t="s">
        <v>37</v>
      </c>
      <c r="E18" s="25" t="s">
        <v>266</v>
      </c>
      <c r="F18" s="26" t="s">
        <v>257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32" t="s">
        <v>295</v>
      </c>
      <c r="C19" s="32" t="s">
        <v>291</v>
      </c>
      <c r="D19" s="10" t="s">
        <v>603</v>
      </c>
      <c r="E19" s="25" t="s">
        <v>266</v>
      </c>
      <c r="F19" s="26" t="s">
        <v>295</v>
      </c>
      <c r="G19" s="26" t="s">
        <v>293</v>
      </c>
      <c r="H19" s="27"/>
      <c r="I19" s="30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32" t="s">
        <v>1482</v>
      </c>
      <c r="C20" s="32" t="s">
        <v>291</v>
      </c>
      <c r="D20" s="10" t="s">
        <v>1483</v>
      </c>
      <c r="E20" s="25" t="s">
        <v>266</v>
      </c>
      <c r="F20" s="26" t="s">
        <v>1482</v>
      </c>
      <c r="G20" s="26" t="s">
        <v>293</v>
      </c>
      <c r="H20" s="27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32" t="s">
        <v>1484</v>
      </c>
      <c r="C21" s="32" t="s">
        <v>291</v>
      </c>
      <c r="D21" s="10" t="s">
        <v>1485</v>
      </c>
      <c r="E21" s="25" t="s">
        <v>266</v>
      </c>
      <c r="F21" s="10" t="s">
        <v>1484</v>
      </c>
      <c r="G21" s="26" t="s">
        <v>293</v>
      </c>
      <c r="H21" s="27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1486</v>
      </c>
      <c r="C22" s="32" t="s">
        <v>291</v>
      </c>
      <c r="D22" s="10" t="s">
        <v>1487</v>
      </c>
      <c r="E22" s="25" t="s">
        <v>266</v>
      </c>
      <c r="F22" s="10" t="s">
        <v>1486</v>
      </c>
      <c r="G22" s="26" t="s">
        <v>293</v>
      </c>
      <c r="H22" s="27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1488</v>
      </c>
      <c r="C23" s="32" t="s">
        <v>291</v>
      </c>
      <c r="D23" s="10" t="s">
        <v>1489</v>
      </c>
      <c r="E23" s="25" t="s">
        <v>266</v>
      </c>
      <c r="F23" s="10" t="s">
        <v>1488</v>
      </c>
      <c r="G23" s="26" t="s">
        <v>293</v>
      </c>
      <c r="H23" s="27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1490</v>
      </c>
      <c r="C24" s="32" t="s">
        <v>666</v>
      </c>
      <c r="D24" s="10" t="s">
        <v>1491</v>
      </c>
      <c r="E24" s="25" t="s">
        <v>266</v>
      </c>
      <c r="F24" s="10" t="s">
        <v>1490</v>
      </c>
      <c r="G24" s="26" t="s">
        <v>293</v>
      </c>
      <c r="H24" s="27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1492</v>
      </c>
      <c r="C25" s="32" t="s">
        <v>666</v>
      </c>
      <c r="D25" s="10" t="s">
        <v>1493</v>
      </c>
      <c r="E25" s="25" t="s">
        <v>266</v>
      </c>
      <c r="F25" s="10" t="s">
        <v>1492</v>
      </c>
      <c r="G25" s="26" t="s">
        <v>293</v>
      </c>
      <c r="H25" s="27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514</v>
      </c>
      <c r="C26" s="13" t="s">
        <v>291</v>
      </c>
      <c r="D26" s="10" t="s">
        <v>515</v>
      </c>
      <c r="E26" s="25" t="s">
        <v>266</v>
      </c>
      <c r="F26" s="10" t="s">
        <v>514</v>
      </c>
      <c r="G26" s="26" t="s">
        <v>293</v>
      </c>
      <c r="H26" s="27"/>
      <c r="I26" s="53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331</v>
      </c>
      <c r="C27" s="13" t="s">
        <v>307</v>
      </c>
      <c r="D27" s="10" t="s">
        <v>623</v>
      </c>
      <c r="E27" s="25" t="s">
        <v>1494</v>
      </c>
      <c r="F27" s="26" t="s">
        <v>331</v>
      </c>
      <c r="G27" s="26" t="s">
        <v>293</v>
      </c>
      <c r="H27" s="27"/>
      <c r="I27" s="30"/>
      <c r="J27" s="15" t="s">
        <v>604</v>
      </c>
      <c r="K27" s="15" t="s">
        <v>294</v>
      </c>
      <c r="L27" s="15" t="s">
        <v>294</v>
      </c>
    </row>
    <row r="28" s="1" customFormat="1" ht="13.2" customHeight="1" spans="1:12">
      <c r="A28" s="33"/>
      <c r="B28" s="13" t="s">
        <v>1273</v>
      </c>
      <c r="C28" s="13" t="s">
        <v>338</v>
      </c>
      <c r="D28" s="10" t="s">
        <v>640</v>
      </c>
      <c r="E28" s="25" t="s">
        <v>1494</v>
      </c>
      <c r="F28" s="26"/>
      <c r="G28" s="26" t="s">
        <v>1685</v>
      </c>
      <c r="H28" s="73" t="s">
        <v>1496</v>
      </c>
      <c r="I28" s="74"/>
      <c r="J28" s="15" t="s">
        <v>632</v>
      </c>
      <c r="K28" s="15" t="s">
        <v>404</v>
      </c>
      <c r="L28" s="15" t="s">
        <v>633</v>
      </c>
    </row>
    <row r="29" s="1" customFormat="1" ht="13.2" customHeight="1" spans="1:12">
      <c r="A29" s="33"/>
      <c r="B29" s="13" t="s">
        <v>1044</v>
      </c>
      <c r="C29" s="13" t="s">
        <v>338</v>
      </c>
      <c r="D29" s="10" t="s">
        <v>642</v>
      </c>
      <c r="E29" s="25" t="s">
        <v>1494</v>
      </c>
      <c r="F29" s="10"/>
      <c r="G29" s="26" t="s">
        <v>1686</v>
      </c>
      <c r="H29" s="48" t="s">
        <v>1498</v>
      </c>
      <c r="I29" s="50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1045</v>
      </c>
      <c r="C30" s="13" t="s">
        <v>338</v>
      </c>
      <c r="D30" s="10" t="s">
        <v>645</v>
      </c>
      <c r="E30" s="25" t="s">
        <v>1494</v>
      </c>
      <c r="F30" s="26"/>
      <c r="G30" s="26" t="s">
        <v>1687</v>
      </c>
      <c r="H30" s="48" t="s">
        <v>1500</v>
      </c>
      <c r="I30" s="50"/>
      <c r="J30" s="15" t="s">
        <v>632</v>
      </c>
      <c r="K30" s="15" t="s">
        <v>644</v>
      </c>
      <c r="L30" s="15" t="s">
        <v>633</v>
      </c>
    </row>
    <row r="31" s="1" customFormat="1" spans="2:12">
      <c r="B31" s="32" t="s">
        <v>1088</v>
      </c>
      <c r="C31" s="34" t="s">
        <v>338</v>
      </c>
      <c r="D31" s="10" t="s">
        <v>1089</v>
      </c>
      <c r="E31" s="25" t="s">
        <v>1494</v>
      </c>
      <c r="F31" s="26"/>
      <c r="G31" s="26" t="s">
        <v>1688</v>
      </c>
      <c r="H31" s="48" t="s">
        <v>1502</v>
      </c>
      <c r="I31" s="50"/>
      <c r="J31" s="15" t="s">
        <v>632</v>
      </c>
      <c r="K31" s="15" t="s">
        <v>404</v>
      </c>
      <c r="L31" s="15" t="s">
        <v>633</v>
      </c>
    </row>
    <row r="32" s="1" customFormat="1" spans="2:12">
      <c r="B32" s="32" t="s">
        <v>1101</v>
      </c>
      <c r="C32" s="34" t="s">
        <v>338</v>
      </c>
      <c r="D32" s="10" t="s">
        <v>1102</v>
      </c>
      <c r="E32" s="25" t="s">
        <v>1494</v>
      </c>
      <c r="F32" s="10"/>
      <c r="G32" s="26" t="s">
        <v>1689</v>
      </c>
      <c r="H32" s="48" t="s">
        <v>1504</v>
      </c>
      <c r="I32" s="50"/>
      <c r="J32" s="15" t="s">
        <v>632</v>
      </c>
      <c r="K32" s="15" t="s">
        <v>404</v>
      </c>
      <c r="L32" s="15" t="s">
        <v>633</v>
      </c>
    </row>
    <row r="33" s="33" customFormat="1" spans="2:12">
      <c r="B33" s="32" t="s">
        <v>1114</v>
      </c>
      <c r="C33" s="13" t="s">
        <v>338</v>
      </c>
      <c r="D33" s="10" t="s">
        <v>1505</v>
      </c>
      <c r="E33" s="25" t="s">
        <v>1494</v>
      </c>
      <c r="F33" s="26"/>
      <c r="G33" s="26" t="s">
        <v>1690</v>
      </c>
      <c r="H33" s="48" t="s">
        <v>1507</v>
      </c>
      <c r="I33" s="50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1691</v>
      </c>
      <c r="C34" s="13" t="s">
        <v>338</v>
      </c>
      <c r="D34" s="10" t="s">
        <v>1692</v>
      </c>
      <c r="E34" s="25" t="s">
        <v>1494</v>
      </c>
      <c r="F34" s="26"/>
      <c r="G34" s="26" t="s">
        <v>1693</v>
      </c>
      <c r="H34" s="48" t="s">
        <v>1694</v>
      </c>
      <c r="I34" s="50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1695</v>
      </c>
      <c r="C35" s="13" t="s">
        <v>338</v>
      </c>
      <c r="D35" s="10" t="s">
        <v>1696</v>
      </c>
      <c r="E35" s="25" t="s">
        <v>1494</v>
      </c>
      <c r="F35" s="26"/>
      <c r="G35" s="26" t="s">
        <v>1697</v>
      </c>
      <c r="H35" s="48" t="s">
        <v>1698</v>
      </c>
      <c r="I35" s="50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1699</v>
      </c>
      <c r="C36" s="13" t="s">
        <v>338</v>
      </c>
      <c r="D36" s="10" t="s">
        <v>1700</v>
      </c>
      <c r="E36" s="25" t="s">
        <v>1494</v>
      </c>
      <c r="F36" s="26"/>
      <c r="G36" s="26" t="s">
        <v>1701</v>
      </c>
      <c r="H36" s="48" t="s">
        <v>1702</v>
      </c>
      <c r="I36" s="50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32" t="s">
        <v>1703</v>
      </c>
      <c r="C37" s="32" t="s">
        <v>338</v>
      </c>
      <c r="D37" s="10" t="s">
        <v>1704</v>
      </c>
      <c r="E37" s="25" t="s">
        <v>1494</v>
      </c>
      <c r="F37" s="26"/>
      <c r="G37" s="26" t="s">
        <v>1705</v>
      </c>
      <c r="H37" s="48" t="s">
        <v>1706</v>
      </c>
      <c r="I37" s="50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1443</v>
      </c>
      <c r="C38" s="13" t="s">
        <v>338</v>
      </c>
      <c r="D38" s="10" t="s">
        <v>1707</v>
      </c>
      <c r="E38" s="25" t="s">
        <v>1494</v>
      </c>
      <c r="F38" s="55"/>
      <c r="G38" s="26" t="s">
        <v>1708</v>
      </c>
      <c r="H38" s="48" t="s">
        <v>1709</v>
      </c>
      <c r="I38" s="50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1446</v>
      </c>
      <c r="C39" s="13" t="s">
        <v>338</v>
      </c>
      <c r="D39" s="10" t="s">
        <v>1710</v>
      </c>
      <c r="E39" s="25" t="s">
        <v>1494</v>
      </c>
      <c r="F39" s="55"/>
      <c r="G39" s="26" t="s">
        <v>1711</v>
      </c>
      <c r="H39" s="48" t="s">
        <v>1712</v>
      </c>
      <c r="I39" s="50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1449</v>
      </c>
      <c r="C40" s="13" t="s">
        <v>338</v>
      </c>
      <c r="D40" s="10" t="s">
        <v>1713</v>
      </c>
      <c r="E40" s="25" t="s">
        <v>1494</v>
      </c>
      <c r="F40" s="55"/>
      <c r="G40" s="10" t="s">
        <v>1714</v>
      </c>
      <c r="H40" s="48" t="s">
        <v>1715</v>
      </c>
      <c r="I40" s="50"/>
      <c r="J40" s="15" t="s">
        <v>632</v>
      </c>
      <c r="K40" s="15" t="s">
        <v>294</v>
      </c>
      <c r="L40" s="15">
        <v>0</v>
      </c>
    </row>
    <row r="41" s="1" customFormat="1" spans="1:12">
      <c r="A41" s="33"/>
      <c r="B41" s="13" t="s">
        <v>1276</v>
      </c>
      <c r="C41" s="13" t="s">
        <v>338</v>
      </c>
      <c r="D41" s="10" t="s">
        <v>529</v>
      </c>
      <c r="E41" s="25" t="s">
        <v>1494</v>
      </c>
      <c r="F41" s="55"/>
      <c r="G41" s="26" t="s">
        <v>1716</v>
      </c>
      <c r="H41" s="48" t="s">
        <v>1509</v>
      </c>
      <c r="I41" s="50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1292</v>
      </c>
      <c r="C42" s="13" t="s">
        <v>338</v>
      </c>
      <c r="D42" s="10" t="s">
        <v>872</v>
      </c>
      <c r="E42" s="25" t="s">
        <v>1494</v>
      </c>
      <c r="F42" s="55"/>
      <c r="G42" s="26" t="s">
        <v>1717</v>
      </c>
      <c r="H42" s="48" t="s">
        <v>1543</v>
      </c>
      <c r="I42" s="50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1291</v>
      </c>
      <c r="C43" s="13" t="s">
        <v>338</v>
      </c>
      <c r="D43" s="10" t="s">
        <v>869</v>
      </c>
      <c r="E43" s="25" t="s">
        <v>1494</v>
      </c>
      <c r="F43" s="55"/>
      <c r="G43" s="26" t="s">
        <v>1718</v>
      </c>
      <c r="H43" s="48" t="s">
        <v>1545</v>
      </c>
      <c r="I43" s="50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1546</v>
      </c>
      <c r="C44" s="13" t="s">
        <v>338</v>
      </c>
      <c r="D44" s="10" t="s">
        <v>1547</v>
      </c>
      <c r="E44" s="25" t="s">
        <v>1494</v>
      </c>
      <c r="F44" s="55"/>
      <c r="G44" s="26" t="s">
        <v>1719</v>
      </c>
      <c r="H44" s="48" t="s">
        <v>1549</v>
      </c>
      <c r="I44" s="50"/>
      <c r="J44" s="15" t="s">
        <v>632</v>
      </c>
      <c r="K44" s="15" t="s">
        <v>404</v>
      </c>
      <c r="L44" s="15" t="s">
        <v>633</v>
      </c>
    </row>
    <row r="45" s="1" customFormat="1" spans="1:12">
      <c r="A45" s="33"/>
      <c r="B45" s="13" t="s">
        <v>1550</v>
      </c>
      <c r="C45" s="13" t="s">
        <v>338</v>
      </c>
      <c r="D45" s="10" t="s">
        <v>1551</v>
      </c>
      <c r="E45" s="25" t="s">
        <v>1494</v>
      </c>
      <c r="F45" s="55"/>
      <c r="G45" s="26" t="s">
        <v>1720</v>
      </c>
      <c r="H45" s="48" t="s">
        <v>1553</v>
      </c>
      <c r="I45" s="50"/>
      <c r="J45" s="15" t="s">
        <v>632</v>
      </c>
      <c r="K45" s="15" t="s">
        <v>294</v>
      </c>
      <c r="L45" s="15">
        <v>0</v>
      </c>
    </row>
    <row r="46" s="1" customFormat="1" spans="1:12">
      <c r="A46" s="33"/>
      <c r="B46" s="13" t="s">
        <v>1554</v>
      </c>
      <c r="C46" s="13" t="s">
        <v>338</v>
      </c>
      <c r="D46" s="10" t="s">
        <v>1555</v>
      </c>
      <c r="E46" s="25" t="s">
        <v>1494</v>
      </c>
      <c r="F46" s="55"/>
      <c r="G46" s="26" t="s">
        <v>1721</v>
      </c>
      <c r="H46" s="48" t="s">
        <v>1557</v>
      </c>
      <c r="I46" s="50"/>
      <c r="J46" s="15" t="s">
        <v>632</v>
      </c>
      <c r="K46" s="15" t="s">
        <v>294</v>
      </c>
      <c r="L46" s="15">
        <v>0</v>
      </c>
    </row>
    <row r="47" s="1" customFormat="1" spans="1:12">
      <c r="A47" s="33"/>
      <c r="B47" s="13" t="s">
        <v>1558</v>
      </c>
      <c r="C47" s="13" t="s">
        <v>338</v>
      </c>
      <c r="D47" s="10" t="s">
        <v>1559</v>
      </c>
      <c r="E47" s="25" t="s">
        <v>1494</v>
      </c>
      <c r="F47" s="55"/>
      <c r="G47" s="26" t="s">
        <v>1722</v>
      </c>
      <c r="H47" s="48" t="s">
        <v>1557</v>
      </c>
      <c r="I47" s="50"/>
      <c r="J47" s="15" t="s">
        <v>632</v>
      </c>
      <c r="K47" s="15" t="s">
        <v>294</v>
      </c>
      <c r="L47" s="15">
        <v>0</v>
      </c>
    </row>
    <row r="48" s="1" customFormat="1" spans="1:12">
      <c r="A48" s="33"/>
      <c r="B48" s="13" t="s">
        <v>1561</v>
      </c>
      <c r="C48" s="13" t="s">
        <v>338</v>
      </c>
      <c r="D48" s="10" t="s">
        <v>1562</v>
      </c>
      <c r="E48" s="25" t="s">
        <v>1494</v>
      </c>
      <c r="F48" s="55"/>
      <c r="G48" s="26" t="s">
        <v>1723</v>
      </c>
      <c r="H48" s="48" t="s">
        <v>1557</v>
      </c>
      <c r="I48" s="50"/>
      <c r="J48" s="15" t="s">
        <v>632</v>
      </c>
      <c r="K48" s="15" t="s">
        <v>294</v>
      </c>
      <c r="L48" s="15">
        <v>0</v>
      </c>
    </row>
    <row r="49" s="1" customFormat="1" spans="1:12">
      <c r="A49" s="33"/>
      <c r="B49" s="13" t="s">
        <v>1564</v>
      </c>
      <c r="C49" s="13" t="s">
        <v>338</v>
      </c>
      <c r="D49" s="10" t="s">
        <v>1565</v>
      </c>
      <c r="E49" s="25" t="s">
        <v>1494</v>
      </c>
      <c r="F49" s="55"/>
      <c r="G49" s="26" t="s">
        <v>1724</v>
      </c>
      <c r="H49" s="48" t="s">
        <v>1557</v>
      </c>
      <c r="I49" s="50"/>
      <c r="J49" s="15" t="s">
        <v>632</v>
      </c>
      <c r="K49" s="15" t="s">
        <v>294</v>
      </c>
      <c r="L49" s="15">
        <v>0</v>
      </c>
    </row>
    <row r="50" s="1" customFormat="1" spans="1:12">
      <c r="A50" s="33"/>
      <c r="B50" s="13" t="s">
        <v>1567</v>
      </c>
      <c r="C50" s="13" t="s">
        <v>338</v>
      </c>
      <c r="D50" s="10" t="s">
        <v>1568</v>
      </c>
      <c r="E50" s="25" t="s">
        <v>1494</v>
      </c>
      <c r="F50" s="55"/>
      <c r="G50" s="26" t="s">
        <v>1725</v>
      </c>
      <c r="H50" s="48" t="s">
        <v>1557</v>
      </c>
      <c r="I50" s="50"/>
      <c r="J50" s="15" t="s">
        <v>632</v>
      </c>
      <c r="K50" s="15" t="s">
        <v>294</v>
      </c>
      <c r="L50" s="15">
        <v>0</v>
      </c>
    </row>
    <row r="51" s="1" customFormat="1" spans="1:12">
      <c r="A51" s="33"/>
      <c r="B51" s="13" t="s">
        <v>730</v>
      </c>
      <c r="C51" s="13" t="s">
        <v>338</v>
      </c>
      <c r="D51" s="10" t="s">
        <v>731</v>
      </c>
      <c r="E51" s="25" t="s">
        <v>1494</v>
      </c>
      <c r="F51" s="55"/>
      <c r="G51" s="26" t="s">
        <v>1726</v>
      </c>
      <c r="H51" s="48"/>
      <c r="I51" s="50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1091</v>
      </c>
      <c r="C52" s="13" t="s">
        <v>338</v>
      </c>
      <c r="D52" s="10" t="s">
        <v>1092</v>
      </c>
      <c r="E52" s="25" t="s">
        <v>1494</v>
      </c>
      <c r="F52" s="55"/>
      <c r="G52" s="26" t="s">
        <v>1727</v>
      </c>
      <c r="H52" s="48" t="s">
        <v>1572</v>
      </c>
      <c r="I52" s="50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1093</v>
      </c>
      <c r="C53" s="13" t="s">
        <v>338</v>
      </c>
      <c r="D53" s="10" t="s">
        <v>1094</v>
      </c>
      <c r="E53" s="25" t="s">
        <v>1494</v>
      </c>
      <c r="F53" s="55"/>
      <c r="G53" s="26" t="s">
        <v>1728</v>
      </c>
      <c r="H53" s="48" t="s">
        <v>1574</v>
      </c>
      <c r="I53" s="50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1095</v>
      </c>
      <c r="C54" s="13" t="s">
        <v>338</v>
      </c>
      <c r="D54" s="10" t="s">
        <v>1096</v>
      </c>
      <c r="E54" s="25" t="s">
        <v>1494</v>
      </c>
      <c r="F54" s="55"/>
      <c r="G54" s="26" t="s">
        <v>1729</v>
      </c>
      <c r="H54" s="48" t="s">
        <v>1576</v>
      </c>
      <c r="I54" s="50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1097</v>
      </c>
      <c r="C55" s="13" t="s">
        <v>338</v>
      </c>
      <c r="D55" s="10" t="s">
        <v>1098</v>
      </c>
      <c r="E55" s="25" t="s">
        <v>1494</v>
      </c>
      <c r="F55" s="55"/>
      <c r="G55" s="26" t="s">
        <v>1730</v>
      </c>
      <c r="H55" s="48" t="s">
        <v>1578</v>
      </c>
      <c r="I55" s="50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1099</v>
      </c>
      <c r="C56" s="13" t="s">
        <v>338</v>
      </c>
      <c r="D56" s="10" t="s">
        <v>1100</v>
      </c>
      <c r="E56" s="25" t="s">
        <v>1494</v>
      </c>
      <c r="F56" s="55"/>
      <c r="G56" s="26" t="s">
        <v>1731</v>
      </c>
      <c r="H56" s="48" t="s">
        <v>1580</v>
      </c>
      <c r="I56" s="50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751</v>
      </c>
      <c r="C57" s="13" t="s">
        <v>338</v>
      </c>
      <c r="D57" s="10" t="s">
        <v>752</v>
      </c>
      <c r="E57" s="25" t="s">
        <v>1494</v>
      </c>
      <c r="F57" s="55"/>
      <c r="G57" s="26" t="s">
        <v>1732</v>
      </c>
      <c r="H57" s="48"/>
      <c r="I57" s="50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1104</v>
      </c>
      <c r="C58" s="13" t="s">
        <v>338</v>
      </c>
      <c r="D58" s="10" t="s">
        <v>1105</v>
      </c>
      <c r="E58" s="25" t="s">
        <v>1494</v>
      </c>
      <c r="F58" s="55"/>
      <c r="G58" s="26" t="s">
        <v>1733</v>
      </c>
      <c r="H58" s="48" t="s">
        <v>1583</v>
      </c>
      <c r="I58" s="50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1106</v>
      </c>
      <c r="C59" s="13" t="s">
        <v>338</v>
      </c>
      <c r="D59" s="10" t="s">
        <v>1107</v>
      </c>
      <c r="E59" s="25" t="s">
        <v>1494</v>
      </c>
      <c r="F59" s="55"/>
      <c r="G59" s="26" t="s">
        <v>1734</v>
      </c>
      <c r="H59" s="48" t="s">
        <v>1585</v>
      </c>
      <c r="I59" s="50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1108</v>
      </c>
      <c r="C60" s="13" t="s">
        <v>338</v>
      </c>
      <c r="D60" s="10" t="s">
        <v>1109</v>
      </c>
      <c r="E60" s="25" t="s">
        <v>1494</v>
      </c>
      <c r="F60" s="55"/>
      <c r="G60" s="26" t="s">
        <v>1735</v>
      </c>
      <c r="H60" s="48" t="s">
        <v>1587</v>
      </c>
      <c r="I60" s="50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1110</v>
      </c>
      <c r="C61" s="13" t="s">
        <v>338</v>
      </c>
      <c r="D61" s="10" t="s">
        <v>1111</v>
      </c>
      <c r="E61" s="25" t="s">
        <v>1494</v>
      </c>
      <c r="F61" s="55"/>
      <c r="G61" s="26" t="s">
        <v>1736</v>
      </c>
      <c r="H61" s="48" t="s">
        <v>1589</v>
      </c>
      <c r="I61" s="50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1112</v>
      </c>
      <c r="C62" s="13" t="s">
        <v>338</v>
      </c>
      <c r="D62" s="10" t="s">
        <v>1113</v>
      </c>
      <c r="E62" s="25" t="s">
        <v>1494</v>
      </c>
      <c r="F62" s="55"/>
      <c r="G62" s="26" t="s">
        <v>1737</v>
      </c>
      <c r="H62" s="48" t="s">
        <v>1591</v>
      </c>
      <c r="I62" s="50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772</v>
      </c>
      <c r="C63" s="13" t="s">
        <v>338</v>
      </c>
      <c r="D63" s="10" t="s">
        <v>773</v>
      </c>
      <c r="E63" s="25" t="s">
        <v>1494</v>
      </c>
      <c r="F63" s="55"/>
      <c r="G63" s="26" t="s">
        <v>1738</v>
      </c>
      <c r="H63" s="48"/>
      <c r="I63" s="50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1279</v>
      </c>
      <c r="C64" s="13" t="s">
        <v>338</v>
      </c>
      <c r="D64" s="10" t="s">
        <v>1593</v>
      </c>
      <c r="E64" s="25" t="s">
        <v>1494</v>
      </c>
      <c r="F64" s="55"/>
      <c r="G64" s="26" t="s">
        <v>1739</v>
      </c>
      <c r="H64" s="48" t="s">
        <v>1595</v>
      </c>
      <c r="I64" s="50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1280</v>
      </c>
      <c r="C65" s="13" t="s">
        <v>338</v>
      </c>
      <c r="D65" s="10" t="s">
        <v>1596</v>
      </c>
      <c r="E65" s="25" t="s">
        <v>1494</v>
      </c>
      <c r="F65" s="55"/>
      <c r="G65" s="26" t="s">
        <v>1740</v>
      </c>
      <c r="H65" s="48" t="s">
        <v>1598</v>
      </c>
      <c r="I65" s="50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1281</v>
      </c>
      <c r="C66" s="13" t="s">
        <v>338</v>
      </c>
      <c r="D66" s="10" t="s">
        <v>1599</v>
      </c>
      <c r="E66" s="25" t="s">
        <v>1494</v>
      </c>
      <c r="F66" s="55"/>
      <c r="G66" s="26" t="s">
        <v>1741</v>
      </c>
      <c r="H66" s="48" t="s">
        <v>1601</v>
      </c>
      <c r="I66" s="50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1282</v>
      </c>
      <c r="C67" s="13" t="s">
        <v>338</v>
      </c>
      <c r="D67" s="10" t="s">
        <v>1602</v>
      </c>
      <c r="E67" s="25" t="s">
        <v>1494</v>
      </c>
      <c r="F67" s="55"/>
      <c r="G67" s="26" t="s">
        <v>1742</v>
      </c>
      <c r="H67" s="48" t="s">
        <v>1604</v>
      </c>
      <c r="I67" s="50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1283</v>
      </c>
      <c r="C68" s="13" t="s">
        <v>338</v>
      </c>
      <c r="D68" s="10" t="s">
        <v>1605</v>
      </c>
      <c r="E68" s="25" t="s">
        <v>1494</v>
      </c>
      <c r="F68" s="55"/>
      <c r="G68" s="26" t="s">
        <v>1743</v>
      </c>
      <c r="H68" s="48" t="s">
        <v>1607</v>
      </c>
      <c r="I68" s="50"/>
      <c r="J68" s="15" t="s">
        <v>632</v>
      </c>
      <c r="K68" s="15" t="s">
        <v>294</v>
      </c>
      <c r="L68" s="15" t="s">
        <v>633</v>
      </c>
    </row>
    <row r="69" s="2" customFormat="1" spans="2:14">
      <c r="B69" s="17" t="s">
        <v>594</v>
      </c>
      <c r="C69" s="18" t="s">
        <v>307</v>
      </c>
      <c r="D69" s="19" t="s">
        <v>595</v>
      </c>
      <c r="E69" s="28"/>
      <c r="F69" s="28"/>
      <c r="G69" s="28" t="s">
        <v>932</v>
      </c>
      <c r="H69" s="17" t="s">
        <v>932</v>
      </c>
      <c r="I69" s="17"/>
      <c r="J69" s="17"/>
      <c r="K69" s="17"/>
      <c r="L69" s="17"/>
      <c r="M69" s="17"/>
      <c r="N69" s="17"/>
    </row>
    <row r="70" s="2" customFormat="1" spans="2:14">
      <c r="B70" s="17" t="s">
        <v>596</v>
      </c>
      <c r="C70" s="18" t="s">
        <v>291</v>
      </c>
      <c r="D70" s="19" t="s">
        <v>597</v>
      </c>
      <c r="E70" s="28"/>
      <c r="F70" s="28"/>
      <c r="G70" s="28" t="s">
        <v>932</v>
      </c>
      <c r="H70" s="17" t="s">
        <v>932</v>
      </c>
      <c r="I70" s="17"/>
      <c r="J70" s="17"/>
      <c r="K70" s="17"/>
      <c r="L70" s="17"/>
      <c r="M70" s="17"/>
      <c r="N70" s="17"/>
    </row>
  </sheetData>
  <autoFilter xmlns:etc="http://www.wps.cn/officeDocument/2017/etCustomData" ref="A15:N70" etc:filterBottomFollowUsedRange="0">
    <extLst/>
  </autoFilter>
  <mergeCells count="46">
    <mergeCell ref="B2:H2"/>
    <mergeCell ref="B3:H3"/>
    <mergeCell ref="B7:H7"/>
    <mergeCell ref="B14:L14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G9:G11"/>
  </mergeCells>
  <pageMargins left="0.7" right="0.7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zoomScale="85" zoomScaleNormal="85" workbookViewId="0">
      <pane ySplit="5" topLeftCell="A38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27.5583333333333" style="3" customWidth="1"/>
    <col min="3" max="3" width="39.9916666666667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165</v>
      </c>
      <c r="D5" s="11" t="s">
        <v>1744</v>
      </c>
      <c r="E5" s="13" t="s">
        <v>27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3.2" customHeight="1" spans="2:8">
      <c r="B9" s="13"/>
      <c r="C9" s="10" t="s">
        <v>1476</v>
      </c>
      <c r="D9" s="11" t="s">
        <v>1745</v>
      </c>
      <c r="E9" s="13" t="s">
        <v>266</v>
      </c>
      <c r="F9" s="26"/>
      <c r="G9" s="68" t="s">
        <v>1746</v>
      </c>
      <c r="H9" s="23" t="s">
        <v>44</v>
      </c>
    </row>
    <row r="10" spans="2:8">
      <c r="B10" s="13"/>
      <c r="C10" s="10" t="s">
        <v>1747</v>
      </c>
      <c r="D10" s="11" t="s">
        <v>1748</v>
      </c>
      <c r="E10" s="13" t="s">
        <v>269</v>
      </c>
      <c r="F10" s="26" t="s">
        <v>1481</v>
      </c>
      <c r="G10" s="69"/>
      <c r="H10" s="23"/>
    </row>
    <row r="11" spans="2:8">
      <c r="B11" s="13"/>
      <c r="C11" s="41" t="s">
        <v>154</v>
      </c>
      <c r="D11" s="41" t="s">
        <v>155</v>
      </c>
      <c r="E11" s="40" t="s">
        <v>1311</v>
      </c>
      <c r="F11" s="13"/>
      <c r="G11" s="70"/>
      <c r="H11" s="13"/>
    </row>
    <row r="12" spans="2:2">
      <c r="B12" s="3" t="s">
        <v>279</v>
      </c>
    </row>
    <row r="13" ht="13.5" spans="2:12">
      <c r="B13" s="7" t="s">
        <v>279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3.5" spans="2:12">
      <c r="B14" s="8" t="s">
        <v>280</v>
      </c>
      <c r="C14" s="8" t="s">
        <v>281</v>
      </c>
      <c r="D14" s="8" t="s">
        <v>282</v>
      </c>
      <c r="E14" s="8" t="s">
        <v>283</v>
      </c>
      <c r="F14" s="12" t="s">
        <v>284</v>
      </c>
      <c r="G14" s="12" t="s">
        <v>285</v>
      </c>
      <c r="H14" s="8" t="s">
        <v>286</v>
      </c>
      <c r="I14" s="8" t="s">
        <v>17</v>
      </c>
      <c r="J14" s="8" t="s">
        <v>287</v>
      </c>
      <c r="K14" s="8" t="s">
        <v>288</v>
      </c>
      <c r="L14" s="8" t="s">
        <v>289</v>
      </c>
    </row>
    <row r="15" s="1" customFormat="1" spans="2:12">
      <c r="B15" s="32" t="s">
        <v>602</v>
      </c>
      <c r="C15" s="32" t="s">
        <v>291</v>
      </c>
      <c r="D15" s="10" t="s">
        <v>614</v>
      </c>
      <c r="E15" s="25" t="s">
        <v>266</v>
      </c>
      <c r="F15" s="26" t="s">
        <v>602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294</v>
      </c>
    </row>
    <row r="16" s="1" customFormat="1" spans="2:12">
      <c r="B16" s="32" t="s">
        <v>606</v>
      </c>
      <c r="C16" s="32" t="s">
        <v>307</v>
      </c>
      <c r="D16" s="10" t="s">
        <v>48</v>
      </c>
      <c r="E16" s="25" t="s">
        <v>266</v>
      </c>
      <c r="F16" s="26" t="s">
        <v>606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2:12">
      <c r="B17" s="32" t="s">
        <v>257</v>
      </c>
      <c r="C17" s="32" t="s">
        <v>307</v>
      </c>
      <c r="D17" s="10" t="s">
        <v>37</v>
      </c>
      <c r="E17" s="25" t="s">
        <v>266</v>
      </c>
      <c r="F17" s="26" t="s">
        <v>257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32" t="s">
        <v>295</v>
      </c>
      <c r="C18" s="32" t="s">
        <v>291</v>
      </c>
      <c r="D18" s="10" t="s">
        <v>603</v>
      </c>
      <c r="E18" s="25" t="s">
        <v>266</v>
      </c>
      <c r="F18" s="26" t="s">
        <v>295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32" t="s">
        <v>1482</v>
      </c>
      <c r="C19" s="32" t="s">
        <v>291</v>
      </c>
      <c r="D19" s="10" t="s">
        <v>1483</v>
      </c>
      <c r="E19" s="25" t="s">
        <v>266</v>
      </c>
      <c r="F19" s="26" t="s">
        <v>1482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32" t="s">
        <v>1484</v>
      </c>
      <c r="C20" s="32" t="s">
        <v>291</v>
      </c>
      <c r="D20" s="10" t="s">
        <v>1485</v>
      </c>
      <c r="E20" s="25" t="s">
        <v>266</v>
      </c>
      <c r="F20" s="26" t="s">
        <v>1484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1486</v>
      </c>
      <c r="C21" s="32" t="s">
        <v>291</v>
      </c>
      <c r="D21" s="10" t="s">
        <v>1487</v>
      </c>
      <c r="E21" s="25" t="s">
        <v>266</v>
      </c>
      <c r="F21" s="26" t="s">
        <v>1486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1488</v>
      </c>
      <c r="C22" s="32" t="s">
        <v>291</v>
      </c>
      <c r="D22" s="10" t="s">
        <v>1489</v>
      </c>
      <c r="E22" s="25" t="s">
        <v>266</v>
      </c>
      <c r="F22" s="26" t="s">
        <v>1488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1490</v>
      </c>
      <c r="C23" s="32" t="s">
        <v>666</v>
      </c>
      <c r="D23" s="10" t="s">
        <v>1491</v>
      </c>
      <c r="E23" s="25" t="s">
        <v>266</v>
      </c>
      <c r="F23" s="26" t="s">
        <v>1490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1492</v>
      </c>
      <c r="C24" s="32" t="s">
        <v>666</v>
      </c>
      <c r="D24" s="10" t="s">
        <v>1493</v>
      </c>
      <c r="E24" s="25" t="s">
        <v>266</v>
      </c>
      <c r="F24" s="26" t="s">
        <v>1492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26" t="s">
        <v>514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331</v>
      </c>
      <c r="C26" s="13" t="s">
        <v>307</v>
      </c>
      <c r="D26" s="10" t="s">
        <v>623</v>
      </c>
      <c r="E26" s="25" t="s">
        <v>1494</v>
      </c>
      <c r="F26" s="26" t="s">
        <v>331</v>
      </c>
      <c r="G26" s="26" t="s">
        <v>293</v>
      </c>
      <c r="H26" s="27"/>
      <c r="I26" s="15"/>
      <c r="J26" s="15" t="s">
        <v>604</v>
      </c>
      <c r="K26" s="15" t="s">
        <v>294</v>
      </c>
      <c r="L26" s="15" t="s">
        <v>294</v>
      </c>
    </row>
    <row r="27" s="1" customFormat="1" ht="13.8" customHeight="1" spans="1:12">
      <c r="A27" s="33"/>
      <c r="B27" s="13" t="s">
        <v>1273</v>
      </c>
      <c r="C27" s="13" t="s">
        <v>338</v>
      </c>
      <c r="D27" s="10" t="s">
        <v>640</v>
      </c>
      <c r="E27" s="25" t="s">
        <v>1494</v>
      </c>
      <c r="F27" s="26"/>
      <c r="G27" s="26" t="s">
        <v>1685</v>
      </c>
      <c r="H27" s="46" t="s">
        <v>1496</v>
      </c>
      <c r="I27" s="49"/>
      <c r="J27" s="15" t="s">
        <v>632</v>
      </c>
      <c r="K27" s="15" t="s">
        <v>404</v>
      </c>
      <c r="L27" s="15" t="s">
        <v>633</v>
      </c>
    </row>
    <row r="28" s="1" customFormat="1" ht="13.8" customHeight="1" spans="1:12">
      <c r="A28" s="33"/>
      <c r="B28" s="13" t="s">
        <v>1044</v>
      </c>
      <c r="C28" s="13" t="s">
        <v>338</v>
      </c>
      <c r="D28" s="10" t="s">
        <v>642</v>
      </c>
      <c r="E28" s="25" t="s">
        <v>1494</v>
      </c>
      <c r="F28" s="26"/>
      <c r="G28" s="26" t="s">
        <v>1686</v>
      </c>
      <c r="H28" s="46" t="s">
        <v>1498</v>
      </c>
      <c r="I28" s="49"/>
      <c r="J28" s="15" t="s">
        <v>632</v>
      </c>
      <c r="K28" s="15" t="s">
        <v>644</v>
      </c>
      <c r="L28" s="15" t="s">
        <v>633</v>
      </c>
    </row>
    <row r="29" s="1" customFormat="1" spans="1:12">
      <c r="A29" s="33"/>
      <c r="B29" s="13" t="s">
        <v>1045</v>
      </c>
      <c r="C29" s="13" t="s">
        <v>338</v>
      </c>
      <c r="D29" s="10" t="s">
        <v>645</v>
      </c>
      <c r="E29" s="25" t="s">
        <v>1494</v>
      </c>
      <c r="F29" s="26"/>
      <c r="G29" s="26" t="s">
        <v>1687</v>
      </c>
      <c r="H29" s="46" t="s">
        <v>1500</v>
      </c>
      <c r="I29" s="49"/>
      <c r="J29" s="15" t="s">
        <v>632</v>
      </c>
      <c r="K29" s="15" t="s">
        <v>644</v>
      </c>
      <c r="L29" s="15" t="s">
        <v>633</v>
      </c>
    </row>
    <row r="30" s="1" customFormat="1" spans="2:12">
      <c r="B30" s="32" t="s">
        <v>1088</v>
      </c>
      <c r="C30" s="34" t="s">
        <v>338</v>
      </c>
      <c r="D30" s="10" t="s">
        <v>1089</v>
      </c>
      <c r="E30" s="25" t="s">
        <v>1494</v>
      </c>
      <c r="F30" s="26"/>
      <c r="G30" s="26" t="s">
        <v>1688</v>
      </c>
      <c r="H30" s="46" t="s">
        <v>1502</v>
      </c>
      <c r="I30" s="49"/>
      <c r="J30" s="15" t="s">
        <v>632</v>
      </c>
      <c r="K30" s="15" t="s">
        <v>404</v>
      </c>
      <c r="L30" s="15" t="s">
        <v>633</v>
      </c>
    </row>
    <row r="31" s="1" customFormat="1" spans="2:12">
      <c r="B31" s="32" t="s">
        <v>1101</v>
      </c>
      <c r="C31" s="34" t="s">
        <v>338</v>
      </c>
      <c r="D31" s="10" t="s">
        <v>1102</v>
      </c>
      <c r="E31" s="25" t="s">
        <v>1494</v>
      </c>
      <c r="F31" s="26"/>
      <c r="G31" s="26" t="s">
        <v>1689</v>
      </c>
      <c r="H31" s="46" t="s">
        <v>1504</v>
      </c>
      <c r="I31" s="49"/>
      <c r="J31" s="15" t="s">
        <v>632</v>
      </c>
      <c r="K31" s="15" t="s">
        <v>404</v>
      </c>
      <c r="L31" s="15" t="s">
        <v>633</v>
      </c>
    </row>
    <row r="32" s="33" customFormat="1" spans="2:12">
      <c r="B32" s="32" t="s">
        <v>1114</v>
      </c>
      <c r="C32" s="13" t="s">
        <v>338</v>
      </c>
      <c r="D32" s="10" t="s">
        <v>1505</v>
      </c>
      <c r="E32" s="25" t="s">
        <v>1494</v>
      </c>
      <c r="F32" s="26"/>
      <c r="G32" s="26" t="s">
        <v>1690</v>
      </c>
      <c r="H32" s="46" t="s">
        <v>1507</v>
      </c>
      <c r="I32" s="49"/>
      <c r="J32" s="15" t="s">
        <v>632</v>
      </c>
      <c r="K32" s="15" t="s">
        <v>404</v>
      </c>
      <c r="L32" s="15" t="s">
        <v>633</v>
      </c>
    </row>
    <row r="33" s="1" customFormat="1" spans="1:12">
      <c r="A33" s="33"/>
      <c r="B33" s="13" t="s">
        <v>1749</v>
      </c>
      <c r="C33" s="13" t="s">
        <v>338</v>
      </c>
      <c r="D33" s="10" t="s">
        <v>1750</v>
      </c>
      <c r="E33" s="25" t="s">
        <v>1494</v>
      </c>
      <c r="F33" s="26"/>
      <c r="G33" s="26" t="s">
        <v>1751</v>
      </c>
      <c r="H33" s="46" t="s">
        <v>1752</v>
      </c>
      <c r="I33" s="49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1302</v>
      </c>
      <c r="C34" s="13" t="s">
        <v>338</v>
      </c>
      <c r="D34" s="10" t="s">
        <v>918</v>
      </c>
      <c r="E34" s="25" t="s">
        <v>1494</v>
      </c>
      <c r="F34" s="26"/>
      <c r="G34" s="26" t="s">
        <v>1753</v>
      </c>
      <c r="H34" s="46" t="s">
        <v>1754</v>
      </c>
      <c r="I34" s="49"/>
      <c r="J34" s="15" t="s">
        <v>632</v>
      </c>
      <c r="K34" s="15" t="s">
        <v>803</v>
      </c>
      <c r="L34" s="15" t="s">
        <v>633</v>
      </c>
    </row>
    <row r="35" s="1" customFormat="1" spans="1:12">
      <c r="A35" s="33"/>
      <c r="B35" s="13" t="s">
        <v>1303</v>
      </c>
      <c r="C35" s="13" t="s">
        <v>338</v>
      </c>
      <c r="D35" s="10" t="s">
        <v>1755</v>
      </c>
      <c r="E35" s="25" t="s">
        <v>1494</v>
      </c>
      <c r="F35" s="26"/>
      <c r="G35" s="26" t="s">
        <v>1756</v>
      </c>
      <c r="H35" s="46" t="s">
        <v>1757</v>
      </c>
      <c r="I35" s="49"/>
      <c r="J35" s="15" t="s">
        <v>632</v>
      </c>
      <c r="K35" s="15" t="s">
        <v>803</v>
      </c>
      <c r="L35" s="15" t="s">
        <v>633</v>
      </c>
    </row>
    <row r="36" s="1" customFormat="1" spans="1:12">
      <c r="A36" s="33"/>
      <c r="B36" s="32" t="s">
        <v>1304</v>
      </c>
      <c r="C36" s="32" t="s">
        <v>338</v>
      </c>
      <c r="D36" s="10" t="s">
        <v>924</v>
      </c>
      <c r="E36" s="25" t="s">
        <v>1494</v>
      </c>
      <c r="F36" s="26"/>
      <c r="G36" s="26" t="s">
        <v>1758</v>
      </c>
      <c r="H36" s="46" t="s">
        <v>1759</v>
      </c>
      <c r="I36" s="49"/>
      <c r="J36" s="15" t="s">
        <v>632</v>
      </c>
      <c r="K36" s="15" t="s">
        <v>803</v>
      </c>
      <c r="L36" s="15" t="s">
        <v>633</v>
      </c>
    </row>
    <row r="37" s="1" customFormat="1" spans="1:12">
      <c r="A37" s="33"/>
      <c r="B37" s="13" t="s">
        <v>1276</v>
      </c>
      <c r="C37" s="13" t="s">
        <v>338</v>
      </c>
      <c r="D37" s="10" t="s">
        <v>529</v>
      </c>
      <c r="E37" s="25" t="s">
        <v>1494</v>
      </c>
      <c r="F37" s="26"/>
      <c r="G37" s="26" t="s">
        <v>1760</v>
      </c>
      <c r="H37" s="46" t="s">
        <v>1509</v>
      </c>
      <c r="I37" s="49"/>
      <c r="J37" s="15" t="s">
        <v>632</v>
      </c>
      <c r="K37" s="15" t="s">
        <v>803</v>
      </c>
      <c r="L37" s="15" t="s">
        <v>633</v>
      </c>
    </row>
    <row r="38" s="1" customFormat="1" spans="1:12">
      <c r="A38" s="33"/>
      <c r="B38" s="13" t="s">
        <v>1277</v>
      </c>
      <c r="C38" s="13" t="s">
        <v>338</v>
      </c>
      <c r="D38" s="10" t="s">
        <v>1510</v>
      </c>
      <c r="E38" s="25" t="s">
        <v>1494</v>
      </c>
      <c r="F38" s="26"/>
      <c r="G38" s="26" t="s">
        <v>1761</v>
      </c>
      <c r="H38" s="46" t="s">
        <v>1512</v>
      </c>
      <c r="I38" s="49"/>
      <c r="J38" s="15" t="s">
        <v>632</v>
      </c>
      <c r="K38" s="15" t="s">
        <v>803</v>
      </c>
      <c r="L38" s="15" t="s">
        <v>633</v>
      </c>
    </row>
    <row r="39" s="1" customFormat="1" spans="1:12">
      <c r="A39" s="33"/>
      <c r="B39" s="13" t="s">
        <v>1278</v>
      </c>
      <c r="C39" s="13" t="s">
        <v>338</v>
      </c>
      <c r="D39" s="10" t="s">
        <v>536</v>
      </c>
      <c r="E39" s="25" t="s">
        <v>1494</v>
      </c>
      <c r="F39" s="26"/>
      <c r="G39" s="26" t="s">
        <v>1762</v>
      </c>
      <c r="H39" s="46" t="s">
        <v>1515</v>
      </c>
      <c r="I39" s="49"/>
      <c r="J39" s="15" t="s">
        <v>632</v>
      </c>
      <c r="K39" s="15" t="s">
        <v>803</v>
      </c>
      <c r="L39" s="15" t="s">
        <v>633</v>
      </c>
    </row>
    <row r="40" s="1" customFormat="1" spans="1:12">
      <c r="A40" s="33"/>
      <c r="B40" s="13" t="s">
        <v>1292</v>
      </c>
      <c r="C40" s="13" t="s">
        <v>338</v>
      </c>
      <c r="D40" s="10" t="s">
        <v>872</v>
      </c>
      <c r="E40" s="25" t="s">
        <v>1494</v>
      </c>
      <c r="F40" s="26"/>
      <c r="G40" s="26" t="s">
        <v>1717</v>
      </c>
      <c r="H40" s="46" t="s">
        <v>1543</v>
      </c>
      <c r="I40" s="49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1291</v>
      </c>
      <c r="C41" s="13" t="s">
        <v>338</v>
      </c>
      <c r="D41" s="10" t="s">
        <v>869</v>
      </c>
      <c r="E41" s="25" t="s">
        <v>1494</v>
      </c>
      <c r="F41" s="26"/>
      <c r="G41" s="26" t="s">
        <v>1718</v>
      </c>
      <c r="H41" s="46" t="s">
        <v>1545</v>
      </c>
      <c r="I41" s="49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1546</v>
      </c>
      <c r="C42" s="13" t="s">
        <v>338</v>
      </c>
      <c r="D42" s="10" t="s">
        <v>1547</v>
      </c>
      <c r="E42" s="25" t="s">
        <v>1494</v>
      </c>
      <c r="F42" s="26"/>
      <c r="G42" s="26" t="s">
        <v>1719</v>
      </c>
      <c r="H42" s="46" t="s">
        <v>1549</v>
      </c>
      <c r="I42" s="49"/>
      <c r="J42" s="15" t="s">
        <v>632</v>
      </c>
      <c r="K42" s="15" t="s">
        <v>404</v>
      </c>
      <c r="L42" s="15" t="s">
        <v>633</v>
      </c>
    </row>
    <row r="43" s="1" customFormat="1" spans="1:12">
      <c r="A43" s="33"/>
      <c r="B43" s="13" t="s">
        <v>1550</v>
      </c>
      <c r="C43" s="13" t="s">
        <v>338</v>
      </c>
      <c r="D43" s="10" t="s">
        <v>1551</v>
      </c>
      <c r="E43" s="25" t="s">
        <v>1494</v>
      </c>
      <c r="F43" s="26"/>
      <c r="G43" s="26" t="s">
        <v>1720</v>
      </c>
      <c r="H43" s="46" t="s">
        <v>1553</v>
      </c>
      <c r="I43" s="49"/>
      <c r="J43" s="15" t="s">
        <v>632</v>
      </c>
      <c r="K43" s="15" t="s">
        <v>294</v>
      </c>
      <c r="L43" s="15">
        <v>0</v>
      </c>
    </row>
    <row r="44" s="1" customFormat="1" spans="1:12">
      <c r="A44" s="33"/>
      <c r="B44" s="13" t="s">
        <v>1554</v>
      </c>
      <c r="C44" s="13" t="s">
        <v>338</v>
      </c>
      <c r="D44" s="10" t="s">
        <v>1555</v>
      </c>
      <c r="E44" s="25" t="s">
        <v>1494</v>
      </c>
      <c r="F44" s="26"/>
      <c r="G44" s="26" t="s">
        <v>1721</v>
      </c>
      <c r="H44" s="46" t="s">
        <v>1557</v>
      </c>
      <c r="I44" s="49"/>
      <c r="J44" s="15" t="s">
        <v>632</v>
      </c>
      <c r="K44" s="15" t="s">
        <v>294</v>
      </c>
      <c r="L44" s="15">
        <v>0</v>
      </c>
    </row>
    <row r="45" s="1" customFormat="1" spans="1:12">
      <c r="A45" s="33"/>
      <c r="B45" s="13" t="s">
        <v>1558</v>
      </c>
      <c r="C45" s="13" t="s">
        <v>338</v>
      </c>
      <c r="D45" s="10" t="s">
        <v>1559</v>
      </c>
      <c r="E45" s="25" t="s">
        <v>1494</v>
      </c>
      <c r="F45" s="26"/>
      <c r="G45" s="26" t="s">
        <v>1722</v>
      </c>
      <c r="H45" s="46" t="s">
        <v>1557</v>
      </c>
      <c r="I45" s="49"/>
      <c r="J45" s="15" t="s">
        <v>632</v>
      </c>
      <c r="K45" s="15" t="s">
        <v>294</v>
      </c>
      <c r="L45" s="15">
        <v>0</v>
      </c>
    </row>
    <row r="46" s="1" customFormat="1" spans="1:12">
      <c r="A46" s="33"/>
      <c r="B46" s="13" t="s">
        <v>1561</v>
      </c>
      <c r="C46" s="13" t="s">
        <v>338</v>
      </c>
      <c r="D46" s="10" t="s">
        <v>1562</v>
      </c>
      <c r="E46" s="25" t="s">
        <v>1494</v>
      </c>
      <c r="F46" s="26"/>
      <c r="G46" s="26" t="s">
        <v>1723</v>
      </c>
      <c r="H46" s="46" t="s">
        <v>1557</v>
      </c>
      <c r="I46" s="49"/>
      <c r="J46" s="15" t="s">
        <v>632</v>
      </c>
      <c r="K46" s="15" t="s">
        <v>294</v>
      </c>
      <c r="L46" s="15">
        <v>0</v>
      </c>
    </row>
    <row r="47" s="1" customFormat="1" spans="1:12">
      <c r="A47" s="33"/>
      <c r="B47" s="13" t="s">
        <v>1564</v>
      </c>
      <c r="C47" s="13" t="s">
        <v>338</v>
      </c>
      <c r="D47" s="10" t="s">
        <v>1565</v>
      </c>
      <c r="E47" s="25" t="s">
        <v>1494</v>
      </c>
      <c r="F47" s="26"/>
      <c r="G47" s="26" t="s">
        <v>1724</v>
      </c>
      <c r="H47" s="46" t="s">
        <v>1557</v>
      </c>
      <c r="I47" s="49"/>
      <c r="J47" s="15" t="s">
        <v>632</v>
      </c>
      <c r="K47" s="15" t="s">
        <v>294</v>
      </c>
      <c r="L47" s="15">
        <v>0</v>
      </c>
    </row>
    <row r="48" s="1" customFormat="1" spans="1:12">
      <c r="A48" s="33"/>
      <c r="B48" s="13" t="s">
        <v>1567</v>
      </c>
      <c r="C48" s="13" t="s">
        <v>338</v>
      </c>
      <c r="D48" s="10" t="s">
        <v>1568</v>
      </c>
      <c r="E48" s="25" t="s">
        <v>1494</v>
      </c>
      <c r="F48" s="26"/>
      <c r="G48" s="26" t="s">
        <v>1725</v>
      </c>
      <c r="H48" s="46" t="s">
        <v>1557</v>
      </c>
      <c r="I48" s="49"/>
      <c r="J48" s="15" t="s">
        <v>632</v>
      </c>
      <c r="K48" s="15" t="s">
        <v>294</v>
      </c>
      <c r="L48" s="15">
        <v>0</v>
      </c>
    </row>
    <row r="49" s="1" customFormat="1" spans="1:12">
      <c r="A49" s="33"/>
      <c r="B49" s="13" t="s">
        <v>730</v>
      </c>
      <c r="C49" s="13" t="s">
        <v>338</v>
      </c>
      <c r="D49" s="10" t="s">
        <v>731</v>
      </c>
      <c r="E49" s="25" t="s">
        <v>1494</v>
      </c>
      <c r="F49" s="26"/>
      <c r="G49" s="26" t="s">
        <v>1763</v>
      </c>
      <c r="H49" s="46"/>
      <c r="I49" s="49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1091</v>
      </c>
      <c r="C50" s="13" t="s">
        <v>338</v>
      </c>
      <c r="D50" s="10" t="s">
        <v>1092</v>
      </c>
      <c r="E50" s="25" t="s">
        <v>1494</v>
      </c>
      <c r="F50" s="26"/>
      <c r="G50" s="26" t="s">
        <v>1727</v>
      </c>
      <c r="H50" s="46" t="s">
        <v>1572</v>
      </c>
      <c r="I50" s="49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1093</v>
      </c>
      <c r="C51" s="13" t="s">
        <v>338</v>
      </c>
      <c r="D51" s="10" t="s">
        <v>1094</v>
      </c>
      <c r="E51" s="25" t="s">
        <v>1494</v>
      </c>
      <c r="F51" s="26"/>
      <c r="G51" s="26" t="s">
        <v>1728</v>
      </c>
      <c r="H51" s="46" t="s">
        <v>1574</v>
      </c>
      <c r="I51" s="49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1095</v>
      </c>
      <c r="C52" s="13" t="s">
        <v>338</v>
      </c>
      <c r="D52" s="10" t="s">
        <v>1096</v>
      </c>
      <c r="E52" s="25" t="s">
        <v>1494</v>
      </c>
      <c r="F52" s="26"/>
      <c r="G52" s="26" t="s">
        <v>1729</v>
      </c>
      <c r="H52" s="46" t="s">
        <v>1576</v>
      </c>
      <c r="I52" s="49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1097</v>
      </c>
      <c r="C53" s="13" t="s">
        <v>338</v>
      </c>
      <c r="D53" s="10" t="s">
        <v>1098</v>
      </c>
      <c r="E53" s="25" t="s">
        <v>1494</v>
      </c>
      <c r="F53" s="26"/>
      <c r="G53" s="26" t="s">
        <v>1730</v>
      </c>
      <c r="H53" s="46" t="s">
        <v>1578</v>
      </c>
      <c r="I53" s="49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1099</v>
      </c>
      <c r="C54" s="13" t="s">
        <v>338</v>
      </c>
      <c r="D54" s="10" t="s">
        <v>1100</v>
      </c>
      <c r="E54" s="25" t="s">
        <v>1494</v>
      </c>
      <c r="F54" s="26"/>
      <c r="G54" s="26" t="s">
        <v>1731</v>
      </c>
      <c r="H54" s="46" t="s">
        <v>1580</v>
      </c>
      <c r="I54" s="49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751</v>
      </c>
      <c r="C55" s="13" t="s">
        <v>338</v>
      </c>
      <c r="D55" s="10" t="s">
        <v>752</v>
      </c>
      <c r="E55" s="25" t="s">
        <v>1494</v>
      </c>
      <c r="F55" s="26"/>
      <c r="G55" s="26" t="s">
        <v>1732</v>
      </c>
      <c r="H55" s="46"/>
      <c r="I55" s="49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1104</v>
      </c>
      <c r="C56" s="13" t="s">
        <v>338</v>
      </c>
      <c r="D56" s="10" t="s">
        <v>1105</v>
      </c>
      <c r="E56" s="25" t="s">
        <v>1494</v>
      </c>
      <c r="F56" s="26"/>
      <c r="G56" s="26" t="s">
        <v>1733</v>
      </c>
      <c r="H56" s="46" t="s">
        <v>1583</v>
      </c>
      <c r="I56" s="49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1106</v>
      </c>
      <c r="C57" s="13" t="s">
        <v>338</v>
      </c>
      <c r="D57" s="10" t="s">
        <v>1107</v>
      </c>
      <c r="E57" s="25" t="s">
        <v>1494</v>
      </c>
      <c r="F57" s="26"/>
      <c r="G57" s="26" t="s">
        <v>1734</v>
      </c>
      <c r="H57" s="46" t="s">
        <v>1585</v>
      </c>
      <c r="I57" s="49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1108</v>
      </c>
      <c r="C58" s="13" t="s">
        <v>338</v>
      </c>
      <c r="D58" s="10" t="s">
        <v>1109</v>
      </c>
      <c r="E58" s="25" t="s">
        <v>1494</v>
      </c>
      <c r="F58" s="26"/>
      <c r="G58" s="26" t="s">
        <v>1735</v>
      </c>
      <c r="H58" s="46" t="s">
        <v>1587</v>
      </c>
      <c r="I58" s="49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1110</v>
      </c>
      <c r="C59" s="13" t="s">
        <v>338</v>
      </c>
      <c r="D59" s="10" t="s">
        <v>1111</v>
      </c>
      <c r="E59" s="25" t="s">
        <v>1494</v>
      </c>
      <c r="F59" s="26"/>
      <c r="G59" s="26" t="s">
        <v>1736</v>
      </c>
      <c r="H59" s="46" t="s">
        <v>1589</v>
      </c>
      <c r="I59" s="49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1112</v>
      </c>
      <c r="C60" s="13" t="s">
        <v>338</v>
      </c>
      <c r="D60" s="10" t="s">
        <v>1113</v>
      </c>
      <c r="E60" s="25" t="s">
        <v>1494</v>
      </c>
      <c r="F60" s="26"/>
      <c r="G60" s="26" t="s">
        <v>1737</v>
      </c>
      <c r="H60" s="46" t="s">
        <v>1591</v>
      </c>
      <c r="I60" s="49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772</v>
      </c>
      <c r="C61" s="13" t="s">
        <v>338</v>
      </c>
      <c r="D61" s="10" t="s">
        <v>773</v>
      </c>
      <c r="E61" s="25" t="s">
        <v>1494</v>
      </c>
      <c r="F61" s="26"/>
      <c r="G61" s="26" t="s">
        <v>1592</v>
      </c>
      <c r="H61" s="46"/>
      <c r="I61" s="49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1279</v>
      </c>
      <c r="C62" s="13" t="s">
        <v>338</v>
      </c>
      <c r="D62" s="10" t="s">
        <v>1593</v>
      </c>
      <c r="E62" s="25" t="s">
        <v>1494</v>
      </c>
      <c r="F62" s="26"/>
      <c r="G62" s="26" t="s">
        <v>1739</v>
      </c>
      <c r="H62" s="46" t="s">
        <v>1595</v>
      </c>
      <c r="I62" s="49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1280</v>
      </c>
      <c r="C63" s="13" t="s">
        <v>338</v>
      </c>
      <c r="D63" s="10" t="s">
        <v>1596</v>
      </c>
      <c r="E63" s="25" t="s">
        <v>1494</v>
      </c>
      <c r="F63" s="26"/>
      <c r="G63" s="26" t="s">
        <v>1740</v>
      </c>
      <c r="H63" s="46" t="s">
        <v>1598</v>
      </c>
      <c r="I63" s="49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1281</v>
      </c>
      <c r="C64" s="13" t="s">
        <v>338</v>
      </c>
      <c r="D64" s="10" t="s">
        <v>1599</v>
      </c>
      <c r="E64" s="25" t="s">
        <v>1494</v>
      </c>
      <c r="F64" s="26"/>
      <c r="G64" s="26" t="s">
        <v>1741</v>
      </c>
      <c r="H64" s="46" t="s">
        <v>1601</v>
      </c>
      <c r="I64" s="49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1282</v>
      </c>
      <c r="C65" s="13" t="s">
        <v>338</v>
      </c>
      <c r="D65" s="10" t="s">
        <v>1602</v>
      </c>
      <c r="E65" s="25" t="s">
        <v>1494</v>
      </c>
      <c r="F65" s="26"/>
      <c r="G65" s="26" t="s">
        <v>1742</v>
      </c>
      <c r="H65" s="46" t="s">
        <v>1604</v>
      </c>
      <c r="I65" s="49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1283</v>
      </c>
      <c r="C66" s="13" t="s">
        <v>338</v>
      </c>
      <c r="D66" s="10" t="s">
        <v>1605</v>
      </c>
      <c r="E66" s="25" t="s">
        <v>1494</v>
      </c>
      <c r="F66" s="26"/>
      <c r="G66" s="26" t="s">
        <v>1743</v>
      </c>
      <c r="H66" s="46" t="s">
        <v>1607</v>
      </c>
      <c r="I66" s="49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1764</v>
      </c>
      <c r="C67" s="13" t="s">
        <v>338</v>
      </c>
      <c r="D67" s="10" t="s">
        <v>1765</v>
      </c>
      <c r="E67" s="25" t="s">
        <v>1494</v>
      </c>
      <c r="F67" s="26"/>
      <c r="G67" s="26" t="s">
        <v>1766</v>
      </c>
      <c r="H67" s="46"/>
      <c r="I67" s="49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1767</v>
      </c>
      <c r="C68" s="57" t="s">
        <v>338</v>
      </c>
      <c r="D68" s="10" t="s">
        <v>1768</v>
      </c>
      <c r="E68" s="25" t="s">
        <v>1494</v>
      </c>
      <c r="F68" s="26"/>
      <c r="G68" s="26" t="s">
        <v>1769</v>
      </c>
      <c r="H68" s="46" t="s">
        <v>1770</v>
      </c>
      <c r="I68" s="49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1771</v>
      </c>
      <c r="C69" s="57" t="s">
        <v>338</v>
      </c>
      <c r="D69" s="10" t="s">
        <v>1772</v>
      </c>
      <c r="E69" s="25" t="s">
        <v>1494</v>
      </c>
      <c r="F69" s="26"/>
      <c r="G69" s="26" t="s">
        <v>1773</v>
      </c>
      <c r="H69" s="46" t="s">
        <v>1774</v>
      </c>
      <c r="I69" s="49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1775</v>
      </c>
      <c r="C70" s="57" t="s">
        <v>338</v>
      </c>
      <c r="D70" s="10" t="s">
        <v>1776</v>
      </c>
      <c r="E70" s="25" t="s">
        <v>1494</v>
      </c>
      <c r="F70" s="26"/>
      <c r="G70" s="26" t="s">
        <v>1777</v>
      </c>
      <c r="H70" s="46" t="s">
        <v>1778</v>
      </c>
      <c r="I70" s="49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1779</v>
      </c>
      <c r="C71" s="57" t="s">
        <v>338</v>
      </c>
      <c r="D71" s="10" t="s">
        <v>1780</v>
      </c>
      <c r="E71" s="25" t="s">
        <v>1494</v>
      </c>
      <c r="F71" s="26"/>
      <c r="G71" s="26" t="s">
        <v>1781</v>
      </c>
      <c r="H71" s="46" t="s">
        <v>1782</v>
      </c>
      <c r="I71" s="49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1783</v>
      </c>
      <c r="C72" s="57" t="s">
        <v>338</v>
      </c>
      <c r="D72" s="10" t="s">
        <v>1784</v>
      </c>
      <c r="E72" s="25" t="s">
        <v>1494</v>
      </c>
      <c r="F72" s="26"/>
      <c r="G72" s="26" t="s">
        <v>1785</v>
      </c>
      <c r="H72" s="46" t="s">
        <v>1786</v>
      </c>
      <c r="I72" s="49"/>
      <c r="J72" s="15" t="s">
        <v>632</v>
      </c>
      <c r="K72" s="15" t="s">
        <v>294</v>
      </c>
      <c r="L72" s="15" t="s">
        <v>633</v>
      </c>
    </row>
    <row r="73" s="2" customFormat="1" spans="2:14">
      <c r="B73" s="17" t="s">
        <v>594</v>
      </c>
      <c r="C73" s="18" t="s">
        <v>307</v>
      </c>
      <c r="D73" s="19" t="s">
        <v>595</v>
      </c>
      <c r="E73" s="28"/>
      <c r="F73" s="28"/>
      <c r="G73" s="28" t="s">
        <v>932</v>
      </c>
      <c r="H73" s="17" t="s">
        <v>932</v>
      </c>
      <c r="I73" s="17" t="s">
        <v>932</v>
      </c>
      <c r="J73" s="17"/>
      <c r="K73" s="17"/>
      <c r="L73" s="17"/>
      <c r="M73" s="17"/>
      <c r="N73" s="17"/>
    </row>
    <row r="74" s="2" customFormat="1" spans="2:14">
      <c r="B74" s="17" t="s">
        <v>596</v>
      </c>
      <c r="C74" s="18" t="s">
        <v>291</v>
      </c>
      <c r="D74" s="19" t="s">
        <v>597</v>
      </c>
      <c r="E74" s="28"/>
      <c r="F74" s="28"/>
      <c r="G74" s="28" t="s">
        <v>932</v>
      </c>
      <c r="H74" s="17" t="s">
        <v>932</v>
      </c>
      <c r="I74" s="17" t="s">
        <v>932</v>
      </c>
      <c r="J74" s="17"/>
      <c r="K74" s="17"/>
      <c r="L74" s="17"/>
      <c r="M74" s="17"/>
      <c r="N74" s="17"/>
    </row>
  </sheetData>
  <autoFilter xmlns:etc="http://www.wps.cn/officeDocument/2017/etCustomData" ref="A14:N74" etc:filterBottomFollowUsedRange="0">
    <extLst/>
  </autoFilter>
  <mergeCells count="51">
    <mergeCell ref="B2:H2"/>
    <mergeCell ref="B3:H3"/>
    <mergeCell ref="B7:H7"/>
    <mergeCell ref="B13:L13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G9:G11"/>
  </mergeCells>
  <pageMargins left="0.7" right="0.7" top="0.75" bottom="0.75" header="0.3" footer="0.3"/>
  <pageSetup paperSize="9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zoomScale="85" zoomScaleNormal="85" workbookViewId="0">
      <pane ySplit="5" topLeftCell="A6" activePane="bottomLeft" state="frozen"/>
      <selection/>
      <selection pane="bottomLeft" activeCell="C10" sqref="C10"/>
    </sheetView>
  </sheetViews>
  <sheetFormatPr defaultColWidth="9" defaultRowHeight="13"/>
  <cols>
    <col min="1" max="1" width="1.33333333333333" style="3" customWidth="1"/>
    <col min="2" max="2" width="27.55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2.5583333333333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170</v>
      </c>
      <c r="D5" s="11" t="s">
        <v>171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9.8" customHeight="1" spans="2:8">
      <c r="B9" s="13"/>
      <c r="C9" s="10" t="s">
        <v>1787</v>
      </c>
      <c r="D9" s="11" t="s">
        <v>1788</v>
      </c>
      <c r="E9" s="13" t="s">
        <v>266</v>
      </c>
      <c r="F9" s="26"/>
      <c r="G9" s="35" t="s">
        <v>1789</v>
      </c>
      <c r="H9" s="23" t="s">
        <v>44</v>
      </c>
    </row>
    <row r="10" ht="19.8" customHeight="1" spans="2:8">
      <c r="B10" s="13"/>
      <c r="C10" s="10" t="s">
        <v>150</v>
      </c>
      <c r="D10" s="11" t="s">
        <v>151</v>
      </c>
      <c r="E10" s="13" t="s">
        <v>269</v>
      </c>
      <c r="F10" s="26"/>
      <c r="G10" s="35"/>
      <c r="H10" s="23"/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269</v>
      </c>
      <c r="F14" s="26" t="s">
        <v>596</v>
      </c>
      <c r="G14" s="26" t="s">
        <v>293</v>
      </c>
      <c r="H14" s="2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269</v>
      </c>
      <c r="F15" s="26" t="s">
        <v>598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607</v>
      </c>
    </row>
    <row r="16" s="1" customFormat="1" spans="2:12">
      <c r="B16" s="32" t="s">
        <v>290</v>
      </c>
      <c r="C16" s="32" t="s">
        <v>307</v>
      </c>
      <c r="D16" s="10" t="s">
        <v>1790</v>
      </c>
      <c r="E16" s="25" t="s">
        <v>269</v>
      </c>
      <c r="F16" s="26" t="str">
        <f>VLOOKUP(B16,'43'!B:L,1,0)</f>
        <v>interface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610</v>
      </c>
    </row>
    <row r="17" s="1" customFormat="1" spans="2:12">
      <c r="B17" s="32" t="s">
        <v>327</v>
      </c>
      <c r="C17" s="32" t="s">
        <v>307</v>
      </c>
      <c r="D17" s="10" t="s">
        <v>1791</v>
      </c>
      <c r="E17" s="25" t="s">
        <v>269</v>
      </c>
      <c r="F17" s="26" t="str">
        <f>VLOOKUP(B17,'43'!B:L,1,0)</f>
        <v>rattype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612</v>
      </c>
    </row>
    <row r="18" s="1" customFormat="1" spans="2:12">
      <c r="B18" s="32" t="s">
        <v>514</v>
      </c>
      <c r="C18" s="32" t="s">
        <v>291</v>
      </c>
      <c r="D18" s="10" t="s">
        <v>515</v>
      </c>
      <c r="E18" s="25" t="s">
        <v>269</v>
      </c>
      <c r="F18" s="26" t="str">
        <f>VLOOKUP(B18,'43'!B:L,1,0)</f>
        <v>cellkey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2:12">
      <c r="B19" s="32" t="s">
        <v>613</v>
      </c>
      <c r="C19" s="32" t="s">
        <v>307</v>
      </c>
      <c r="D19" s="10" t="s">
        <v>614</v>
      </c>
      <c r="E19" s="25" t="s">
        <v>269</v>
      </c>
      <c r="F19" s="26" t="str">
        <f>VLOOKUP(B19,'43'!B:L,1,0)</f>
        <v>provincecode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2:12">
      <c r="B20" s="32" t="s">
        <v>522</v>
      </c>
      <c r="C20" s="32" t="s">
        <v>291</v>
      </c>
      <c r="D20" s="10" t="s">
        <v>523</v>
      </c>
      <c r="E20" s="25" t="s">
        <v>269</v>
      </c>
      <c r="F20" s="26" t="str">
        <f>VLOOKUP(B20,'43'!B:L,1,0)</f>
        <v>province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2:12">
      <c r="B21" s="32" t="s">
        <v>517</v>
      </c>
      <c r="C21" s="32" t="s">
        <v>307</v>
      </c>
      <c r="D21" s="10" t="s">
        <v>1792</v>
      </c>
      <c r="E21" s="25" t="s">
        <v>269</v>
      </c>
      <c r="F21" s="26" t="str">
        <f>VLOOKUP(B21,'43'!B:L,1,0)</f>
        <v>citycode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294</v>
      </c>
    </row>
    <row r="22" s="1" customFormat="1" spans="2:12">
      <c r="B22" s="32" t="s">
        <v>524</v>
      </c>
      <c r="C22" s="32" t="s">
        <v>291</v>
      </c>
      <c r="D22" s="10" t="s">
        <v>1793</v>
      </c>
      <c r="E22" s="25" t="s">
        <v>269</v>
      </c>
      <c r="F22" s="26" t="str">
        <f>VLOOKUP(B22,'43'!B:L,1,0)</f>
        <v>city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2:12">
      <c r="B23" s="32" t="s">
        <v>520</v>
      </c>
      <c r="C23" s="32" t="s">
        <v>307</v>
      </c>
      <c r="D23" s="10" t="s">
        <v>521</v>
      </c>
      <c r="E23" s="25" t="s">
        <v>269</v>
      </c>
      <c r="F23" s="26" t="str">
        <f>VLOOKUP(B23,'43'!B:L,1,0)</f>
        <v>districtcode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spans="2:12">
      <c r="B24" s="32" t="s">
        <v>526</v>
      </c>
      <c r="C24" s="32" t="s">
        <v>291</v>
      </c>
      <c r="D24" s="10" t="s">
        <v>527</v>
      </c>
      <c r="E24" s="25" t="s">
        <v>269</v>
      </c>
      <c r="F24" s="26" t="str">
        <f>VLOOKUP(B24,'43'!B:L,1,0)</f>
        <v>district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2:12">
      <c r="B25" s="32" t="s">
        <v>1794</v>
      </c>
      <c r="C25" s="32" t="s">
        <v>307</v>
      </c>
      <c r="D25" s="10" t="s">
        <v>1795</v>
      </c>
      <c r="E25" s="25" t="s">
        <v>266</v>
      </c>
      <c r="F25" s="26" t="s">
        <v>1796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294</v>
      </c>
    </row>
    <row r="26" s="1" customFormat="1" spans="2:12">
      <c r="B26" s="32" t="s">
        <v>1797</v>
      </c>
      <c r="C26" s="32" t="s">
        <v>291</v>
      </c>
      <c r="D26" s="10" t="s">
        <v>1798</v>
      </c>
      <c r="E26" s="25" t="s">
        <v>266</v>
      </c>
      <c r="F26" s="26" t="s">
        <v>1797</v>
      </c>
      <c r="G26" s="26" t="s">
        <v>293</v>
      </c>
      <c r="H26" s="27"/>
      <c r="I26" s="15"/>
      <c r="J26" s="15" t="s">
        <v>604</v>
      </c>
      <c r="K26" s="15" t="s">
        <v>294</v>
      </c>
      <c r="L26" s="15" t="s">
        <v>294</v>
      </c>
    </row>
    <row r="27" s="1" customFormat="1" spans="2:12">
      <c r="B27" s="32" t="s">
        <v>295</v>
      </c>
      <c r="C27" s="32" t="s">
        <v>291</v>
      </c>
      <c r="D27" s="10" t="s">
        <v>618</v>
      </c>
      <c r="E27" s="25" t="s">
        <v>266</v>
      </c>
      <c r="F27" s="26" t="s">
        <v>295</v>
      </c>
      <c r="G27" s="26" t="s">
        <v>293</v>
      </c>
      <c r="H27" s="27"/>
      <c r="I27" s="15"/>
      <c r="J27" s="15" t="s">
        <v>604</v>
      </c>
      <c r="K27" s="15" t="s">
        <v>294</v>
      </c>
      <c r="L27" s="15" t="s">
        <v>294</v>
      </c>
    </row>
    <row r="28" s="1" customFormat="1" spans="2:12">
      <c r="B28" s="32" t="s">
        <v>297</v>
      </c>
      <c r="C28" s="32" t="s">
        <v>291</v>
      </c>
      <c r="D28" s="10" t="s">
        <v>298</v>
      </c>
      <c r="E28" s="25" t="s">
        <v>266</v>
      </c>
      <c r="F28" s="26" t="s">
        <v>297</v>
      </c>
      <c r="G28" s="26" t="s">
        <v>293</v>
      </c>
      <c r="H28" s="27"/>
      <c r="I28" s="15"/>
      <c r="J28" s="15" t="s">
        <v>604</v>
      </c>
      <c r="K28" s="15" t="s">
        <v>294</v>
      </c>
      <c r="L28" s="15" t="s">
        <v>294</v>
      </c>
    </row>
    <row r="29" s="1" customFormat="1" spans="2:12">
      <c r="B29" s="32" t="s">
        <v>1460</v>
      </c>
      <c r="C29" s="32" t="s">
        <v>291</v>
      </c>
      <c r="D29" s="10" t="s">
        <v>1799</v>
      </c>
      <c r="E29" s="25" t="s">
        <v>269</v>
      </c>
      <c r="F29" s="26"/>
      <c r="G29" s="26" t="s">
        <v>1462</v>
      </c>
      <c r="H29" s="27"/>
      <c r="I29" s="15"/>
      <c r="J29" s="15" t="s">
        <v>604</v>
      </c>
      <c r="K29" s="15" t="s">
        <v>294</v>
      </c>
      <c r="L29" s="15" t="s">
        <v>294</v>
      </c>
    </row>
    <row r="30" s="1" customFormat="1" spans="2:12">
      <c r="B30" s="32" t="s">
        <v>1273</v>
      </c>
      <c r="C30" s="32" t="s">
        <v>338</v>
      </c>
      <c r="D30" s="10" t="s">
        <v>1800</v>
      </c>
      <c r="E30" s="25" t="s">
        <v>269</v>
      </c>
      <c r="F30" s="26"/>
      <c r="G30" s="26" t="s">
        <v>641</v>
      </c>
      <c r="H30" s="27"/>
      <c r="I30" s="15"/>
      <c r="J30" s="15" t="s">
        <v>632</v>
      </c>
      <c r="K30" s="15" t="s">
        <v>404</v>
      </c>
      <c r="L30" s="15" t="s">
        <v>633</v>
      </c>
    </row>
    <row r="31" s="1" customFormat="1" spans="2:12">
      <c r="B31" s="32" t="s">
        <v>1044</v>
      </c>
      <c r="C31" s="32" t="s">
        <v>338</v>
      </c>
      <c r="D31" s="10" t="s">
        <v>642</v>
      </c>
      <c r="E31" s="25" t="s">
        <v>269</v>
      </c>
      <c r="F31" s="26"/>
      <c r="G31" s="26" t="s">
        <v>643</v>
      </c>
      <c r="H31" s="27"/>
      <c r="I31" s="15"/>
      <c r="J31" s="15" t="s">
        <v>632</v>
      </c>
      <c r="K31" s="15" t="s">
        <v>644</v>
      </c>
      <c r="L31" s="15" t="s">
        <v>633</v>
      </c>
    </row>
    <row r="32" s="1" customFormat="1" spans="2:12">
      <c r="B32" s="32" t="s">
        <v>1045</v>
      </c>
      <c r="C32" s="32" t="s">
        <v>338</v>
      </c>
      <c r="D32" s="10" t="s">
        <v>645</v>
      </c>
      <c r="E32" s="25" t="s">
        <v>269</v>
      </c>
      <c r="F32" s="26"/>
      <c r="G32" s="26" t="s">
        <v>646</v>
      </c>
      <c r="H32" s="27"/>
      <c r="I32" s="15"/>
      <c r="J32" s="15" t="s">
        <v>632</v>
      </c>
      <c r="K32" s="15" t="s">
        <v>644</v>
      </c>
      <c r="L32" s="15" t="s">
        <v>633</v>
      </c>
    </row>
    <row r="33" s="1" customFormat="1" spans="2:12">
      <c r="B33" s="32" t="s">
        <v>1054</v>
      </c>
      <c r="C33" s="32" t="s">
        <v>338</v>
      </c>
      <c r="D33" s="10" t="s">
        <v>345</v>
      </c>
      <c r="E33" s="25" t="s">
        <v>269</v>
      </c>
      <c r="F33" s="26"/>
      <c r="G33" s="26" t="s">
        <v>696</v>
      </c>
      <c r="H33" s="27"/>
      <c r="I33" s="15"/>
      <c r="J33" s="15" t="s">
        <v>632</v>
      </c>
      <c r="K33" s="15" t="s">
        <v>294</v>
      </c>
      <c r="L33" s="15" t="s">
        <v>633</v>
      </c>
    </row>
    <row r="34" s="1" customFormat="1" spans="2:12">
      <c r="B34" s="32" t="s">
        <v>1055</v>
      </c>
      <c r="C34" s="32" t="s">
        <v>338</v>
      </c>
      <c r="D34" s="10" t="s">
        <v>347</v>
      </c>
      <c r="E34" s="25" t="s">
        <v>269</v>
      </c>
      <c r="F34" s="26"/>
      <c r="G34" s="26" t="s">
        <v>694</v>
      </c>
      <c r="H34" s="27"/>
      <c r="I34" s="15"/>
      <c r="J34" s="15" t="s">
        <v>632</v>
      </c>
      <c r="K34" s="15" t="s">
        <v>294</v>
      </c>
      <c r="L34" s="15" t="s">
        <v>633</v>
      </c>
    </row>
    <row r="35" s="1" customFormat="1" spans="2:12">
      <c r="B35" s="32" t="s">
        <v>1056</v>
      </c>
      <c r="C35" s="32" t="s">
        <v>338</v>
      </c>
      <c r="D35" s="10" t="s">
        <v>697</v>
      </c>
      <c r="E35" s="25" t="s">
        <v>269</v>
      </c>
      <c r="F35" s="26"/>
      <c r="G35" s="26" t="s">
        <v>698</v>
      </c>
      <c r="H35" s="27"/>
      <c r="I35" s="15"/>
      <c r="J35" s="15" t="s">
        <v>632</v>
      </c>
      <c r="K35" s="15" t="s">
        <v>294</v>
      </c>
      <c r="L35" s="15" t="s">
        <v>633</v>
      </c>
    </row>
    <row r="36" s="1" customFormat="1" spans="2:12">
      <c r="B36" s="32" t="s">
        <v>1057</v>
      </c>
      <c r="C36" s="32" t="s">
        <v>338</v>
      </c>
      <c r="D36" s="10" t="s">
        <v>699</v>
      </c>
      <c r="E36" s="25" t="s">
        <v>269</v>
      </c>
      <c r="F36" s="26"/>
      <c r="G36" s="26" t="s">
        <v>700</v>
      </c>
      <c r="H36" s="27"/>
      <c r="I36" s="15"/>
      <c r="J36" s="15" t="s">
        <v>632</v>
      </c>
      <c r="K36" s="15" t="s">
        <v>294</v>
      </c>
      <c r="L36" s="15" t="s">
        <v>633</v>
      </c>
    </row>
    <row r="37" s="1" customFormat="1" spans="2:12">
      <c r="B37" s="32" t="s">
        <v>1058</v>
      </c>
      <c r="C37" s="32" t="s">
        <v>338</v>
      </c>
      <c r="D37" s="10" t="s">
        <v>702</v>
      </c>
      <c r="E37" s="25" t="s">
        <v>269</v>
      </c>
      <c r="F37" s="26"/>
      <c r="G37" s="26" t="s">
        <v>950</v>
      </c>
      <c r="H37" s="27"/>
      <c r="I37" s="15"/>
      <c r="J37" s="15" t="s">
        <v>632</v>
      </c>
      <c r="K37" s="15" t="s">
        <v>294</v>
      </c>
      <c r="L37" s="15" t="s">
        <v>633</v>
      </c>
    </row>
    <row r="38" s="1" customFormat="1" spans="2:12">
      <c r="B38" s="32" t="s">
        <v>1059</v>
      </c>
      <c r="C38" s="32" t="s">
        <v>338</v>
      </c>
      <c r="D38" s="10" t="s">
        <v>705</v>
      </c>
      <c r="E38" s="25" t="s">
        <v>269</v>
      </c>
      <c r="F38" s="26"/>
      <c r="G38" s="26" t="s">
        <v>951</v>
      </c>
      <c r="H38" s="27"/>
      <c r="I38" s="15"/>
      <c r="J38" s="15" t="s">
        <v>632</v>
      </c>
      <c r="K38" s="15" t="s">
        <v>294</v>
      </c>
      <c r="L38" s="15" t="s">
        <v>633</v>
      </c>
    </row>
    <row r="39" s="1" customFormat="1" spans="2:12">
      <c r="B39" s="32" t="s">
        <v>1088</v>
      </c>
      <c r="C39" s="32" t="s">
        <v>338</v>
      </c>
      <c r="D39" s="10" t="s">
        <v>1801</v>
      </c>
      <c r="E39" s="25" t="s">
        <v>269</v>
      </c>
      <c r="F39" s="26"/>
      <c r="G39" s="26" t="s">
        <v>1090</v>
      </c>
      <c r="H39" s="27"/>
      <c r="I39" s="15"/>
      <c r="J39" s="15" t="s">
        <v>632</v>
      </c>
      <c r="K39" s="15" t="s">
        <v>404</v>
      </c>
      <c r="L39" s="15" t="s">
        <v>633</v>
      </c>
    </row>
    <row r="40" s="1" customFormat="1" spans="2:12">
      <c r="B40" s="32" t="s">
        <v>1101</v>
      </c>
      <c r="C40" s="32" t="s">
        <v>338</v>
      </c>
      <c r="D40" s="10" t="s">
        <v>1802</v>
      </c>
      <c r="E40" s="25" t="s">
        <v>269</v>
      </c>
      <c r="F40" s="26"/>
      <c r="G40" s="26" t="s">
        <v>1103</v>
      </c>
      <c r="H40" s="27"/>
      <c r="I40" s="15"/>
      <c r="J40" s="15" t="s">
        <v>632</v>
      </c>
      <c r="K40" s="15" t="s">
        <v>404</v>
      </c>
      <c r="L40" s="15" t="s">
        <v>633</v>
      </c>
    </row>
    <row r="41" s="1" customFormat="1" spans="2:12">
      <c r="B41" s="32" t="s">
        <v>1114</v>
      </c>
      <c r="C41" s="32" t="s">
        <v>338</v>
      </c>
      <c r="D41" s="10" t="s">
        <v>1803</v>
      </c>
      <c r="E41" s="25" t="s">
        <v>269</v>
      </c>
      <c r="F41" s="26"/>
      <c r="G41" s="26" t="s">
        <v>1116</v>
      </c>
      <c r="H41" s="27"/>
      <c r="I41" s="15"/>
      <c r="J41" s="15" t="s">
        <v>632</v>
      </c>
      <c r="K41" s="15" t="s">
        <v>404</v>
      </c>
      <c r="L41" s="15" t="s">
        <v>633</v>
      </c>
    </row>
    <row r="42" s="1" customFormat="1" spans="2:12">
      <c r="B42" s="32" t="s">
        <v>1276</v>
      </c>
      <c r="C42" s="32" t="s">
        <v>338</v>
      </c>
      <c r="D42" s="10" t="s">
        <v>723</v>
      </c>
      <c r="E42" s="25" t="s">
        <v>269</v>
      </c>
      <c r="F42" s="26"/>
      <c r="G42" s="26" t="s">
        <v>724</v>
      </c>
      <c r="H42" s="27"/>
      <c r="I42" s="15"/>
      <c r="J42" s="15" t="s">
        <v>632</v>
      </c>
      <c r="K42" s="15" t="s">
        <v>294</v>
      </c>
      <c r="L42" s="15" t="s">
        <v>633</v>
      </c>
    </row>
    <row r="43" s="1" customFormat="1" spans="2:12">
      <c r="B43" s="32" t="s">
        <v>1277</v>
      </c>
      <c r="C43" s="32" t="s">
        <v>338</v>
      </c>
      <c r="D43" s="10" t="s">
        <v>725</v>
      </c>
      <c r="E43" s="25" t="s">
        <v>269</v>
      </c>
      <c r="F43" s="26"/>
      <c r="G43" s="26" t="s">
        <v>726</v>
      </c>
      <c r="H43" s="27"/>
      <c r="I43" s="15"/>
      <c r="J43" s="15" t="s">
        <v>632</v>
      </c>
      <c r="K43" s="15" t="s">
        <v>294</v>
      </c>
      <c r="L43" s="15" t="s">
        <v>633</v>
      </c>
    </row>
    <row r="44" s="1" customFormat="1" spans="2:12">
      <c r="B44" s="32" t="s">
        <v>1278</v>
      </c>
      <c r="C44" s="32" t="s">
        <v>338</v>
      </c>
      <c r="D44" s="10" t="s">
        <v>1804</v>
      </c>
      <c r="E44" s="25" t="s">
        <v>269</v>
      </c>
      <c r="F44" s="26"/>
      <c r="G44" s="26" t="s">
        <v>727</v>
      </c>
      <c r="H44" s="27"/>
      <c r="I44" s="15"/>
      <c r="J44" s="15" t="s">
        <v>632</v>
      </c>
      <c r="K44" s="15" t="s">
        <v>294</v>
      </c>
      <c r="L44" s="15" t="s">
        <v>633</v>
      </c>
    </row>
    <row r="45" s="1" customFormat="1" spans="2:12">
      <c r="B45" s="32" t="s">
        <v>1516</v>
      </c>
      <c r="C45" s="32" t="s">
        <v>338</v>
      </c>
      <c r="D45" s="10" t="s">
        <v>1805</v>
      </c>
      <c r="E45" s="25" t="s">
        <v>269</v>
      </c>
      <c r="F45" s="26"/>
      <c r="G45" s="26" t="s">
        <v>1806</v>
      </c>
      <c r="H45" s="27"/>
      <c r="I45" s="15"/>
      <c r="J45" s="15" t="s">
        <v>632</v>
      </c>
      <c r="K45" s="15" t="s">
        <v>404</v>
      </c>
      <c r="L45" s="15" t="s">
        <v>633</v>
      </c>
    </row>
    <row r="46" s="1" customFormat="1" spans="2:12">
      <c r="B46" s="32" t="s">
        <v>1519</v>
      </c>
      <c r="C46" s="32" t="s">
        <v>338</v>
      </c>
      <c r="D46" s="10" t="s">
        <v>1807</v>
      </c>
      <c r="E46" s="25" t="s">
        <v>269</v>
      </c>
      <c r="F46" s="26"/>
      <c r="G46" s="26" t="s">
        <v>1808</v>
      </c>
      <c r="H46" s="27"/>
      <c r="I46" s="15"/>
      <c r="J46" s="15" t="s">
        <v>632</v>
      </c>
      <c r="K46" s="15" t="s">
        <v>404</v>
      </c>
      <c r="L46" s="15" t="s">
        <v>633</v>
      </c>
    </row>
    <row r="47" s="1" customFormat="1" spans="2:12">
      <c r="B47" s="32" t="s">
        <v>1129</v>
      </c>
      <c r="C47" s="32" t="s">
        <v>338</v>
      </c>
      <c r="D47" s="10" t="s">
        <v>1809</v>
      </c>
      <c r="E47" s="25" t="s">
        <v>269</v>
      </c>
      <c r="F47" s="26"/>
      <c r="G47" s="26" t="s">
        <v>1131</v>
      </c>
      <c r="H47" s="27"/>
      <c r="I47" s="15"/>
      <c r="J47" s="15" t="s">
        <v>632</v>
      </c>
      <c r="K47" s="15" t="s">
        <v>404</v>
      </c>
      <c r="L47" s="15" t="s">
        <v>633</v>
      </c>
    </row>
    <row r="48" s="1" customFormat="1" spans="2:12">
      <c r="B48" s="32" t="s">
        <v>1524</v>
      </c>
      <c r="C48" s="32" t="s">
        <v>338</v>
      </c>
      <c r="D48" s="10" t="s">
        <v>1408</v>
      </c>
      <c r="E48" s="25" t="s">
        <v>269</v>
      </c>
      <c r="F48" s="26"/>
      <c r="G48" s="26" t="s">
        <v>1810</v>
      </c>
      <c r="H48" s="27"/>
      <c r="I48" s="15"/>
      <c r="J48" s="15" t="s">
        <v>632</v>
      </c>
      <c r="K48" s="15" t="s">
        <v>294</v>
      </c>
      <c r="L48" s="15" t="s">
        <v>1264</v>
      </c>
    </row>
    <row r="49" s="1" customFormat="1" spans="2:12">
      <c r="B49" s="32" t="s">
        <v>1527</v>
      </c>
      <c r="C49" s="32" t="s">
        <v>338</v>
      </c>
      <c r="D49" s="10" t="s">
        <v>1811</v>
      </c>
      <c r="E49" s="25" t="s">
        <v>269</v>
      </c>
      <c r="F49" s="26"/>
      <c r="G49" s="26" t="s">
        <v>1812</v>
      </c>
      <c r="H49" s="27"/>
      <c r="I49" s="15"/>
      <c r="J49" s="15" t="s">
        <v>632</v>
      </c>
      <c r="K49" s="15" t="s">
        <v>294</v>
      </c>
      <c r="L49" s="15" t="s">
        <v>1264</v>
      </c>
    </row>
    <row r="50" s="1" customFormat="1" spans="2:12">
      <c r="B50" s="32" t="s">
        <v>1294</v>
      </c>
      <c r="C50" s="32" t="s">
        <v>338</v>
      </c>
      <c r="D50" s="10" t="s">
        <v>891</v>
      </c>
      <c r="E50" s="25" t="s">
        <v>269</v>
      </c>
      <c r="F50" s="26"/>
      <c r="G50" s="26" t="s">
        <v>1014</v>
      </c>
      <c r="H50" s="27"/>
      <c r="I50" s="15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32" t="s">
        <v>1295</v>
      </c>
      <c r="C51" s="32" t="s">
        <v>338</v>
      </c>
      <c r="D51" s="10" t="s">
        <v>894</v>
      </c>
      <c r="E51" s="25" t="s">
        <v>269</v>
      </c>
      <c r="F51" s="26"/>
      <c r="G51" s="26" t="s">
        <v>1015</v>
      </c>
      <c r="H51" s="27"/>
      <c r="I51" s="15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32" t="s">
        <v>1296</v>
      </c>
      <c r="C52" s="32" t="s">
        <v>338</v>
      </c>
      <c r="D52" s="10" t="s">
        <v>897</v>
      </c>
      <c r="E52" s="25" t="s">
        <v>269</v>
      </c>
      <c r="F52" s="26"/>
      <c r="G52" s="26" t="s">
        <v>1016</v>
      </c>
      <c r="H52" s="27"/>
      <c r="I52" s="15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32" t="s">
        <v>1297</v>
      </c>
      <c r="C53" s="32" t="s">
        <v>338</v>
      </c>
      <c r="D53" s="10" t="s">
        <v>909</v>
      </c>
      <c r="E53" s="25" t="s">
        <v>269</v>
      </c>
      <c r="F53" s="26"/>
      <c r="G53" s="26" t="s">
        <v>1020</v>
      </c>
      <c r="H53" s="27"/>
      <c r="I53" s="15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1298</v>
      </c>
      <c r="C54" s="32" t="s">
        <v>338</v>
      </c>
      <c r="D54" s="10" t="s">
        <v>912</v>
      </c>
      <c r="E54" s="25" t="s">
        <v>269</v>
      </c>
      <c r="F54" s="26"/>
      <c r="G54" s="26" t="s">
        <v>1021</v>
      </c>
      <c r="H54" s="27"/>
      <c r="I54" s="15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1299</v>
      </c>
      <c r="C55" s="32" t="s">
        <v>338</v>
      </c>
      <c r="D55" s="10" t="s">
        <v>915</v>
      </c>
      <c r="E55" s="25" t="s">
        <v>269</v>
      </c>
      <c r="F55" s="26"/>
      <c r="G55" s="26" t="s">
        <v>1022</v>
      </c>
      <c r="H55" s="27"/>
      <c r="I55" s="15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730</v>
      </c>
      <c r="C56" s="32" t="s">
        <v>338</v>
      </c>
      <c r="D56" s="10" t="s">
        <v>731</v>
      </c>
      <c r="E56" s="25" t="s">
        <v>269</v>
      </c>
      <c r="F56" s="26"/>
      <c r="G56" s="26" t="s">
        <v>957</v>
      </c>
      <c r="H56" s="27"/>
      <c r="I56" s="15"/>
      <c r="J56" s="15" t="s">
        <v>632</v>
      </c>
      <c r="K56" s="15" t="s">
        <v>404</v>
      </c>
      <c r="L56" s="15" t="s">
        <v>633</v>
      </c>
    </row>
    <row r="57" s="1" customFormat="1" spans="1:12">
      <c r="A57" s="33"/>
      <c r="B57" s="13" t="s">
        <v>1091</v>
      </c>
      <c r="C57" s="32" t="s">
        <v>338</v>
      </c>
      <c r="D57" s="10" t="s">
        <v>1092</v>
      </c>
      <c r="E57" s="25" t="s">
        <v>269</v>
      </c>
      <c r="F57" s="26"/>
      <c r="G57" s="26" t="s">
        <v>958</v>
      </c>
      <c r="H57" s="27"/>
      <c r="I57" s="15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1093</v>
      </c>
      <c r="C58" s="13" t="s">
        <v>338</v>
      </c>
      <c r="D58" s="10" t="s">
        <v>1094</v>
      </c>
      <c r="E58" s="25" t="s">
        <v>269</v>
      </c>
      <c r="F58" s="26"/>
      <c r="G58" s="26" t="s">
        <v>959</v>
      </c>
      <c r="H58" s="27"/>
      <c r="I58" s="15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1095</v>
      </c>
      <c r="C59" s="13" t="s">
        <v>338</v>
      </c>
      <c r="D59" s="10" t="s">
        <v>1096</v>
      </c>
      <c r="E59" s="25" t="s">
        <v>269</v>
      </c>
      <c r="F59" s="26"/>
      <c r="G59" s="26" t="s">
        <v>960</v>
      </c>
      <c r="H59" s="27"/>
      <c r="I59" s="15"/>
      <c r="J59" s="15" t="s">
        <v>632</v>
      </c>
      <c r="K59" s="15" t="s">
        <v>294</v>
      </c>
      <c r="L59" s="15" t="s">
        <v>633</v>
      </c>
    </row>
    <row r="60" s="1" customFormat="1" ht="13.8" customHeight="1" spans="1:12">
      <c r="A60" s="33"/>
      <c r="B60" s="13" t="s">
        <v>1097</v>
      </c>
      <c r="C60" s="13" t="s">
        <v>338</v>
      </c>
      <c r="D60" s="10" t="s">
        <v>1098</v>
      </c>
      <c r="E60" s="25" t="s">
        <v>269</v>
      </c>
      <c r="F60" s="26"/>
      <c r="G60" s="26" t="s">
        <v>961</v>
      </c>
      <c r="H60" s="15"/>
      <c r="I60" s="15"/>
      <c r="J60" s="15" t="s">
        <v>632</v>
      </c>
      <c r="K60" s="15" t="s">
        <v>294</v>
      </c>
      <c r="L60" s="15" t="s">
        <v>633</v>
      </c>
    </row>
    <row r="61" s="1" customFormat="1" ht="13.8" customHeight="1" spans="1:12">
      <c r="A61" s="33"/>
      <c r="B61" s="13" t="s">
        <v>1099</v>
      </c>
      <c r="C61" s="13" t="s">
        <v>338</v>
      </c>
      <c r="D61" s="10" t="s">
        <v>1100</v>
      </c>
      <c r="E61" s="25" t="s">
        <v>269</v>
      </c>
      <c r="F61" s="26"/>
      <c r="G61" s="26" t="s">
        <v>962</v>
      </c>
      <c r="H61" s="15"/>
      <c r="I61" s="15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751</v>
      </c>
      <c r="C62" s="13" t="s">
        <v>338</v>
      </c>
      <c r="D62" s="10" t="s">
        <v>752</v>
      </c>
      <c r="E62" s="25" t="s">
        <v>269</v>
      </c>
      <c r="F62" s="26"/>
      <c r="G62" s="26" t="s">
        <v>964</v>
      </c>
      <c r="H62" s="15"/>
      <c r="I62" s="15"/>
      <c r="J62" s="15" t="s">
        <v>632</v>
      </c>
      <c r="K62" s="15" t="s">
        <v>404</v>
      </c>
      <c r="L62" s="15" t="s">
        <v>633</v>
      </c>
    </row>
    <row r="63" s="1" customFormat="1" spans="2:12">
      <c r="B63" s="32" t="s">
        <v>1104</v>
      </c>
      <c r="C63" s="34" t="s">
        <v>338</v>
      </c>
      <c r="D63" s="10" t="s">
        <v>1105</v>
      </c>
      <c r="E63" s="25" t="s">
        <v>269</v>
      </c>
      <c r="F63" s="26"/>
      <c r="G63" s="26" t="s">
        <v>965</v>
      </c>
      <c r="H63" s="15"/>
      <c r="I63" s="15"/>
      <c r="J63" s="15" t="s">
        <v>632</v>
      </c>
      <c r="K63" s="15" t="s">
        <v>294</v>
      </c>
      <c r="L63" s="15" t="s">
        <v>633</v>
      </c>
    </row>
    <row r="64" s="1" customFormat="1" spans="2:12">
      <c r="B64" s="32" t="s">
        <v>1106</v>
      </c>
      <c r="C64" s="34" t="s">
        <v>338</v>
      </c>
      <c r="D64" s="10" t="s">
        <v>1107</v>
      </c>
      <c r="E64" s="25" t="s">
        <v>269</v>
      </c>
      <c r="F64" s="26"/>
      <c r="G64" s="26" t="s">
        <v>966</v>
      </c>
      <c r="H64" s="15"/>
      <c r="I64" s="15"/>
      <c r="J64" s="15" t="s">
        <v>632</v>
      </c>
      <c r="K64" s="15" t="s">
        <v>294</v>
      </c>
      <c r="L64" s="15" t="s">
        <v>633</v>
      </c>
    </row>
    <row r="65" s="33" customFormat="1" spans="2:12">
      <c r="B65" s="32" t="s">
        <v>1108</v>
      </c>
      <c r="C65" s="13" t="s">
        <v>338</v>
      </c>
      <c r="D65" s="10" t="s">
        <v>1109</v>
      </c>
      <c r="E65" s="25" t="s">
        <v>269</v>
      </c>
      <c r="F65" s="26"/>
      <c r="G65" s="26" t="s">
        <v>967</v>
      </c>
      <c r="H65" s="15"/>
      <c r="I65" s="15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1110</v>
      </c>
      <c r="C66" s="13" t="s">
        <v>338</v>
      </c>
      <c r="D66" s="10" t="s">
        <v>1111</v>
      </c>
      <c r="E66" s="25" t="s">
        <v>269</v>
      </c>
      <c r="F66" s="26"/>
      <c r="G66" s="26" t="s">
        <v>968</v>
      </c>
      <c r="H66" s="15"/>
      <c r="I66" s="15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1112</v>
      </c>
      <c r="C67" s="13" t="s">
        <v>338</v>
      </c>
      <c r="D67" s="10" t="s">
        <v>1113</v>
      </c>
      <c r="E67" s="25" t="s">
        <v>269</v>
      </c>
      <c r="F67" s="26"/>
      <c r="G67" s="26" t="s">
        <v>969</v>
      </c>
      <c r="H67" s="15"/>
      <c r="I67" s="15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772</v>
      </c>
      <c r="C68" s="13" t="s">
        <v>338</v>
      </c>
      <c r="D68" s="10" t="s">
        <v>1813</v>
      </c>
      <c r="E68" s="25" t="s">
        <v>269</v>
      </c>
      <c r="F68" s="26"/>
      <c r="G68" s="26" t="s">
        <v>971</v>
      </c>
      <c r="H68" s="15"/>
      <c r="I68" s="15"/>
      <c r="J68" s="15" t="s">
        <v>632</v>
      </c>
      <c r="K68" s="15" t="s">
        <v>404</v>
      </c>
      <c r="L68" s="15" t="s">
        <v>633</v>
      </c>
    </row>
    <row r="69" s="1" customFormat="1" spans="1:12">
      <c r="A69" s="33"/>
      <c r="B69" s="32" t="s">
        <v>1279</v>
      </c>
      <c r="C69" s="32" t="s">
        <v>338</v>
      </c>
      <c r="D69" s="10" t="s">
        <v>1814</v>
      </c>
      <c r="E69" s="25" t="s">
        <v>269</v>
      </c>
      <c r="F69" s="26"/>
      <c r="G69" s="26" t="s">
        <v>972</v>
      </c>
      <c r="H69" s="15"/>
      <c r="I69" s="15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1280</v>
      </c>
      <c r="C70" s="13" t="s">
        <v>338</v>
      </c>
      <c r="D70" s="10" t="s">
        <v>1815</v>
      </c>
      <c r="E70" s="25" t="s">
        <v>269</v>
      </c>
      <c r="F70" s="26"/>
      <c r="G70" s="26" t="s">
        <v>973</v>
      </c>
      <c r="H70" s="15"/>
      <c r="I70" s="15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1281</v>
      </c>
      <c r="C71" s="13" t="s">
        <v>338</v>
      </c>
      <c r="D71" s="10" t="s">
        <v>1816</v>
      </c>
      <c r="E71" s="25" t="s">
        <v>269</v>
      </c>
      <c r="F71" s="26"/>
      <c r="G71" s="26" t="s">
        <v>974</v>
      </c>
      <c r="H71" s="15"/>
      <c r="I71" s="15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1282</v>
      </c>
      <c r="C72" s="13" t="s">
        <v>338</v>
      </c>
      <c r="D72" s="10" t="s">
        <v>1817</v>
      </c>
      <c r="E72" s="25" t="s">
        <v>269</v>
      </c>
      <c r="F72" s="26"/>
      <c r="G72" s="26" t="s">
        <v>975</v>
      </c>
      <c r="H72" s="15"/>
      <c r="I72" s="15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1283</v>
      </c>
      <c r="C73" s="13" t="s">
        <v>338</v>
      </c>
      <c r="D73" s="10" t="s">
        <v>1818</v>
      </c>
      <c r="E73" s="25" t="s">
        <v>269</v>
      </c>
      <c r="F73" s="26"/>
      <c r="G73" s="26" t="s">
        <v>976</v>
      </c>
      <c r="H73" s="15"/>
      <c r="I73" s="15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1286</v>
      </c>
      <c r="C74" s="13" t="s">
        <v>338</v>
      </c>
      <c r="D74" s="10" t="s">
        <v>1819</v>
      </c>
      <c r="E74" s="25" t="s">
        <v>269</v>
      </c>
      <c r="F74" s="26"/>
      <c r="G74" s="26" t="s">
        <v>982</v>
      </c>
      <c r="H74" s="15"/>
      <c r="I74" s="15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805</v>
      </c>
      <c r="C75" s="13" t="s">
        <v>338</v>
      </c>
      <c r="D75" s="10" t="s">
        <v>806</v>
      </c>
      <c r="E75" s="25" t="s">
        <v>269</v>
      </c>
      <c r="F75" s="26"/>
      <c r="G75" s="26" t="s">
        <v>983</v>
      </c>
      <c r="H75" s="15"/>
      <c r="I75" s="15"/>
      <c r="J75" s="15" t="s">
        <v>632</v>
      </c>
      <c r="K75" s="15" t="s">
        <v>803</v>
      </c>
      <c r="L75" s="15" t="s">
        <v>633</v>
      </c>
    </row>
    <row r="76" s="1" customFormat="1" spans="1:12">
      <c r="A76" s="33"/>
      <c r="B76" s="13" t="s">
        <v>808</v>
      </c>
      <c r="C76" s="13" t="s">
        <v>338</v>
      </c>
      <c r="D76" s="10" t="s">
        <v>809</v>
      </c>
      <c r="E76" s="25" t="s">
        <v>269</v>
      </c>
      <c r="F76" s="26"/>
      <c r="G76" s="26" t="s">
        <v>984</v>
      </c>
      <c r="H76" s="15"/>
      <c r="I76" s="15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811</v>
      </c>
      <c r="C77" s="13" t="s">
        <v>338</v>
      </c>
      <c r="D77" s="10" t="s">
        <v>812</v>
      </c>
      <c r="E77" s="25" t="s">
        <v>269</v>
      </c>
      <c r="F77" s="26"/>
      <c r="G77" s="26" t="s">
        <v>985</v>
      </c>
      <c r="H77" s="15"/>
      <c r="I77" s="15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814</v>
      </c>
      <c r="C78" s="13" t="s">
        <v>338</v>
      </c>
      <c r="D78" s="10" t="s">
        <v>815</v>
      </c>
      <c r="E78" s="25" t="s">
        <v>269</v>
      </c>
      <c r="F78" s="26"/>
      <c r="G78" s="26" t="s">
        <v>986</v>
      </c>
      <c r="H78" s="15"/>
      <c r="I78" s="15"/>
      <c r="J78" s="15" t="s">
        <v>632</v>
      </c>
      <c r="K78" s="15" t="s">
        <v>803</v>
      </c>
      <c r="L78" s="15" t="s">
        <v>633</v>
      </c>
    </row>
    <row r="79" s="1" customFormat="1" spans="1:12">
      <c r="A79" s="33"/>
      <c r="B79" s="13" t="s">
        <v>817</v>
      </c>
      <c r="C79" s="13" t="s">
        <v>338</v>
      </c>
      <c r="D79" s="10" t="s">
        <v>818</v>
      </c>
      <c r="E79" s="25" t="s">
        <v>269</v>
      </c>
      <c r="F79" s="26"/>
      <c r="G79" s="26" t="s">
        <v>987</v>
      </c>
      <c r="H79" s="15"/>
      <c r="I79" s="15"/>
      <c r="J79" s="15" t="s">
        <v>632</v>
      </c>
      <c r="K79" s="15" t="s">
        <v>803</v>
      </c>
      <c r="L79" s="15" t="s">
        <v>633</v>
      </c>
    </row>
    <row r="80" s="1" customFormat="1" spans="1:12">
      <c r="A80" s="33"/>
      <c r="B80" s="13" t="s">
        <v>1287</v>
      </c>
      <c r="C80" s="13" t="s">
        <v>338</v>
      </c>
      <c r="D80" s="10" t="s">
        <v>1820</v>
      </c>
      <c r="E80" s="25" t="s">
        <v>269</v>
      </c>
      <c r="F80" s="26"/>
      <c r="G80" s="26" t="s">
        <v>989</v>
      </c>
      <c r="H80" s="15"/>
      <c r="I80" s="15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824</v>
      </c>
      <c r="C81" s="13" t="s">
        <v>338</v>
      </c>
      <c r="D81" s="10" t="s">
        <v>825</v>
      </c>
      <c r="E81" s="25" t="s">
        <v>269</v>
      </c>
      <c r="F81" s="26"/>
      <c r="G81" s="26" t="s">
        <v>990</v>
      </c>
      <c r="H81" s="15"/>
      <c r="I81" s="15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827</v>
      </c>
      <c r="C82" s="13" t="s">
        <v>338</v>
      </c>
      <c r="D82" s="10" t="s">
        <v>828</v>
      </c>
      <c r="E82" s="25" t="s">
        <v>269</v>
      </c>
      <c r="F82" s="26"/>
      <c r="G82" s="26" t="s">
        <v>991</v>
      </c>
      <c r="H82" s="15"/>
      <c r="I82" s="15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830</v>
      </c>
      <c r="C83" s="13" t="s">
        <v>338</v>
      </c>
      <c r="D83" s="10" t="s">
        <v>831</v>
      </c>
      <c r="E83" s="25" t="s">
        <v>269</v>
      </c>
      <c r="F83" s="26"/>
      <c r="G83" s="26" t="s">
        <v>992</v>
      </c>
      <c r="H83" s="15"/>
      <c r="I83" s="15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833</v>
      </c>
      <c r="C84" s="13" t="s">
        <v>338</v>
      </c>
      <c r="D84" s="10" t="s">
        <v>834</v>
      </c>
      <c r="E84" s="25" t="s">
        <v>269</v>
      </c>
      <c r="F84" s="26"/>
      <c r="G84" s="26" t="s">
        <v>993</v>
      </c>
      <c r="H84" s="15"/>
      <c r="I84" s="15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836</v>
      </c>
      <c r="C85" s="13" t="s">
        <v>338</v>
      </c>
      <c r="D85" s="10" t="s">
        <v>837</v>
      </c>
      <c r="E85" s="25" t="s">
        <v>269</v>
      </c>
      <c r="F85" s="26"/>
      <c r="G85" s="26" t="s">
        <v>994</v>
      </c>
      <c r="H85" s="15"/>
      <c r="I85" s="15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1288</v>
      </c>
      <c r="C86" s="13" t="s">
        <v>338</v>
      </c>
      <c r="D86" s="10" t="s">
        <v>1821</v>
      </c>
      <c r="E86" s="25" t="s">
        <v>269</v>
      </c>
      <c r="F86" s="26"/>
      <c r="G86" s="26" t="s">
        <v>996</v>
      </c>
      <c r="H86" s="15"/>
      <c r="I86" s="15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844</v>
      </c>
      <c r="C87" s="13" t="s">
        <v>338</v>
      </c>
      <c r="D87" s="10" t="s">
        <v>845</v>
      </c>
      <c r="E87" s="25" t="s">
        <v>269</v>
      </c>
      <c r="F87" s="26"/>
      <c r="G87" s="26" t="s">
        <v>997</v>
      </c>
      <c r="H87" s="15"/>
      <c r="I87" s="15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847</v>
      </c>
      <c r="C88" s="13" t="s">
        <v>338</v>
      </c>
      <c r="D88" s="10" t="s">
        <v>848</v>
      </c>
      <c r="E88" s="25" t="s">
        <v>269</v>
      </c>
      <c r="F88" s="26"/>
      <c r="G88" s="26" t="s">
        <v>998</v>
      </c>
      <c r="H88" s="15"/>
      <c r="I88" s="15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850</v>
      </c>
      <c r="C89" s="13" t="s">
        <v>338</v>
      </c>
      <c r="D89" s="10" t="s">
        <v>851</v>
      </c>
      <c r="E89" s="25" t="s">
        <v>269</v>
      </c>
      <c r="F89" s="26"/>
      <c r="G89" s="26" t="s">
        <v>999</v>
      </c>
      <c r="H89" s="15"/>
      <c r="I89" s="15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853</v>
      </c>
      <c r="C90" s="13" t="s">
        <v>338</v>
      </c>
      <c r="D90" s="10" t="s">
        <v>854</v>
      </c>
      <c r="E90" s="25" t="s">
        <v>269</v>
      </c>
      <c r="F90" s="26"/>
      <c r="G90" s="26" t="s">
        <v>1000</v>
      </c>
      <c r="H90" s="15"/>
      <c r="I90" s="15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856</v>
      </c>
      <c r="C91" s="13" t="s">
        <v>338</v>
      </c>
      <c r="D91" s="10" t="s">
        <v>857</v>
      </c>
      <c r="E91" s="25" t="s">
        <v>269</v>
      </c>
      <c r="F91" s="26"/>
      <c r="G91" s="26" t="s">
        <v>1001</v>
      </c>
      <c r="H91" s="15"/>
      <c r="I91" s="15"/>
      <c r="J91" s="15" t="s">
        <v>632</v>
      </c>
      <c r="K91" s="15" t="s">
        <v>803</v>
      </c>
      <c r="L91" s="15" t="s">
        <v>633</v>
      </c>
    </row>
    <row r="92" s="2" customFormat="1" spans="2:14">
      <c r="B92" s="17" t="s">
        <v>594</v>
      </c>
      <c r="C92" s="18" t="s">
        <v>307</v>
      </c>
      <c r="D92" s="19" t="s">
        <v>595</v>
      </c>
      <c r="E92" s="28" t="s">
        <v>932</v>
      </c>
      <c r="F92" s="28"/>
      <c r="G92" s="28" t="s">
        <v>932</v>
      </c>
      <c r="H92" s="17" t="s">
        <v>932</v>
      </c>
      <c r="I92" s="17" t="s">
        <v>932</v>
      </c>
      <c r="J92" s="17" t="s">
        <v>932</v>
      </c>
      <c r="K92" s="17" t="s">
        <v>932</v>
      </c>
      <c r="L92" s="17" t="s">
        <v>932</v>
      </c>
      <c r="M92" s="17"/>
      <c r="N92" s="17"/>
    </row>
    <row r="93" s="2" customFormat="1" spans="2:14">
      <c r="B93" s="17" t="s">
        <v>596</v>
      </c>
      <c r="C93" s="18" t="s">
        <v>291</v>
      </c>
      <c r="D93" s="19" t="s">
        <v>597</v>
      </c>
      <c r="E93" s="28" t="s">
        <v>932</v>
      </c>
      <c r="F93" s="28"/>
      <c r="G93" s="28" t="s">
        <v>932</v>
      </c>
      <c r="H93" s="17" t="s">
        <v>932</v>
      </c>
      <c r="I93" s="17" t="s">
        <v>932</v>
      </c>
      <c r="J93" s="17" t="s">
        <v>932</v>
      </c>
      <c r="K93" s="17" t="s">
        <v>932</v>
      </c>
      <c r="L93" s="17" t="s">
        <v>932</v>
      </c>
      <c r="M93" s="17"/>
      <c r="N93" s="17"/>
    </row>
    <row r="94" s="2" customFormat="1" spans="2:14">
      <c r="B94" s="17" t="s">
        <v>598</v>
      </c>
      <c r="C94" s="18" t="s">
        <v>307</v>
      </c>
      <c r="D94" s="19" t="s">
        <v>599</v>
      </c>
      <c r="E94" s="28" t="s">
        <v>932</v>
      </c>
      <c r="F94" s="28"/>
      <c r="G94" s="28" t="s">
        <v>932</v>
      </c>
      <c r="H94" s="17" t="s">
        <v>932</v>
      </c>
      <c r="I94" s="17" t="s">
        <v>932</v>
      </c>
      <c r="J94" s="17" t="s">
        <v>932</v>
      </c>
      <c r="K94" s="17" t="s">
        <v>932</v>
      </c>
      <c r="L94" s="17" t="s">
        <v>932</v>
      </c>
      <c r="M94" s="17"/>
      <c r="N94" s="17"/>
    </row>
  </sheetData>
  <autoFilter xmlns:etc="http://www.wps.cn/officeDocument/2017/etCustomData" ref="A13:N94" etc:filterBottomFollowUsedRange="0">
    <extLst/>
  </autoFilter>
  <mergeCells count="5">
    <mergeCell ref="B2:H2"/>
    <mergeCell ref="B3:H3"/>
    <mergeCell ref="B7:H7"/>
    <mergeCell ref="B12:L12"/>
    <mergeCell ref="G9:G10"/>
  </mergeCells>
  <pageMargins left="0.7" right="0.7" top="0.75" bottom="0.75" header="0.3" footer="0.3"/>
  <pageSetup paperSize="9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27.55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2.5583333333333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67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1" t="s">
        <v>174</v>
      </c>
      <c r="D5" s="11" t="s">
        <v>175</v>
      </c>
      <c r="E5" s="13" t="s">
        <v>27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170</v>
      </c>
      <c r="D9" s="11" t="s">
        <v>171</v>
      </c>
      <c r="E9" s="13" t="s">
        <v>266</v>
      </c>
      <c r="F9" s="26"/>
      <c r="G9" s="35"/>
      <c r="H9" s="23" t="s">
        <v>44</v>
      </c>
    </row>
    <row r="10" spans="2:2">
      <c r="B10" s="3" t="s">
        <v>279</v>
      </c>
    </row>
    <row r="11" ht="13.5" spans="2:12">
      <c r="B11" s="7" t="s">
        <v>279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3.5" spans="2:12">
      <c r="B12" s="8" t="s">
        <v>280</v>
      </c>
      <c r="C12" s="8" t="s">
        <v>281</v>
      </c>
      <c r="D12" s="8" t="s">
        <v>282</v>
      </c>
      <c r="E12" s="8" t="s">
        <v>283</v>
      </c>
      <c r="F12" s="12" t="s">
        <v>284</v>
      </c>
      <c r="G12" s="12" t="s">
        <v>285</v>
      </c>
      <c r="H12" s="8" t="s">
        <v>286</v>
      </c>
      <c r="I12" s="8" t="s">
        <v>17</v>
      </c>
      <c r="J12" s="8" t="s">
        <v>287</v>
      </c>
      <c r="K12" s="8" t="s">
        <v>288</v>
      </c>
      <c r="L12" s="8" t="s">
        <v>289</v>
      </c>
    </row>
    <row r="13" s="1" customFormat="1" spans="2:12">
      <c r="B13" s="32" t="s">
        <v>602</v>
      </c>
      <c r="C13" s="32" t="s">
        <v>291</v>
      </c>
      <c r="D13" s="10" t="s">
        <v>603</v>
      </c>
      <c r="E13" s="25" t="s">
        <v>266</v>
      </c>
      <c r="F13" s="26" t="s">
        <v>596</v>
      </c>
      <c r="G13" s="26" t="s">
        <v>293</v>
      </c>
      <c r="H13" s="27"/>
      <c r="I13" s="15"/>
      <c r="J13" s="15" t="s">
        <v>604</v>
      </c>
      <c r="K13" s="15" t="s">
        <v>294</v>
      </c>
      <c r="L13" s="15" t="s">
        <v>605</v>
      </c>
    </row>
    <row r="14" s="1" customFormat="1" spans="2:12">
      <c r="B14" s="32" t="s">
        <v>290</v>
      </c>
      <c r="C14" s="32" t="s">
        <v>307</v>
      </c>
      <c r="D14" s="10" t="s">
        <v>1790</v>
      </c>
      <c r="E14" s="25" t="s">
        <v>266</v>
      </c>
      <c r="F14" s="26" t="s">
        <v>290</v>
      </c>
      <c r="G14" s="26" t="s">
        <v>293</v>
      </c>
      <c r="H14" s="27"/>
      <c r="I14" s="15"/>
      <c r="J14" s="15" t="s">
        <v>604</v>
      </c>
      <c r="K14" s="15" t="s">
        <v>294</v>
      </c>
      <c r="L14" s="15" t="s">
        <v>610</v>
      </c>
    </row>
    <row r="15" s="1" customFormat="1" spans="2:12">
      <c r="B15" s="32" t="s">
        <v>327</v>
      </c>
      <c r="C15" s="32" t="s">
        <v>307</v>
      </c>
      <c r="D15" s="10" t="s">
        <v>1791</v>
      </c>
      <c r="E15" s="25" t="s">
        <v>266</v>
      </c>
      <c r="F15" s="26" t="s">
        <v>327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612</v>
      </c>
    </row>
    <row r="16" s="1" customFormat="1" spans="2:12">
      <c r="B16" s="32" t="s">
        <v>514</v>
      </c>
      <c r="C16" s="32" t="s">
        <v>291</v>
      </c>
      <c r="D16" s="10" t="s">
        <v>515</v>
      </c>
      <c r="E16" s="25" t="s">
        <v>266</v>
      </c>
      <c r="F16" s="26" t="s">
        <v>514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2:12"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613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2:12">
      <c r="B18" s="32" t="s">
        <v>522</v>
      </c>
      <c r="C18" s="32" t="s">
        <v>291</v>
      </c>
      <c r="D18" s="10" t="s">
        <v>523</v>
      </c>
      <c r="E18" s="25" t="s">
        <v>266</v>
      </c>
      <c r="F18" s="26" t="s">
        <v>522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2:12">
      <c r="B19" s="32" t="s">
        <v>517</v>
      </c>
      <c r="C19" s="32" t="s">
        <v>307</v>
      </c>
      <c r="D19" s="10" t="s">
        <v>1792</v>
      </c>
      <c r="E19" s="25" t="s">
        <v>266</v>
      </c>
      <c r="F19" s="26" t="s">
        <v>517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2:12">
      <c r="B20" s="32" t="s">
        <v>524</v>
      </c>
      <c r="C20" s="32" t="s">
        <v>291</v>
      </c>
      <c r="D20" s="10" t="s">
        <v>1793</v>
      </c>
      <c r="E20" s="25" t="s">
        <v>266</v>
      </c>
      <c r="F20" s="26" t="s">
        <v>524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2:12">
      <c r="B21" s="32" t="s">
        <v>520</v>
      </c>
      <c r="C21" s="32" t="s">
        <v>307</v>
      </c>
      <c r="D21" s="10" t="s">
        <v>521</v>
      </c>
      <c r="E21" s="25" t="s">
        <v>266</v>
      </c>
      <c r="F21" s="26" t="s">
        <v>520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294</v>
      </c>
    </row>
    <row r="22" s="1" customFormat="1" spans="2:12">
      <c r="B22" s="32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2:12">
      <c r="B23" s="32" t="s">
        <v>1794</v>
      </c>
      <c r="C23" s="32" t="s">
        <v>307</v>
      </c>
      <c r="D23" s="10" t="s">
        <v>1795</v>
      </c>
      <c r="E23" s="25" t="s">
        <v>266</v>
      </c>
      <c r="F23" s="26" t="s">
        <v>1794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spans="2:12">
      <c r="B24" s="32" t="s">
        <v>1797</v>
      </c>
      <c r="C24" s="32" t="s">
        <v>291</v>
      </c>
      <c r="D24" s="10" t="s">
        <v>1798</v>
      </c>
      <c r="E24" s="25" t="s">
        <v>266</v>
      </c>
      <c r="F24" s="26" t="s">
        <v>1797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2:12">
      <c r="B25" s="32" t="s">
        <v>1273</v>
      </c>
      <c r="C25" s="32" t="s">
        <v>338</v>
      </c>
      <c r="D25" s="10" t="s">
        <v>1800</v>
      </c>
      <c r="E25" s="25" t="s">
        <v>266</v>
      </c>
      <c r="F25" s="26"/>
      <c r="G25" s="26" t="s">
        <v>1323</v>
      </c>
      <c r="H25" s="27"/>
      <c r="I25" s="15"/>
      <c r="J25" s="15" t="s">
        <v>632</v>
      </c>
      <c r="K25" s="15" t="s">
        <v>404</v>
      </c>
      <c r="L25" s="15" t="s">
        <v>633</v>
      </c>
    </row>
    <row r="26" s="1" customFormat="1" spans="2:12">
      <c r="B26" s="32" t="s">
        <v>1044</v>
      </c>
      <c r="C26" s="32" t="s">
        <v>338</v>
      </c>
      <c r="D26" s="10" t="s">
        <v>642</v>
      </c>
      <c r="E26" s="25" t="s">
        <v>266</v>
      </c>
      <c r="F26" s="26"/>
      <c r="G26" s="26" t="s">
        <v>1464</v>
      </c>
      <c r="H26" s="27"/>
      <c r="I26" s="15"/>
      <c r="J26" s="15" t="s">
        <v>632</v>
      </c>
      <c r="K26" s="15" t="s">
        <v>644</v>
      </c>
      <c r="L26" s="15" t="s">
        <v>633</v>
      </c>
    </row>
    <row r="27" s="1" customFormat="1" spans="2:12">
      <c r="B27" s="32" t="s">
        <v>1045</v>
      </c>
      <c r="C27" s="32" t="s">
        <v>338</v>
      </c>
      <c r="D27" s="10" t="s">
        <v>645</v>
      </c>
      <c r="E27" s="25" t="s">
        <v>266</v>
      </c>
      <c r="F27" s="26"/>
      <c r="G27" s="26" t="s">
        <v>1466</v>
      </c>
      <c r="H27" s="27"/>
      <c r="I27" s="15"/>
      <c r="J27" s="15" t="s">
        <v>632</v>
      </c>
      <c r="K27" s="15" t="s">
        <v>644</v>
      </c>
      <c r="L27" s="15" t="s">
        <v>633</v>
      </c>
    </row>
    <row r="28" s="1" customFormat="1" spans="2:12">
      <c r="B28" s="32" t="s">
        <v>1054</v>
      </c>
      <c r="C28" s="32" t="s">
        <v>338</v>
      </c>
      <c r="D28" s="10" t="s">
        <v>345</v>
      </c>
      <c r="E28" s="25" t="s">
        <v>266</v>
      </c>
      <c r="F28" s="26"/>
      <c r="G28" s="26" t="s">
        <v>1338</v>
      </c>
      <c r="H28" s="27"/>
      <c r="I28" s="15"/>
      <c r="J28" s="15" t="s">
        <v>632</v>
      </c>
      <c r="K28" s="15" t="s">
        <v>294</v>
      </c>
      <c r="L28" s="15" t="s">
        <v>633</v>
      </c>
    </row>
    <row r="29" s="1" customFormat="1" spans="2:12">
      <c r="B29" s="32" t="s">
        <v>1055</v>
      </c>
      <c r="C29" s="32" t="s">
        <v>338</v>
      </c>
      <c r="D29" s="10" t="s">
        <v>347</v>
      </c>
      <c r="E29" s="25" t="s">
        <v>266</v>
      </c>
      <c r="F29" s="26"/>
      <c r="G29" s="26" t="s">
        <v>1337</v>
      </c>
      <c r="H29" s="27"/>
      <c r="I29" s="15"/>
      <c r="J29" s="15" t="s">
        <v>632</v>
      </c>
      <c r="K29" s="15" t="s">
        <v>294</v>
      </c>
      <c r="L29" s="15" t="s">
        <v>633</v>
      </c>
    </row>
    <row r="30" s="1" customFormat="1" spans="2:12">
      <c r="B30" s="32" t="s">
        <v>1056</v>
      </c>
      <c r="C30" s="32" t="s">
        <v>338</v>
      </c>
      <c r="D30" s="10" t="s">
        <v>697</v>
      </c>
      <c r="E30" s="25" t="s">
        <v>266</v>
      </c>
      <c r="F30" s="26"/>
      <c r="G30" s="26" t="s">
        <v>1334</v>
      </c>
      <c r="H30" s="27"/>
      <c r="I30" s="15"/>
      <c r="J30" s="15" t="s">
        <v>632</v>
      </c>
      <c r="K30" s="15" t="s">
        <v>294</v>
      </c>
      <c r="L30" s="15" t="s">
        <v>633</v>
      </c>
    </row>
    <row r="31" s="1" customFormat="1" spans="2:12">
      <c r="B31" s="32" t="s">
        <v>1057</v>
      </c>
      <c r="C31" s="32" t="s">
        <v>338</v>
      </c>
      <c r="D31" s="10" t="s">
        <v>699</v>
      </c>
      <c r="E31" s="25" t="s">
        <v>266</v>
      </c>
      <c r="F31" s="26"/>
      <c r="G31" s="26" t="s">
        <v>1336</v>
      </c>
      <c r="H31" s="27"/>
      <c r="I31" s="15"/>
      <c r="J31" s="15" t="s">
        <v>632</v>
      </c>
      <c r="K31" s="15" t="s">
        <v>294</v>
      </c>
      <c r="L31" s="15" t="s">
        <v>633</v>
      </c>
    </row>
    <row r="32" s="1" customFormat="1" spans="2:12">
      <c r="B32" s="32" t="s">
        <v>1058</v>
      </c>
      <c r="C32" s="32" t="s">
        <v>338</v>
      </c>
      <c r="D32" s="10" t="s">
        <v>702</v>
      </c>
      <c r="E32" s="25" t="s">
        <v>266</v>
      </c>
      <c r="F32" s="26"/>
      <c r="G32" s="26" t="s">
        <v>1822</v>
      </c>
      <c r="H32" s="27"/>
      <c r="I32" s="15"/>
      <c r="J32" s="15" t="s">
        <v>632</v>
      </c>
      <c r="K32" s="15" t="s">
        <v>294</v>
      </c>
      <c r="L32" s="15" t="s">
        <v>633</v>
      </c>
    </row>
    <row r="33" s="1" customFormat="1" spans="2:12">
      <c r="B33" s="32" t="s">
        <v>1059</v>
      </c>
      <c r="C33" s="32" t="s">
        <v>338</v>
      </c>
      <c r="D33" s="10" t="s">
        <v>705</v>
      </c>
      <c r="E33" s="25" t="s">
        <v>266</v>
      </c>
      <c r="F33" s="26"/>
      <c r="G33" s="26" t="s">
        <v>1823</v>
      </c>
      <c r="H33" s="27"/>
      <c r="I33" s="15"/>
      <c r="J33" s="15" t="s">
        <v>632</v>
      </c>
      <c r="K33" s="15" t="s">
        <v>294</v>
      </c>
      <c r="L33" s="15" t="s">
        <v>633</v>
      </c>
    </row>
    <row r="34" s="1" customFormat="1" spans="2:12">
      <c r="B34" s="32" t="s">
        <v>1088</v>
      </c>
      <c r="C34" s="32" t="s">
        <v>338</v>
      </c>
      <c r="D34" s="10" t="s">
        <v>1801</v>
      </c>
      <c r="E34" s="25" t="s">
        <v>266</v>
      </c>
      <c r="F34" s="26"/>
      <c r="G34" s="26" t="s">
        <v>1824</v>
      </c>
      <c r="H34" s="27"/>
      <c r="I34" s="15"/>
      <c r="J34" s="15" t="s">
        <v>632</v>
      </c>
      <c r="K34" s="15" t="s">
        <v>404</v>
      </c>
      <c r="L34" s="15" t="s">
        <v>633</v>
      </c>
    </row>
    <row r="35" s="1" customFormat="1" spans="2:12">
      <c r="B35" s="32" t="s">
        <v>1101</v>
      </c>
      <c r="C35" s="32" t="s">
        <v>338</v>
      </c>
      <c r="D35" s="10" t="s">
        <v>1802</v>
      </c>
      <c r="E35" s="25" t="s">
        <v>266</v>
      </c>
      <c r="F35" s="26"/>
      <c r="G35" s="26" t="s">
        <v>1825</v>
      </c>
      <c r="H35" s="27"/>
      <c r="I35" s="15"/>
      <c r="J35" s="15" t="s">
        <v>632</v>
      </c>
      <c r="K35" s="15" t="s">
        <v>404</v>
      </c>
      <c r="L35" s="15" t="s">
        <v>633</v>
      </c>
    </row>
    <row r="36" s="1" customFormat="1" spans="2:12">
      <c r="B36" s="32" t="s">
        <v>1114</v>
      </c>
      <c r="C36" s="32" t="s">
        <v>338</v>
      </c>
      <c r="D36" s="10" t="s">
        <v>1803</v>
      </c>
      <c r="E36" s="25" t="s">
        <v>266</v>
      </c>
      <c r="F36" s="26"/>
      <c r="G36" s="26" t="s">
        <v>1826</v>
      </c>
      <c r="H36" s="27"/>
      <c r="I36" s="15"/>
      <c r="J36" s="15" t="s">
        <v>632</v>
      </c>
      <c r="K36" s="15" t="s">
        <v>404</v>
      </c>
      <c r="L36" s="15" t="s">
        <v>633</v>
      </c>
    </row>
    <row r="37" s="1" customFormat="1" spans="2:12">
      <c r="B37" s="32" t="s">
        <v>1276</v>
      </c>
      <c r="C37" s="32" t="s">
        <v>338</v>
      </c>
      <c r="D37" s="10" t="s">
        <v>723</v>
      </c>
      <c r="E37" s="25" t="s">
        <v>266</v>
      </c>
      <c r="F37" s="26"/>
      <c r="G37" s="26" t="s">
        <v>1827</v>
      </c>
      <c r="H37" s="27"/>
      <c r="I37" s="15"/>
      <c r="J37" s="15" t="s">
        <v>632</v>
      </c>
      <c r="K37" s="15" t="s">
        <v>294</v>
      </c>
      <c r="L37" s="15" t="s">
        <v>633</v>
      </c>
    </row>
    <row r="38" s="1" customFormat="1" spans="2:12">
      <c r="B38" s="32" t="s">
        <v>1277</v>
      </c>
      <c r="C38" s="32" t="s">
        <v>338</v>
      </c>
      <c r="D38" s="10" t="s">
        <v>725</v>
      </c>
      <c r="E38" s="25" t="s">
        <v>266</v>
      </c>
      <c r="F38" s="26"/>
      <c r="G38" s="26" t="s">
        <v>1445</v>
      </c>
      <c r="H38" s="27"/>
      <c r="I38" s="15"/>
      <c r="J38" s="15" t="s">
        <v>632</v>
      </c>
      <c r="K38" s="15" t="s">
        <v>294</v>
      </c>
      <c r="L38" s="15" t="s">
        <v>633</v>
      </c>
    </row>
    <row r="39" s="1" customFormat="1" spans="2:12">
      <c r="B39" s="32" t="s">
        <v>1278</v>
      </c>
      <c r="C39" s="32" t="s">
        <v>338</v>
      </c>
      <c r="D39" s="10" t="s">
        <v>1804</v>
      </c>
      <c r="E39" s="25" t="s">
        <v>266</v>
      </c>
      <c r="F39" s="26"/>
      <c r="G39" s="26" t="s">
        <v>1828</v>
      </c>
      <c r="H39" s="27"/>
      <c r="I39" s="15"/>
      <c r="J39" s="15" t="s">
        <v>632</v>
      </c>
      <c r="K39" s="15" t="s">
        <v>294</v>
      </c>
      <c r="L39" s="15" t="s">
        <v>633</v>
      </c>
    </row>
    <row r="40" s="1" customFormat="1" spans="2:12">
      <c r="B40" s="32" t="s">
        <v>1516</v>
      </c>
      <c r="C40" s="32" t="s">
        <v>338</v>
      </c>
      <c r="D40" s="10" t="s">
        <v>1805</v>
      </c>
      <c r="E40" s="25" t="s">
        <v>266</v>
      </c>
      <c r="F40" s="26"/>
      <c r="G40" s="26" t="s">
        <v>1829</v>
      </c>
      <c r="H40" s="27"/>
      <c r="I40" s="15"/>
      <c r="J40" s="15" t="s">
        <v>632</v>
      </c>
      <c r="K40" s="15" t="s">
        <v>404</v>
      </c>
      <c r="L40" s="15" t="s">
        <v>633</v>
      </c>
    </row>
    <row r="41" s="1" customFormat="1" spans="2:12">
      <c r="B41" s="32" t="s">
        <v>1519</v>
      </c>
      <c r="C41" s="32" t="s">
        <v>338</v>
      </c>
      <c r="D41" s="10" t="s">
        <v>1807</v>
      </c>
      <c r="E41" s="25" t="s">
        <v>266</v>
      </c>
      <c r="F41" s="26"/>
      <c r="G41" s="26" t="s">
        <v>1830</v>
      </c>
      <c r="H41" s="27"/>
      <c r="I41" s="15"/>
      <c r="J41" s="15" t="s">
        <v>632</v>
      </c>
      <c r="K41" s="15" t="s">
        <v>404</v>
      </c>
      <c r="L41" s="15" t="s">
        <v>633</v>
      </c>
    </row>
    <row r="42" s="1" customFormat="1" spans="2:12">
      <c r="B42" s="32" t="s">
        <v>1129</v>
      </c>
      <c r="C42" s="32" t="s">
        <v>338</v>
      </c>
      <c r="D42" s="10" t="s">
        <v>1809</v>
      </c>
      <c r="E42" s="25" t="s">
        <v>266</v>
      </c>
      <c r="F42" s="26"/>
      <c r="G42" s="26" t="s">
        <v>1831</v>
      </c>
      <c r="H42" s="27"/>
      <c r="I42" s="15"/>
      <c r="J42" s="15" t="s">
        <v>632</v>
      </c>
      <c r="K42" s="15" t="s">
        <v>404</v>
      </c>
      <c r="L42" s="15" t="s">
        <v>633</v>
      </c>
    </row>
    <row r="43" s="1" customFormat="1" spans="2:12">
      <c r="B43" s="32" t="s">
        <v>1524</v>
      </c>
      <c r="C43" s="32" t="s">
        <v>338</v>
      </c>
      <c r="D43" s="10" t="s">
        <v>1408</v>
      </c>
      <c r="E43" s="25" t="s">
        <v>266</v>
      </c>
      <c r="F43" s="26"/>
      <c r="G43" s="26" t="s">
        <v>1832</v>
      </c>
      <c r="H43" s="27"/>
      <c r="I43" s="15"/>
      <c r="J43" s="15" t="s">
        <v>632</v>
      </c>
      <c r="K43" s="15" t="s">
        <v>294</v>
      </c>
      <c r="L43" s="15" t="s">
        <v>1264</v>
      </c>
    </row>
    <row r="44" s="1" customFormat="1" spans="2:12">
      <c r="B44" s="32" t="s">
        <v>1527</v>
      </c>
      <c r="C44" s="32" t="s">
        <v>338</v>
      </c>
      <c r="D44" s="10" t="s">
        <v>1811</v>
      </c>
      <c r="E44" s="25" t="s">
        <v>266</v>
      </c>
      <c r="F44" s="26"/>
      <c r="G44" s="26" t="s">
        <v>1833</v>
      </c>
      <c r="H44" s="27"/>
      <c r="I44" s="15"/>
      <c r="J44" s="15" t="s">
        <v>632</v>
      </c>
      <c r="K44" s="15" t="s">
        <v>294</v>
      </c>
      <c r="L44" s="15" t="s">
        <v>1264</v>
      </c>
    </row>
    <row r="45" s="1" customFormat="1" spans="2:12">
      <c r="B45" s="32" t="s">
        <v>1294</v>
      </c>
      <c r="C45" s="32" t="s">
        <v>338</v>
      </c>
      <c r="D45" s="10" t="s">
        <v>891</v>
      </c>
      <c r="E45" s="25" t="s">
        <v>266</v>
      </c>
      <c r="F45" s="26"/>
      <c r="G45" s="26" t="s">
        <v>1423</v>
      </c>
      <c r="H45" s="27"/>
      <c r="I45" s="15"/>
      <c r="J45" s="15" t="s">
        <v>632</v>
      </c>
      <c r="K45" s="15" t="s">
        <v>294</v>
      </c>
      <c r="L45" s="15" t="s">
        <v>633</v>
      </c>
    </row>
    <row r="46" s="1" customFormat="1" spans="2:12">
      <c r="B46" s="32" t="s">
        <v>1295</v>
      </c>
      <c r="C46" s="32" t="s">
        <v>338</v>
      </c>
      <c r="D46" s="10" t="s">
        <v>894</v>
      </c>
      <c r="E46" s="25" t="s">
        <v>266</v>
      </c>
      <c r="F46" s="26"/>
      <c r="G46" s="26" t="s">
        <v>1424</v>
      </c>
      <c r="H46" s="27"/>
      <c r="I46" s="15"/>
      <c r="J46" s="15" t="s">
        <v>632</v>
      </c>
      <c r="K46" s="15" t="s">
        <v>294</v>
      </c>
      <c r="L46" s="15" t="s">
        <v>633</v>
      </c>
    </row>
    <row r="47" s="1" customFormat="1" spans="2:12">
      <c r="B47" s="32" t="s">
        <v>1296</v>
      </c>
      <c r="C47" s="32" t="s">
        <v>338</v>
      </c>
      <c r="D47" s="10" t="s">
        <v>897</v>
      </c>
      <c r="E47" s="25" t="s">
        <v>266</v>
      </c>
      <c r="F47" s="26"/>
      <c r="G47" s="26" t="s">
        <v>1425</v>
      </c>
      <c r="H47" s="27"/>
      <c r="I47" s="15"/>
      <c r="J47" s="15" t="s">
        <v>632</v>
      </c>
      <c r="K47" s="15" t="s">
        <v>294</v>
      </c>
      <c r="L47" s="15" t="s">
        <v>633</v>
      </c>
    </row>
    <row r="48" s="1" customFormat="1" spans="2:12">
      <c r="B48" s="32" t="s">
        <v>1297</v>
      </c>
      <c r="C48" s="32" t="s">
        <v>338</v>
      </c>
      <c r="D48" s="10" t="s">
        <v>909</v>
      </c>
      <c r="E48" s="25" t="s">
        <v>266</v>
      </c>
      <c r="F48" s="26"/>
      <c r="G48" s="26" t="s">
        <v>1426</v>
      </c>
      <c r="H48" s="27"/>
      <c r="I48" s="15"/>
      <c r="J48" s="15" t="s">
        <v>632</v>
      </c>
      <c r="K48" s="15" t="s">
        <v>294</v>
      </c>
      <c r="L48" s="15" t="s">
        <v>633</v>
      </c>
    </row>
    <row r="49" s="1" customFormat="1" spans="2:12">
      <c r="B49" s="32" t="s">
        <v>1298</v>
      </c>
      <c r="C49" s="32" t="s">
        <v>338</v>
      </c>
      <c r="D49" s="10" t="s">
        <v>912</v>
      </c>
      <c r="E49" s="25" t="s">
        <v>266</v>
      </c>
      <c r="F49" s="26"/>
      <c r="G49" s="26" t="s">
        <v>1427</v>
      </c>
      <c r="H49" s="27"/>
      <c r="I49" s="15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32" t="s">
        <v>1299</v>
      </c>
      <c r="C50" s="32" t="s">
        <v>338</v>
      </c>
      <c r="D50" s="10" t="s">
        <v>915</v>
      </c>
      <c r="E50" s="25" t="s">
        <v>266</v>
      </c>
      <c r="F50" s="26"/>
      <c r="G50" s="26" t="s">
        <v>1428</v>
      </c>
      <c r="H50" s="27"/>
      <c r="I50" s="15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32" t="s">
        <v>730</v>
      </c>
      <c r="C51" s="32" t="s">
        <v>338</v>
      </c>
      <c r="D51" s="10" t="s">
        <v>731</v>
      </c>
      <c r="E51" s="25" t="s">
        <v>266</v>
      </c>
      <c r="F51" s="26"/>
      <c r="G51" s="26" t="s">
        <v>1834</v>
      </c>
      <c r="H51" s="27"/>
      <c r="I51" s="15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32" t="s">
        <v>1091</v>
      </c>
      <c r="C52" s="32" t="s">
        <v>338</v>
      </c>
      <c r="D52" s="10" t="s">
        <v>1092</v>
      </c>
      <c r="E52" s="25" t="s">
        <v>266</v>
      </c>
      <c r="F52" s="26"/>
      <c r="G52" s="26" t="s">
        <v>1835</v>
      </c>
      <c r="H52" s="27"/>
      <c r="I52" s="15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1093</v>
      </c>
      <c r="C53" s="32" t="s">
        <v>338</v>
      </c>
      <c r="D53" s="10" t="s">
        <v>1094</v>
      </c>
      <c r="E53" s="25" t="s">
        <v>266</v>
      </c>
      <c r="F53" s="26"/>
      <c r="G53" s="26" t="s">
        <v>1836</v>
      </c>
      <c r="H53" s="27"/>
      <c r="I53" s="15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1095</v>
      </c>
      <c r="C54" s="32" t="s">
        <v>338</v>
      </c>
      <c r="D54" s="10" t="s">
        <v>1096</v>
      </c>
      <c r="E54" s="25" t="s">
        <v>266</v>
      </c>
      <c r="F54" s="26"/>
      <c r="G54" s="26" t="s">
        <v>1837</v>
      </c>
      <c r="H54" s="27"/>
      <c r="I54" s="15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1097</v>
      </c>
      <c r="C55" s="32" t="s">
        <v>338</v>
      </c>
      <c r="D55" s="10" t="s">
        <v>1098</v>
      </c>
      <c r="E55" s="25" t="s">
        <v>266</v>
      </c>
      <c r="F55" s="26"/>
      <c r="G55" s="26" t="s">
        <v>1838</v>
      </c>
      <c r="H55" s="27"/>
      <c r="I55" s="15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1099</v>
      </c>
      <c r="C56" s="32" t="s">
        <v>338</v>
      </c>
      <c r="D56" s="10" t="s">
        <v>1100</v>
      </c>
      <c r="E56" s="25" t="s">
        <v>266</v>
      </c>
      <c r="F56" s="26"/>
      <c r="G56" s="26" t="s">
        <v>1839</v>
      </c>
      <c r="H56" s="27"/>
      <c r="I56" s="15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751</v>
      </c>
      <c r="C57" s="13" t="s">
        <v>338</v>
      </c>
      <c r="D57" s="10" t="s">
        <v>752</v>
      </c>
      <c r="E57" s="25" t="s">
        <v>266</v>
      </c>
      <c r="F57" s="26"/>
      <c r="G57" s="26" t="s">
        <v>1840</v>
      </c>
      <c r="H57" s="27"/>
      <c r="I57" s="15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1104</v>
      </c>
      <c r="C58" s="13" t="s">
        <v>338</v>
      </c>
      <c r="D58" s="10" t="s">
        <v>1105</v>
      </c>
      <c r="E58" s="25" t="s">
        <v>266</v>
      </c>
      <c r="F58" s="26"/>
      <c r="G58" s="26" t="s">
        <v>1841</v>
      </c>
      <c r="H58" s="27"/>
      <c r="I58" s="15"/>
      <c r="J58" s="15" t="s">
        <v>632</v>
      </c>
      <c r="K58" s="15" t="s">
        <v>294</v>
      </c>
      <c r="L58" s="15" t="s">
        <v>633</v>
      </c>
    </row>
    <row r="59" s="1" customFormat="1" ht="13.8" customHeight="1" spans="1:12">
      <c r="A59" s="33"/>
      <c r="B59" s="13" t="s">
        <v>1106</v>
      </c>
      <c r="C59" s="13" t="s">
        <v>338</v>
      </c>
      <c r="D59" s="10" t="s">
        <v>1107</v>
      </c>
      <c r="E59" s="25" t="s">
        <v>266</v>
      </c>
      <c r="F59" s="26"/>
      <c r="G59" s="26" t="s">
        <v>1842</v>
      </c>
      <c r="H59" s="27"/>
      <c r="I59" s="15"/>
      <c r="J59" s="15" t="s">
        <v>632</v>
      </c>
      <c r="K59" s="15" t="s">
        <v>294</v>
      </c>
      <c r="L59" s="15" t="s">
        <v>633</v>
      </c>
    </row>
    <row r="60" s="1" customFormat="1" ht="13.8" customHeight="1" spans="1:12">
      <c r="A60" s="33"/>
      <c r="B60" s="13" t="s">
        <v>1108</v>
      </c>
      <c r="C60" s="13" t="s">
        <v>338</v>
      </c>
      <c r="D60" s="10" t="s">
        <v>1109</v>
      </c>
      <c r="E60" s="25" t="s">
        <v>266</v>
      </c>
      <c r="F60" s="26"/>
      <c r="G60" s="26" t="s">
        <v>1843</v>
      </c>
      <c r="H60" s="27"/>
      <c r="I60" s="15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1110</v>
      </c>
      <c r="C61" s="13" t="s">
        <v>338</v>
      </c>
      <c r="D61" s="10" t="s">
        <v>1111</v>
      </c>
      <c r="E61" s="25" t="s">
        <v>266</v>
      </c>
      <c r="F61" s="26"/>
      <c r="G61" s="26" t="s">
        <v>1844</v>
      </c>
      <c r="H61" s="27"/>
      <c r="I61" s="15"/>
      <c r="J61" s="15" t="s">
        <v>632</v>
      </c>
      <c r="K61" s="15" t="s">
        <v>294</v>
      </c>
      <c r="L61" s="15" t="s">
        <v>633</v>
      </c>
    </row>
    <row r="62" s="1" customFormat="1" spans="2:12">
      <c r="B62" s="32" t="s">
        <v>1112</v>
      </c>
      <c r="C62" s="34" t="s">
        <v>338</v>
      </c>
      <c r="D62" s="10" t="s">
        <v>1113</v>
      </c>
      <c r="E62" s="25" t="s">
        <v>266</v>
      </c>
      <c r="F62" s="26"/>
      <c r="G62" s="26" t="s">
        <v>1845</v>
      </c>
      <c r="H62" s="27"/>
      <c r="I62" s="15"/>
      <c r="J62" s="15" t="s">
        <v>632</v>
      </c>
      <c r="K62" s="15" t="s">
        <v>294</v>
      </c>
      <c r="L62" s="15" t="s">
        <v>633</v>
      </c>
    </row>
    <row r="63" s="1" customFormat="1" spans="2:12">
      <c r="B63" s="32" t="s">
        <v>772</v>
      </c>
      <c r="C63" s="34" t="s">
        <v>338</v>
      </c>
      <c r="D63" s="10" t="s">
        <v>1813</v>
      </c>
      <c r="E63" s="25" t="s">
        <v>266</v>
      </c>
      <c r="F63" s="26"/>
      <c r="G63" s="26" t="s">
        <v>1846</v>
      </c>
      <c r="H63" s="15"/>
      <c r="I63" s="15"/>
      <c r="J63" s="15" t="s">
        <v>632</v>
      </c>
      <c r="K63" s="15" t="s">
        <v>404</v>
      </c>
      <c r="L63" s="15" t="s">
        <v>633</v>
      </c>
    </row>
    <row r="64" s="33" customFormat="1" spans="2:12">
      <c r="B64" s="32" t="s">
        <v>1279</v>
      </c>
      <c r="C64" s="13" t="s">
        <v>338</v>
      </c>
      <c r="D64" s="10" t="s">
        <v>1814</v>
      </c>
      <c r="E64" s="25" t="s">
        <v>266</v>
      </c>
      <c r="F64" s="26"/>
      <c r="G64" s="26" t="s">
        <v>1847</v>
      </c>
      <c r="H64" s="27"/>
      <c r="I64" s="15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1280</v>
      </c>
      <c r="C65" s="13" t="s">
        <v>338</v>
      </c>
      <c r="D65" s="10" t="s">
        <v>1815</v>
      </c>
      <c r="E65" s="25" t="s">
        <v>266</v>
      </c>
      <c r="F65" s="26"/>
      <c r="G65" s="26" t="s">
        <v>1848</v>
      </c>
      <c r="H65" s="27"/>
      <c r="I65" s="15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1281</v>
      </c>
      <c r="C66" s="13" t="s">
        <v>338</v>
      </c>
      <c r="D66" s="10" t="s">
        <v>1816</v>
      </c>
      <c r="E66" s="25" t="s">
        <v>266</v>
      </c>
      <c r="F66" s="26"/>
      <c r="G66" s="26" t="s">
        <v>1849</v>
      </c>
      <c r="H66" s="27"/>
      <c r="I66" s="15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1282</v>
      </c>
      <c r="C67" s="13" t="s">
        <v>338</v>
      </c>
      <c r="D67" s="10" t="s">
        <v>1817</v>
      </c>
      <c r="E67" s="25" t="s">
        <v>266</v>
      </c>
      <c r="F67" s="26"/>
      <c r="G67" s="26" t="s">
        <v>1850</v>
      </c>
      <c r="H67" s="27"/>
      <c r="I67" s="15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32" t="s">
        <v>1283</v>
      </c>
      <c r="C68" s="32" t="s">
        <v>338</v>
      </c>
      <c r="D68" s="10" t="s">
        <v>1818</v>
      </c>
      <c r="E68" s="25" t="s">
        <v>266</v>
      </c>
      <c r="F68" s="26"/>
      <c r="G68" s="26" t="s">
        <v>1851</v>
      </c>
      <c r="H68" s="27"/>
      <c r="I68" s="15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1286</v>
      </c>
      <c r="C69" s="13" t="s">
        <v>338</v>
      </c>
      <c r="D69" s="10" t="s">
        <v>1819</v>
      </c>
      <c r="E69" s="25" t="s">
        <v>266</v>
      </c>
      <c r="F69" s="26"/>
      <c r="G69" s="26" t="s">
        <v>1852</v>
      </c>
      <c r="H69" s="15"/>
      <c r="I69" s="15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805</v>
      </c>
      <c r="C70" s="13" t="s">
        <v>338</v>
      </c>
      <c r="D70" s="10" t="s">
        <v>806</v>
      </c>
      <c r="E70" s="25" t="s">
        <v>266</v>
      </c>
      <c r="F70" s="26"/>
      <c r="G70" s="26" t="s">
        <v>983</v>
      </c>
      <c r="H70" s="27"/>
      <c r="I70" s="15"/>
      <c r="J70" s="15" t="s">
        <v>632</v>
      </c>
      <c r="K70" s="15" t="s">
        <v>803</v>
      </c>
      <c r="L70" s="15" t="s">
        <v>633</v>
      </c>
    </row>
    <row r="71" s="1" customFormat="1" spans="1:12">
      <c r="A71" s="33"/>
      <c r="B71" s="13" t="s">
        <v>808</v>
      </c>
      <c r="C71" s="13" t="s">
        <v>338</v>
      </c>
      <c r="D71" s="10" t="s">
        <v>809</v>
      </c>
      <c r="E71" s="25" t="s">
        <v>266</v>
      </c>
      <c r="F71" s="26"/>
      <c r="G71" s="26" t="s">
        <v>984</v>
      </c>
      <c r="H71" s="27"/>
      <c r="I71" s="15"/>
      <c r="J71" s="15" t="s">
        <v>632</v>
      </c>
      <c r="K71" s="15" t="s">
        <v>803</v>
      </c>
      <c r="L71" s="15" t="s">
        <v>633</v>
      </c>
    </row>
    <row r="72" s="1" customFormat="1" spans="1:12">
      <c r="A72" s="33"/>
      <c r="B72" s="13" t="s">
        <v>811</v>
      </c>
      <c r="C72" s="13" t="s">
        <v>338</v>
      </c>
      <c r="D72" s="10" t="s">
        <v>812</v>
      </c>
      <c r="E72" s="25" t="s">
        <v>266</v>
      </c>
      <c r="F72" s="26"/>
      <c r="G72" s="26" t="s">
        <v>985</v>
      </c>
      <c r="H72" s="27"/>
      <c r="I72" s="15"/>
      <c r="J72" s="15" t="s">
        <v>632</v>
      </c>
      <c r="K72" s="15" t="s">
        <v>803</v>
      </c>
      <c r="L72" s="15" t="s">
        <v>633</v>
      </c>
    </row>
    <row r="73" s="1" customFormat="1" spans="1:12">
      <c r="A73" s="33"/>
      <c r="B73" s="13" t="s">
        <v>814</v>
      </c>
      <c r="C73" s="13" t="s">
        <v>338</v>
      </c>
      <c r="D73" s="10" t="s">
        <v>815</v>
      </c>
      <c r="E73" s="25" t="s">
        <v>266</v>
      </c>
      <c r="F73" s="26"/>
      <c r="G73" s="26" t="s">
        <v>986</v>
      </c>
      <c r="H73" s="27"/>
      <c r="I73" s="15"/>
      <c r="J73" s="15" t="s">
        <v>632</v>
      </c>
      <c r="K73" s="15" t="s">
        <v>803</v>
      </c>
      <c r="L73" s="15" t="s">
        <v>633</v>
      </c>
    </row>
    <row r="74" s="1" customFormat="1" spans="1:12">
      <c r="A74" s="33"/>
      <c r="B74" s="13" t="s">
        <v>817</v>
      </c>
      <c r="C74" s="13" t="s">
        <v>338</v>
      </c>
      <c r="D74" s="10" t="s">
        <v>818</v>
      </c>
      <c r="E74" s="25" t="s">
        <v>266</v>
      </c>
      <c r="F74" s="26"/>
      <c r="G74" s="26" t="s">
        <v>987</v>
      </c>
      <c r="H74" s="27"/>
      <c r="I74" s="15"/>
      <c r="J74" s="15" t="s">
        <v>632</v>
      </c>
      <c r="K74" s="15" t="s">
        <v>803</v>
      </c>
      <c r="L74" s="15" t="s">
        <v>633</v>
      </c>
    </row>
    <row r="75" s="1" customFormat="1" spans="1:12">
      <c r="A75" s="33"/>
      <c r="B75" s="13" t="s">
        <v>1287</v>
      </c>
      <c r="C75" s="13" t="s">
        <v>338</v>
      </c>
      <c r="D75" s="10" t="s">
        <v>1820</v>
      </c>
      <c r="E75" s="25" t="s">
        <v>266</v>
      </c>
      <c r="F75" s="26"/>
      <c r="G75" s="26" t="s">
        <v>1853</v>
      </c>
      <c r="H75" s="15"/>
      <c r="I75" s="15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824</v>
      </c>
      <c r="C76" s="13" t="s">
        <v>338</v>
      </c>
      <c r="D76" s="10" t="s">
        <v>825</v>
      </c>
      <c r="E76" s="25" t="s">
        <v>266</v>
      </c>
      <c r="F76" s="26"/>
      <c r="G76" s="26" t="s">
        <v>990</v>
      </c>
      <c r="H76" s="27"/>
      <c r="I76" s="15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827</v>
      </c>
      <c r="C77" s="13" t="s">
        <v>338</v>
      </c>
      <c r="D77" s="10" t="s">
        <v>828</v>
      </c>
      <c r="E77" s="25" t="s">
        <v>266</v>
      </c>
      <c r="F77" s="26"/>
      <c r="G77" s="26" t="s">
        <v>991</v>
      </c>
      <c r="H77" s="27"/>
      <c r="I77" s="15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830</v>
      </c>
      <c r="C78" s="13" t="s">
        <v>338</v>
      </c>
      <c r="D78" s="10" t="s">
        <v>831</v>
      </c>
      <c r="E78" s="25" t="s">
        <v>266</v>
      </c>
      <c r="F78" s="26"/>
      <c r="G78" s="26" t="s">
        <v>992</v>
      </c>
      <c r="H78" s="27"/>
      <c r="I78" s="15"/>
      <c r="J78" s="15" t="s">
        <v>632</v>
      </c>
      <c r="K78" s="15" t="s">
        <v>803</v>
      </c>
      <c r="L78" s="15" t="s">
        <v>633</v>
      </c>
    </row>
    <row r="79" s="1" customFormat="1" spans="1:12">
      <c r="A79" s="33"/>
      <c r="B79" s="13" t="s">
        <v>833</v>
      </c>
      <c r="C79" s="13" t="s">
        <v>338</v>
      </c>
      <c r="D79" s="10" t="s">
        <v>834</v>
      </c>
      <c r="E79" s="25" t="s">
        <v>266</v>
      </c>
      <c r="F79" s="26"/>
      <c r="G79" s="26" t="s">
        <v>993</v>
      </c>
      <c r="H79" s="27"/>
      <c r="I79" s="15"/>
      <c r="J79" s="15" t="s">
        <v>632</v>
      </c>
      <c r="K79" s="15" t="s">
        <v>803</v>
      </c>
      <c r="L79" s="15" t="s">
        <v>633</v>
      </c>
    </row>
    <row r="80" s="1" customFormat="1" spans="1:12">
      <c r="A80" s="33"/>
      <c r="B80" s="13" t="s">
        <v>836</v>
      </c>
      <c r="C80" s="13" t="s">
        <v>338</v>
      </c>
      <c r="D80" s="10" t="s">
        <v>837</v>
      </c>
      <c r="E80" s="25" t="s">
        <v>266</v>
      </c>
      <c r="F80" s="26"/>
      <c r="G80" s="26" t="s">
        <v>994</v>
      </c>
      <c r="H80" s="27"/>
      <c r="I80" s="15"/>
      <c r="J80" s="15" t="s">
        <v>632</v>
      </c>
      <c r="K80" s="15" t="s">
        <v>803</v>
      </c>
      <c r="L80" s="15" t="s">
        <v>633</v>
      </c>
    </row>
    <row r="81" s="1" customFormat="1" spans="1:12">
      <c r="A81" s="33"/>
      <c r="B81" s="13" t="s">
        <v>1288</v>
      </c>
      <c r="C81" s="13" t="s">
        <v>338</v>
      </c>
      <c r="D81" s="10" t="s">
        <v>1821</v>
      </c>
      <c r="E81" s="25" t="s">
        <v>266</v>
      </c>
      <c r="F81" s="26"/>
      <c r="G81" s="26" t="s">
        <v>1854</v>
      </c>
      <c r="H81" s="15"/>
      <c r="I81" s="15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844</v>
      </c>
      <c r="C82" s="13" t="s">
        <v>338</v>
      </c>
      <c r="D82" s="10" t="s">
        <v>845</v>
      </c>
      <c r="E82" s="25" t="s">
        <v>266</v>
      </c>
      <c r="F82" s="26"/>
      <c r="G82" s="26" t="s">
        <v>997</v>
      </c>
      <c r="H82" s="27"/>
      <c r="I82" s="15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847</v>
      </c>
      <c r="C83" s="13" t="s">
        <v>338</v>
      </c>
      <c r="D83" s="10" t="s">
        <v>848</v>
      </c>
      <c r="E83" s="25" t="s">
        <v>266</v>
      </c>
      <c r="F83" s="26"/>
      <c r="G83" s="26" t="s">
        <v>998</v>
      </c>
      <c r="H83" s="27"/>
      <c r="I83" s="15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850</v>
      </c>
      <c r="C84" s="13" t="s">
        <v>338</v>
      </c>
      <c r="D84" s="10" t="s">
        <v>851</v>
      </c>
      <c r="E84" s="25" t="s">
        <v>266</v>
      </c>
      <c r="F84" s="26"/>
      <c r="G84" s="26" t="s">
        <v>999</v>
      </c>
      <c r="H84" s="27"/>
      <c r="I84" s="15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853</v>
      </c>
      <c r="C85" s="13" t="s">
        <v>338</v>
      </c>
      <c r="D85" s="10" t="s">
        <v>854</v>
      </c>
      <c r="E85" s="25" t="s">
        <v>266</v>
      </c>
      <c r="F85" s="26"/>
      <c r="G85" s="26" t="s">
        <v>1000</v>
      </c>
      <c r="H85" s="27"/>
      <c r="I85" s="15"/>
      <c r="J85" s="15" t="s">
        <v>632</v>
      </c>
      <c r="K85" s="15" t="s">
        <v>803</v>
      </c>
      <c r="L85" s="15" t="s">
        <v>633</v>
      </c>
    </row>
    <row r="86" s="1" customFormat="1" spans="1:12">
      <c r="A86" s="33"/>
      <c r="B86" s="13" t="s">
        <v>856</v>
      </c>
      <c r="C86" s="13" t="s">
        <v>338</v>
      </c>
      <c r="D86" s="10" t="s">
        <v>857</v>
      </c>
      <c r="E86" s="25" t="s">
        <v>266</v>
      </c>
      <c r="F86" s="26"/>
      <c r="G86" s="26" t="s">
        <v>1001</v>
      </c>
      <c r="H86" s="27"/>
      <c r="I86" s="15"/>
      <c r="J86" s="15" t="s">
        <v>632</v>
      </c>
      <c r="K86" s="15" t="s">
        <v>803</v>
      </c>
      <c r="L86" s="15" t="s">
        <v>633</v>
      </c>
    </row>
    <row r="87" s="2" customFormat="1" spans="2:14">
      <c r="B87" s="17" t="s">
        <v>594</v>
      </c>
      <c r="C87" s="18" t="s">
        <v>307</v>
      </c>
      <c r="D87" s="19" t="s">
        <v>595</v>
      </c>
      <c r="E87" s="28" t="s">
        <v>932</v>
      </c>
      <c r="F87" s="28"/>
      <c r="G87" s="28" t="s">
        <v>932</v>
      </c>
      <c r="H87" s="17"/>
      <c r="I87" s="17" t="s">
        <v>932</v>
      </c>
      <c r="J87" s="17" t="s">
        <v>932</v>
      </c>
      <c r="K87" s="17" t="s">
        <v>932</v>
      </c>
      <c r="L87" s="17" t="s">
        <v>932</v>
      </c>
      <c r="M87" s="17"/>
      <c r="N87" s="17"/>
    </row>
    <row r="88" s="2" customFormat="1" spans="2:14">
      <c r="B88" s="17" t="s">
        <v>596</v>
      </c>
      <c r="C88" s="18" t="s">
        <v>291</v>
      </c>
      <c r="D88" s="19" t="s">
        <v>597</v>
      </c>
      <c r="E88" s="28" t="s">
        <v>932</v>
      </c>
      <c r="F88" s="28"/>
      <c r="G88" s="28" t="s">
        <v>932</v>
      </c>
      <c r="H88" s="17"/>
      <c r="I88" s="17" t="s">
        <v>932</v>
      </c>
      <c r="J88" s="17" t="s">
        <v>932</v>
      </c>
      <c r="K88" s="17" t="s">
        <v>932</v>
      </c>
      <c r="L88" s="17" t="s">
        <v>932</v>
      </c>
      <c r="M88" s="17"/>
      <c r="N88" s="17"/>
    </row>
  </sheetData>
  <autoFilter xmlns:etc="http://www.wps.cn/officeDocument/2017/etCustomData" ref="A12:N88" etc:filterBottomFollowUsedRange="0">
    <extLst/>
  </autoFilter>
  <mergeCells count="4">
    <mergeCell ref="B2:H2"/>
    <mergeCell ref="B3:H3"/>
    <mergeCell ref="B7:H7"/>
    <mergeCell ref="B11:L11"/>
  </mergeCells>
  <pageMargins left="0.7" right="0.7" top="0.75" bottom="0.75" header="0.3" footer="0.3"/>
  <pageSetup paperSize="9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20"/>
  <sheetViews>
    <sheetView zoomScale="85" zoomScaleNormal="85" workbookViewId="0">
      <pane ySplit="5" topLeftCell="A6" activePane="bottomLeft" state="frozen"/>
      <selection/>
      <selection pane="bottomLeft" activeCell="F5" sqref="B5:H9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7" style="3" customWidth="1"/>
    <col min="5" max="5" width="10.1083333333333" style="3" customWidth="1"/>
    <col min="6" max="6" width="17.5583333333333" style="3" customWidth="1"/>
    <col min="7" max="7" width="31.775" style="3" customWidth="1"/>
    <col min="8" max="8" width="8.66666666666667" style="3" customWidth="1"/>
    <col min="9" max="9" width="28.5583333333333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12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33</v>
      </c>
      <c r="C5" s="10" t="s">
        <v>180</v>
      </c>
      <c r="D5" s="14" t="s">
        <v>181</v>
      </c>
      <c r="E5" s="13" t="s">
        <v>257</v>
      </c>
      <c r="F5" s="20"/>
      <c r="G5" s="13"/>
      <c r="H5" s="13"/>
    </row>
    <row r="6" spans="2:8">
      <c r="B6" s="6"/>
      <c r="C6" s="6"/>
      <c r="D6" s="21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179</v>
      </c>
      <c r="D9" s="14" t="s">
        <v>1855</v>
      </c>
      <c r="E9" s="13" t="s">
        <v>266</v>
      </c>
      <c r="F9" s="26"/>
      <c r="G9" s="26"/>
      <c r="H9" s="23" t="s">
        <v>44</v>
      </c>
    </row>
    <row r="10" spans="2:8">
      <c r="B10" s="13"/>
      <c r="C10" s="10" t="s">
        <v>267</v>
      </c>
      <c r="D10" s="10" t="s">
        <v>268</v>
      </c>
      <c r="E10" s="13" t="s">
        <v>269</v>
      </c>
      <c r="F10" s="26"/>
      <c r="G10" s="26" t="s">
        <v>270</v>
      </c>
      <c r="H10" s="23"/>
    </row>
    <row r="12" spans="2:2">
      <c r="B12" s="3" t="s">
        <v>279</v>
      </c>
    </row>
    <row r="13" ht="13.5" spans="2:12">
      <c r="B13" s="7" t="s">
        <v>279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27" spans="2:12">
      <c r="B14" s="8" t="s">
        <v>280</v>
      </c>
      <c r="C14" s="8" t="s">
        <v>281</v>
      </c>
      <c r="D14" s="12" t="s">
        <v>282</v>
      </c>
      <c r="E14" s="8" t="s">
        <v>283</v>
      </c>
      <c r="F14" s="12" t="s">
        <v>284</v>
      </c>
      <c r="G14" s="12" t="s">
        <v>285</v>
      </c>
      <c r="H14" s="8" t="s">
        <v>286</v>
      </c>
      <c r="I14" s="8" t="s">
        <v>17</v>
      </c>
      <c r="J14" s="8" t="s">
        <v>287</v>
      </c>
      <c r="K14" s="8" t="s">
        <v>288</v>
      </c>
      <c r="L14" s="8" t="s">
        <v>289</v>
      </c>
    </row>
    <row r="15" s="1" customFormat="1" spans="2:12">
      <c r="B15" s="32" t="s">
        <v>290</v>
      </c>
      <c r="C15" s="32" t="s">
        <v>291</v>
      </c>
      <c r="D15" s="10" t="s">
        <v>292</v>
      </c>
      <c r="E15" s="25" t="s">
        <v>266</v>
      </c>
      <c r="F15" s="26" t="s">
        <v>290</v>
      </c>
      <c r="G15" s="26" t="s">
        <v>293</v>
      </c>
      <c r="H15" s="27"/>
      <c r="I15" s="15"/>
      <c r="J15" s="15" t="s">
        <v>36</v>
      </c>
      <c r="K15" s="15" t="s">
        <v>294</v>
      </c>
      <c r="L15" s="15" t="s">
        <v>294</v>
      </c>
    </row>
    <row r="16" s="1" customFormat="1" spans="2:12">
      <c r="B16" s="32" t="s">
        <v>295</v>
      </c>
      <c r="C16" s="32" t="s">
        <v>291</v>
      </c>
      <c r="D16" s="10" t="s">
        <v>296</v>
      </c>
      <c r="E16" s="25" t="s">
        <v>266</v>
      </c>
      <c r="F16" s="26" t="s">
        <v>295</v>
      </c>
      <c r="G16" s="26" t="s">
        <v>293</v>
      </c>
      <c r="H16" s="27"/>
      <c r="I16" s="15"/>
      <c r="J16" s="15" t="s">
        <v>36</v>
      </c>
      <c r="K16" s="15" t="s">
        <v>294</v>
      </c>
      <c r="L16" s="15" t="s">
        <v>294</v>
      </c>
    </row>
    <row r="17" s="1" customFormat="1" spans="2:12">
      <c r="B17" s="32" t="s">
        <v>297</v>
      </c>
      <c r="C17" s="32" t="s">
        <v>291</v>
      </c>
      <c r="D17" s="10" t="s">
        <v>298</v>
      </c>
      <c r="E17" s="25" t="s">
        <v>266</v>
      </c>
      <c r="F17" s="26"/>
      <c r="G17" s="26" t="s">
        <v>299</v>
      </c>
      <c r="H17" s="27"/>
      <c r="I17" s="15"/>
      <c r="J17" s="15" t="s">
        <v>36</v>
      </c>
      <c r="K17" s="15" t="s">
        <v>294</v>
      </c>
      <c r="L17" s="15" t="s">
        <v>294</v>
      </c>
    </row>
    <row r="18" s="1" customFormat="1" spans="2:12">
      <c r="B18" s="32" t="s">
        <v>300</v>
      </c>
      <c r="C18" s="32" t="s">
        <v>291</v>
      </c>
      <c r="D18" s="10" t="s">
        <v>301</v>
      </c>
      <c r="E18" s="25" t="s">
        <v>266</v>
      </c>
      <c r="F18" s="26" t="s">
        <v>300</v>
      </c>
      <c r="G18" s="26" t="s">
        <v>293</v>
      </c>
      <c r="H18" s="27"/>
      <c r="I18" s="15"/>
      <c r="J18" s="15" t="s">
        <v>36</v>
      </c>
      <c r="K18" s="15" t="s">
        <v>294</v>
      </c>
      <c r="L18" s="15" t="s">
        <v>294</v>
      </c>
    </row>
    <row r="19" s="1" customFormat="1" spans="2:12">
      <c r="B19" s="32" t="s">
        <v>302</v>
      </c>
      <c r="C19" s="32" t="s">
        <v>291</v>
      </c>
      <c r="D19" s="10" t="s">
        <v>303</v>
      </c>
      <c r="E19" s="25" t="s">
        <v>266</v>
      </c>
      <c r="F19" s="26" t="s">
        <v>302</v>
      </c>
      <c r="G19" s="26" t="s">
        <v>293</v>
      </c>
      <c r="H19" s="27"/>
      <c r="I19" s="15"/>
      <c r="J19" s="15" t="s">
        <v>36</v>
      </c>
      <c r="K19" s="15" t="s">
        <v>294</v>
      </c>
      <c r="L19" s="15" t="s">
        <v>294</v>
      </c>
    </row>
    <row r="20" s="1" customFormat="1" spans="2:12">
      <c r="B20" s="32" t="s">
        <v>304</v>
      </c>
      <c r="C20" s="32" t="s">
        <v>291</v>
      </c>
      <c r="D20" s="10" t="s">
        <v>305</v>
      </c>
      <c r="E20" s="25" t="s">
        <v>266</v>
      </c>
      <c r="F20" s="26" t="s">
        <v>304</v>
      </c>
      <c r="G20" s="26" t="s">
        <v>293</v>
      </c>
      <c r="H20" s="27"/>
      <c r="I20" s="15"/>
      <c r="J20" s="15" t="s">
        <v>36</v>
      </c>
      <c r="K20" s="15" t="s">
        <v>294</v>
      </c>
      <c r="L20" s="15" t="s">
        <v>294</v>
      </c>
    </row>
    <row r="21" s="1" customFormat="1" spans="2:12">
      <c r="B21" s="32" t="s">
        <v>306</v>
      </c>
      <c r="C21" s="32" t="s">
        <v>307</v>
      </c>
      <c r="D21" s="10" t="s">
        <v>308</v>
      </c>
      <c r="E21" s="25" t="s">
        <v>266</v>
      </c>
      <c r="F21" s="26" t="s">
        <v>306</v>
      </c>
      <c r="G21" s="26" t="s">
        <v>293</v>
      </c>
      <c r="H21" s="27"/>
      <c r="I21" s="15"/>
      <c r="J21" s="15" t="s">
        <v>36</v>
      </c>
      <c r="K21" s="15" t="s">
        <v>294</v>
      </c>
      <c r="L21" s="15" t="s">
        <v>294</v>
      </c>
    </row>
    <row r="22" s="1" customFormat="1" spans="2:12">
      <c r="B22" s="32" t="s">
        <v>309</v>
      </c>
      <c r="C22" s="32" t="s">
        <v>291</v>
      </c>
      <c r="D22" s="10" t="s">
        <v>310</v>
      </c>
      <c r="E22" s="25" t="s">
        <v>266</v>
      </c>
      <c r="F22" s="26" t="s">
        <v>309</v>
      </c>
      <c r="G22" s="26" t="s">
        <v>293</v>
      </c>
      <c r="H22" s="27"/>
      <c r="I22" s="15"/>
      <c r="J22" s="15" t="s">
        <v>36</v>
      </c>
      <c r="K22" s="15" t="s">
        <v>294</v>
      </c>
      <c r="L22" s="15" t="s">
        <v>294</v>
      </c>
    </row>
    <row r="23" s="1" customFormat="1" spans="2:12">
      <c r="B23" s="32" t="s">
        <v>311</v>
      </c>
      <c r="C23" s="32" t="s">
        <v>307</v>
      </c>
      <c r="D23" s="10" t="s">
        <v>312</v>
      </c>
      <c r="E23" s="25" t="s">
        <v>266</v>
      </c>
      <c r="F23" s="26" t="s">
        <v>311</v>
      </c>
      <c r="G23" s="26" t="s">
        <v>293</v>
      </c>
      <c r="H23" s="27"/>
      <c r="I23" s="15"/>
      <c r="J23" s="15" t="s">
        <v>36</v>
      </c>
      <c r="K23" s="15" t="s">
        <v>294</v>
      </c>
      <c r="L23" s="15" t="s">
        <v>294</v>
      </c>
    </row>
    <row r="24" s="1" customFormat="1" spans="2:12">
      <c r="B24" s="32" t="s">
        <v>313</v>
      </c>
      <c r="C24" s="32" t="s">
        <v>291</v>
      </c>
      <c r="D24" s="10" t="s">
        <v>314</v>
      </c>
      <c r="E24" s="25" t="s">
        <v>266</v>
      </c>
      <c r="F24" s="26" t="s">
        <v>313</v>
      </c>
      <c r="G24" s="26" t="s">
        <v>293</v>
      </c>
      <c r="H24" s="27"/>
      <c r="I24" s="15"/>
      <c r="J24" s="15" t="s">
        <v>36</v>
      </c>
      <c r="K24" s="15" t="s">
        <v>294</v>
      </c>
      <c r="L24" s="15" t="s">
        <v>294</v>
      </c>
    </row>
    <row r="25" s="1" customFormat="1" spans="2:12">
      <c r="B25" s="32" t="s">
        <v>315</v>
      </c>
      <c r="C25" s="32" t="s">
        <v>291</v>
      </c>
      <c r="D25" s="10" t="s">
        <v>316</v>
      </c>
      <c r="E25" s="25" t="s">
        <v>266</v>
      </c>
      <c r="F25" s="26" t="s">
        <v>315</v>
      </c>
      <c r="G25" s="26" t="s">
        <v>293</v>
      </c>
      <c r="H25" s="27"/>
      <c r="I25" s="65"/>
      <c r="J25" s="15" t="s">
        <v>36</v>
      </c>
      <c r="K25" s="15" t="s">
        <v>294</v>
      </c>
      <c r="L25" s="15" t="s">
        <v>294</v>
      </c>
    </row>
    <row r="26" s="1" customFormat="1" spans="2:12">
      <c r="B26" s="32" t="s">
        <v>317</v>
      </c>
      <c r="C26" s="32" t="s">
        <v>291</v>
      </c>
      <c r="D26" s="10" t="s">
        <v>318</v>
      </c>
      <c r="E26" s="25" t="s">
        <v>266</v>
      </c>
      <c r="F26" s="26" t="s">
        <v>317</v>
      </c>
      <c r="G26" s="26" t="s">
        <v>293</v>
      </c>
      <c r="H26" s="27"/>
      <c r="I26" s="30"/>
      <c r="J26" s="15" t="s">
        <v>36</v>
      </c>
      <c r="K26" s="15" t="s">
        <v>294</v>
      </c>
      <c r="L26" s="15" t="s">
        <v>294</v>
      </c>
    </row>
    <row r="27" s="1" customFormat="1" ht="26" spans="2:12">
      <c r="B27" s="32" t="s">
        <v>319</v>
      </c>
      <c r="C27" s="32" t="s">
        <v>291</v>
      </c>
      <c r="D27" s="10" t="s">
        <v>320</v>
      </c>
      <c r="E27" s="25" t="s">
        <v>266</v>
      </c>
      <c r="F27" s="26" t="s">
        <v>319</v>
      </c>
      <c r="G27" s="26" t="s">
        <v>293</v>
      </c>
      <c r="H27" s="27"/>
      <c r="I27" s="65" t="s">
        <v>321</v>
      </c>
      <c r="J27" s="15" t="s">
        <v>36</v>
      </c>
      <c r="K27" s="15" t="s">
        <v>294</v>
      </c>
      <c r="L27" s="15" t="s">
        <v>294</v>
      </c>
    </row>
    <row r="28" s="1" customFormat="1" spans="2:12">
      <c r="B28" s="32" t="s">
        <v>322</v>
      </c>
      <c r="C28" s="32" t="s">
        <v>291</v>
      </c>
      <c r="D28" s="10" t="s">
        <v>323</v>
      </c>
      <c r="E28" s="25" t="s">
        <v>266</v>
      </c>
      <c r="F28" s="26" t="s">
        <v>322</v>
      </c>
      <c r="G28" s="26" t="s">
        <v>293</v>
      </c>
      <c r="H28" s="27"/>
      <c r="I28" s="15" t="s">
        <v>324</v>
      </c>
      <c r="J28" s="15" t="s">
        <v>36</v>
      </c>
      <c r="K28" s="15" t="s">
        <v>294</v>
      </c>
      <c r="L28" s="15" t="s">
        <v>294</v>
      </c>
    </row>
    <row r="29" s="1" customFormat="1" spans="2:12">
      <c r="B29" s="32" t="s">
        <v>325</v>
      </c>
      <c r="C29" s="32" t="s">
        <v>291</v>
      </c>
      <c r="D29" s="10" t="s">
        <v>326</v>
      </c>
      <c r="E29" s="25" t="s">
        <v>266</v>
      </c>
      <c r="F29" s="26" t="s">
        <v>325</v>
      </c>
      <c r="G29" s="26" t="s">
        <v>293</v>
      </c>
      <c r="H29" s="27"/>
      <c r="I29" s="15"/>
      <c r="J29" s="15" t="s">
        <v>36</v>
      </c>
      <c r="K29" s="15" t="s">
        <v>294</v>
      </c>
      <c r="L29" s="15" t="s">
        <v>294</v>
      </c>
    </row>
    <row r="30" s="1" customFormat="1" spans="2:12">
      <c r="B30" s="32" t="s">
        <v>327</v>
      </c>
      <c r="C30" s="32" t="s">
        <v>307</v>
      </c>
      <c r="D30" s="10" t="s">
        <v>328</v>
      </c>
      <c r="E30" s="25" t="s">
        <v>266</v>
      </c>
      <c r="F30" s="26" t="s">
        <v>327</v>
      </c>
      <c r="G30" s="26" t="s">
        <v>293</v>
      </c>
      <c r="H30" s="27"/>
      <c r="I30" s="15"/>
      <c r="J30" s="15" t="s">
        <v>36</v>
      </c>
      <c r="K30" s="15" t="s">
        <v>294</v>
      </c>
      <c r="L30" s="15" t="s">
        <v>294</v>
      </c>
    </row>
    <row r="31" s="1" customFormat="1" spans="2:12">
      <c r="B31" s="32" t="s">
        <v>329</v>
      </c>
      <c r="C31" s="32" t="s">
        <v>307</v>
      </c>
      <c r="D31" s="10" t="s">
        <v>330</v>
      </c>
      <c r="E31" s="25" t="s">
        <v>266</v>
      </c>
      <c r="F31" s="26" t="s">
        <v>329</v>
      </c>
      <c r="G31" s="26" t="s">
        <v>293</v>
      </c>
      <c r="H31" s="27"/>
      <c r="I31" s="15"/>
      <c r="J31" s="15" t="s">
        <v>36</v>
      </c>
      <c r="K31" s="15" t="s">
        <v>294</v>
      </c>
      <c r="L31" s="15" t="s">
        <v>294</v>
      </c>
    </row>
    <row r="32" s="1" customFormat="1" spans="2:12">
      <c r="B32" s="32" t="s">
        <v>331</v>
      </c>
      <c r="C32" s="32" t="s">
        <v>291</v>
      </c>
      <c r="D32" s="10" t="s">
        <v>332</v>
      </c>
      <c r="E32" s="25" t="s">
        <v>266</v>
      </c>
      <c r="F32" s="35" t="s">
        <v>331</v>
      </c>
      <c r="G32" s="26" t="s">
        <v>293</v>
      </c>
      <c r="H32" s="27"/>
      <c r="I32" s="15"/>
      <c r="J32" s="15" t="s">
        <v>36</v>
      </c>
      <c r="K32" s="15" t="s">
        <v>294</v>
      </c>
      <c r="L32" s="15" t="s">
        <v>294</v>
      </c>
    </row>
    <row r="33" s="1" customFormat="1" spans="2:12">
      <c r="B33" s="32" t="s">
        <v>334</v>
      </c>
      <c r="C33" s="32" t="s">
        <v>291</v>
      </c>
      <c r="D33" s="10" t="s">
        <v>335</v>
      </c>
      <c r="E33" s="25" t="s">
        <v>266</v>
      </c>
      <c r="F33" s="26" t="s">
        <v>334</v>
      </c>
      <c r="G33" s="26" t="s">
        <v>293</v>
      </c>
      <c r="H33" s="27"/>
      <c r="I33" s="15"/>
      <c r="J33" s="15" t="s">
        <v>36</v>
      </c>
      <c r="K33" s="15" t="s">
        <v>294</v>
      </c>
      <c r="L33" s="15" t="s">
        <v>294</v>
      </c>
    </row>
    <row r="34" s="1" customFormat="1" spans="2:12">
      <c r="B34" s="32" t="s">
        <v>336</v>
      </c>
      <c r="C34" s="32" t="s">
        <v>291</v>
      </c>
      <c r="D34" s="10" t="s">
        <v>335</v>
      </c>
      <c r="E34" s="25" t="s">
        <v>266</v>
      </c>
      <c r="F34" s="26" t="s">
        <v>336</v>
      </c>
      <c r="G34" s="26" t="s">
        <v>293</v>
      </c>
      <c r="H34" s="27"/>
      <c r="I34" s="15"/>
      <c r="J34" s="15" t="s">
        <v>36</v>
      </c>
      <c r="K34" s="15" t="s">
        <v>294</v>
      </c>
      <c r="L34" s="15" t="s">
        <v>294</v>
      </c>
    </row>
    <row r="35" s="1" customFormat="1" spans="2:12">
      <c r="B35" s="32" t="s">
        <v>337</v>
      </c>
      <c r="C35" s="32" t="s">
        <v>338</v>
      </c>
      <c r="D35" s="10" t="s">
        <v>339</v>
      </c>
      <c r="E35" s="25" t="s">
        <v>266</v>
      </c>
      <c r="F35" s="26" t="s">
        <v>337</v>
      </c>
      <c r="G35" s="26" t="s">
        <v>293</v>
      </c>
      <c r="H35" s="27"/>
      <c r="I35" s="15"/>
      <c r="J35" s="15" t="s">
        <v>36</v>
      </c>
      <c r="K35" s="15" t="s">
        <v>294</v>
      </c>
      <c r="L35" s="15" t="s">
        <v>294</v>
      </c>
    </row>
    <row r="36" s="1" customFormat="1" spans="2:12">
      <c r="B36" s="32" t="s">
        <v>340</v>
      </c>
      <c r="C36" s="32" t="s">
        <v>338</v>
      </c>
      <c r="D36" s="10" t="s">
        <v>341</v>
      </c>
      <c r="E36" s="25" t="s">
        <v>266</v>
      </c>
      <c r="F36" s="26" t="s">
        <v>340</v>
      </c>
      <c r="G36" s="26" t="s">
        <v>293</v>
      </c>
      <c r="H36" s="27"/>
      <c r="I36" s="15"/>
      <c r="J36" s="15" t="s">
        <v>36</v>
      </c>
      <c r="K36" s="15" t="s">
        <v>294</v>
      </c>
      <c r="L36" s="15" t="s">
        <v>294</v>
      </c>
    </row>
    <row r="37" s="1" customFormat="1" spans="2:12">
      <c r="B37" s="32" t="s">
        <v>342</v>
      </c>
      <c r="C37" s="32" t="s">
        <v>338</v>
      </c>
      <c r="D37" s="10" t="s">
        <v>343</v>
      </c>
      <c r="E37" s="25" t="s">
        <v>266</v>
      </c>
      <c r="F37" s="26" t="s">
        <v>342</v>
      </c>
      <c r="G37" s="26" t="s">
        <v>293</v>
      </c>
      <c r="H37" s="27"/>
      <c r="I37" s="15"/>
      <c r="J37" s="15" t="s">
        <v>36</v>
      </c>
      <c r="K37" s="15" t="s">
        <v>294</v>
      </c>
      <c r="L37" s="15" t="s">
        <v>294</v>
      </c>
    </row>
    <row r="38" s="1" customFormat="1" spans="2:12">
      <c r="B38" s="32" t="s">
        <v>344</v>
      </c>
      <c r="C38" s="32" t="s">
        <v>338</v>
      </c>
      <c r="D38" s="10" t="s">
        <v>345</v>
      </c>
      <c r="E38" s="25" t="s">
        <v>266</v>
      </c>
      <c r="F38" s="26" t="s">
        <v>344</v>
      </c>
      <c r="G38" s="26" t="s">
        <v>293</v>
      </c>
      <c r="H38" s="27"/>
      <c r="I38" s="15"/>
      <c r="J38" s="15" t="s">
        <v>36</v>
      </c>
      <c r="K38" s="15" t="s">
        <v>294</v>
      </c>
      <c r="L38" s="15" t="s">
        <v>294</v>
      </c>
    </row>
    <row r="39" s="1" customFormat="1" spans="2:12">
      <c r="B39" s="32" t="s">
        <v>346</v>
      </c>
      <c r="C39" s="32" t="s">
        <v>338</v>
      </c>
      <c r="D39" s="10" t="s">
        <v>347</v>
      </c>
      <c r="E39" s="25" t="s">
        <v>266</v>
      </c>
      <c r="F39" s="26" t="s">
        <v>346</v>
      </c>
      <c r="G39" s="26" t="s">
        <v>293</v>
      </c>
      <c r="H39" s="27"/>
      <c r="I39" s="15"/>
      <c r="J39" s="15" t="s">
        <v>36</v>
      </c>
      <c r="K39" s="15" t="s">
        <v>294</v>
      </c>
      <c r="L39" s="15" t="s">
        <v>294</v>
      </c>
    </row>
    <row r="40" s="1" customFormat="1" spans="2:12">
      <c r="B40" s="32" t="s">
        <v>348</v>
      </c>
      <c r="C40" s="32" t="s">
        <v>291</v>
      </c>
      <c r="D40" s="10" t="s">
        <v>349</v>
      </c>
      <c r="E40" s="25" t="s">
        <v>266</v>
      </c>
      <c r="F40" s="26" t="s">
        <v>348</v>
      </c>
      <c r="G40" s="26" t="s">
        <v>293</v>
      </c>
      <c r="H40" s="27"/>
      <c r="I40" s="15"/>
      <c r="J40" s="15" t="s">
        <v>36</v>
      </c>
      <c r="K40" s="15" t="s">
        <v>294</v>
      </c>
      <c r="L40" s="15" t="s">
        <v>294</v>
      </c>
    </row>
    <row r="41" s="1" customFormat="1" spans="2:12">
      <c r="B41" s="32" t="s">
        <v>350</v>
      </c>
      <c r="C41" s="32" t="s">
        <v>307</v>
      </c>
      <c r="D41" s="10" t="s">
        <v>351</v>
      </c>
      <c r="E41" s="25" t="s">
        <v>266</v>
      </c>
      <c r="F41" s="26" t="s">
        <v>350</v>
      </c>
      <c r="G41" s="26" t="s">
        <v>293</v>
      </c>
      <c r="H41" s="27"/>
      <c r="I41" s="15"/>
      <c r="J41" s="15" t="s">
        <v>36</v>
      </c>
      <c r="K41" s="15" t="s">
        <v>294</v>
      </c>
      <c r="L41" s="15" t="s">
        <v>294</v>
      </c>
    </row>
    <row r="42" s="1" customFormat="1" spans="2:12">
      <c r="B42" s="32" t="s">
        <v>352</v>
      </c>
      <c r="C42" s="32" t="s">
        <v>291</v>
      </c>
      <c r="D42" s="10" t="s">
        <v>353</v>
      </c>
      <c r="E42" s="25" t="s">
        <v>266</v>
      </c>
      <c r="F42" s="26" t="s">
        <v>352</v>
      </c>
      <c r="G42" s="26" t="s">
        <v>293</v>
      </c>
      <c r="H42" s="27"/>
      <c r="I42" s="15"/>
      <c r="J42" s="15" t="s">
        <v>36</v>
      </c>
      <c r="K42" s="15" t="s">
        <v>294</v>
      </c>
      <c r="L42" s="15" t="s">
        <v>294</v>
      </c>
    </row>
    <row r="43" s="1" customFormat="1" spans="2:12">
      <c r="B43" s="32" t="s">
        <v>354</v>
      </c>
      <c r="C43" s="32" t="s">
        <v>307</v>
      </c>
      <c r="D43" s="10" t="s">
        <v>355</v>
      </c>
      <c r="E43" s="25" t="s">
        <v>266</v>
      </c>
      <c r="F43" s="26" t="s">
        <v>354</v>
      </c>
      <c r="G43" s="26" t="s">
        <v>293</v>
      </c>
      <c r="H43" s="27"/>
      <c r="I43" s="15"/>
      <c r="J43" s="15" t="s">
        <v>36</v>
      </c>
      <c r="K43" s="15" t="s">
        <v>294</v>
      </c>
      <c r="L43" s="15" t="s">
        <v>294</v>
      </c>
    </row>
    <row r="44" s="1" customFormat="1" spans="2:12">
      <c r="B44" s="32" t="s">
        <v>356</v>
      </c>
      <c r="C44" s="32" t="s">
        <v>291</v>
      </c>
      <c r="D44" s="10" t="s">
        <v>357</v>
      </c>
      <c r="E44" s="25" t="s">
        <v>266</v>
      </c>
      <c r="F44" s="26" t="s">
        <v>356</v>
      </c>
      <c r="G44" s="26" t="s">
        <v>293</v>
      </c>
      <c r="H44" s="27"/>
      <c r="I44" s="15"/>
      <c r="J44" s="15" t="s">
        <v>36</v>
      </c>
      <c r="K44" s="15" t="s">
        <v>294</v>
      </c>
      <c r="L44" s="15" t="s">
        <v>294</v>
      </c>
    </row>
    <row r="45" s="1" customFormat="1" spans="2:12">
      <c r="B45" s="32" t="s">
        <v>358</v>
      </c>
      <c r="C45" s="32" t="s">
        <v>307</v>
      </c>
      <c r="D45" s="10" t="s">
        <v>359</v>
      </c>
      <c r="E45" s="25" t="s">
        <v>266</v>
      </c>
      <c r="F45" s="26" t="s">
        <v>358</v>
      </c>
      <c r="G45" s="26" t="s">
        <v>293</v>
      </c>
      <c r="H45" s="27"/>
      <c r="I45" s="15"/>
      <c r="J45" s="15" t="s">
        <v>36</v>
      </c>
      <c r="K45" s="15" t="s">
        <v>294</v>
      </c>
      <c r="L45" s="15" t="s">
        <v>294</v>
      </c>
    </row>
    <row r="46" s="1" customFormat="1" spans="2:12">
      <c r="B46" s="32" t="s">
        <v>360</v>
      </c>
      <c r="C46" s="32" t="s">
        <v>307</v>
      </c>
      <c r="D46" s="10" t="s">
        <v>361</v>
      </c>
      <c r="E46" s="25" t="s">
        <v>266</v>
      </c>
      <c r="F46" s="26" t="s">
        <v>360</v>
      </c>
      <c r="G46" s="26" t="s">
        <v>293</v>
      </c>
      <c r="H46" s="27"/>
      <c r="I46" s="15"/>
      <c r="J46" s="15" t="s">
        <v>36</v>
      </c>
      <c r="K46" s="15" t="s">
        <v>294</v>
      </c>
      <c r="L46" s="15" t="s">
        <v>294</v>
      </c>
    </row>
    <row r="47" s="1" customFormat="1" spans="2:12">
      <c r="B47" s="32" t="s">
        <v>362</v>
      </c>
      <c r="C47" s="32" t="s">
        <v>307</v>
      </c>
      <c r="D47" s="10" t="s">
        <v>363</v>
      </c>
      <c r="E47" s="25" t="s">
        <v>266</v>
      </c>
      <c r="F47" s="26" t="s">
        <v>362</v>
      </c>
      <c r="G47" s="26" t="s">
        <v>293</v>
      </c>
      <c r="H47" s="27"/>
      <c r="I47" s="15"/>
      <c r="J47" s="15" t="s">
        <v>36</v>
      </c>
      <c r="K47" s="15" t="s">
        <v>294</v>
      </c>
      <c r="L47" s="15" t="s">
        <v>294</v>
      </c>
    </row>
    <row r="48" s="1" customFormat="1" spans="2:12">
      <c r="B48" s="32" t="s">
        <v>364</v>
      </c>
      <c r="C48" s="32" t="s">
        <v>307</v>
      </c>
      <c r="D48" s="10" t="s">
        <v>365</v>
      </c>
      <c r="E48" s="25" t="s">
        <v>266</v>
      </c>
      <c r="F48" s="26" t="s">
        <v>364</v>
      </c>
      <c r="G48" s="26" t="s">
        <v>293</v>
      </c>
      <c r="H48" s="27"/>
      <c r="I48" s="15"/>
      <c r="J48" s="15" t="s">
        <v>36</v>
      </c>
      <c r="K48" s="15" t="s">
        <v>294</v>
      </c>
      <c r="L48" s="15" t="s">
        <v>294</v>
      </c>
    </row>
    <row r="49" s="1" customFormat="1" spans="2:12">
      <c r="B49" s="32" t="s">
        <v>366</v>
      </c>
      <c r="C49" s="32" t="s">
        <v>307</v>
      </c>
      <c r="D49" s="10" t="s">
        <v>367</v>
      </c>
      <c r="E49" s="25" t="s">
        <v>266</v>
      </c>
      <c r="F49" s="26" t="s">
        <v>366</v>
      </c>
      <c r="G49" s="26" t="s">
        <v>293</v>
      </c>
      <c r="H49" s="27"/>
      <c r="I49" s="15"/>
      <c r="J49" s="15" t="s">
        <v>36</v>
      </c>
      <c r="K49" s="15" t="s">
        <v>294</v>
      </c>
      <c r="L49" s="15" t="s">
        <v>294</v>
      </c>
    </row>
    <row r="50" s="1" customFormat="1" spans="2:12">
      <c r="B50" s="32" t="s">
        <v>368</v>
      </c>
      <c r="C50" s="32" t="s">
        <v>338</v>
      </c>
      <c r="D50" s="10" t="s">
        <v>369</v>
      </c>
      <c r="E50" s="25" t="s">
        <v>266</v>
      </c>
      <c r="F50" s="26" t="s">
        <v>368</v>
      </c>
      <c r="G50" s="26" t="s">
        <v>293</v>
      </c>
      <c r="H50" s="27"/>
      <c r="I50" s="15"/>
      <c r="J50" s="15" t="s">
        <v>36</v>
      </c>
      <c r="K50" s="15" t="s">
        <v>294</v>
      </c>
      <c r="L50" s="15" t="s">
        <v>294</v>
      </c>
    </row>
    <row r="51" s="1" customFormat="1" spans="2:12">
      <c r="B51" s="32" t="s">
        <v>370</v>
      </c>
      <c r="C51" s="32" t="s">
        <v>338</v>
      </c>
      <c r="D51" s="10" t="s">
        <v>371</v>
      </c>
      <c r="E51" s="25" t="s">
        <v>266</v>
      </c>
      <c r="F51" s="26" t="s">
        <v>370</v>
      </c>
      <c r="G51" s="26" t="s">
        <v>293</v>
      </c>
      <c r="H51" s="27"/>
      <c r="I51" s="15"/>
      <c r="J51" s="15" t="s">
        <v>36</v>
      </c>
      <c r="K51" s="15" t="s">
        <v>294</v>
      </c>
      <c r="L51" s="15" t="s">
        <v>294</v>
      </c>
    </row>
    <row r="52" s="1" customFormat="1" spans="2:12">
      <c r="B52" s="32" t="s">
        <v>372</v>
      </c>
      <c r="C52" s="32" t="s">
        <v>307</v>
      </c>
      <c r="D52" s="10" t="s">
        <v>373</v>
      </c>
      <c r="E52" s="25" t="s">
        <v>266</v>
      </c>
      <c r="F52" s="26" t="s">
        <v>372</v>
      </c>
      <c r="G52" s="26" t="s">
        <v>293</v>
      </c>
      <c r="H52" s="27"/>
      <c r="I52" s="15"/>
      <c r="J52" s="15" t="s">
        <v>36</v>
      </c>
      <c r="K52" s="15" t="s">
        <v>294</v>
      </c>
      <c r="L52" s="15" t="s">
        <v>294</v>
      </c>
    </row>
    <row r="53" s="1" customFormat="1" spans="2:12">
      <c r="B53" s="32" t="s">
        <v>374</v>
      </c>
      <c r="C53" s="32" t="s">
        <v>307</v>
      </c>
      <c r="D53" s="10" t="s">
        <v>375</v>
      </c>
      <c r="E53" s="25" t="s">
        <v>266</v>
      </c>
      <c r="F53" s="26" t="s">
        <v>374</v>
      </c>
      <c r="G53" s="26" t="s">
        <v>293</v>
      </c>
      <c r="H53" s="27"/>
      <c r="I53" s="15"/>
      <c r="J53" s="15" t="s">
        <v>36</v>
      </c>
      <c r="K53" s="15" t="s">
        <v>294</v>
      </c>
      <c r="L53" s="15" t="s">
        <v>294</v>
      </c>
    </row>
    <row r="54" s="1" customFormat="1" spans="2:12">
      <c r="B54" s="32" t="s">
        <v>376</v>
      </c>
      <c r="C54" s="32" t="s">
        <v>307</v>
      </c>
      <c r="D54" s="10" t="s">
        <v>377</v>
      </c>
      <c r="E54" s="25" t="s">
        <v>266</v>
      </c>
      <c r="F54" s="26" t="s">
        <v>376</v>
      </c>
      <c r="G54" s="26" t="s">
        <v>293</v>
      </c>
      <c r="H54" s="27"/>
      <c r="I54" s="15"/>
      <c r="J54" s="15" t="s">
        <v>36</v>
      </c>
      <c r="K54" s="15" t="s">
        <v>294</v>
      </c>
      <c r="L54" s="15" t="s">
        <v>294</v>
      </c>
    </row>
    <row r="55" s="1" customFormat="1" spans="2:12">
      <c r="B55" s="32" t="s">
        <v>378</v>
      </c>
      <c r="C55" s="32" t="s">
        <v>307</v>
      </c>
      <c r="D55" s="10" t="s">
        <v>379</v>
      </c>
      <c r="E55" s="25" t="s">
        <v>266</v>
      </c>
      <c r="F55" s="26" t="s">
        <v>378</v>
      </c>
      <c r="G55" s="26" t="s">
        <v>293</v>
      </c>
      <c r="H55" s="27"/>
      <c r="I55" s="15"/>
      <c r="J55" s="15" t="s">
        <v>36</v>
      </c>
      <c r="K55" s="15" t="s">
        <v>294</v>
      </c>
      <c r="L55" s="15" t="s">
        <v>294</v>
      </c>
    </row>
    <row r="56" s="1" customFormat="1" spans="2:12">
      <c r="B56" s="32" t="s">
        <v>380</v>
      </c>
      <c r="C56" s="32" t="s">
        <v>291</v>
      </c>
      <c r="D56" s="10" t="s">
        <v>381</v>
      </c>
      <c r="E56" s="25" t="s">
        <v>266</v>
      </c>
      <c r="F56" s="26" t="s">
        <v>380</v>
      </c>
      <c r="G56" s="26" t="s">
        <v>293</v>
      </c>
      <c r="H56" s="27"/>
      <c r="I56" s="15"/>
      <c r="J56" s="15" t="s">
        <v>36</v>
      </c>
      <c r="K56" s="15" t="s">
        <v>294</v>
      </c>
      <c r="L56" s="15" t="s">
        <v>294</v>
      </c>
    </row>
    <row r="57" s="1" customFormat="1" spans="2:12">
      <c r="B57" s="32" t="s">
        <v>382</v>
      </c>
      <c r="C57" s="32" t="s">
        <v>307</v>
      </c>
      <c r="D57" s="10" t="s">
        <v>383</v>
      </c>
      <c r="E57" s="25" t="s">
        <v>266</v>
      </c>
      <c r="F57" s="26" t="s">
        <v>382</v>
      </c>
      <c r="G57" s="26" t="s">
        <v>293</v>
      </c>
      <c r="H57" s="27"/>
      <c r="I57" s="15"/>
      <c r="J57" s="15" t="s">
        <v>36</v>
      </c>
      <c r="K57" s="15" t="s">
        <v>294</v>
      </c>
      <c r="L57" s="15" t="s">
        <v>294</v>
      </c>
    </row>
    <row r="58" s="1" customFormat="1" spans="2:12">
      <c r="B58" s="32" t="s">
        <v>384</v>
      </c>
      <c r="C58" s="32" t="s">
        <v>385</v>
      </c>
      <c r="D58" s="10" t="s">
        <v>386</v>
      </c>
      <c r="E58" s="25" t="s">
        <v>266</v>
      </c>
      <c r="F58" s="26" t="s">
        <v>387</v>
      </c>
      <c r="G58" s="26" t="s">
        <v>293</v>
      </c>
      <c r="H58" s="27"/>
      <c r="I58" s="15"/>
      <c r="J58" s="15" t="s">
        <v>36</v>
      </c>
      <c r="K58" s="15" t="s">
        <v>294</v>
      </c>
      <c r="L58" s="15" t="s">
        <v>294</v>
      </c>
    </row>
    <row r="59" s="1" customFormat="1" spans="2:12">
      <c r="B59" s="32" t="s">
        <v>388</v>
      </c>
      <c r="C59" s="32" t="s">
        <v>291</v>
      </c>
      <c r="D59" s="10" t="s">
        <v>389</v>
      </c>
      <c r="E59" s="25" t="s">
        <v>266</v>
      </c>
      <c r="F59" s="26" t="s">
        <v>388</v>
      </c>
      <c r="G59" s="26" t="s">
        <v>293</v>
      </c>
      <c r="H59" s="27"/>
      <c r="I59" s="15"/>
      <c r="J59" s="15" t="s">
        <v>36</v>
      </c>
      <c r="K59" s="15" t="s">
        <v>294</v>
      </c>
      <c r="L59" s="15" t="s">
        <v>294</v>
      </c>
    </row>
    <row r="60" s="1" customFormat="1" spans="2:12">
      <c r="B60" s="32" t="s">
        <v>390</v>
      </c>
      <c r="C60" s="32" t="s">
        <v>307</v>
      </c>
      <c r="D60" s="10" t="s">
        <v>391</v>
      </c>
      <c r="E60" s="25" t="s">
        <v>266</v>
      </c>
      <c r="F60" s="26" t="s">
        <v>390</v>
      </c>
      <c r="G60" s="26" t="s">
        <v>293</v>
      </c>
      <c r="H60" s="27"/>
      <c r="I60" s="15"/>
      <c r="J60" s="15" t="s">
        <v>36</v>
      </c>
      <c r="K60" s="15" t="s">
        <v>294</v>
      </c>
      <c r="L60" s="15" t="s">
        <v>294</v>
      </c>
    </row>
    <row r="61" s="1" customFormat="1" spans="2:12">
      <c r="B61" s="32" t="s">
        <v>392</v>
      </c>
      <c r="C61" s="32" t="s">
        <v>338</v>
      </c>
      <c r="D61" s="10" t="s">
        <v>393</v>
      </c>
      <c r="E61" s="25" t="s">
        <v>266</v>
      </c>
      <c r="F61" s="26" t="s">
        <v>392</v>
      </c>
      <c r="G61" s="26" t="s">
        <v>293</v>
      </c>
      <c r="H61" s="27"/>
      <c r="I61" s="15"/>
      <c r="J61" s="15" t="s">
        <v>36</v>
      </c>
      <c r="K61" s="15" t="s">
        <v>294</v>
      </c>
      <c r="L61" s="15" t="s">
        <v>294</v>
      </c>
    </row>
    <row r="62" s="1" customFormat="1" spans="2:12">
      <c r="B62" s="32" t="s">
        <v>394</v>
      </c>
      <c r="C62" s="32" t="s">
        <v>338</v>
      </c>
      <c r="D62" s="10" t="s">
        <v>395</v>
      </c>
      <c r="E62" s="25" t="s">
        <v>266</v>
      </c>
      <c r="F62" s="26" t="s">
        <v>394</v>
      </c>
      <c r="G62" s="26" t="s">
        <v>293</v>
      </c>
      <c r="H62" s="27"/>
      <c r="I62" s="15"/>
      <c r="J62" s="15" t="s">
        <v>36</v>
      </c>
      <c r="K62" s="15" t="s">
        <v>294</v>
      </c>
      <c r="L62" s="15" t="s">
        <v>294</v>
      </c>
    </row>
    <row r="63" s="1" customFormat="1" spans="2:12">
      <c r="B63" s="32" t="s">
        <v>396</v>
      </c>
      <c r="C63" s="32" t="s">
        <v>338</v>
      </c>
      <c r="D63" s="10" t="s">
        <v>397</v>
      </c>
      <c r="E63" s="25" t="s">
        <v>266</v>
      </c>
      <c r="F63" s="26" t="s">
        <v>396</v>
      </c>
      <c r="G63" s="26" t="s">
        <v>293</v>
      </c>
      <c r="H63" s="27"/>
      <c r="I63" s="15"/>
      <c r="J63" s="15" t="s">
        <v>36</v>
      </c>
      <c r="K63" s="15" t="s">
        <v>294</v>
      </c>
      <c r="L63" s="15" t="s">
        <v>294</v>
      </c>
    </row>
    <row r="64" s="1" customFormat="1" spans="2:12">
      <c r="B64" s="32" t="s">
        <v>398</v>
      </c>
      <c r="C64" s="32" t="s">
        <v>338</v>
      </c>
      <c r="D64" s="10" t="s">
        <v>399</v>
      </c>
      <c r="E64" s="25" t="s">
        <v>266</v>
      </c>
      <c r="F64" s="26" t="s">
        <v>398</v>
      </c>
      <c r="G64" s="26" t="s">
        <v>293</v>
      </c>
      <c r="H64" s="27"/>
      <c r="I64" s="15"/>
      <c r="J64" s="15" t="s">
        <v>36</v>
      </c>
      <c r="K64" s="15" t="s">
        <v>294</v>
      </c>
      <c r="L64" s="15" t="s">
        <v>294</v>
      </c>
    </row>
    <row r="65" s="1" customFormat="1" spans="2:12">
      <c r="B65" s="32" t="s">
        <v>400</v>
      </c>
      <c r="C65" s="32" t="s">
        <v>338</v>
      </c>
      <c r="D65" s="10" t="s">
        <v>401</v>
      </c>
      <c r="E65" s="25" t="s">
        <v>266</v>
      </c>
      <c r="F65" s="26" t="s">
        <v>402</v>
      </c>
      <c r="G65" s="26" t="s">
        <v>403</v>
      </c>
      <c r="H65" s="27"/>
      <c r="I65" s="15"/>
      <c r="J65" s="15" t="s">
        <v>36</v>
      </c>
      <c r="K65" s="15" t="s">
        <v>404</v>
      </c>
      <c r="L65" s="15" t="s">
        <v>405</v>
      </c>
    </row>
    <row r="66" s="1" customFormat="1" spans="2:12">
      <c r="B66" s="32" t="s">
        <v>406</v>
      </c>
      <c r="C66" s="32" t="s">
        <v>338</v>
      </c>
      <c r="D66" s="10" t="s">
        <v>407</v>
      </c>
      <c r="E66" s="25" t="s">
        <v>266</v>
      </c>
      <c r="F66" s="26" t="s">
        <v>408</v>
      </c>
      <c r="G66" s="26" t="s">
        <v>409</v>
      </c>
      <c r="H66" s="27"/>
      <c r="I66" s="15"/>
      <c r="J66" s="15" t="s">
        <v>36</v>
      </c>
      <c r="K66" s="15" t="s">
        <v>404</v>
      </c>
      <c r="L66" s="15" t="s">
        <v>405</v>
      </c>
    </row>
    <row r="67" s="1" customFormat="1" spans="2:12">
      <c r="B67" s="32" t="s">
        <v>410</v>
      </c>
      <c r="C67" s="32" t="s">
        <v>338</v>
      </c>
      <c r="D67" s="10" t="s">
        <v>411</v>
      </c>
      <c r="E67" s="25" t="s">
        <v>266</v>
      </c>
      <c r="F67" s="26" t="s">
        <v>410</v>
      </c>
      <c r="G67" s="26" t="s">
        <v>293</v>
      </c>
      <c r="H67" s="27"/>
      <c r="I67" s="15"/>
      <c r="J67" s="15" t="s">
        <v>36</v>
      </c>
      <c r="K67" s="15" t="s">
        <v>294</v>
      </c>
      <c r="L67" s="15" t="s">
        <v>294</v>
      </c>
    </row>
    <row r="68" s="1" customFormat="1" spans="2:12">
      <c r="B68" s="32" t="s">
        <v>412</v>
      </c>
      <c r="C68" s="32" t="s">
        <v>338</v>
      </c>
      <c r="D68" s="10" t="s">
        <v>411</v>
      </c>
      <c r="E68" s="25" t="s">
        <v>266</v>
      </c>
      <c r="F68" s="26" t="s">
        <v>412</v>
      </c>
      <c r="G68" s="26" t="s">
        <v>293</v>
      </c>
      <c r="H68" s="27"/>
      <c r="I68" s="15"/>
      <c r="J68" s="15" t="s">
        <v>36</v>
      </c>
      <c r="K68" s="15" t="s">
        <v>294</v>
      </c>
      <c r="L68" s="15" t="s">
        <v>294</v>
      </c>
    </row>
    <row r="69" s="1" customFormat="1" spans="2:12">
      <c r="B69" s="32" t="s">
        <v>413</v>
      </c>
      <c r="C69" s="32" t="s">
        <v>338</v>
      </c>
      <c r="D69" s="10" t="s">
        <v>414</v>
      </c>
      <c r="E69" s="25" t="s">
        <v>266</v>
      </c>
      <c r="F69" s="26" t="s">
        <v>415</v>
      </c>
      <c r="G69" s="26" t="s">
        <v>416</v>
      </c>
      <c r="H69" s="27"/>
      <c r="I69" s="15"/>
      <c r="J69" s="15" t="s">
        <v>36</v>
      </c>
      <c r="K69" s="15" t="s">
        <v>404</v>
      </c>
      <c r="L69" s="15" t="s">
        <v>417</v>
      </c>
    </row>
    <row r="70" s="1" customFormat="1" spans="2:12">
      <c r="B70" s="32" t="s">
        <v>418</v>
      </c>
      <c r="C70" s="32" t="s">
        <v>338</v>
      </c>
      <c r="D70" s="10" t="s">
        <v>419</v>
      </c>
      <c r="E70" s="25" t="s">
        <v>266</v>
      </c>
      <c r="F70" s="26" t="s">
        <v>420</v>
      </c>
      <c r="G70" s="26" t="s">
        <v>421</v>
      </c>
      <c r="H70" s="27"/>
      <c r="I70" s="15"/>
      <c r="J70" s="15" t="s">
        <v>36</v>
      </c>
      <c r="K70" s="15" t="s">
        <v>404</v>
      </c>
      <c r="L70" s="15" t="s">
        <v>417</v>
      </c>
    </row>
    <row r="71" s="1" customFormat="1" spans="2:12">
      <c r="B71" s="32" t="s">
        <v>422</v>
      </c>
      <c r="C71" s="32" t="s">
        <v>307</v>
      </c>
      <c r="D71" s="10" t="s">
        <v>423</v>
      </c>
      <c r="E71" s="25" t="s">
        <v>266</v>
      </c>
      <c r="F71" s="26" t="s">
        <v>422</v>
      </c>
      <c r="G71" s="26" t="s">
        <v>293</v>
      </c>
      <c r="H71" s="27"/>
      <c r="I71" s="15"/>
      <c r="J71" s="15" t="s">
        <v>36</v>
      </c>
      <c r="K71" s="15" t="s">
        <v>294</v>
      </c>
      <c r="L71" s="15" t="s">
        <v>294</v>
      </c>
    </row>
    <row r="72" s="1" customFormat="1" spans="2:12">
      <c r="B72" s="32" t="s">
        <v>424</v>
      </c>
      <c r="C72" s="32" t="s">
        <v>307</v>
      </c>
      <c r="D72" s="10" t="s">
        <v>425</v>
      </c>
      <c r="E72" s="25" t="s">
        <v>266</v>
      </c>
      <c r="F72" s="26" t="s">
        <v>424</v>
      </c>
      <c r="G72" s="26" t="s">
        <v>293</v>
      </c>
      <c r="H72" s="27"/>
      <c r="I72" s="15"/>
      <c r="J72" s="15" t="s">
        <v>36</v>
      </c>
      <c r="K72" s="15" t="s">
        <v>294</v>
      </c>
      <c r="L72" s="15" t="s">
        <v>294</v>
      </c>
    </row>
    <row r="73" s="1" customFormat="1" spans="2:12">
      <c r="B73" s="32" t="s">
        <v>426</v>
      </c>
      <c r="C73" s="32" t="s">
        <v>307</v>
      </c>
      <c r="D73" s="10" t="s">
        <v>427</v>
      </c>
      <c r="E73" s="25" t="s">
        <v>266</v>
      </c>
      <c r="F73" s="26" t="s">
        <v>426</v>
      </c>
      <c r="G73" s="26" t="s">
        <v>293</v>
      </c>
      <c r="H73" s="27"/>
      <c r="I73" s="15"/>
      <c r="J73" s="15" t="s">
        <v>36</v>
      </c>
      <c r="K73" s="15" t="s">
        <v>294</v>
      </c>
      <c r="L73" s="15" t="s">
        <v>294</v>
      </c>
    </row>
    <row r="74" s="1" customFormat="1" spans="2:12">
      <c r="B74" s="32" t="s">
        <v>428</v>
      </c>
      <c r="C74" s="32" t="s">
        <v>385</v>
      </c>
      <c r="D74" s="10" t="s">
        <v>429</v>
      </c>
      <c r="E74" s="25" t="s">
        <v>266</v>
      </c>
      <c r="F74" s="26" t="s">
        <v>428</v>
      </c>
      <c r="G74" s="26" t="s">
        <v>293</v>
      </c>
      <c r="H74" s="27"/>
      <c r="I74" s="15"/>
      <c r="J74" s="15" t="s">
        <v>36</v>
      </c>
      <c r="K74" s="15" t="s">
        <v>294</v>
      </c>
      <c r="L74" s="15" t="s">
        <v>294</v>
      </c>
    </row>
    <row r="75" s="1" customFormat="1" spans="2:12">
      <c r="B75" s="32" t="s">
        <v>430</v>
      </c>
      <c r="C75" s="32" t="s">
        <v>385</v>
      </c>
      <c r="D75" s="10" t="s">
        <v>431</v>
      </c>
      <c r="E75" s="25" t="s">
        <v>266</v>
      </c>
      <c r="F75" s="26" t="s">
        <v>430</v>
      </c>
      <c r="G75" s="26" t="s">
        <v>293</v>
      </c>
      <c r="H75" s="27"/>
      <c r="I75" s="15"/>
      <c r="J75" s="15" t="s">
        <v>36</v>
      </c>
      <c r="K75" s="15" t="s">
        <v>294</v>
      </c>
      <c r="L75" s="15" t="s">
        <v>294</v>
      </c>
    </row>
    <row r="76" s="1" customFormat="1" spans="2:12">
      <c r="B76" s="32" t="s">
        <v>432</v>
      </c>
      <c r="C76" s="32" t="s">
        <v>307</v>
      </c>
      <c r="D76" s="10" t="s">
        <v>433</v>
      </c>
      <c r="E76" s="25" t="s">
        <v>266</v>
      </c>
      <c r="F76" s="26" t="s">
        <v>432</v>
      </c>
      <c r="G76" s="26" t="s">
        <v>293</v>
      </c>
      <c r="H76" s="27"/>
      <c r="I76" s="15"/>
      <c r="J76" s="15" t="s">
        <v>36</v>
      </c>
      <c r="K76" s="15" t="s">
        <v>294</v>
      </c>
      <c r="L76" s="15" t="s">
        <v>294</v>
      </c>
    </row>
    <row r="77" s="1" customFormat="1" spans="2:12">
      <c r="B77" s="32" t="s">
        <v>434</v>
      </c>
      <c r="C77" s="32" t="s">
        <v>307</v>
      </c>
      <c r="D77" s="10" t="s">
        <v>435</v>
      </c>
      <c r="E77" s="25" t="s">
        <v>266</v>
      </c>
      <c r="F77" s="26" t="s">
        <v>434</v>
      </c>
      <c r="G77" s="26" t="s">
        <v>293</v>
      </c>
      <c r="H77" s="27"/>
      <c r="I77" s="15"/>
      <c r="J77" s="15" t="s">
        <v>36</v>
      </c>
      <c r="K77" s="15" t="s">
        <v>294</v>
      </c>
      <c r="L77" s="15" t="s">
        <v>294</v>
      </c>
    </row>
    <row r="78" s="1" customFormat="1" spans="2:12">
      <c r="B78" s="32" t="s">
        <v>436</v>
      </c>
      <c r="C78" s="32" t="s">
        <v>307</v>
      </c>
      <c r="D78" s="10" t="s">
        <v>437</v>
      </c>
      <c r="E78" s="25" t="s">
        <v>266</v>
      </c>
      <c r="F78" s="26" t="s">
        <v>436</v>
      </c>
      <c r="G78" s="26" t="s">
        <v>293</v>
      </c>
      <c r="H78" s="27"/>
      <c r="I78" s="15"/>
      <c r="J78" s="15" t="s">
        <v>36</v>
      </c>
      <c r="K78" s="15" t="s">
        <v>294</v>
      </c>
      <c r="L78" s="15" t="s">
        <v>294</v>
      </c>
    </row>
    <row r="79" s="1" customFormat="1" spans="2:12">
      <c r="B79" s="32" t="s">
        <v>438</v>
      </c>
      <c r="C79" s="32" t="s">
        <v>307</v>
      </c>
      <c r="D79" s="10" t="s">
        <v>439</v>
      </c>
      <c r="E79" s="25" t="s">
        <v>266</v>
      </c>
      <c r="F79" s="26" t="s">
        <v>438</v>
      </c>
      <c r="G79" s="26" t="s">
        <v>293</v>
      </c>
      <c r="H79" s="27"/>
      <c r="I79" s="15"/>
      <c r="J79" s="15" t="s">
        <v>36</v>
      </c>
      <c r="K79" s="15" t="s">
        <v>294</v>
      </c>
      <c r="L79" s="15" t="s">
        <v>294</v>
      </c>
    </row>
    <row r="80" s="1" customFormat="1" spans="2:12">
      <c r="B80" s="32" t="s">
        <v>440</v>
      </c>
      <c r="C80" s="32" t="s">
        <v>307</v>
      </c>
      <c r="D80" s="10" t="s">
        <v>441</v>
      </c>
      <c r="E80" s="25" t="s">
        <v>266</v>
      </c>
      <c r="F80" s="26" t="s">
        <v>440</v>
      </c>
      <c r="G80" s="26" t="s">
        <v>293</v>
      </c>
      <c r="H80" s="27"/>
      <c r="I80" s="15"/>
      <c r="J80" s="15" t="s">
        <v>36</v>
      </c>
      <c r="K80" s="15" t="s">
        <v>294</v>
      </c>
      <c r="L80" s="15" t="s">
        <v>294</v>
      </c>
    </row>
    <row r="81" s="1" customFormat="1" spans="2:12">
      <c r="B81" s="32" t="s">
        <v>1856</v>
      </c>
      <c r="C81" s="32" t="s">
        <v>307</v>
      </c>
      <c r="D81" s="10" t="s">
        <v>1857</v>
      </c>
      <c r="E81" s="25" t="s">
        <v>266</v>
      </c>
      <c r="F81" s="26" t="s">
        <v>1856</v>
      </c>
      <c r="G81" s="26" t="s">
        <v>293</v>
      </c>
      <c r="H81" s="27"/>
      <c r="I81" s="15"/>
      <c r="J81" s="15" t="s">
        <v>36</v>
      </c>
      <c r="K81" s="15" t="s">
        <v>294</v>
      </c>
      <c r="L81" s="15" t="s">
        <v>294</v>
      </c>
    </row>
    <row r="82" s="1" customFormat="1" spans="2:12">
      <c r="B82" s="32" t="s">
        <v>1858</v>
      </c>
      <c r="C82" s="32" t="s">
        <v>338</v>
      </c>
      <c r="D82" s="10" t="s">
        <v>1859</v>
      </c>
      <c r="E82" s="25" t="s">
        <v>266</v>
      </c>
      <c r="F82" s="26" t="s">
        <v>1858</v>
      </c>
      <c r="G82" s="26" t="s">
        <v>293</v>
      </c>
      <c r="H82" s="27"/>
      <c r="I82" s="15"/>
      <c r="J82" s="15" t="s">
        <v>36</v>
      </c>
      <c r="K82" s="15" t="s">
        <v>294</v>
      </c>
      <c r="L82" s="15" t="s">
        <v>294</v>
      </c>
    </row>
    <row r="83" s="1" customFormat="1" spans="2:12">
      <c r="B83" s="32" t="s">
        <v>1860</v>
      </c>
      <c r="C83" s="32" t="s">
        <v>338</v>
      </c>
      <c r="D83" s="10" t="s">
        <v>1861</v>
      </c>
      <c r="E83" s="25" t="s">
        <v>266</v>
      </c>
      <c r="F83" s="26" t="s">
        <v>1860</v>
      </c>
      <c r="G83" s="26" t="s">
        <v>293</v>
      </c>
      <c r="H83" s="27"/>
      <c r="I83" s="15"/>
      <c r="J83" s="15" t="s">
        <v>36</v>
      </c>
      <c r="K83" s="15" t="s">
        <v>294</v>
      </c>
      <c r="L83" s="15" t="s">
        <v>294</v>
      </c>
    </row>
    <row r="84" s="1" customFormat="1" spans="2:12">
      <c r="B84" s="32" t="s">
        <v>1862</v>
      </c>
      <c r="C84" s="32" t="s">
        <v>338</v>
      </c>
      <c r="D84" s="10" t="s">
        <v>1863</v>
      </c>
      <c r="E84" s="25" t="s">
        <v>266</v>
      </c>
      <c r="F84" s="26" t="s">
        <v>1862</v>
      </c>
      <c r="G84" s="26" t="s">
        <v>293</v>
      </c>
      <c r="H84" s="27"/>
      <c r="I84" s="15"/>
      <c r="J84" s="15" t="s">
        <v>36</v>
      </c>
      <c r="K84" s="15" t="s">
        <v>294</v>
      </c>
      <c r="L84" s="15" t="s">
        <v>294</v>
      </c>
    </row>
    <row r="85" s="1" customFormat="1" spans="2:12">
      <c r="B85" s="32" t="s">
        <v>1864</v>
      </c>
      <c r="C85" s="32" t="s">
        <v>338</v>
      </c>
      <c r="D85" s="10" t="s">
        <v>1865</v>
      </c>
      <c r="E85" s="25" t="s">
        <v>266</v>
      </c>
      <c r="F85" s="26" t="s">
        <v>1864</v>
      </c>
      <c r="G85" s="26" t="s">
        <v>293</v>
      </c>
      <c r="H85" s="27"/>
      <c r="I85" s="15"/>
      <c r="J85" s="15" t="s">
        <v>36</v>
      </c>
      <c r="K85" s="15" t="s">
        <v>294</v>
      </c>
      <c r="L85" s="15" t="s">
        <v>294</v>
      </c>
    </row>
    <row r="86" s="1" customFormat="1" spans="2:12">
      <c r="B86" s="32" t="s">
        <v>1866</v>
      </c>
      <c r="C86" s="32" t="s">
        <v>338</v>
      </c>
      <c r="D86" s="10" t="s">
        <v>1867</v>
      </c>
      <c r="E86" s="25" t="s">
        <v>266</v>
      </c>
      <c r="F86" s="26" t="s">
        <v>1866</v>
      </c>
      <c r="G86" s="26" t="s">
        <v>293</v>
      </c>
      <c r="H86" s="27"/>
      <c r="I86" s="15"/>
      <c r="J86" s="15" t="s">
        <v>36</v>
      </c>
      <c r="K86" s="15" t="s">
        <v>294</v>
      </c>
      <c r="L86" s="15" t="s">
        <v>294</v>
      </c>
    </row>
    <row r="87" s="1" customFormat="1" spans="2:12">
      <c r="B87" s="32" t="s">
        <v>1868</v>
      </c>
      <c r="C87" s="32" t="s">
        <v>291</v>
      </c>
      <c r="D87" s="10" t="s">
        <v>1869</v>
      </c>
      <c r="E87" s="25" t="s">
        <v>266</v>
      </c>
      <c r="F87" s="26" t="s">
        <v>1868</v>
      </c>
      <c r="G87" s="26" t="s">
        <v>293</v>
      </c>
      <c r="H87" s="27"/>
      <c r="I87" s="15"/>
      <c r="J87" s="15" t="s">
        <v>36</v>
      </c>
      <c r="K87" s="15" t="s">
        <v>294</v>
      </c>
      <c r="L87" s="15" t="s">
        <v>294</v>
      </c>
    </row>
    <row r="88" s="1" customFormat="1" spans="2:12">
      <c r="B88" s="32" t="s">
        <v>1870</v>
      </c>
      <c r="C88" s="32" t="s">
        <v>338</v>
      </c>
      <c r="D88" s="10" t="s">
        <v>1871</v>
      </c>
      <c r="E88" s="25" t="s">
        <v>266</v>
      </c>
      <c r="F88" s="26" t="s">
        <v>1870</v>
      </c>
      <c r="G88" s="26" t="s">
        <v>293</v>
      </c>
      <c r="H88" s="27"/>
      <c r="I88" s="15"/>
      <c r="J88" s="15" t="s">
        <v>36</v>
      </c>
      <c r="K88" s="15" t="s">
        <v>294</v>
      </c>
      <c r="L88" s="15" t="s">
        <v>294</v>
      </c>
    </row>
    <row r="89" s="1" customFormat="1" spans="2:12">
      <c r="B89" s="32" t="s">
        <v>1872</v>
      </c>
      <c r="C89" s="32" t="s">
        <v>338</v>
      </c>
      <c r="D89" s="10" t="s">
        <v>1873</v>
      </c>
      <c r="E89" s="25" t="s">
        <v>266</v>
      </c>
      <c r="F89" s="26" t="s">
        <v>1872</v>
      </c>
      <c r="G89" s="26" t="s">
        <v>293</v>
      </c>
      <c r="H89" s="27"/>
      <c r="I89" s="15"/>
      <c r="J89" s="15" t="s">
        <v>36</v>
      </c>
      <c r="K89" s="15" t="s">
        <v>294</v>
      </c>
      <c r="L89" s="15" t="s">
        <v>294</v>
      </c>
    </row>
    <row r="90" s="1" customFormat="1" spans="2:12">
      <c r="B90" s="32" t="s">
        <v>1874</v>
      </c>
      <c r="C90" s="32" t="s">
        <v>307</v>
      </c>
      <c r="D90" s="10" t="s">
        <v>1875</v>
      </c>
      <c r="E90" s="25" t="s">
        <v>266</v>
      </c>
      <c r="F90" s="26" t="s">
        <v>1874</v>
      </c>
      <c r="G90" s="26" t="s">
        <v>293</v>
      </c>
      <c r="H90" s="27"/>
      <c r="I90" s="15"/>
      <c r="J90" s="15" t="s">
        <v>36</v>
      </c>
      <c r="K90" s="15" t="s">
        <v>294</v>
      </c>
      <c r="L90" s="15" t="s">
        <v>294</v>
      </c>
    </row>
    <row r="91" s="1" customFormat="1" spans="2:12">
      <c r="B91" s="32" t="s">
        <v>1876</v>
      </c>
      <c r="C91" s="32" t="s">
        <v>338</v>
      </c>
      <c r="D91" s="10" t="s">
        <v>1877</v>
      </c>
      <c r="E91" s="25" t="s">
        <v>266</v>
      </c>
      <c r="F91" s="26" t="s">
        <v>1876</v>
      </c>
      <c r="G91" s="26" t="s">
        <v>293</v>
      </c>
      <c r="H91" s="27"/>
      <c r="I91" s="15"/>
      <c r="J91" s="15" t="s">
        <v>36</v>
      </c>
      <c r="K91" s="15" t="s">
        <v>294</v>
      </c>
      <c r="L91" s="15" t="s">
        <v>294</v>
      </c>
    </row>
    <row r="92" s="1" customFormat="1" spans="2:12">
      <c r="B92" s="32" t="s">
        <v>1878</v>
      </c>
      <c r="C92" s="32" t="s">
        <v>338</v>
      </c>
      <c r="D92" s="10" t="s">
        <v>1879</v>
      </c>
      <c r="E92" s="25" t="s">
        <v>266</v>
      </c>
      <c r="F92" s="26" t="s">
        <v>1878</v>
      </c>
      <c r="G92" s="26" t="s">
        <v>293</v>
      </c>
      <c r="H92" s="27"/>
      <c r="I92" s="15"/>
      <c r="J92" s="15" t="s">
        <v>36</v>
      </c>
      <c r="K92" s="15" t="s">
        <v>294</v>
      </c>
      <c r="L92" s="15" t="s">
        <v>294</v>
      </c>
    </row>
    <row r="93" s="1" customFormat="1" spans="2:12">
      <c r="B93" s="32" t="s">
        <v>444</v>
      </c>
      <c r="C93" s="32" t="s">
        <v>291</v>
      </c>
      <c r="D93" s="10" t="s">
        <v>445</v>
      </c>
      <c r="E93" s="25" t="s">
        <v>266</v>
      </c>
      <c r="F93" s="26" t="s">
        <v>444</v>
      </c>
      <c r="G93" s="26" t="s">
        <v>293</v>
      </c>
      <c r="H93" s="27"/>
      <c r="I93" s="15"/>
      <c r="J93" s="15" t="s">
        <v>36</v>
      </c>
      <c r="K93" s="15" t="s">
        <v>294</v>
      </c>
      <c r="L93" s="15" t="s">
        <v>294</v>
      </c>
    </row>
    <row r="94" s="1" customFormat="1" spans="2:12">
      <c r="B94" s="32" t="s">
        <v>448</v>
      </c>
      <c r="C94" s="32" t="s">
        <v>291</v>
      </c>
      <c r="D94" s="10" t="s">
        <v>449</v>
      </c>
      <c r="E94" s="25" t="s">
        <v>266</v>
      </c>
      <c r="F94" s="26" t="s">
        <v>448</v>
      </c>
      <c r="G94" s="26" t="s">
        <v>293</v>
      </c>
      <c r="H94" s="27"/>
      <c r="I94" s="15"/>
      <c r="J94" s="15" t="s">
        <v>36</v>
      </c>
      <c r="K94" s="15" t="s">
        <v>294</v>
      </c>
      <c r="L94" s="15" t="s">
        <v>294</v>
      </c>
    </row>
    <row r="95" s="1" customFormat="1" spans="2:12">
      <c r="B95" s="32" t="s">
        <v>1880</v>
      </c>
      <c r="C95" s="32" t="s">
        <v>338</v>
      </c>
      <c r="D95" s="10" t="s">
        <v>1881</v>
      </c>
      <c r="E95" s="25" t="s">
        <v>266</v>
      </c>
      <c r="F95" s="26" t="s">
        <v>1880</v>
      </c>
      <c r="G95" s="26" t="s">
        <v>293</v>
      </c>
      <c r="H95" s="27"/>
      <c r="I95" s="15"/>
      <c r="J95" s="15" t="s">
        <v>36</v>
      </c>
      <c r="K95" s="15" t="s">
        <v>294</v>
      </c>
      <c r="L95" s="15" t="s">
        <v>294</v>
      </c>
    </row>
    <row r="96" s="1" customFormat="1" spans="2:12">
      <c r="B96" s="32" t="s">
        <v>1882</v>
      </c>
      <c r="C96" s="32" t="s">
        <v>338</v>
      </c>
      <c r="D96" s="10" t="s">
        <v>1883</v>
      </c>
      <c r="E96" s="25" t="s">
        <v>266</v>
      </c>
      <c r="F96" s="26" t="s">
        <v>1882</v>
      </c>
      <c r="G96" s="26" t="s">
        <v>293</v>
      </c>
      <c r="H96" s="27"/>
      <c r="I96" s="15"/>
      <c r="J96" s="15" t="s">
        <v>36</v>
      </c>
      <c r="K96" s="15" t="s">
        <v>294</v>
      </c>
      <c r="L96" s="15" t="s">
        <v>294</v>
      </c>
    </row>
    <row r="97" s="1" customFormat="1" ht="39" spans="2:12">
      <c r="B97" s="32" t="s">
        <v>514</v>
      </c>
      <c r="C97" s="32" t="s">
        <v>338</v>
      </c>
      <c r="D97" s="10" t="s">
        <v>515</v>
      </c>
      <c r="E97" s="25" t="s">
        <v>266</v>
      </c>
      <c r="F97" s="26"/>
      <c r="G97" s="24" t="s">
        <v>516</v>
      </c>
      <c r="H97" s="27"/>
      <c r="I97" s="15"/>
      <c r="J97" s="15" t="s">
        <v>36</v>
      </c>
      <c r="K97" s="15" t="s">
        <v>294</v>
      </c>
      <c r="L97" s="15" t="s">
        <v>294</v>
      </c>
    </row>
    <row r="98" s="1" customFormat="1" spans="2:12">
      <c r="B98" s="32" t="s">
        <v>517</v>
      </c>
      <c r="C98" s="32" t="s">
        <v>307</v>
      </c>
      <c r="D98" s="10" t="s">
        <v>518</v>
      </c>
      <c r="E98" s="25" t="s">
        <v>269</v>
      </c>
      <c r="F98" s="10" t="s">
        <v>517</v>
      </c>
      <c r="G98" s="26" t="s">
        <v>519</v>
      </c>
      <c r="H98" s="27"/>
      <c r="I98" s="15"/>
      <c r="J98" s="15" t="s">
        <v>36</v>
      </c>
      <c r="K98" s="15" t="s">
        <v>294</v>
      </c>
      <c r="L98" s="15" t="s">
        <v>294</v>
      </c>
    </row>
    <row r="99" s="1" customFormat="1" spans="2:12">
      <c r="B99" s="32" t="s">
        <v>520</v>
      </c>
      <c r="C99" s="32" t="s">
        <v>307</v>
      </c>
      <c r="D99" s="10" t="s">
        <v>521</v>
      </c>
      <c r="E99" s="25" t="s">
        <v>269</v>
      </c>
      <c r="F99" s="10" t="s">
        <v>520</v>
      </c>
      <c r="G99" s="26" t="s">
        <v>519</v>
      </c>
      <c r="H99" s="27"/>
      <c r="I99" s="15"/>
      <c r="J99" s="15" t="s">
        <v>36</v>
      </c>
      <c r="K99" s="15" t="s">
        <v>294</v>
      </c>
      <c r="L99" s="15" t="s">
        <v>294</v>
      </c>
    </row>
    <row r="100" s="1" customFormat="1" spans="2:12">
      <c r="B100" s="32" t="s">
        <v>522</v>
      </c>
      <c r="C100" s="32" t="s">
        <v>291</v>
      </c>
      <c r="D100" s="10" t="s">
        <v>523</v>
      </c>
      <c r="E100" s="25" t="s">
        <v>269</v>
      </c>
      <c r="F100" s="35" t="s">
        <v>522</v>
      </c>
      <c r="G100" s="26" t="s">
        <v>519</v>
      </c>
      <c r="H100" s="27"/>
      <c r="I100" s="15"/>
      <c r="J100" s="15" t="s">
        <v>36</v>
      </c>
      <c r="K100" s="15" t="s">
        <v>294</v>
      </c>
      <c r="L100" s="15" t="s">
        <v>294</v>
      </c>
    </row>
    <row r="101" s="1" customFormat="1" spans="2:12">
      <c r="B101" s="32" t="s">
        <v>524</v>
      </c>
      <c r="C101" s="32" t="s">
        <v>291</v>
      </c>
      <c r="D101" s="10" t="s">
        <v>525</v>
      </c>
      <c r="E101" s="25" t="s">
        <v>269</v>
      </c>
      <c r="F101" s="35" t="s">
        <v>524</v>
      </c>
      <c r="G101" s="26" t="s">
        <v>519</v>
      </c>
      <c r="H101" s="27"/>
      <c r="I101" s="15"/>
      <c r="J101" s="15" t="s">
        <v>36</v>
      </c>
      <c r="K101" s="15" t="s">
        <v>294</v>
      </c>
      <c r="L101" s="15" t="s">
        <v>294</v>
      </c>
    </row>
    <row r="102" s="1" customFormat="1" spans="2:12">
      <c r="B102" s="32" t="s">
        <v>526</v>
      </c>
      <c r="C102" s="32" t="s">
        <v>291</v>
      </c>
      <c r="D102" s="10" t="s">
        <v>527</v>
      </c>
      <c r="E102" s="25" t="s">
        <v>269</v>
      </c>
      <c r="F102" s="35" t="s">
        <v>526</v>
      </c>
      <c r="G102" s="26" t="s">
        <v>519</v>
      </c>
      <c r="H102" s="27"/>
      <c r="I102" s="15"/>
      <c r="J102" s="15" t="s">
        <v>36</v>
      </c>
      <c r="K102" s="15" t="s">
        <v>294</v>
      </c>
      <c r="L102" s="15" t="s">
        <v>294</v>
      </c>
    </row>
    <row r="103" s="1" customFormat="1" spans="2:12">
      <c r="B103" s="13" t="s">
        <v>567</v>
      </c>
      <c r="C103" s="13" t="s">
        <v>291</v>
      </c>
      <c r="D103" s="10" t="s">
        <v>568</v>
      </c>
      <c r="E103" s="66" t="s">
        <v>266</v>
      </c>
      <c r="F103" s="24"/>
      <c r="G103" s="26" t="s">
        <v>1884</v>
      </c>
      <c r="H103" s="62"/>
      <c r="I103" s="26"/>
      <c r="J103" s="15" t="s">
        <v>36</v>
      </c>
      <c r="K103" s="15" t="s">
        <v>294</v>
      </c>
      <c r="L103" s="15" t="s">
        <v>294</v>
      </c>
    </row>
    <row r="104" s="1" customFormat="1" spans="2:12">
      <c r="B104" s="32" t="s">
        <v>547</v>
      </c>
      <c r="C104" s="34" t="s">
        <v>338</v>
      </c>
      <c r="D104" s="10" t="s">
        <v>548</v>
      </c>
      <c r="E104" s="25" t="s">
        <v>266</v>
      </c>
      <c r="F104" s="32"/>
      <c r="G104" s="26" t="s">
        <v>549</v>
      </c>
      <c r="H104" s="27"/>
      <c r="I104" s="64" t="s">
        <v>1885</v>
      </c>
      <c r="J104" s="15" t="s">
        <v>36</v>
      </c>
      <c r="K104" s="15" t="s">
        <v>404</v>
      </c>
      <c r="L104" s="15" t="s">
        <v>405</v>
      </c>
    </row>
    <row r="105" s="1" customFormat="1" spans="2:12">
      <c r="B105" s="32" t="s">
        <v>1886</v>
      </c>
      <c r="C105" s="32" t="s">
        <v>338</v>
      </c>
      <c r="D105" s="10" t="s">
        <v>1887</v>
      </c>
      <c r="E105" s="25" t="s">
        <v>266</v>
      </c>
      <c r="F105" s="26"/>
      <c r="G105" s="26" t="s">
        <v>1888</v>
      </c>
      <c r="H105" s="27"/>
      <c r="I105" s="15"/>
      <c r="J105" s="15" t="s">
        <v>36</v>
      </c>
      <c r="K105" s="15" t="s">
        <v>294</v>
      </c>
      <c r="L105" s="15" t="s">
        <v>294</v>
      </c>
    </row>
    <row r="106" s="1" customFormat="1" spans="2:12">
      <c r="B106" s="32" t="s">
        <v>1889</v>
      </c>
      <c r="C106" s="32" t="s">
        <v>338</v>
      </c>
      <c r="D106" s="10" t="s">
        <v>1890</v>
      </c>
      <c r="E106" s="25" t="s">
        <v>266</v>
      </c>
      <c r="F106" s="26"/>
      <c r="G106" s="26" t="s">
        <v>1891</v>
      </c>
      <c r="H106" s="27"/>
      <c r="I106" s="15"/>
      <c r="J106" s="15" t="s">
        <v>36</v>
      </c>
      <c r="K106" s="15" t="s">
        <v>294</v>
      </c>
      <c r="L106" s="15" t="s">
        <v>294</v>
      </c>
    </row>
    <row r="107" s="1" customFormat="1" spans="2:12">
      <c r="B107" s="32" t="s">
        <v>1892</v>
      </c>
      <c r="C107" s="32" t="s">
        <v>338</v>
      </c>
      <c r="D107" s="10" t="s">
        <v>1893</v>
      </c>
      <c r="E107" s="25" t="s">
        <v>266</v>
      </c>
      <c r="F107" s="26"/>
      <c r="G107" s="26" t="s">
        <v>1894</v>
      </c>
      <c r="H107" s="27"/>
      <c r="I107" s="15"/>
      <c r="J107" s="15" t="s">
        <v>36</v>
      </c>
      <c r="K107" s="15" t="s">
        <v>294</v>
      </c>
      <c r="L107" s="15" t="s">
        <v>294</v>
      </c>
    </row>
    <row r="108" s="1" customFormat="1" spans="2:12">
      <c r="B108" s="32" t="s">
        <v>1895</v>
      </c>
      <c r="C108" s="32" t="s">
        <v>666</v>
      </c>
      <c r="D108" s="10" t="s">
        <v>1896</v>
      </c>
      <c r="E108" s="25" t="s">
        <v>266</v>
      </c>
      <c r="F108" s="32"/>
      <c r="G108" s="26" t="s">
        <v>1897</v>
      </c>
      <c r="H108" s="27"/>
      <c r="I108" s="64"/>
      <c r="J108" s="15" t="s">
        <v>36</v>
      </c>
      <c r="K108" s="15" t="s">
        <v>1898</v>
      </c>
      <c r="L108" s="15" t="s">
        <v>633</v>
      </c>
    </row>
    <row r="109" s="1" customFormat="1" spans="2:12">
      <c r="B109" s="32" t="s">
        <v>1899</v>
      </c>
      <c r="C109" s="32" t="s">
        <v>666</v>
      </c>
      <c r="D109" s="10" t="s">
        <v>1900</v>
      </c>
      <c r="E109" s="25" t="s">
        <v>266</v>
      </c>
      <c r="F109" s="32"/>
      <c r="G109" s="26" t="s">
        <v>1901</v>
      </c>
      <c r="H109" s="27"/>
      <c r="I109" s="64"/>
      <c r="J109" s="15" t="s">
        <v>36</v>
      </c>
      <c r="K109" s="15" t="s">
        <v>1902</v>
      </c>
      <c r="L109" s="15" t="s">
        <v>633</v>
      </c>
    </row>
    <row r="110" s="1" customFormat="1" spans="2:12">
      <c r="B110" s="32" t="s">
        <v>1903</v>
      </c>
      <c r="C110" s="32" t="s">
        <v>666</v>
      </c>
      <c r="D110" s="10" t="s">
        <v>1904</v>
      </c>
      <c r="E110" s="25" t="s">
        <v>266</v>
      </c>
      <c r="F110" s="32"/>
      <c r="G110" s="26" t="s">
        <v>1905</v>
      </c>
      <c r="H110" s="27"/>
      <c r="I110" s="64"/>
      <c r="J110" s="15" t="s">
        <v>36</v>
      </c>
      <c r="K110" s="15" t="s">
        <v>1898</v>
      </c>
      <c r="L110" s="15" t="s">
        <v>633</v>
      </c>
    </row>
    <row r="111" s="1" customFormat="1" spans="2:12">
      <c r="B111" s="32" t="s">
        <v>1906</v>
      </c>
      <c r="C111" s="32" t="s">
        <v>666</v>
      </c>
      <c r="D111" s="10" t="s">
        <v>1907</v>
      </c>
      <c r="E111" s="25" t="s">
        <v>266</v>
      </c>
      <c r="F111" s="32"/>
      <c r="G111" s="26" t="s">
        <v>1908</v>
      </c>
      <c r="H111" s="27"/>
      <c r="I111" s="64"/>
      <c r="J111" s="15" t="s">
        <v>36</v>
      </c>
      <c r="K111" s="15" t="s">
        <v>1902</v>
      </c>
      <c r="L111" s="15" t="s">
        <v>633</v>
      </c>
    </row>
    <row r="112" s="1" customFormat="1" spans="2:12">
      <c r="B112" s="32" t="s">
        <v>1909</v>
      </c>
      <c r="C112" s="32" t="s">
        <v>338</v>
      </c>
      <c r="D112" s="10" t="s">
        <v>1910</v>
      </c>
      <c r="E112" s="25" t="s">
        <v>266</v>
      </c>
      <c r="F112" s="26"/>
      <c r="G112" s="26" t="s">
        <v>1911</v>
      </c>
      <c r="H112" s="27"/>
      <c r="I112" s="15"/>
      <c r="J112" s="15" t="s">
        <v>36</v>
      </c>
      <c r="K112" s="15" t="s">
        <v>294</v>
      </c>
      <c r="L112" s="15" t="s">
        <v>294</v>
      </c>
    </row>
    <row r="113" s="1" customFormat="1" spans="2:12">
      <c r="B113" s="32" t="s">
        <v>1912</v>
      </c>
      <c r="C113" s="32" t="s">
        <v>338</v>
      </c>
      <c r="D113" s="10" t="s">
        <v>1913</v>
      </c>
      <c r="E113" s="25" t="s">
        <v>266</v>
      </c>
      <c r="F113" s="26"/>
      <c r="G113" s="26" t="s">
        <v>1914</v>
      </c>
      <c r="H113" s="27"/>
      <c r="I113" s="15"/>
      <c r="J113" s="15" t="s">
        <v>36</v>
      </c>
      <c r="K113" s="15" t="s">
        <v>294</v>
      </c>
      <c r="L113" s="15" t="s">
        <v>294</v>
      </c>
    </row>
    <row r="114" s="1" customFormat="1" spans="2:12">
      <c r="B114" s="32" t="s">
        <v>576</v>
      </c>
      <c r="C114" s="34" t="s">
        <v>307</v>
      </c>
      <c r="D114" s="10" t="s">
        <v>577</v>
      </c>
      <c r="E114" s="25" t="s">
        <v>266</v>
      </c>
      <c r="F114" s="32"/>
      <c r="G114" s="26" t="s">
        <v>578</v>
      </c>
      <c r="H114" s="27"/>
      <c r="I114" s="15"/>
      <c r="J114" s="15" t="s">
        <v>36</v>
      </c>
      <c r="K114" s="15" t="s">
        <v>294</v>
      </c>
      <c r="L114" s="15" t="s">
        <v>531</v>
      </c>
    </row>
    <row r="115" s="1" customFormat="1" spans="2:12">
      <c r="B115" s="32" t="s">
        <v>579</v>
      </c>
      <c r="C115" s="34" t="s">
        <v>307</v>
      </c>
      <c r="D115" s="10" t="s">
        <v>580</v>
      </c>
      <c r="E115" s="25" t="s">
        <v>266</v>
      </c>
      <c r="F115" s="32"/>
      <c r="G115" s="26" t="s">
        <v>581</v>
      </c>
      <c r="H115" s="27"/>
      <c r="I115" s="15"/>
      <c r="J115" s="15" t="s">
        <v>36</v>
      </c>
      <c r="K115" s="15" t="s">
        <v>294</v>
      </c>
      <c r="L115" s="15" t="s">
        <v>531</v>
      </c>
    </row>
    <row r="116" s="1" customFormat="1" spans="2:12">
      <c r="B116" s="32" t="s">
        <v>582</v>
      </c>
      <c r="C116" s="34" t="s">
        <v>307</v>
      </c>
      <c r="D116" s="10" t="s">
        <v>583</v>
      </c>
      <c r="E116" s="25" t="s">
        <v>266</v>
      </c>
      <c r="F116" s="32"/>
      <c r="G116" s="26" t="s">
        <v>584</v>
      </c>
      <c r="H116" s="27"/>
      <c r="I116" s="15"/>
      <c r="J116" s="15" t="s">
        <v>36</v>
      </c>
      <c r="K116" s="15" t="s">
        <v>294</v>
      </c>
      <c r="L116" s="15" t="s">
        <v>531</v>
      </c>
    </row>
    <row r="117" s="2" customFormat="1" spans="2:15">
      <c r="B117" s="17" t="s">
        <v>594</v>
      </c>
      <c r="C117" s="18" t="s">
        <v>307</v>
      </c>
      <c r="D117" s="19" t="s">
        <v>595</v>
      </c>
      <c r="E117" s="28"/>
      <c r="F117" s="28"/>
      <c r="G117" s="28"/>
      <c r="H117" s="17"/>
      <c r="I117" s="17"/>
      <c r="J117" s="17"/>
      <c r="K117" s="17"/>
      <c r="L117" s="17"/>
      <c r="M117" s="17"/>
      <c r="N117" s="17"/>
      <c r="O117" s="17"/>
    </row>
    <row r="118" s="2" customFormat="1" spans="2:15">
      <c r="B118" s="17" t="s">
        <v>596</v>
      </c>
      <c r="C118" s="18" t="s">
        <v>291</v>
      </c>
      <c r="D118" s="19" t="s">
        <v>597</v>
      </c>
      <c r="E118" s="28"/>
      <c r="F118" s="28"/>
      <c r="G118" s="28"/>
      <c r="H118" s="17"/>
      <c r="I118" s="17"/>
      <c r="J118" s="17"/>
      <c r="K118" s="17"/>
      <c r="L118" s="17"/>
      <c r="M118" s="17"/>
      <c r="N118" s="17"/>
      <c r="O118" s="17"/>
    </row>
    <row r="119" s="2" customFormat="1" spans="2:15">
      <c r="B119" s="17" t="s">
        <v>598</v>
      </c>
      <c r="C119" s="18" t="s">
        <v>307</v>
      </c>
      <c r="D119" s="19" t="s">
        <v>599</v>
      </c>
      <c r="E119" s="28"/>
      <c r="F119" s="28"/>
      <c r="G119" s="28"/>
      <c r="H119" s="17"/>
      <c r="I119" s="17"/>
      <c r="J119" s="17"/>
      <c r="K119" s="17"/>
      <c r="L119" s="17"/>
      <c r="M119" s="17"/>
      <c r="N119" s="17"/>
      <c r="O119" s="17"/>
    </row>
    <row r="120" s="2" customFormat="1" spans="2:15">
      <c r="B120" s="17" t="s">
        <v>600</v>
      </c>
      <c r="C120" s="18" t="s">
        <v>307</v>
      </c>
      <c r="D120" s="19" t="s">
        <v>601</v>
      </c>
      <c r="E120" s="28"/>
      <c r="F120" s="28"/>
      <c r="G120" s="28"/>
      <c r="H120" s="17"/>
      <c r="I120" s="17"/>
      <c r="J120" s="17"/>
      <c r="K120" s="17"/>
      <c r="L120" s="17"/>
      <c r="M120" s="17"/>
      <c r="N120" s="17"/>
      <c r="O120" s="17"/>
    </row>
  </sheetData>
  <mergeCells count="4">
    <mergeCell ref="B2:H2"/>
    <mergeCell ref="B3:H3"/>
    <mergeCell ref="B7:H7"/>
    <mergeCell ref="B13:L13"/>
  </mergeCells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zoomScale="85" zoomScaleNormal="85" workbookViewId="0">
      <pane ySplit="5" topLeftCell="A6" activePane="bottomLeft" state="frozen"/>
      <selection/>
      <selection pane="bottomLeft" activeCell="A17" sqref="$A17:$XFD18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51" t="s">
        <v>183</v>
      </c>
      <c r="D5" s="10" t="s">
        <v>184</v>
      </c>
      <c r="E5" s="13" t="s">
        <v>257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180</v>
      </c>
      <c r="D9" s="10" t="s">
        <v>181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2:12">
      <c r="B16" s="32" t="s">
        <v>257</v>
      </c>
      <c r="C16" s="32" t="s">
        <v>307</v>
      </c>
      <c r="D16" s="10" t="s">
        <v>37</v>
      </c>
      <c r="E16" s="25" t="s">
        <v>266</v>
      </c>
      <c r="F16" s="26" t="s">
        <v>600</v>
      </c>
      <c r="G16" s="26" t="s">
        <v>293</v>
      </c>
      <c r="H16" s="25"/>
      <c r="I16" s="15"/>
      <c r="J16" s="15" t="s">
        <v>604</v>
      </c>
      <c r="K16" s="15" t="s">
        <v>294</v>
      </c>
      <c r="L16" s="15" t="s">
        <v>608</v>
      </c>
    </row>
    <row r="17" s="1" customFormat="1" spans="1:12">
      <c r="A17" s="33"/>
      <c r="B17" s="32" t="s">
        <v>290</v>
      </c>
      <c r="C17" s="32" t="s">
        <v>307</v>
      </c>
      <c r="D17" s="10" t="s">
        <v>609</v>
      </c>
      <c r="E17" s="25" t="s">
        <v>266</v>
      </c>
      <c r="F17" s="26" t="s">
        <v>290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610</v>
      </c>
    </row>
    <row r="18" s="1" customFormat="1" spans="1:12">
      <c r="A18" s="33"/>
      <c r="B18" s="32" t="s">
        <v>327</v>
      </c>
      <c r="C18" s="32" t="s">
        <v>307</v>
      </c>
      <c r="D18" s="10" t="s">
        <v>611</v>
      </c>
      <c r="E18" s="25" t="s">
        <v>266</v>
      </c>
      <c r="F18" s="26" t="s">
        <v>327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612</v>
      </c>
    </row>
    <row r="19" s="1" customFormat="1" spans="1:12">
      <c r="A19" s="33"/>
      <c r="B19" s="32" t="s">
        <v>613</v>
      </c>
      <c r="C19" s="32" t="s">
        <v>307</v>
      </c>
      <c r="D19" s="10" t="s">
        <v>614</v>
      </c>
      <c r="E19" s="25" t="s">
        <v>266</v>
      </c>
      <c r="F19" s="26" t="s">
        <v>594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32" t="s">
        <v>517</v>
      </c>
      <c r="C20" s="32" t="s">
        <v>307</v>
      </c>
      <c r="D20" s="10" t="s">
        <v>616</v>
      </c>
      <c r="E20" s="25" t="s">
        <v>266</v>
      </c>
      <c r="F20" s="26" t="s">
        <v>517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520</v>
      </c>
      <c r="C21" s="32" t="s">
        <v>307</v>
      </c>
      <c r="D21" s="10" t="s">
        <v>617</v>
      </c>
      <c r="E21" s="25" t="s">
        <v>266</v>
      </c>
      <c r="F21" s="26" t="s">
        <v>520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522</v>
      </c>
      <c r="C22" s="32" t="s">
        <v>291</v>
      </c>
      <c r="D22" s="10" t="s">
        <v>523</v>
      </c>
      <c r="E22" s="25" t="s">
        <v>266</v>
      </c>
      <c r="F22" s="26" t="s">
        <v>522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524</v>
      </c>
      <c r="C23" s="32" t="s">
        <v>291</v>
      </c>
      <c r="D23" s="10" t="s">
        <v>525</v>
      </c>
      <c r="E23" s="25" t="s">
        <v>266</v>
      </c>
      <c r="F23" s="26" t="s">
        <v>524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526</v>
      </c>
      <c r="C24" s="32" t="s">
        <v>291</v>
      </c>
      <c r="D24" s="10" t="s">
        <v>527</v>
      </c>
      <c r="E24" s="25" t="s">
        <v>266</v>
      </c>
      <c r="F24" s="26" t="s">
        <v>526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26" t="s">
        <v>514</v>
      </c>
      <c r="G25" s="26" t="s">
        <v>293</v>
      </c>
      <c r="H25" s="25"/>
      <c r="I25" s="53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295</v>
      </c>
      <c r="C26" s="13" t="s">
        <v>291</v>
      </c>
      <c r="D26" s="10" t="s">
        <v>618</v>
      </c>
      <c r="E26" s="25" t="s">
        <v>266</v>
      </c>
      <c r="F26" s="26" t="s">
        <v>295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297</v>
      </c>
      <c r="C27" s="13" t="s">
        <v>291</v>
      </c>
      <c r="D27" s="10" t="s">
        <v>298</v>
      </c>
      <c r="E27" s="25" t="s">
        <v>266</v>
      </c>
      <c r="F27" s="26" t="s">
        <v>297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300</v>
      </c>
      <c r="C28" s="13" t="s">
        <v>291</v>
      </c>
      <c r="D28" s="10" t="s">
        <v>619</v>
      </c>
      <c r="E28" s="25" t="s">
        <v>266</v>
      </c>
      <c r="F28" s="26" t="s">
        <v>300</v>
      </c>
      <c r="G28" s="26" t="s">
        <v>293</v>
      </c>
      <c r="H28" s="25"/>
      <c r="I28" s="30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13" t="s">
        <v>302</v>
      </c>
      <c r="C29" s="13" t="s">
        <v>291</v>
      </c>
      <c r="D29" s="10" t="s">
        <v>303</v>
      </c>
      <c r="E29" s="25" t="s">
        <v>266</v>
      </c>
      <c r="F29" s="26" t="s">
        <v>302</v>
      </c>
      <c r="G29" s="26" t="s">
        <v>293</v>
      </c>
      <c r="H29" s="25"/>
      <c r="I29" s="30"/>
      <c r="J29" s="15" t="s">
        <v>604</v>
      </c>
      <c r="K29" s="15" t="s">
        <v>294</v>
      </c>
      <c r="L29" s="15" t="s">
        <v>294</v>
      </c>
    </row>
    <row r="30" s="1" customFormat="1" spans="1:12">
      <c r="A30" s="33"/>
      <c r="B30" s="13" t="s">
        <v>313</v>
      </c>
      <c r="C30" s="13" t="s">
        <v>291</v>
      </c>
      <c r="D30" s="10" t="s">
        <v>620</v>
      </c>
      <c r="E30" s="25" t="s">
        <v>266</v>
      </c>
      <c r="F30" s="26" t="s">
        <v>313</v>
      </c>
      <c r="G30" s="26" t="s">
        <v>293</v>
      </c>
      <c r="H30" s="25"/>
      <c r="I30" s="30"/>
      <c r="J30" s="15" t="s">
        <v>604</v>
      </c>
      <c r="K30" s="15" t="s">
        <v>294</v>
      </c>
      <c r="L30" s="15" t="s">
        <v>294</v>
      </c>
    </row>
    <row r="31" s="1" customFormat="1" spans="1:12">
      <c r="A31" s="33"/>
      <c r="B31" s="32" t="s">
        <v>315</v>
      </c>
      <c r="C31" s="13" t="s">
        <v>291</v>
      </c>
      <c r="D31" s="10" t="s">
        <v>621</v>
      </c>
      <c r="E31" s="25" t="s">
        <v>266</v>
      </c>
      <c r="F31" s="26" t="s">
        <v>315</v>
      </c>
      <c r="G31" s="26" t="s">
        <v>293</v>
      </c>
      <c r="H31" s="25"/>
      <c r="I31" s="30"/>
      <c r="J31" s="15" t="s">
        <v>604</v>
      </c>
      <c r="K31" s="15" t="s">
        <v>294</v>
      </c>
      <c r="L31" s="15" t="s">
        <v>294</v>
      </c>
    </row>
    <row r="32" s="1" customFormat="1" spans="2:12">
      <c r="B32" s="32" t="s">
        <v>317</v>
      </c>
      <c r="C32" s="13" t="s">
        <v>291</v>
      </c>
      <c r="D32" s="10" t="s">
        <v>622</v>
      </c>
      <c r="E32" s="25" t="s">
        <v>266</v>
      </c>
      <c r="F32" s="26" t="s">
        <v>317</v>
      </c>
      <c r="G32" s="26" t="s">
        <v>293</v>
      </c>
      <c r="H32" s="25"/>
      <c r="I32" s="15"/>
      <c r="J32" s="15" t="s">
        <v>604</v>
      </c>
      <c r="K32" s="15" t="s">
        <v>294</v>
      </c>
      <c r="L32" s="15" t="s">
        <v>294</v>
      </c>
    </row>
    <row r="33" s="1" customFormat="1" spans="2:12">
      <c r="B33" s="32" t="s">
        <v>331</v>
      </c>
      <c r="C33" s="13" t="s">
        <v>291</v>
      </c>
      <c r="D33" s="10" t="s">
        <v>623</v>
      </c>
      <c r="E33" s="25" t="s">
        <v>266</v>
      </c>
      <c r="F33" s="26" t="s">
        <v>331</v>
      </c>
      <c r="G33" s="26" t="s">
        <v>293</v>
      </c>
      <c r="H33" s="25"/>
      <c r="I33" s="15"/>
      <c r="J33" s="15" t="s">
        <v>604</v>
      </c>
      <c r="K33" s="15" t="s">
        <v>294</v>
      </c>
      <c r="L33" s="15" t="s">
        <v>294</v>
      </c>
    </row>
    <row r="34" s="33" customFormat="1" spans="2:12">
      <c r="B34" s="32" t="s">
        <v>356</v>
      </c>
      <c r="C34" s="13" t="s">
        <v>291</v>
      </c>
      <c r="D34" s="10" t="s">
        <v>357</v>
      </c>
      <c r="E34" s="25" t="s">
        <v>266</v>
      </c>
      <c r="F34" s="26" t="s">
        <v>356</v>
      </c>
      <c r="G34" s="26" t="s">
        <v>293</v>
      </c>
      <c r="H34" s="25"/>
      <c r="I34" s="30"/>
      <c r="J34" s="15" t="s">
        <v>604</v>
      </c>
      <c r="K34" s="15" t="s">
        <v>294</v>
      </c>
      <c r="L34" s="15" t="s">
        <v>294</v>
      </c>
    </row>
    <row r="35" s="33" customFormat="1" spans="2:12">
      <c r="B35" s="32" t="s">
        <v>378</v>
      </c>
      <c r="C35" s="13" t="s">
        <v>291</v>
      </c>
      <c r="D35" s="10" t="s">
        <v>624</v>
      </c>
      <c r="E35" s="25" t="s">
        <v>266</v>
      </c>
      <c r="F35" s="26" t="s">
        <v>378</v>
      </c>
      <c r="G35" s="26" t="s">
        <v>293</v>
      </c>
      <c r="H35" s="25"/>
      <c r="I35" s="30"/>
      <c r="J35" s="15" t="s">
        <v>604</v>
      </c>
      <c r="K35" s="15" t="s">
        <v>294</v>
      </c>
      <c r="L35" s="15" t="s">
        <v>615</v>
      </c>
    </row>
    <row r="36" s="59" customFormat="1" spans="1:12">
      <c r="A36" s="60"/>
      <c r="B36" s="61" t="s">
        <v>1874</v>
      </c>
      <c r="C36" s="13" t="s">
        <v>307</v>
      </c>
      <c r="D36" s="10" t="s">
        <v>1915</v>
      </c>
      <c r="E36" s="25" t="s">
        <v>266</v>
      </c>
      <c r="F36" s="26" t="s">
        <v>1874</v>
      </c>
      <c r="G36" s="26" t="s">
        <v>293</v>
      </c>
      <c r="H36" s="25"/>
      <c r="I36" s="52"/>
      <c r="J36" s="15" t="s">
        <v>604</v>
      </c>
      <c r="K36" s="15" t="s">
        <v>294</v>
      </c>
      <c r="L36" s="15" t="s">
        <v>294</v>
      </c>
    </row>
    <row r="37" s="1" customFormat="1" spans="2:12">
      <c r="B37" s="61" t="s">
        <v>384</v>
      </c>
      <c r="C37" s="32" t="s">
        <v>307</v>
      </c>
      <c r="D37" s="10" t="s">
        <v>625</v>
      </c>
      <c r="E37" s="25" t="s">
        <v>266</v>
      </c>
      <c r="F37" s="26" t="s">
        <v>384</v>
      </c>
      <c r="G37" s="26" t="s">
        <v>293</v>
      </c>
      <c r="H37" s="25"/>
      <c r="I37" s="15"/>
      <c r="J37" s="15" t="s">
        <v>604</v>
      </c>
      <c r="K37" s="15" t="s">
        <v>294</v>
      </c>
      <c r="L37" s="15" t="s">
        <v>294</v>
      </c>
    </row>
    <row r="38" s="1" customFormat="1" spans="2:12">
      <c r="B38" s="61" t="s">
        <v>440</v>
      </c>
      <c r="C38" s="32" t="s">
        <v>307</v>
      </c>
      <c r="D38" s="10" t="s">
        <v>627</v>
      </c>
      <c r="E38" s="25" t="s">
        <v>266</v>
      </c>
      <c r="F38" s="26" t="s">
        <v>440</v>
      </c>
      <c r="G38" s="26" t="s">
        <v>293</v>
      </c>
      <c r="H38" s="25"/>
      <c r="I38" s="15"/>
      <c r="J38" s="15" t="s">
        <v>604</v>
      </c>
      <c r="K38" s="15" t="s">
        <v>294</v>
      </c>
      <c r="L38" s="15" t="s">
        <v>294</v>
      </c>
    </row>
    <row r="39" s="59" customFormat="1" spans="1:12">
      <c r="A39" s="60"/>
      <c r="B39" s="61" t="s">
        <v>567</v>
      </c>
      <c r="C39" s="13" t="s">
        <v>291</v>
      </c>
      <c r="D39" s="10" t="s">
        <v>568</v>
      </c>
      <c r="E39" s="25" t="s">
        <v>266</v>
      </c>
      <c r="F39" s="26" t="s">
        <v>567</v>
      </c>
      <c r="G39" s="26" t="s">
        <v>293</v>
      </c>
      <c r="H39" s="25"/>
      <c r="I39" s="52"/>
      <c r="J39" s="15" t="s">
        <v>604</v>
      </c>
      <c r="K39" s="15" t="s">
        <v>294</v>
      </c>
      <c r="L39" s="15" t="s">
        <v>294</v>
      </c>
    </row>
    <row r="40" s="59" customFormat="1" spans="1:12">
      <c r="A40" s="60"/>
      <c r="B40" s="61" t="s">
        <v>579</v>
      </c>
      <c r="C40" s="13" t="s">
        <v>307</v>
      </c>
      <c r="D40" s="10" t="s">
        <v>580</v>
      </c>
      <c r="E40" s="25" t="s">
        <v>266</v>
      </c>
      <c r="F40" s="26" t="s">
        <v>579</v>
      </c>
      <c r="G40" s="26" t="s">
        <v>293</v>
      </c>
      <c r="H40" s="25"/>
      <c r="I40" s="52"/>
      <c r="J40" s="15" t="s">
        <v>604</v>
      </c>
      <c r="K40" s="15" t="s">
        <v>294</v>
      </c>
      <c r="L40" s="15" t="s">
        <v>626</v>
      </c>
    </row>
    <row r="41" s="1" customFormat="1" spans="1:12">
      <c r="A41" s="33"/>
      <c r="B41" s="13" t="s">
        <v>582</v>
      </c>
      <c r="C41" s="13" t="s">
        <v>307</v>
      </c>
      <c r="D41" s="10" t="s">
        <v>583</v>
      </c>
      <c r="E41" s="25" t="s">
        <v>266</v>
      </c>
      <c r="F41" s="26" t="s">
        <v>582</v>
      </c>
      <c r="G41" s="26" t="s">
        <v>293</v>
      </c>
      <c r="H41" s="25"/>
      <c r="I41" s="26"/>
      <c r="J41" s="15" t="s">
        <v>604</v>
      </c>
      <c r="K41" s="15" t="s">
        <v>294</v>
      </c>
      <c r="L41" s="15" t="s">
        <v>626</v>
      </c>
    </row>
    <row r="42" s="1" customFormat="1" spans="1:12">
      <c r="A42" s="33"/>
      <c r="B42" s="13" t="s">
        <v>629</v>
      </c>
      <c r="C42" s="13" t="s">
        <v>338</v>
      </c>
      <c r="D42" s="10" t="s">
        <v>630</v>
      </c>
      <c r="E42" s="25" t="s">
        <v>266</v>
      </c>
      <c r="F42" s="26"/>
      <c r="G42" s="26" t="s">
        <v>631</v>
      </c>
      <c r="H42" s="2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637</v>
      </c>
      <c r="C43" s="13" t="s">
        <v>338</v>
      </c>
      <c r="D43" s="10" t="s">
        <v>638</v>
      </c>
      <c r="E43" s="25" t="s">
        <v>266</v>
      </c>
      <c r="F43" s="26"/>
      <c r="G43" s="26" t="s">
        <v>639</v>
      </c>
      <c r="H43" s="2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32" t="s">
        <v>337</v>
      </c>
      <c r="C44" s="32" t="s">
        <v>338</v>
      </c>
      <c r="D44" s="10" t="s">
        <v>640</v>
      </c>
      <c r="E44" s="25" t="s">
        <v>266</v>
      </c>
      <c r="F44" s="26"/>
      <c r="G44" s="26" t="s">
        <v>641</v>
      </c>
      <c r="H44" s="27"/>
      <c r="I44" s="26"/>
      <c r="J44" s="15" t="s">
        <v>632</v>
      </c>
      <c r="K44" s="15" t="s">
        <v>404</v>
      </c>
      <c r="L44" s="15" t="s">
        <v>633</v>
      </c>
    </row>
    <row r="45" s="1" customFormat="1" spans="1:12">
      <c r="A45" s="33"/>
      <c r="B45" s="13" t="s">
        <v>342</v>
      </c>
      <c r="C45" s="13" t="s">
        <v>338</v>
      </c>
      <c r="D45" s="10" t="s">
        <v>642</v>
      </c>
      <c r="E45" s="25" t="s">
        <v>266</v>
      </c>
      <c r="F45" s="55"/>
      <c r="G45" s="26" t="s">
        <v>643</v>
      </c>
      <c r="H45" s="27"/>
      <c r="I45" s="26"/>
      <c r="J45" s="15" t="s">
        <v>632</v>
      </c>
      <c r="K45" s="15" t="s">
        <v>644</v>
      </c>
      <c r="L45" s="15" t="s">
        <v>633</v>
      </c>
    </row>
    <row r="46" s="1" customFormat="1" spans="1:12">
      <c r="A46" s="33"/>
      <c r="B46" s="13" t="s">
        <v>340</v>
      </c>
      <c r="C46" s="13" t="s">
        <v>338</v>
      </c>
      <c r="D46" s="10" t="s">
        <v>645</v>
      </c>
      <c r="E46" s="25" t="s">
        <v>266</v>
      </c>
      <c r="F46" s="55"/>
      <c r="G46" s="26" t="s">
        <v>646</v>
      </c>
      <c r="H46" s="27"/>
      <c r="I46" s="26"/>
      <c r="J46" s="15" t="s">
        <v>632</v>
      </c>
      <c r="K46" s="15" t="s">
        <v>644</v>
      </c>
      <c r="L46" s="15" t="s">
        <v>633</v>
      </c>
    </row>
    <row r="47" s="1" customFormat="1" spans="1:12">
      <c r="A47" s="33"/>
      <c r="B47" s="13" t="s">
        <v>647</v>
      </c>
      <c r="C47" s="13" t="s">
        <v>338</v>
      </c>
      <c r="D47" s="10" t="s">
        <v>648</v>
      </c>
      <c r="E47" s="25" t="s">
        <v>266</v>
      </c>
      <c r="F47" s="26"/>
      <c r="G47" s="26" t="s">
        <v>649</v>
      </c>
      <c r="H47" s="37"/>
      <c r="I47" s="26"/>
      <c r="J47" s="15" t="s">
        <v>632</v>
      </c>
      <c r="K47" s="15" t="s">
        <v>644</v>
      </c>
      <c r="L47" s="15" t="s">
        <v>633</v>
      </c>
    </row>
    <row r="48" s="1" customFormat="1" spans="1:12">
      <c r="A48" s="33"/>
      <c r="B48" s="13" t="s">
        <v>650</v>
      </c>
      <c r="C48" s="13" t="s">
        <v>338</v>
      </c>
      <c r="D48" s="10" t="s">
        <v>651</v>
      </c>
      <c r="E48" s="25" t="s">
        <v>266</v>
      </c>
      <c r="F48" s="26"/>
      <c r="G48" s="10" t="s">
        <v>652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656</v>
      </c>
      <c r="C49" s="13" t="s">
        <v>338</v>
      </c>
      <c r="D49" s="10" t="s">
        <v>657</v>
      </c>
      <c r="E49" s="25" t="s">
        <v>266</v>
      </c>
      <c r="F49" s="26"/>
      <c r="G49" s="26" t="s">
        <v>658</v>
      </c>
      <c r="H49" s="37"/>
      <c r="I49" s="26"/>
      <c r="J49" s="15" t="s">
        <v>632</v>
      </c>
      <c r="K49" s="15" t="s">
        <v>644</v>
      </c>
      <c r="L49" s="15" t="s">
        <v>633</v>
      </c>
    </row>
    <row r="50" s="1" customFormat="1" spans="1:12">
      <c r="A50" s="33"/>
      <c r="B50" s="13" t="s">
        <v>659</v>
      </c>
      <c r="C50" s="13" t="s">
        <v>338</v>
      </c>
      <c r="D50" s="10" t="s">
        <v>660</v>
      </c>
      <c r="E50" s="25" t="s">
        <v>266</v>
      </c>
      <c r="F50" s="26"/>
      <c r="G50" s="26" t="s">
        <v>661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346</v>
      </c>
      <c r="C51" s="13" t="s">
        <v>338</v>
      </c>
      <c r="D51" s="10" t="s">
        <v>693</v>
      </c>
      <c r="E51" s="25" t="s">
        <v>266</v>
      </c>
      <c r="F51" s="55"/>
      <c r="G51" s="26" t="s">
        <v>694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344</v>
      </c>
      <c r="C52" s="13" t="s">
        <v>338</v>
      </c>
      <c r="D52" s="10" t="s">
        <v>695</v>
      </c>
      <c r="E52" s="25" t="s">
        <v>266</v>
      </c>
      <c r="F52" s="55"/>
      <c r="G52" s="26" t="s">
        <v>696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392</v>
      </c>
      <c r="C53" s="13" t="s">
        <v>338</v>
      </c>
      <c r="D53" s="10" t="s">
        <v>697</v>
      </c>
      <c r="E53" s="25" t="s">
        <v>266</v>
      </c>
      <c r="F53" s="55"/>
      <c r="G53" s="26" t="s">
        <v>698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394</v>
      </c>
      <c r="C54" s="13" t="s">
        <v>338</v>
      </c>
      <c r="D54" s="10" t="s">
        <v>699</v>
      </c>
      <c r="E54" s="25" t="s">
        <v>266</v>
      </c>
      <c r="F54" s="55"/>
      <c r="G54" s="26" t="s">
        <v>700</v>
      </c>
      <c r="H54" s="2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701</v>
      </c>
      <c r="C55" s="13" t="s">
        <v>338</v>
      </c>
      <c r="D55" s="10" t="s">
        <v>702</v>
      </c>
      <c r="E55" s="25" t="s">
        <v>266</v>
      </c>
      <c r="F55" s="55"/>
      <c r="G55" s="26" t="s">
        <v>703</v>
      </c>
      <c r="H55" s="2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704</v>
      </c>
      <c r="C56" s="13" t="s">
        <v>338</v>
      </c>
      <c r="D56" s="10" t="s">
        <v>705</v>
      </c>
      <c r="E56" s="25" t="s">
        <v>266</v>
      </c>
      <c r="F56" s="55"/>
      <c r="G56" s="26" t="s">
        <v>706</v>
      </c>
      <c r="H56" s="2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707</v>
      </c>
      <c r="C57" s="13" t="s">
        <v>338</v>
      </c>
      <c r="D57" s="10" t="s">
        <v>708</v>
      </c>
      <c r="E57" s="25" t="s">
        <v>266</v>
      </c>
      <c r="F57" s="55"/>
      <c r="G57" s="26" t="s">
        <v>709</v>
      </c>
      <c r="H57" s="2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710</v>
      </c>
      <c r="C58" s="13" t="s">
        <v>338</v>
      </c>
      <c r="D58" s="10" t="s">
        <v>711</v>
      </c>
      <c r="E58" s="25" t="s">
        <v>266</v>
      </c>
      <c r="F58" s="55"/>
      <c r="G58" s="26" t="s">
        <v>712</v>
      </c>
      <c r="H58" s="2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713</v>
      </c>
      <c r="C59" s="13" t="s">
        <v>338</v>
      </c>
      <c r="D59" s="10" t="s">
        <v>714</v>
      </c>
      <c r="E59" s="25" t="s">
        <v>266</v>
      </c>
      <c r="F59" s="55"/>
      <c r="G59" s="26" t="s">
        <v>715</v>
      </c>
      <c r="H59" s="2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716</v>
      </c>
      <c r="C60" s="13" t="s">
        <v>338</v>
      </c>
      <c r="D60" s="10" t="s">
        <v>717</v>
      </c>
      <c r="E60" s="25" t="s">
        <v>266</v>
      </c>
      <c r="F60" s="55"/>
      <c r="G60" s="26" t="s">
        <v>718</v>
      </c>
      <c r="H60" s="2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410</v>
      </c>
      <c r="C61" s="13" t="s">
        <v>338</v>
      </c>
      <c r="D61" s="10" t="s">
        <v>719</v>
      </c>
      <c r="E61" s="25" t="s">
        <v>266</v>
      </c>
      <c r="F61" s="55"/>
      <c r="G61" s="26" t="s">
        <v>720</v>
      </c>
      <c r="H61" s="2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412</v>
      </c>
      <c r="C62" s="13" t="s">
        <v>338</v>
      </c>
      <c r="D62" s="10" t="s">
        <v>721</v>
      </c>
      <c r="E62" s="25" t="s">
        <v>266</v>
      </c>
      <c r="F62" s="55"/>
      <c r="G62" s="26" t="s">
        <v>722</v>
      </c>
      <c r="H62" s="2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1916</v>
      </c>
      <c r="C63" s="13" t="s">
        <v>338</v>
      </c>
      <c r="D63" s="10" t="s">
        <v>1917</v>
      </c>
      <c r="E63" s="25" t="s">
        <v>266</v>
      </c>
      <c r="F63" s="55"/>
      <c r="G63" s="26" t="s">
        <v>1918</v>
      </c>
      <c r="H63" s="27"/>
      <c r="I63" s="26"/>
      <c r="J63" s="15" t="s">
        <v>632</v>
      </c>
      <c r="K63" s="15" t="s">
        <v>803</v>
      </c>
      <c r="L63" s="15" t="s">
        <v>633</v>
      </c>
    </row>
    <row r="64" s="1" customFormat="1" spans="1:12">
      <c r="A64" s="33"/>
      <c r="B64" s="13" t="s">
        <v>1919</v>
      </c>
      <c r="C64" s="13" t="s">
        <v>338</v>
      </c>
      <c r="D64" s="10" t="s">
        <v>1920</v>
      </c>
      <c r="E64" s="25" t="s">
        <v>266</v>
      </c>
      <c r="F64" s="55"/>
      <c r="G64" s="26" t="s">
        <v>1921</v>
      </c>
      <c r="H64" s="27"/>
      <c r="I64" s="26"/>
      <c r="J64" s="15" t="s">
        <v>632</v>
      </c>
      <c r="K64" s="15" t="s">
        <v>803</v>
      </c>
      <c r="L64" s="15" t="s">
        <v>633</v>
      </c>
    </row>
    <row r="65" s="1" customFormat="1" spans="1:12">
      <c r="A65" s="33"/>
      <c r="B65" s="13" t="s">
        <v>1922</v>
      </c>
      <c r="C65" s="13" t="s">
        <v>338</v>
      </c>
      <c r="D65" s="10" t="s">
        <v>1923</v>
      </c>
      <c r="E65" s="25" t="s">
        <v>266</v>
      </c>
      <c r="F65" s="55"/>
      <c r="G65" s="26" t="s">
        <v>1924</v>
      </c>
      <c r="H65" s="27"/>
      <c r="I65" s="26"/>
      <c r="J65" s="15" t="s">
        <v>632</v>
      </c>
      <c r="K65" s="15" t="s">
        <v>404</v>
      </c>
      <c r="L65" s="15" t="s">
        <v>633</v>
      </c>
    </row>
    <row r="66" s="1" customFormat="1" spans="1:12">
      <c r="A66" s="33"/>
      <c r="B66" s="13" t="s">
        <v>1925</v>
      </c>
      <c r="C66" s="13" t="s">
        <v>338</v>
      </c>
      <c r="D66" s="10" t="s">
        <v>1926</v>
      </c>
      <c r="E66" s="25" t="s">
        <v>266</v>
      </c>
      <c r="F66" s="55"/>
      <c r="G66" s="26" t="s">
        <v>1927</v>
      </c>
      <c r="H66" s="27"/>
      <c r="I66" s="26"/>
      <c r="J66" s="15" t="s">
        <v>632</v>
      </c>
      <c r="K66" s="15" t="s">
        <v>803</v>
      </c>
      <c r="L66" s="15" t="s">
        <v>633</v>
      </c>
    </row>
    <row r="67" s="1" customFormat="1" spans="1:12">
      <c r="A67" s="33"/>
      <c r="B67" s="13" t="s">
        <v>1928</v>
      </c>
      <c r="C67" s="13" t="s">
        <v>338</v>
      </c>
      <c r="D67" s="10" t="s">
        <v>1929</v>
      </c>
      <c r="E67" s="25" t="s">
        <v>266</v>
      </c>
      <c r="F67" s="55"/>
      <c r="G67" s="26" t="s">
        <v>1930</v>
      </c>
      <c r="H67" s="27"/>
      <c r="I67" s="26"/>
      <c r="J67" s="15" t="s">
        <v>632</v>
      </c>
      <c r="K67" s="15" t="s">
        <v>803</v>
      </c>
      <c r="L67" s="15" t="s">
        <v>633</v>
      </c>
    </row>
    <row r="68" s="1" customFormat="1" spans="1:12">
      <c r="A68" s="33"/>
      <c r="B68" s="13" t="s">
        <v>1931</v>
      </c>
      <c r="C68" s="13" t="s">
        <v>338</v>
      </c>
      <c r="D68" s="10" t="s">
        <v>1932</v>
      </c>
      <c r="E68" s="25" t="s">
        <v>266</v>
      </c>
      <c r="F68" s="55"/>
      <c r="G68" s="26" t="s">
        <v>1933</v>
      </c>
      <c r="H68" s="27"/>
      <c r="I68" s="26"/>
      <c r="J68" s="15" t="s">
        <v>632</v>
      </c>
      <c r="K68" s="15" t="s">
        <v>803</v>
      </c>
      <c r="L68" s="15" t="s">
        <v>633</v>
      </c>
    </row>
    <row r="69" s="1" customFormat="1" spans="1:12">
      <c r="A69" s="33"/>
      <c r="B69" s="13" t="s">
        <v>1934</v>
      </c>
      <c r="C69" s="13" t="s">
        <v>338</v>
      </c>
      <c r="D69" s="10" t="s">
        <v>1935</v>
      </c>
      <c r="E69" s="25" t="s">
        <v>266</v>
      </c>
      <c r="F69" s="55"/>
      <c r="G69" s="26" t="s">
        <v>1936</v>
      </c>
      <c r="H69" s="27"/>
      <c r="I69" s="26"/>
      <c r="J69" s="15" t="s">
        <v>632</v>
      </c>
      <c r="K69" s="15" t="s">
        <v>803</v>
      </c>
      <c r="L69" s="15" t="s">
        <v>633</v>
      </c>
    </row>
    <row r="70" s="1" customFormat="1" spans="1:12">
      <c r="A70" s="33"/>
      <c r="B70" s="13" t="s">
        <v>1937</v>
      </c>
      <c r="C70" s="13" t="s">
        <v>338</v>
      </c>
      <c r="D70" s="10" t="s">
        <v>1938</v>
      </c>
      <c r="E70" s="25" t="s">
        <v>266</v>
      </c>
      <c r="F70" s="55"/>
      <c r="G70" s="26" t="s">
        <v>1939</v>
      </c>
      <c r="H70" s="27"/>
      <c r="I70" s="26"/>
      <c r="J70" s="15" t="s">
        <v>632</v>
      </c>
      <c r="K70" s="15" t="s">
        <v>644</v>
      </c>
      <c r="L70" s="15" t="s">
        <v>633</v>
      </c>
    </row>
    <row r="71" s="1" customFormat="1" spans="1:12">
      <c r="A71" s="33"/>
      <c r="B71" s="13" t="s">
        <v>1940</v>
      </c>
      <c r="C71" s="13" t="s">
        <v>338</v>
      </c>
      <c r="D71" s="10" t="s">
        <v>1941</v>
      </c>
      <c r="E71" s="25" t="s">
        <v>266</v>
      </c>
      <c r="F71" s="55"/>
      <c r="G71" s="26" t="s">
        <v>1942</v>
      </c>
      <c r="H71" s="2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1870</v>
      </c>
      <c r="C72" s="13" t="s">
        <v>338</v>
      </c>
      <c r="D72" s="10" t="s">
        <v>1943</v>
      </c>
      <c r="E72" s="25" t="s">
        <v>266</v>
      </c>
      <c r="F72" s="55"/>
      <c r="G72" s="26" t="s">
        <v>1944</v>
      </c>
      <c r="H72" s="27"/>
      <c r="I72" s="26"/>
      <c r="J72" s="15" t="s">
        <v>632</v>
      </c>
      <c r="K72" s="15" t="s">
        <v>644</v>
      </c>
      <c r="L72" s="15" t="s">
        <v>633</v>
      </c>
    </row>
    <row r="73" s="1" customFormat="1" spans="1:12">
      <c r="A73" s="33"/>
      <c r="B73" s="13" t="s">
        <v>1945</v>
      </c>
      <c r="C73" s="52" t="s">
        <v>666</v>
      </c>
      <c r="D73" s="10" t="s">
        <v>1946</v>
      </c>
      <c r="E73" s="25" t="s">
        <v>266</v>
      </c>
      <c r="F73" s="55"/>
      <c r="G73" s="26" t="s">
        <v>1947</v>
      </c>
      <c r="H73" s="2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1948</v>
      </c>
      <c r="C74" s="52" t="s">
        <v>666</v>
      </c>
      <c r="D74" s="10" t="s">
        <v>1949</v>
      </c>
      <c r="E74" s="25" t="s">
        <v>266</v>
      </c>
      <c r="F74" s="55"/>
      <c r="G74" s="26" t="s">
        <v>1950</v>
      </c>
      <c r="H74" s="2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728</v>
      </c>
      <c r="C75" s="13" t="s">
        <v>338</v>
      </c>
      <c r="D75" s="10" t="s">
        <v>729</v>
      </c>
      <c r="E75" s="25" t="s">
        <v>266</v>
      </c>
      <c r="F75" s="55"/>
      <c r="G75" s="26" t="s">
        <v>715</v>
      </c>
      <c r="H75" s="2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730</v>
      </c>
      <c r="C76" s="13" t="s">
        <v>666</v>
      </c>
      <c r="D76" s="10" t="s">
        <v>731</v>
      </c>
      <c r="E76" s="25" t="s">
        <v>266</v>
      </c>
      <c r="F76" s="55"/>
      <c r="G76" s="26" t="s">
        <v>732</v>
      </c>
      <c r="H76" s="2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733</v>
      </c>
      <c r="C77" s="13" t="s">
        <v>338</v>
      </c>
      <c r="D77" s="10" t="s">
        <v>734</v>
      </c>
      <c r="E77" s="25" t="s">
        <v>266</v>
      </c>
      <c r="F77" s="55"/>
      <c r="G77" s="26" t="s">
        <v>1951</v>
      </c>
      <c r="H77" s="2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736</v>
      </c>
      <c r="C78" s="13" t="s">
        <v>338</v>
      </c>
      <c r="D78" s="10" t="s">
        <v>737</v>
      </c>
      <c r="E78" s="25" t="s">
        <v>266</v>
      </c>
      <c r="F78" s="55"/>
      <c r="G78" s="26" t="s">
        <v>1952</v>
      </c>
      <c r="H78" s="2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739</v>
      </c>
      <c r="C79" s="13" t="s">
        <v>338</v>
      </c>
      <c r="D79" s="10" t="s">
        <v>740</v>
      </c>
      <c r="E79" s="25" t="s">
        <v>266</v>
      </c>
      <c r="F79" s="55"/>
      <c r="G79" s="26" t="s">
        <v>1953</v>
      </c>
      <c r="H79" s="2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742</v>
      </c>
      <c r="C80" s="13" t="s">
        <v>338</v>
      </c>
      <c r="D80" s="10" t="s">
        <v>743</v>
      </c>
      <c r="E80" s="25" t="s">
        <v>266</v>
      </c>
      <c r="F80" s="55"/>
      <c r="G80" s="26" t="s">
        <v>1954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745</v>
      </c>
      <c r="C81" s="13" t="s">
        <v>338</v>
      </c>
      <c r="D81" s="10" t="s">
        <v>746</v>
      </c>
      <c r="E81" s="25" t="s">
        <v>266</v>
      </c>
      <c r="F81" s="55"/>
      <c r="G81" s="26" t="s">
        <v>1955</v>
      </c>
      <c r="H81" s="2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748</v>
      </c>
      <c r="C82" s="13" t="s">
        <v>338</v>
      </c>
      <c r="D82" s="10" t="s">
        <v>749</v>
      </c>
      <c r="E82" s="25" t="s">
        <v>266</v>
      </c>
      <c r="F82" s="55"/>
      <c r="G82" s="26" t="s">
        <v>750</v>
      </c>
      <c r="H82" s="2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751</v>
      </c>
      <c r="C83" s="13" t="s">
        <v>666</v>
      </c>
      <c r="D83" s="10" t="s">
        <v>752</v>
      </c>
      <c r="E83" s="25" t="s">
        <v>266</v>
      </c>
      <c r="F83" s="55"/>
      <c r="G83" s="26" t="s">
        <v>753</v>
      </c>
      <c r="H83" s="2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754</v>
      </c>
      <c r="C84" s="13" t="s">
        <v>338</v>
      </c>
      <c r="D84" s="10" t="s">
        <v>755</v>
      </c>
      <c r="E84" s="25" t="s">
        <v>266</v>
      </c>
      <c r="F84" s="55"/>
      <c r="G84" s="26" t="s">
        <v>1956</v>
      </c>
      <c r="H84" s="2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757</v>
      </c>
      <c r="C85" s="13" t="s">
        <v>338</v>
      </c>
      <c r="D85" s="10" t="s">
        <v>758</v>
      </c>
      <c r="E85" s="25" t="s">
        <v>266</v>
      </c>
      <c r="F85" s="55"/>
      <c r="G85" s="26" t="s">
        <v>1957</v>
      </c>
      <c r="H85" s="2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760</v>
      </c>
      <c r="C86" s="13" t="s">
        <v>338</v>
      </c>
      <c r="D86" s="10" t="s">
        <v>761</v>
      </c>
      <c r="E86" s="25" t="s">
        <v>266</v>
      </c>
      <c r="F86" s="55"/>
      <c r="G86" s="26" t="s">
        <v>1958</v>
      </c>
      <c r="H86" s="2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763</v>
      </c>
      <c r="C87" s="13" t="s">
        <v>338</v>
      </c>
      <c r="D87" s="10" t="s">
        <v>764</v>
      </c>
      <c r="E87" s="25" t="s">
        <v>266</v>
      </c>
      <c r="F87" s="55"/>
      <c r="G87" s="26" t="s">
        <v>1959</v>
      </c>
      <c r="H87" s="2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766</v>
      </c>
      <c r="C88" s="13" t="s">
        <v>338</v>
      </c>
      <c r="D88" s="10" t="s">
        <v>767</v>
      </c>
      <c r="E88" s="25" t="s">
        <v>266</v>
      </c>
      <c r="F88" s="55"/>
      <c r="G88" s="26" t="s">
        <v>1960</v>
      </c>
      <c r="H88" s="2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13" t="s">
        <v>769</v>
      </c>
      <c r="C89" s="13" t="s">
        <v>666</v>
      </c>
      <c r="D89" s="10" t="s">
        <v>770</v>
      </c>
      <c r="E89" s="25" t="s">
        <v>266</v>
      </c>
      <c r="F89" s="55"/>
      <c r="G89" s="26" t="s">
        <v>771</v>
      </c>
      <c r="H89" s="2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772</v>
      </c>
      <c r="C90" s="13" t="s">
        <v>666</v>
      </c>
      <c r="D90" s="10" t="s">
        <v>773</v>
      </c>
      <c r="E90" s="25" t="s">
        <v>266</v>
      </c>
      <c r="F90" s="55"/>
      <c r="G90" s="26" t="s">
        <v>774</v>
      </c>
      <c r="H90" s="27"/>
      <c r="I90" s="26"/>
      <c r="J90" s="15" t="s">
        <v>632</v>
      </c>
      <c r="K90" s="15" t="s">
        <v>404</v>
      </c>
      <c r="L90" s="15" t="s">
        <v>633</v>
      </c>
    </row>
    <row r="91" s="1" customFormat="1" spans="1:12">
      <c r="A91" s="33"/>
      <c r="B91" s="13" t="s">
        <v>775</v>
      </c>
      <c r="C91" s="13" t="s">
        <v>338</v>
      </c>
      <c r="D91" s="10" t="s">
        <v>776</v>
      </c>
      <c r="E91" s="25" t="s">
        <v>266</v>
      </c>
      <c r="F91" s="55"/>
      <c r="G91" s="26" t="s">
        <v>1961</v>
      </c>
      <c r="H91" s="27"/>
      <c r="I91" s="26"/>
      <c r="J91" s="15" t="s">
        <v>632</v>
      </c>
      <c r="K91" s="15" t="s">
        <v>294</v>
      </c>
      <c r="L91" s="15" t="s">
        <v>633</v>
      </c>
    </row>
    <row r="92" s="1" customFormat="1" spans="1:12">
      <c r="A92" s="33"/>
      <c r="B92" s="13" t="s">
        <v>778</v>
      </c>
      <c r="C92" s="13" t="s">
        <v>338</v>
      </c>
      <c r="D92" s="10" t="s">
        <v>779</v>
      </c>
      <c r="E92" s="25" t="s">
        <v>266</v>
      </c>
      <c r="F92" s="55"/>
      <c r="G92" s="26" t="s">
        <v>1962</v>
      </c>
      <c r="H92" s="27"/>
      <c r="I92" s="26"/>
      <c r="J92" s="15" t="s">
        <v>632</v>
      </c>
      <c r="K92" s="15" t="s">
        <v>294</v>
      </c>
      <c r="L92" s="15" t="s">
        <v>633</v>
      </c>
    </row>
    <row r="93" s="1" customFormat="1" spans="1:12">
      <c r="A93" s="33"/>
      <c r="B93" s="13" t="s">
        <v>781</v>
      </c>
      <c r="C93" s="13" t="s">
        <v>338</v>
      </c>
      <c r="D93" s="10" t="s">
        <v>782</v>
      </c>
      <c r="E93" s="25" t="s">
        <v>266</v>
      </c>
      <c r="F93" s="55"/>
      <c r="G93" s="26" t="s">
        <v>1963</v>
      </c>
      <c r="H93" s="27"/>
      <c r="I93" s="26"/>
      <c r="J93" s="15" t="s">
        <v>632</v>
      </c>
      <c r="K93" s="15" t="s">
        <v>294</v>
      </c>
      <c r="L93" s="15" t="s">
        <v>633</v>
      </c>
    </row>
    <row r="94" s="1" customFormat="1" spans="1:12">
      <c r="A94" s="33"/>
      <c r="B94" s="13" t="s">
        <v>784</v>
      </c>
      <c r="C94" s="13" t="s">
        <v>338</v>
      </c>
      <c r="D94" s="10" t="s">
        <v>785</v>
      </c>
      <c r="E94" s="25" t="s">
        <v>266</v>
      </c>
      <c r="F94" s="55"/>
      <c r="G94" s="26" t="s">
        <v>1964</v>
      </c>
      <c r="H94" s="27"/>
      <c r="I94" s="26"/>
      <c r="J94" s="15" t="s">
        <v>632</v>
      </c>
      <c r="K94" s="15" t="s">
        <v>294</v>
      </c>
      <c r="L94" s="15" t="s">
        <v>633</v>
      </c>
    </row>
    <row r="95" s="1" customFormat="1" spans="1:12">
      <c r="A95" s="33"/>
      <c r="B95" s="13" t="s">
        <v>787</v>
      </c>
      <c r="C95" s="13" t="s">
        <v>338</v>
      </c>
      <c r="D95" s="10" t="s">
        <v>788</v>
      </c>
      <c r="E95" s="25" t="s">
        <v>266</v>
      </c>
      <c r="F95" s="55"/>
      <c r="G95" s="26" t="s">
        <v>1965</v>
      </c>
      <c r="H95" s="27"/>
      <c r="I95" s="26"/>
      <c r="J95" s="15" t="s">
        <v>632</v>
      </c>
      <c r="K95" s="15" t="s">
        <v>294</v>
      </c>
      <c r="L95" s="15" t="s">
        <v>633</v>
      </c>
    </row>
    <row r="96" s="1" customFormat="1" spans="1:12">
      <c r="A96" s="33"/>
      <c r="B96" s="13" t="s">
        <v>413</v>
      </c>
      <c r="C96" s="13" t="s">
        <v>666</v>
      </c>
      <c r="D96" s="10" t="s">
        <v>790</v>
      </c>
      <c r="E96" s="25" t="s">
        <v>266</v>
      </c>
      <c r="F96" s="55"/>
      <c r="G96" s="26" t="s">
        <v>791</v>
      </c>
      <c r="H96" s="27"/>
      <c r="I96" s="26"/>
      <c r="J96" s="15" t="s">
        <v>632</v>
      </c>
      <c r="K96" s="15" t="s">
        <v>404</v>
      </c>
      <c r="L96" s="15" t="s">
        <v>633</v>
      </c>
    </row>
    <row r="97" s="1" customFormat="1" spans="1:12">
      <c r="A97" s="33"/>
      <c r="B97" s="13" t="s">
        <v>792</v>
      </c>
      <c r="C97" s="13" t="s">
        <v>338</v>
      </c>
      <c r="D97" s="10" t="s">
        <v>793</v>
      </c>
      <c r="E97" s="25" t="s">
        <v>266</v>
      </c>
      <c r="F97" s="55"/>
      <c r="G97" s="26" t="s">
        <v>794</v>
      </c>
      <c r="H97" s="27"/>
      <c r="I97" s="26"/>
      <c r="J97" s="15" t="s">
        <v>632</v>
      </c>
      <c r="K97" s="15" t="s">
        <v>294</v>
      </c>
      <c r="L97" s="15" t="s">
        <v>633</v>
      </c>
    </row>
    <row r="98" s="1" customFormat="1" spans="1:12">
      <c r="A98" s="33"/>
      <c r="B98" s="13" t="s">
        <v>418</v>
      </c>
      <c r="C98" s="13" t="s">
        <v>666</v>
      </c>
      <c r="D98" s="10" t="s">
        <v>795</v>
      </c>
      <c r="E98" s="25" t="s">
        <v>266</v>
      </c>
      <c r="F98" s="55"/>
      <c r="G98" s="26" t="s">
        <v>796</v>
      </c>
      <c r="H98" s="27"/>
      <c r="I98" s="26"/>
      <c r="J98" s="15" t="s">
        <v>632</v>
      </c>
      <c r="K98" s="15" t="s">
        <v>404</v>
      </c>
      <c r="L98" s="15" t="s">
        <v>633</v>
      </c>
    </row>
    <row r="99" s="1" customFormat="1" spans="1:12">
      <c r="A99" s="33"/>
      <c r="B99" s="13" t="s">
        <v>797</v>
      </c>
      <c r="C99" s="13" t="s">
        <v>338</v>
      </c>
      <c r="D99" s="10" t="s">
        <v>798</v>
      </c>
      <c r="E99" s="25" t="s">
        <v>266</v>
      </c>
      <c r="F99" s="55"/>
      <c r="G99" s="26" t="s">
        <v>799</v>
      </c>
      <c r="H99" s="27"/>
      <c r="I99" s="26"/>
      <c r="J99" s="15" t="s">
        <v>632</v>
      </c>
      <c r="K99" s="15" t="s">
        <v>294</v>
      </c>
      <c r="L99" s="15" t="s">
        <v>633</v>
      </c>
    </row>
    <row r="100" s="1" customFormat="1" spans="1:12">
      <c r="A100" s="33"/>
      <c r="B100" s="32" t="s">
        <v>1860</v>
      </c>
      <c r="C100" s="32" t="s">
        <v>338</v>
      </c>
      <c r="D100" s="10" t="s">
        <v>1861</v>
      </c>
      <c r="E100" s="25" t="s">
        <v>266</v>
      </c>
      <c r="F100" s="55"/>
      <c r="G100" s="26" t="s">
        <v>1966</v>
      </c>
      <c r="H100" s="27"/>
      <c r="I100" s="26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32" t="s">
        <v>1903</v>
      </c>
      <c r="C101" s="32" t="s">
        <v>666</v>
      </c>
      <c r="D101" s="10" t="s">
        <v>1904</v>
      </c>
      <c r="E101" s="25" t="s">
        <v>266</v>
      </c>
      <c r="F101" s="55"/>
      <c r="G101" s="26" t="s">
        <v>1967</v>
      </c>
      <c r="H101" s="27"/>
      <c r="I101" s="26"/>
      <c r="J101" s="15" t="s">
        <v>632</v>
      </c>
      <c r="K101" s="15" t="s">
        <v>1898</v>
      </c>
      <c r="L101" s="15" t="s">
        <v>633</v>
      </c>
    </row>
    <row r="102" s="1" customFormat="1" spans="1:12">
      <c r="A102" s="33"/>
      <c r="B102" s="52" t="s">
        <v>1968</v>
      </c>
      <c r="C102" s="52" t="s">
        <v>666</v>
      </c>
      <c r="D102" s="54" t="s">
        <v>1969</v>
      </c>
      <c r="E102" s="25" t="s">
        <v>266</v>
      </c>
      <c r="F102" s="55"/>
      <c r="G102" s="26" t="s">
        <v>1970</v>
      </c>
      <c r="H102" s="27"/>
      <c r="I102" s="26"/>
      <c r="J102" s="15" t="s">
        <v>632</v>
      </c>
      <c r="K102" s="15" t="s">
        <v>1898</v>
      </c>
      <c r="L102" s="15" t="s">
        <v>633</v>
      </c>
    </row>
    <row r="103" s="1" customFormat="1" spans="2:12">
      <c r="B103" s="32" t="s">
        <v>1906</v>
      </c>
      <c r="C103" s="32" t="s">
        <v>666</v>
      </c>
      <c r="D103" s="10" t="s">
        <v>1907</v>
      </c>
      <c r="E103" s="25" t="s">
        <v>266</v>
      </c>
      <c r="F103" s="32"/>
      <c r="G103" s="26" t="s">
        <v>1971</v>
      </c>
      <c r="H103" s="27"/>
      <c r="I103" s="64"/>
      <c r="J103" s="15" t="s">
        <v>632</v>
      </c>
      <c r="K103" s="15" t="s">
        <v>1902</v>
      </c>
      <c r="L103" s="15" t="s">
        <v>633</v>
      </c>
    </row>
    <row r="104" s="1" customFormat="1" spans="1:12">
      <c r="A104" s="33"/>
      <c r="B104" s="32" t="s">
        <v>1892</v>
      </c>
      <c r="C104" s="32" t="s">
        <v>338</v>
      </c>
      <c r="D104" s="10" t="s">
        <v>1972</v>
      </c>
      <c r="E104" s="25" t="s">
        <v>266</v>
      </c>
      <c r="F104" s="55"/>
      <c r="G104" s="26" t="s">
        <v>1973</v>
      </c>
      <c r="H104" s="27"/>
      <c r="I104" s="26"/>
      <c r="J104" s="15" t="s">
        <v>632</v>
      </c>
      <c r="K104" s="15" t="s">
        <v>803</v>
      </c>
      <c r="L104" s="15" t="s">
        <v>633</v>
      </c>
    </row>
    <row r="105" s="1" customFormat="1" spans="1:12">
      <c r="A105" s="33"/>
      <c r="B105" s="32" t="s">
        <v>1895</v>
      </c>
      <c r="C105" s="32" t="s">
        <v>666</v>
      </c>
      <c r="D105" s="10" t="s">
        <v>1896</v>
      </c>
      <c r="E105" s="25" t="s">
        <v>266</v>
      </c>
      <c r="F105" s="55"/>
      <c r="G105" s="26" t="s">
        <v>1974</v>
      </c>
      <c r="H105" s="27"/>
      <c r="I105" s="26"/>
      <c r="J105" s="15" t="s">
        <v>632</v>
      </c>
      <c r="K105" s="15" t="s">
        <v>1898</v>
      </c>
      <c r="L105" s="15" t="s">
        <v>633</v>
      </c>
    </row>
    <row r="106" s="1" customFormat="1" spans="2:12">
      <c r="B106" s="32" t="s">
        <v>1899</v>
      </c>
      <c r="C106" s="32" t="s">
        <v>666</v>
      </c>
      <c r="D106" s="10" t="s">
        <v>1900</v>
      </c>
      <c r="E106" s="25" t="s">
        <v>266</v>
      </c>
      <c r="F106" s="32"/>
      <c r="G106" s="26" t="s">
        <v>1975</v>
      </c>
      <c r="H106" s="27"/>
      <c r="I106" s="64"/>
      <c r="J106" s="15" t="s">
        <v>632</v>
      </c>
      <c r="K106" s="15" t="s">
        <v>1902</v>
      </c>
      <c r="L106" s="15" t="s">
        <v>633</v>
      </c>
    </row>
    <row r="107" s="1" customFormat="1" spans="2:12">
      <c r="B107" s="32" t="s">
        <v>1976</v>
      </c>
      <c r="C107" s="32" t="s">
        <v>666</v>
      </c>
      <c r="D107" s="10" t="s">
        <v>1977</v>
      </c>
      <c r="E107" s="25" t="s">
        <v>266</v>
      </c>
      <c r="F107" s="32"/>
      <c r="G107" s="26" t="s">
        <v>1978</v>
      </c>
      <c r="H107" s="62"/>
      <c r="I107" s="64"/>
      <c r="J107" s="15" t="s">
        <v>632</v>
      </c>
      <c r="K107" s="15" t="s">
        <v>669</v>
      </c>
      <c r="L107" s="15" t="s">
        <v>633</v>
      </c>
    </row>
    <row r="108" s="1" customFormat="1" spans="2:12">
      <c r="B108" s="32" t="s">
        <v>1979</v>
      </c>
      <c r="C108" s="32" t="s">
        <v>338</v>
      </c>
      <c r="D108" s="10" t="s">
        <v>1980</v>
      </c>
      <c r="E108" s="25" t="s">
        <v>266</v>
      </c>
      <c r="F108" s="32"/>
      <c r="G108" s="26" t="s">
        <v>1981</v>
      </c>
      <c r="H108" s="62"/>
      <c r="I108" s="64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1982</v>
      </c>
      <c r="C109" s="32" t="s">
        <v>338</v>
      </c>
      <c r="D109" s="10" t="s">
        <v>1983</v>
      </c>
      <c r="E109" s="25" t="s">
        <v>266</v>
      </c>
      <c r="F109" s="32"/>
      <c r="G109" s="26" t="s">
        <v>1984</v>
      </c>
      <c r="H109" s="62"/>
      <c r="I109" s="64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1985</v>
      </c>
      <c r="C110" s="32" t="s">
        <v>338</v>
      </c>
      <c r="D110" s="10" t="s">
        <v>1986</v>
      </c>
      <c r="E110" s="25" t="s">
        <v>266</v>
      </c>
      <c r="F110" s="32"/>
      <c r="G110" s="26" t="s">
        <v>1987</v>
      </c>
      <c r="H110" s="62"/>
      <c r="I110" s="64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1988</v>
      </c>
      <c r="C111" s="32" t="s">
        <v>666</v>
      </c>
      <c r="D111" s="10" t="s">
        <v>1989</v>
      </c>
      <c r="E111" s="25" t="s">
        <v>266</v>
      </c>
      <c r="F111" s="32"/>
      <c r="G111" s="26" t="s">
        <v>1990</v>
      </c>
      <c r="H111" s="62"/>
      <c r="I111" s="64"/>
      <c r="J111" s="15" t="s">
        <v>632</v>
      </c>
      <c r="K111" s="15" t="s">
        <v>294</v>
      </c>
      <c r="L111" s="15" t="s">
        <v>1264</v>
      </c>
    </row>
    <row r="112" s="1" customFormat="1" spans="2:12">
      <c r="B112" s="32" t="s">
        <v>1991</v>
      </c>
      <c r="C112" s="32" t="s">
        <v>666</v>
      </c>
      <c r="D112" s="10" t="s">
        <v>1992</v>
      </c>
      <c r="E112" s="25" t="s">
        <v>266</v>
      </c>
      <c r="F112" s="32"/>
      <c r="G112" s="26" t="s">
        <v>1993</v>
      </c>
      <c r="H112" s="62"/>
      <c r="I112" s="64"/>
      <c r="J112" s="15" t="s">
        <v>632</v>
      </c>
      <c r="K112" s="15" t="s">
        <v>669</v>
      </c>
      <c r="L112" s="15" t="s">
        <v>633</v>
      </c>
    </row>
    <row r="113" s="1" customFormat="1" spans="2:12">
      <c r="B113" s="32" t="s">
        <v>1994</v>
      </c>
      <c r="C113" s="32" t="s">
        <v>338</v>
      </c>
      <c r="D113" s="10" t="s">
        <v>1995</v>
      </c>
      <c r="E113" s="25" t="s">
        <v>266</v>
      </c>
      <c r="F113" s="32"/>
      <c r="G113" s="26" t="s">
        <v>1996</v>
      </c>
      <c r="H113" s="62"/>
      <c r="I113" s="64"/>
      <c r="J113" s="15" t="s">
        <v>632</v>
      </c>
      <c r="K113" s="15" t="s">
        <v>803</v>
      </c>
      <c r="L113" s="15" t="s">
        <v>633</v>
      </c>
    </row>
    <row r="114" s="1" customFormat="1" spans="2:12">
      <c r="B114" s="32" t="s">
        <v>1997</v>
      </c>
      <c r="C114" s="32" t="s">
        <v>338</v>
      </c>
      <c r="D114" s="10" t="s">
        <v>1998</v>
      </c>
      <c r="E114" s="25" t="s">
        <v>266</v>
      </c>
      <c r="F114" s="32"/>
      <c r="G114" s="26" t="s">
        <v>1999</v>
      </c>
      <c r="H114" s="62"/>
      <c r="I114" s="64"/>
      <c r="J114" s="15" t="s">
        <v>632</v>
      </c>
      <c r="K114" s="15" t="s">
        <v>803</v>
      </c>
      <c r="L114" s="15" t="s">
        <v>633</v>
      </c>
    </row>
    <row r="115" s="1" customFormat="1" spans="2:12">
      <c r="B115" s="32" t="s">
        <v>2000</v>
      </c>
      <c r="C115" s="32" t="s">
        <v>338</v>
      </c>
      <c r="D115" s="10" t="s">
        <v>2001</v>
      </c>
      <c r="E115" s="25" t="s">
        <v>266</v>
      </c>
      <c r="F115" s="32"/>
      <c r="G115" s="26" t="s">
        <v>1996</v>
      </c>
      <c r="H115" s="62"/>
      <c r="I115" s="64"/>
      <c r="J115" s="15" t="s">
        <v>632</v>
      </c>
      <c r="K115" s="15" t="s">
        <v>803</v>
      </c>
      <c r="L115" s="15" t="s">
        <v>633</v>
      </c>
    </row>
    <row r="116" s="1" customFormat="1" spans="2:12">
      <c r="B116" s="32" t="s">
        <v>2002</v>
      </c>
      <c r="C116" s="32" t="s">
        <v>338</v>
      </c>
      <c r="D116" s="10" t="s">
        <v>1887</v>
      </c>
      <c r="E116" s="25" t="s">
        <v>266</v>
      </c>
      <c r="F116" s="32"/>
      <c r="G116" s="26" t="s">
        <v>2003</v>
      </c>
      <c r="H116" s="62"/>
      <c r="I116" s="64"/>
      <c r="J116" s="15" t="s">
        <v>632</v>
      </c>
      <c r="K116" s="15" t="s">
        <v>669</v>
      </c>
      <c r="L116" s="15" t="s">
        <v>633</v>
      </c>
    </row>
    <row r="117" s="1" customFormat="1" spans="2:12">
      <c r="B117" s="32" t="s">
        <v>2004</v>
      </c>
      <c r="C117" s="32" t="s">
        <v>338</v>
      </c>
      <c r="D117" s="10" t="s">
        <v>2005</v>
      </c>
      <c r="E117" s="25" t="s">
        <v>266</v>
      </c>
      <c r="F117" s="32"/>
      <c r="G117" s="26" t="s">
        <v>2006</v>
      </c>
      <c r="H117" s="62"/>
      <c r="I117" s="64"/>
      <c r="J117" s="15" t="s">
        <v>632</v>
      </c>
      <c r="K117" s="15" t="s">
        <v>803</v>
      </c>
      <c r="L117" s="15" t="s">
        <v>633</v>
      </c>
    </row>
    <row r="118" s="1" customFormat="1" spans="2:12">
      <c r="B118" s="32" t="s">
        <v>2007</v>
      </c>
      <c r="C118" s="32" t="s">
        <v>338</v>
      </c>
      <c r="D118" s="10" t="s">
        <v>1890</v>
      </c>
      <c r="E118" s="25" t="s">
        <v>266</v>
      </c>
      <c r="F118" s="32"/>
      <c r="G118" s="26" t="s">
        <v>2008</v>
      </c>
      <c r="H118" s="62"/>
      <c r="I118" s="64"/>
      <c r="J118" s="15" t="s">
        <v>632</v>
      </c>
      <c r="K118" s="15" t="s">
        <v>669</v>
      </c>
      <c r="L118" s="15" t="s">
        <v>633</v>
      </c>
    </row>
    <row r="119" s="1" customFormat="1" spans="2:12">
      <c r="B119" s="32" t="s">
        <v>2009</v>
      </c>
      <c r="C119" s="32" t="s">
        <v>338</v>
      </c>
      <c r="D119" s="10" t="s">
        <v>2010</v>
      </c>
      <c r="E119" s="25" t="s">
        <v>266</v>
      </c>
      <c r="F119" s="32"/>
      <c r="G119" s="26" t="s">
        <v>2011</v>
      </c>
      <c r="H119" s="62"/>
      <c r="I119" s="64"/>
      <c r="J119" s="15" t="s">
        <v>632</v>
      </c>
      <c r="K119" s="15" t="s">
        <v>803</v>
      </c>
      <c r="L119" s="15" t="s">
        <v>633</v>
      </c>
    </row>
    <row r="120" s="1" customFormat="1" spans="2:12">
      <c r="B120" s="32" t="s">
        <v>2012</v>
      </c>
      <c r="C120" s="32" t="s">
        <v>338</v>
      </c>
      <c r="D120" s="10" t="s">
        <v>2013</v>
      </c>
      <c r="E120" s="25" t="s">
        <v>266</v>
      </c>
      <c r="F120" s="32"/>
      <c r="G120" s="26" t="s">
        <v>2014</v>
      </c>
      <c r="H120" s="62"/>
      <c r="I120" s="64"/>
      <c r="J120" s="15" t="s">
        <v>632</v>
      </c>
      <c r="K120" s="15" t="s">
        <v>803</v>
      </c>
      <c r="L120" s="15" t="s">
        <v>633</v>
      </c>
    </row>
    <row r="121" s="1" customFormat="1" spans="2:12">
      <c r="B121" s="32" t="s">
        <v>2015</v>
      </c>
      <c r="C121" s="32" t="s">
        <v>338</v>
      </c>
      <c r="D121" s="10" t="s">
        <v>2016</v>
      </c>
      <c r="E121" s="25" t="s">
        <v>266</v>
      </c>
      <c r="F121" s="32"/>
      <c r="G121" s="26" t="s">
        <v>2017</v>
      </c>
      <c r="H121" s="62"/>
      <c r="I121" s="64"/>
      <c r="J121" s="15" t="s">
        <v>632</v>
      </c>
      <c r="K121" s="15" t="s">
        <v>803</v>
      </c>
      <c r="L121" s="15" t="s">
        <v>633</v>
      </c>
    </row>
    <row r="122" s="1" customFormat="1" spans="2:12">
      <c r="B122" s="32" t="s">
        <v>2018</v>
      </c>
      <c r="C122" s="32" t="s">
        <v>338</v>
      </c>
      <c r="D122" s="10" t="s">
        <v>2019</v>
      </c>
      <c r="E122" s="25" t="s">
        <v>266</v>
      </c>
      <c r="F122" s="32"/>
      <c r="G122" s="26" t="s">
        <v>2020</v>
      </c>
      <c r="H122" s="62"/>
      <c r="I122" s="64"/>
      <c r="J122" s="15" t="s">
        <v>632</v>
      </c>
      <c r="K122" s="15" t="s">
        <v>803</v>
      </c>
      <c r="L122" s="15" t="s">
        <v>633</v>
      </c>
    </row>
    <row r="123" s="1" customFormat="1" spans="2:12">
      <c r="B123" s="32" t="s">
        <v>2021</v>
      </c>
      <c r="C123" s="32" t="s">
        <v>338</v>
      </c>
      <c r="D123" s="10" t="s">
        <v>2022</v>
      </c>
      <c r="E123" s="25" t="s">
        <v>266</v>
      </c>
      <c r="F123" s="32"/>
      <c r="G123" s="26" t="s">
        <v>2023</v>
      </c>
      <c r="H123" s="62"/>
      <c r="I123" s="64"/>
      <c r="J123" s="15" t="s">
        <v>632</v>
      </c>
      <c r="K123" s="15" t="s">
        <v>803</v>
      </c>
      <c r="L123" s="15" t="s">
        <v>633</v>
      </c>
    </row>
    <row r="124" s="1" customFormat="1" spans="2:12">
      <c r="B124" s="32" t="s">
        <v>2024</v>
      </c>
      <c r="C124" s="32" t="s">
        <v>338</v>
      </c>
      <c r="D124" s="10" t="s">
        <v>2025</v>
      </c>
      <c r="E124" s="25" t="s">
        <v>266</v>
      </c>
      <c r="F124" s="32"/>
      <c r="G124" s="26" t="s">
        <v>2026</v>
      </c>
      <c r="H124" s="62"/>
      <c r="I124" s="64"/>
      <c r="J124" s="15" t="s">
        <v>632</v>
      </c>
      <c r="K124" s="15" t="s">
        <v>803</v>
      </c>
      <c r="L124" s="15" t="s">
        <v>633</v>
      </c>
    </row>
    <row r="125" s="1" customFormat="1" spans="2:12">
      <c r="B125" s="32" t="s">
        <v>2027</v>
      </c>
      <c r="C125" s="32" t="s">
        <v>338</v>
      </c>
      <c r="D125" s="10" t="s">
        <v>2028</v>
      </c>
      <c r="E125" s="25" t="s">
        <v>266</v>
      </c>
      <c r="F125" s="32"/>
      <c r="G125" s="26" t="s">
        <v>2029</v>
      </c>
      <c r="H125" s="62"/>
      <c r="I125" s="64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13" t="s">
        <v>2030</v>
      </c>
      <c r="C126" s="13" t="s">
        <v>666</v>
      </c>
      <c r="D126" s="10" t="s">
        <v>2031</v>
      </c>
      <c r="E126" s="25" t="s">
        <v>266</v>
      </c>
      <c r="F126" s="55"/>
      <c r="G126" s="26" t="s">
        <v>2032</v>
      </c>
      <c r="H126" s="2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2033</v>
      </c>
      <c r="C127" s="52" t="s">
        <v>338</v>
      </c>
      <c r="D127" s="54" t="s">
        <v>2034</v>
      </c>
      <c r="E127" s="25" t="s">
        <v>266</v>
      </c>
      <c r="F127" s="55"/>
      <c r="G127" s="63" t="s">
        <v>2035</v>
      </c>
      <c r="H127" s="2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2036</v>
      </c>
      <c r="C128" s="52" t="s">
        <v>338</v>
      </c>
      <c r="D128" s="54" t="s">
        <v>2037</v>
      </c>
      <c r="E128" s="25" t="s">
        <v>266</v>
      </c>
      <c r="F128" s="55"/>
      <c r="G128" s="63" t="s">
        <v>2038</v>
      </c>
      <c r="H128" s="2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2039</v>
      </c>
      <c r="C129" s="52" t="s">
        <v>338</v>
      </c>
      <c r="D129" s="54" t="s">
        <v>2040</v>
      </c>
      <c r="E129" s="25" t="s">
        <v>266</v>
      </c>
      <c r="F129" s="55"/>
      <c r="G129" s="63" t="s">
        <v>2041</v>
      </c>
      <c r="H129" s="2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2042</v>
      </c>
      <c r="C130" s="52" t="s">
        <v>338</v>
      </c>
      <c r="D130" s="54" t="s">
        <v>2043</v>
      </c>
      <c r="E130" s="25" t="s">
        <v>266</v>
      </c>
      <c r="F130" s="55"/>
      <c r="G130" s="63" t="s">
        <v>2044</v>
      </c>
      <c r="H130" s="2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52" t="s">
        <v>2045</v>
      </c>
      <c r="C131" s="52" t="s">
        <v>338</v>
      </c>
      <c r="D131" s="54" t="s">
        <v>2046</v>
      </c>
      <c r="E131" s="25" t="s">
        <v>266</v>
      </c>
      <c r="F131" s="55"/>
      <c r="G131" s="63" t="s">
        <v>2047</v>
      </c>
      <c r="H131" s="2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13" t="s">
        <v>2048</v>
      </c>
      <c r="C132" s="52" t="s">
        <v>666</v>
      </c>
      <c r="D132" s="10" t="s">
        <v>2049</v>
      </c>
      <c r="E132" s="25" t="s">
        <v>266</v>
      </c>
      <c r="F132" s="55"/>
      <c r="G132" s="26" t="s">
        <v>2050</v>
      </c>
      <c r="H132" s="27"/>
      <c r="I132" s="26"/>
      <c r="J132" s="15" t="s">
        <v>632</v>
      </c>
      <c r="K132" s="15" t="s">
        <v>404</v>
      </c>
      <c r="L132" s="15" t="s">
        <v>633</v>
      </c>
    </row>
    <row r="133" s="1" customFormat="1" spans="1:12">
      <c r="A133" s="33"/>
      <c r="B133" s="13" t="s">
        <v>2051</v>
      </c>
      <c r="C133" s="13" t="s">
        <v>338</v>
      </c>
      <c r="D133" s="10" t="s">
        <v>2052</v>
      </c>
      <c r="E133" s="25" t="s">
        <v>266</v>
      </c>
      <c r="F133" s="55"/>
      <c r="G133" s="26" t="s">
        <v>2053</v>
      </c>
      <c r="H133" s="2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13" t="s">
        <v>2054</v>
      </c>
      <c r="C134" s="13" t="s">
        <v>338</v>
      </c>
      <c r="D134" s="10" t="s">
        <v>2055</v>
      </c>
      <c r="E134" s="25" t="s">
        <v>266</v>
      </c>
      <c r="F134" s="55"/>
      <c r="G134" s="26" t="s">
        <v>2056</v>
      </c>
      <c r="H134" s="2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13" t="s">
        <v>2057</v>
      </c>
      <c r="C135" s="13" t="s">
        <v>338</v>
      </c>
      <c r="D135" s="10" t="s">
        <v>2058</v>
      </c>
      <c r="E135" s="25" t="s">
        <v>266</v>
      </c>
      <c r="F135" s="55"/>
      <c r="G135" s="26" t="s">
        <v>2059</v>
      </c>
      <c r="H135" s="2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13" t="s">
        <v>2060</v>
      </c>
      <c r="C136" s="13" t="s">
        <v>338</v>
      </c>
      <c r="D136" s="10" t="s">
        <v>2061</v>
      </c>
      <c r="E136" s="25" t="s">
        <v>266</v>
      </c>
      <c r="F136" s="55"/>
      <c r="G136" s="26" t="s">
        <v>2062</v>
      </c>
      <c r="H136" s="2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13" t="s">
        <v>2063</v>
      </c>
      <c r="C137" s="13" t="s">
        <v>338</v>
      </c>
      <c r="D137" s="10" t="s">
        <v>2064</v>
      </c>
      <c r="E137" s="25" t="s">
        <v>266</v>
      </c>
      <c r="F137" s="55"/>
      <c r="G137" s="26" t="s">
        <v>2065</v>
      </c>
      <c r="H137" s="2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13" t="s">
        <v>2066</v>
      </c>
      <c r="C138" s="52" t="s">
        <v>666</v>
      </c>
      <c r="D138" s="10" t="s">
        <v>2067</v>
      </c>
      <c r="E138" s="25" t="s">
        <v>266</v>
      </c>
      <c r="F138" s="55"/>
      <c r="G138" s="26" t="s">
        <v>2068</v>
      </c>
      <c r="H138" s="27"/>
      <c r="I138" s="26"/>
      <c r="J138" s="15" t="s">
        <v>632</v>
      </c>
      <c r="K138" s="15" t="s">
        <v>404</v>
      </c>
      <c r="L138" s="15" t="s">
        <v>633</v>
      </c>
    </row>
    <row r="139" s="1" customFormat="1" spans="1:12">
      <c r="A139" s="33"/>
      <c r="B139" s="52" t="s">
        <v>2069</v>
      </c>
      <c r="C139" s="52" t="s">
        <v>338</v>
      </c>
      <c r="D139" s="54" t="s">
        <v>2070</v>
      </c>
      <c r="E139" s="25" t="s">
        <v>266</v>
      </c>
      <c r="F139" s="55"/>
      <c r="G139" s="26" t="s">
        <v>2071</v>
      </c>
      <c r="H139" s="2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2072</v>
      </c>
      <c r="C140" s="52" t="s">
        <v>338</v>
      </c>
      <c r="D140" s="54" t="s">
        <v>2073</v>
      </c>
      <c r="E140" s="25" t="s">
        <v>266</v>
      </c>
      <c r="F140" s="55"/>
      <c r="G140" s="26" t="s">
        <v>2074</v>
      </c>
      <c r="H140" s="2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2075</v>
      </c>
      <c r="C141" s="52" t="s">
        <v>338</v>
      </c>
      <c r="D141" s="54" t="s">
        <v>2076</v>
      </c>
      <c r="E141" s="25" t="s">
        <v>266</v>
      </c>
      <c r="F141" s="55"/>
      <c r="G141" s="26" t="s">
        <v>2077</v>
      </c>
      <c r="H141" s="2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2078</v>
      </c>
      <c r="C142" s="52" t="s">
        <v>338</v>
      </c>
      <c r="D142" s="54" t="s">
        <v>2079</v>
      </c>
      <c r="E142" s="25" t="s">
        <v>266</v>
      </c>
      <c r="F142" s="55"/>
      <c r="G142" s="26" t="s">
        <v>2080</v>
      </c>
      <c r="H142" s="2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2081</v>
      </c>
      <c r="C143" s="52" t="s">
        <v>338</v>
      </c>
      <c r="D143" s="54" t="s">
        <v>2082</v>
      </c>
      <c r="E143" s="25" t="s">
        <v>266</v>
      </c>
      <c r="F143" s="55"/>
      <c r="G143" s="26" t="s">
        <v>2083</v>
      </c>
      <c r="H143" s="27"/>
      <c r="I143" s="26"/>
      <c r="J143" s="15" t="s">
        <v>632</v>
      </c>
      <c r="K143" s="15" t="s">
        <v>803</v>
      </c>
      <c r="L143" s="15" t="s">
        <v>633</v>
      </c>
    </row>
    <row r="144" s="1" customFormat="1" spans="2:12">
      <c r="B144" s="32" t="s">
        <v>2084</v>
      </c>
      <c r="C144" s="32" t="s">
        <v>338</v>
      </c>
      <c r="D144" s="10" t="s">
        <v>2085</v>
      </c>
      <c r="E144" s="25" t="s">
        <v>266</v>
      </c>
      <c r="F144" s="32"/>
      <c r="G144" s="26" t="s">
        <v>2086</v>
      </c>
      <c r="H144" s="62"/>
      <c r="I144" s="64"/>
      <c r="J144" s="15" t="s">
        <v>632</v>
      </c>
      <c r="K144" s="15" t="s">
        <v>669</v>
      </c>
      <c r="L144" s="15" t="s">
        <v>670</v>
      </c>
    </row>
    <row r="145" s="1" customFormat="1" spans="2:12">
      <c r="B145" s="32" t="s">
        <v>1909</v>
      </c>
      <c r="C145" s="32" t="s">
        <v>338</v>
      </c>
      <c r="D145" s="10" t="s">
        <v>2087</v>
      </c>
      <c r="E145" s="25" t="s">
        <v>266</v>
      </c>
      <c r="F145" s="32"/>
      <c r="G145" s="26" t="s">
        <v>2088</v>
      </c>
      <c r="H145" s="62"/>
      <c r="I145" s="64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2089</v>
      </c>
      <c r="C146" s="52" t="s">
        <v>666</v>
      </c>
      <c r="D146" s="54" t="s">
        <v>2090</v>
      </c>
      <c r="E146" s="25" t="s">
        <v>266</v>
      </c>
      <c r="F146" s="55"/>
      <c r="G146" s="26" t="s">
        <v>2091</v>
      </c>
      <c r="H146" s="27"/>
      <c r="I146" s="26"/>
      <c r="J146" s="15" t="s">
        <v>632</v>
      </c>
      <c r="K146" s="15" t="s">
        <v>669</v>
      </c>
      <c r="L146" s="15" t="s">
        <v>670</v>
      </c>
    </row>
    <row r="147" s="1" customFormat="1" spans="1:12">
      <c r="A147" s="33"/>
      <c r="B147" s="52" t="s">
        <v>2092</v>
      </c>
      <c r="C147" s="52" t="s">
        <v>338</v>
      </c>
      <c r="D147" s="54" t="s">
        <v>2093</v>
      </c>
      <c r="E147" s="25" t="s">
        <v>266</v>
      </c>
      <c r="F147" s="55"/>
      <c r="G147" s="26" t="s">
        <v>2094</v>
      </c>
      <c r="H147" s="27"/>
      <c r="I147" s="26"/>
      <c r="J147" s="15" t="s">
        <v>632</v>
      </c>
      <c r="K147" s="15" t="s">
        <v>803</v>
      </c>
      <c r="L147" s="15" t="s">
        <v>633</v>
      </c>
    </row>
    <row r="148" s="1" customFormat="1" spans="1:12">
      <c r="A148" s="33"/>
      <c r="B148" s="52" t="s">
        <v>2095</v>
      </c>
      <c r="C148" s="52" t="s">
        <v>338</v>
      </c>
      <c r="D148" s="54" t="s">
        <v>2096</v>
      </c>
      <c r="E148" s="25" t="s">
        <v>266</v>
      </c>
      <c r="F148" s="55"/>
      <c r="G148" s="26" t="s">
        <v>2097</v>
      </c>
      <c r="H148" s="27"/>
      <c r="I148" s="26"/>
      <c r="J148" s="15" t="s">
        <v>632</v>
      </c>
      <c r="K148" s="15" t="s">
        <v>803</v>
      </c>
      <c r="L148" s="15" t="s">
        <v>633</v>
      </c>
    </row>
    <row r="149" s="1" customFormat="1" spans="1:12">
      <c r="A149" s="33"/>
      <c r="B149" s="52" t="s">
        <v>2098</v>
      </c>
      <c r="C149" s="52" t="s">
        <v>338</v>
      </c>
      <c r="D149" s="54" t="s">
        <v>2099</v>
      </c>
      <c r="E149" s="25" t="s">
        <v>266</v>
      </c>
      <c r="F149" s="55"/>
      <c r="G149" s="26" t="s">
        <v>2100</v>
      </c>
      <c r="H149" s="27"/>
      <c r="I149" s="26"/>
      <c r="J149" s="15" t="s">
        <v>632</v>
      </c>
      <c r="K149" s="15" t="s">
        <v>803</v>
      </c>
      <c r="L149" s="15" t="s">
        <v>633</v>
      </c>
    </row>
    <row r="150" s="1" customFormat="1" spans="1:12">
      <c r="A150" s="33"/>
      <c r="B150" s="52" t="s">
        <v>2101</v>
      </c>
      <c r="C150" s="52" t="s">
        <v>338</v>
      </c>
      <c r="D150" s="54" t="s">
        <v>2102</v>
      </c>
      <c r="E150" s="25" t="s">
        <v>266</v>
      </c>
      <c r="F150" s="55"/>
      <c r="G150" s="26" t="s">
        <v>2103</v>
      </c>
      <c r="H150" s="27"/>
      <c r="I150" s="26"/>
      <c r="J150" s="15" t="s">
        <v>632</v>
      </c>
      <c r="K150" s="15" t="s">
        <v>803</v>
      </c>
      <c r="L150" s="15" t="s">
        <v>633</v>
      </c>
    </row>
    <row r="151" s="1" customFormat="1" spans="1:12">
      <c r="A151" s="33"/>
      <c r="B151" s="52" t="s">
        <v>2104</v>
      </c>
      <c r="C151" s="52" t="s">
        <v>338</v>
      </c>
      <c r="D151" s="54" t="s">
        <v>2105</v>
      </c>
      <c r="E151" s="25" t="s">
        <v>266</v>
      </c>
      <c r="F151" s="55"/>
      <c r="G151" s="26" t="s">
        <v>2106</v>
      </c>
      <c r="H151" s="27"/>
      <c r="I151" s="26"/>
      <c r="J151" s="15" t="s">
        <v>632</v>
      </c>
      <c r="K151" s="15" t="s">
        <v>803</v>
      </c>
      <c r="L151" s="15" t="s">
        <v>633</v>
      </c>
    </row>
    <row r="152" s="1" customFormat="1" spans="1:12">
      <c r="A152" s="33"/>
      <c r="B152" s="52" t="s">
        <v>2107</v>
      </c>
      <c r="C152" s="52" t="s">
        <v>338</v>
      </c>
      <c r="D152" s="10" t="s">
        <v>2108</v>
      </c>
      <c r="E152" s="25" t="s">
        <v>266</v>
      </c>
      <c r="F152" s="55"/>
      <c r="G152" s="26" t="s">
        <v>2109</v>
      </c>
      <c r="H152" s="27"/>
      <c r="I152" s="26"/>
      <c r="J152" s="15" t="s">
        <v>632</v>
      </c>
      <c r="K152" s="15" t="s">
        <v>669</v>
      </c>
      <c r="L152" s="15" t="s">
        <v>670</v>
      </c>
    </row>
    <row r="153" s="1" customFormat="1" spans="1:12">
      <c r="A153" s="33"/>
      <c r="B153" s="52" t="s">
        <v>1912</v>
      </c>
      <c r="C153" s="52" t="s">
        <v>338</v>
      </c>
      <c r="D153" s="10" t="s">
        <v>2110</v>
      </c>
      <c r="E153" s="25" t="s">
        <v>266</v>
      </c>
      <c r="F153" s="55"/>
      <c r="G153" s="26" t="s">
        <v>2111</v>
      </c>
      <c r="H153" s="27"/>
      <c r="I153" s="26"/>
      <c r="J153" s="15" t="s">
        <v>632</v>
      </c>
      <c r="K153" s="15" t="s">
        <v>803</v>
      </c>
      <c r="L153" s="15" t="s">
        <v>633</v>
      </c>
    </row>
    <row r="154" s="1" customFormat="1" spans="1:12">
      <c r="A154" s="33"/>
      <c r="B154" s="52" t="s">
        <v>2112</v>
      </c>
      <c r="C154" s="52" t="s">
        <v>666</v>
      </c>
      <c r="D154" s="54" t="s">
        <v>2113</v>
      </c>
      <c r="E154" s="25" t="s">
        <v>266</v>
      </c>
      <c r="F154" s="55"/>
      <c r="G154" s="26" t="s">
        <v>2114</v>
      </c>
      <c r="H154" s="27"/>
      <c r="I154" s="26"/>
      <c r="J154" s="15" t="s">
        <v>632</v>
      </c>
      <c r="K154" s="15" t="s">
        <v>669</v>
      </c>
      <c r="L154" s="15" t="s">
        <v>670</v>
      </c>
    </row>
    <row r="155" s="1" customFormat="1" spans="1:12">
      <c r="A155" s="33"/>
      <c r="B155" s="52" t="s">
        <v>2115</v>
      </c>
      <c r="C155" s="52" t="s">
        <v>338</v>
      </c>
      <c r="D155" s="54" t="s">
        <v>2116</v>
      </c>
      <c r="E155" s="25" t="s">
        <v>266</v>
      </c>
      <c r="F155" s="55"/>
      <c r="G155" s="26" t="s">
        <v>2117</v>
      </c>
      <c r="H155" s="27"/>
      <c r="I155" s="26"/>
      <c r="J155" s="15" t="s">
        <v>632</v>
      </c>
      <c r="K155" s="15" t="s">
        <v>803</v>
      </c>
      <c r="L155" s="15" t="s">
        <v>633</v>
      </c>
    </row>
    <row r="156" s="1" customFormat="1" spans="1:12">
      <c r="A156" s="33"/>
      <c r="B156" s="52" t="s">
        <v>2118</v>
      </c>
      <c r="C156" s="52" t="s">
        <v>338</v>
      </c>
      <c r="D156" s="54" t="s">
        <v>2119</v>
      </c>
      <c r="E156" s="25" t="s">
        <v>266</v>
      </c>
      <c r="F156" s="55"/>
      <c r="G156" s="26" t="s">
        <v>2120</v>
      </c>
      <c r="H156" s="27"/>
      <c r="I156" s="26"/>
      <c r="J156" s="15" t="s">
        <v>632</v>
      </c>
      <c r="K156" s="15" t="s">
        <v>803</v>
      </c>
      <c r="L156" s="15" t="s">
        <v>633</v>
      </c>
    </row>
    <row r="157" s="1" customFormat="1" spans="1:12">
      <c r="A157" s="33"/>
      <c r="B157" s="52" t="s">
        <v>2121</v>
      </c>
      <c r="C157" s="52" t="s">
        <v>338</v>
      </c>
      <c r="D157" s="54" t="s">
        <v>2122</v>
      </c>
      <c r="E157" s="25" t="s">
        <v>266</v>
      </c>
      <c r="F157" s="55"/>
      <c r="G157" s="26" t="s">
        <v>2123</v>
      </c>
      <c r="H157" s="27"/>
      <c r="I157" s="26"/>
      <c r="J157" s="15" t="s">
        <v>632</v>
      </c>
      <c r="K157" s="15" t="s">
        <v>803</v>
      </c>
      <c r="L157" s="15" t="s">
        <v>633</v>
      </c>
    </row>
    <row r="158" s="1" customFormat="1" spans="1:12">
      <c r="A158" s="33"/>
      <c r="B158" s="52" t="s">
        <v>2124</v>
      </c>
      <c r="C158" s="52" t="s">
        <v>338</v>
      </c>
      <c r="D158" s="54" t="s">
        <v>2125</v>
      </c>
      <c r="E158" s="25" t="s">
        <v>266</v>
      </c>
      <c r="F158" s="55"/>
      <c r="G158" s="26" t="s">
        <v>2126</v>
      </c>
      <c r="H158" s="27"/>
      <c r="I158" s="26"/>
      <c r="J158" s="15" t="s">
        <v>632</v>
      </c>
      <c r="K158" s="15" t="s">
        <v>803</v>
      </c>
      <c r="L158" s="15" t="s">
        <v>633</v>
      </c>
    </row>
    <row r="159" s="1" customFormat="1" spans="1:12">
      <c r="A159" s="33"/>
      <c r="B159" s="52" t="s">
        <v>2127</v>
      </c>
      <c r="C159" s="52" t="s">
        <v>338</v>
      </c>
      <c r="D159" s="54" t="s">
        <v>2128</v>
      </c>
      <c r="E159" s="25" t="s">
        <v>266</v>
      </c>
      <c r="F159" s="55"/>
      <c r="G159" s="26" t="s">
        <v>2129</v>
      </c>
      <c r="H159" s="27"/>
      <c r="I159" s="26"/>
      <c r="J159" s="15" t="s">
        <v>632</v>
      </c>
      <c r="K159" s="15" t="s">
        <v>803</v>
      </c>
      <c r="L159" s="15" t="s">
        <v>633</v>
      </c>
    </row>
    <row r="160" s="1" customFormat="1" spans="1:12">
      <c r="A160" s="33"/>
      <c r="B160" s="52" t="s">
        <v>2130</v>
      </c>
      <c r="C160" s="52" t="s">
        <v>338</v>
      </c>
      <c r="D160" s="54" t="s">
        <v>2131</v>
      </c>
      <c r="E160" s="25" t="s">
        <v>266</v>
      </c>
      <c r="F160" s="55"/>
      <c r="G160" s="26" t="s">
        <v>2132</v>
      </c>
      <c r="H160" s="27"/>
      <c r="I160" s="26"/>
      <c r="J160" s="15" t="s">
        <v>632</v>
      </c>
      <c r="K160" s="15" t="s">
        <v>294</v>
      </c>
      <c r="L160" s="15" t="s">
        <v>633</v>
      </c>
    </row>
    <row r="161" s="1" customFormat="1" spans="1:12">
      <c r="A161" s="33"/>
      <c r="B161" s="52" t="s">
        <v>2133</v>
      </c>
      <c r="C161" s="52" t="s">
        <v>338</v>
      </c>
      <c r="D161" s="54" t="s">
        <v>2134</v>
      </c>
      <c r="E161" s="25" t="s">
        <v>266</v>
      </c>
      <c r="F161" s="55"/>
      <c r="G161" s="26" t="s">
        <v>2135</v>
      </c>
      <c r="H161" s="27"/>
      <c r="I161" s="26"/>
      <c r="J161" s="15" t="s">
        <v>632</v>
      </c>
      <c r="K161" s="15" t="s">
        <v>669</v>
      </c>
      <c r="L161" s="15" t="s">
        <v>633</v>
      </c>
    </row>
    <row r="162" s="1" customFormat="1" spans="1:12">
      <c r="A162" s="33"/>
      <c r="B162" s="13" t="s">
        <v>887</v>
      </c>
      <c r="C162" s="13" t="s">
        <v>338</v>
      </c>
      <c r="D162" s="10" t="s">
        <v>888</v>
      </c>
      <c r="E162" s="25" t="s">
        <v>266</v>
      </c>
      <c r="F162" s="55"/>
      <c r="G162" s="26" t="s">
        <v>889</v>
      </c>
      <c r="H162" s="27"/>
      <c r="I162" s="26"/>
      <c r="J162" s="15" t="s">
        <v>632</v>
      </c>
      <c r="K162" s="15" t="s">
        <v>294</v>
      </c>
      <c r="L162" s="15" t="s">
        <v>633</v>
      </c>
    </row>
    <row r="163" s="1" customFormat="1" spans="1:12">
      <c r="A163" s="33"/>
      <c r="B163" s="13" t="s">
        <v>926</v>
      </c>
      <c r="C163" s="13" t="s">
        <v>291</v>
      </c>
      <c r="D163" s="10" t="s">
        <v>927</v>
      </c>
      <c r="E163" s="25" t="s">
        <v>266</v>
      </c>
      <c r="F163" s="35"/>
      <c r="G163" s="35" t="s">
        <v>928</v>
      </c>
      <c r="H163" s="27"/>
      <c r="I163" s="56">
        <v>20250415101139</v>
      </c>
      <c r="J163" s="15" t="s">
        <v>632</v>
      </c>
      <c r="K163" s="15" t="s">
        <v>294</v>
      </c>
      <c r="L163" s="15" t="s">
        <v>670</v>
      </c>
    </row>
    <row r="164" s="1" customFormat="1" spans="1:12">
      <c r="A164" s="33"/>
      <c r="B164" s="13" t="s">
        <v>929</v>
      </c>
      <c r="C164" s="13" t="s">
        <v>291</v>
      </c>
      <c r="D164" s="10" t="s">
        <v>930</v>
      </c>
      <c r="E164" s="25" t="s">
        <v>266</v>
      </c>
      <c r="F164" s="35"/>
      <c r="G164" s="35" t="s">
        <v>931</v>
      </c>
      <c r="H164" s="27"/>
      <c r="I164" s="56">
        <v>20250415101024</v>
      </c>
      <c r="J164" s="15" t="s">
        <v>632</v>
      </c>
      <c r="K164" s="15" t="s">
        <v>294</v>
      </c>
      <c r="L164" s="15" t="s">
        <v>670</v>
      </c>
    </row>
    <row r="165" s="2" customFormat="1" spans="2:14">
      <c r="B165" s="17" t="s">
        <v>594</v>
      </c>
      <c r="C165" s="18" t="s">
        <v>307</v>
      </c>
      <c r="D165" s="19" t="s">
        <v>595</v>
      </c>
      <c r="E165" s="28"/>
      <c r="F165" s="28"/>
      <c r="G165" s="28" t="s">
        <v>932</v>
      </c>
      <c r="H165" s="17" t="s">
        <v>932</v>
      </c>
      <c r="I165" s="17"/>
      <c r="J165" s="17"/>
      <c r="K165" s="17"/>
      <c r="L165" s="17"/>
      <c r="M165" s="17"/>
      <c r="N165" s="17"/>
    </row>
    <row r="166" s="2" customFormat="1" spans="2:14">
      <c r="B166" s="17" t="s">
        <v>596</v>
      </c>
      <c r="C166" s="18" t="s">
        <v>291</v>
      </c>
      <c r="D166" s="19" t="s">
        <v>597</v>
      </c>
      <c r="E166" s="28"/>
      <c r="F166" s="28"/>
      <c r="G166" s="28" t="s">
        <v>932</v>
      </c>
      <c r="H166" s="17" t="s">
        <v>932</v>
      </c>
      <c r="I166" s="17"/>
      <c r="J166" s="17"/>
      <c r="K166" s="17"/>
      <c r="L166" s="17"/>
      <c r="M166" s="17"/>
      <c r="N166" s="17"/>
    </row>
    <row r="167" s="2" customFormat="1" spans="2:14">
      <c r="B167" s="17" t="s">
        <v>598</v>
      </c>
      <c r="C167" s="18" t="s">
        <v>307</v>
      </c>
      <c r="D167" s="19" t="s">
        <v>599</v>
      </c>
      <c r="E167" s="28"/>
      <c r="F167" s="28"/>
      <c r="G167" s="28" t="s">
        <v>932</v>
      </c>
      <c r="H167" s="17" t="s">
        <v>932</v>
      </c>
      <c r="I167" s="17"/>
      <c r="J167" s="17"/>
      <c r="K167" s="17"/>
      <c r="L167" s="17"/>
      <c r="M167" s="17"/>
      <c r="N167" s="17"/>
    </row>
    <row r="168" s="2" customFormat="1" spans="2:14">
      <c r="B168" s="17" t="s">
        <v>600</v>
      </c>
      <c r="C168" s="18" t="s">
        <v>307</v>
      </c>
      <c r="D168" s="19" t="s">
        <v>601</v>
      </c>
      <c r="E168" s="28"/>
      <c r="F168" s="28"/>
      <c r="G168" s="28" t="s">
        <v>932</v>
      </c>
      <c r="H168" s="17" t="s">
        <v>932</v>
      </c>
      <c r="I168" s="17"/>
      <c r="J168" s="17"/>
      <c r="K168" s="17"/>
      <c r="L168" s="17"/>
      <c r="M168" s="17"/>
      <c r="N168" s="17"/>
    </row>
  </sheetData>
  <autoFilter xmlns:etc="http://www.wps.cn/officeDocument/2017/etCustomData" ref="A13:N16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zoomScale="85" zoomScaleNormal="85" workbookViewId="0">
      <pane ySplit="5" topLeftCell="A6" activePane="bottomLeft" state="frozen"/>
      <selection/>
      <selection pane="bottomLeft" activeCell="B17" sqref="B1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51" t="s">
        <v>185</v>
      </c>
      <c r="D5" s="10" t="s">
        <v>186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183</v>
      </c>
      <c r="D9" s="10" t="s">
        <v>184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26" t="s">
        <v>514</v>
      </c>
      <c r="G24" s="26" t="s">
        <v>293</v>
      </c>
      <c r="H24" s="25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295</v>
      </c>
      <c r="C25" s="13" t="s">
        <v>291</v>
      </c>
      <c r="D25" s="10" t="s">
        <v>618</v>
      </c>
      <c r="E25" s="25" t="s">
        <v>266</v>
      </c>
      <c r="F25" s="26" t="s">
        <v>295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26" t="s">
        <v>297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26" t="s">
        <v>300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302</v>
      </c>
      <c r="C28" s="13" t="s">
        <v>291</v>
      </c>
      <c r="D28" s="10" t="s">
        <v>303</v>
      </c>
      <c r="E28" s="25" t="s">
        <v>266</v>
      </c>
      <c r="F28" s="26" t="s">
        <v>302</v>
      </c>
      <c r="G28" s="26" t="s">
        <v>293</v>
      </c>
      <c r="H28" s="25"/>
      <c r="I28" s="30"/>
      <c r="J28" s="15" t="s">
        <v>604</v>
      </c>
      <c r="K28" s="15" t="s">
        <v>294</v>
      </c>
      <c r="L28" s="15" t="s">
        <v>294</v>
      </c>
    </row>
    <row r="29" s="1" customFormat="1" spans="1:12">
      <c r="A29" s="33"/>
      <c r="B29" s="13" t="s">
        <v>313</v>
      </c>
      <c r="C29" s="13" t="s">
        <v>291</v>
      </c>
      <c r="D29" s="10" t="s">
        <v>620</v>
      </c>
      <c r="E29" s="25" t="s">
        <v>266</v>
      </c>
      <c r="F29" s="26" t="s">
        <v>313</v>
      </c>
      <c r="G29" s="26" t="s">
        <v>293</v>
      </c>
      <c r="H29" s="25"/>
      <c r="I29" s="30"/>
      <c r="J29" s="15" t="s">
        <v>604</v>
      </c>
      <c r="K29" s="15" t="s">
        <v>294</v>
      </c>
      <c r="L29" s="15" t="s">
        <v>294</v>
      </c>
    </row>
    <row r="30" s="1" customFormat="1" spans="1:12">
      <c r="A30" s="33"/>
      <c r="B30" s="32" t="s">
        <v>315</v>
      </c>
      <c r="C30" s="13" t="s">
        <v>291</v>
      </c>
      <c r="D30" s="10" t="s">
        <v>621</v>
      </c>
      <c r="E30" s="25" t="s">
        <v>266</v>
      </c>
      <c r="F30" s="26" t="s">
        <v>315</v>
      </c>
      <c r="G30" s="26" t="s">
        <v>293</v>
      </c>
      <c r="H30" s="25"/>
      <c r="I30" s="30"/>
      <c r="J30" s="15" t="s">
        <v>604</v>
      </c>
      <c r="K30" s="15" t="s">
        <v>294</v>
      </c>
      <c r="L30" s="15" t="s">
        <v>294</v>
      </c>
    </row>
    <row r="31" s="1" customFormat="1" spans="2:12">
      <c r="B31" s="32" t="s">
        <v>317</v>
      </c>
      <c r="C31" s="13" t="s">
        <v>291</v>
      </c>
      <c r="D31" s="10" t="s">
        <v>622</v>
      </c>
      <c r="E31" s="25" t="s">
        <v>266</v>
      </c>
      <c r="F31" s="26" t="s">
        <v>317</v>
      </c>
      <c r="G31" s="26" t="s">
        <v>293</v>
      </c>
      <c r="H31" s="25"/>
      <c r="I31" s="15"/>
      <c r="J31" s="15" t="s">
        <v>604</v>
      </c>
      <c r="K31" s="15" t="s">
        <v>294</v>
      </c>
      <c r="L31" s="15" t="s">
        <v>294</v>
      </c>
    </row>
    <row r="32" s="1" customFormat="1" spans="2:12">
      <c r="B32" s="32" t="s">
        <v>331</v>
      </c>
      <c r="C32" s="13" t="s">
        <v>291</v>
      </c>
      <c r="D32" s="10" t="s">
        <v>623</v>
      </c>
      <c r="E32" s="25" t="s">
        <v>266</v>
      </c>
      <c r="F32" s="26" t="s">
        <v>331</v>
      </c>
      <c r="G32" s="26" t="s">
        <v>293</v>
      </c>
      <c r="H32" s="25"/>
      <c r="I32" s="15"/>
      <c r="J32" s="15" t="s">
        <v>604</v>
      </c>
      <c r="K32" s="15" t="s">
        <v>294</v>
      </c>
      <c r="L32" s="15" t="s">
        <v>294</v>
      </c>
    </row>
    <row r="33" s="33" customFormat="1" spans="2:12">
      <c r="B33" s="32" t="s">
        <v>356</v>
      </c>
      <c r="C33" s="13" t="s">
        <v>291</v>
      </c>
      <c r="D33" s="10" t="s">
        <v>357</v>
      </c>
      <c r="E33" s="25" t="s">
        <v>266</v>
      </c>
      <c r="F33" s="26" t="s">
        <v>356</v>
      </c>
      <c r="G33" s="26" t="s">
        <v>293</v>
      </c>
      <c r="H33" s="25"/>
      <c r="I33" s="30"/>
      <c r="J33" s="15" t="s">
        <v>604</v>
      </c>
      <c r="K33" s="15" t="s">
        <v>294</v>
      </c>
      <c r="L33" s="15" t="s">
        <v>294</v>
      </c>
    </row>
    <row r="34" s="33" customFormat="1" spans="2:12">
      <c r="B34" s="32" t="s">
        <v>378</v>
      </c>
      <c r="C34" s="13" t="s">
        <v>291</v>
      </c>
      <c r="D34" s="10" t="s">
        <v>624</v>
      </c>
      <c r="E34" s="25" t="s">
        <v>266</v>
      </c>
      <c r="F34" s="26" t="s">
        <v>378</v>
      </c>
      <c r="G34" s="26" t="s">
        <v>293</v>
      </c>
      <c r="H34" s="25"/>
      <c r="I34" s="30"/>
      <c r="J34" s="15" t="s">
        <v>604</v>
      </c>
      <c r="K34" s="15" t="s">
        <v>294</v>
      </c>
      <c r="L34" s="15" t="s">
        <v>615</v>
      </c>
    </row>
    <row r="35" s="59" customFormat="1" spans="1:12">
      <c r="A35" s="60"/>
      <c r="B35" s="61" t="s">
        <v>1874</v>
      </c>
      <c r="C35" s="13" t="s">
        <v>307</v>
      </c>
      <c r="D35" s="10" t="s">
        <v>1915</v>
      </c>
      <c r="E35" s="25" t="s">
        <v>266</v>
      </c>
      <c r="F35" s="26" t="s">
        <v>1874</v>
      </c>
      <c r="G35" s="26" t="s">
        <v>293</v>
      </c>
      <c r="H35" s="25"/>
      <c r="I35" s="52"/>
      <c r="J35" s="15" t="s">
        <v>604</v>
      </c>
      <c r="K35" s="15" t="s">
        <v>294</v>
      </c>
      <c r="L35" s="15" t="s">
        <v>294</v>
      </c>
    </row>
    <row r="36" s="1" customFormat="1" spans="2:12">
      <c r="B36" s="61" t="s">
        <v>384</v>
      </c>
      <c r="C36" s="32" t="s">
        <v>307</v>
      </c>
      <c r="D36" s="10" t="s">
        <v>625</v>
      </c>
      <c r="E36" s="25" t="s">
        <v>266</v>
      </c>
      <c r="F36" s="26" t="s">
        <v>384</v>
      </c>
      <c r="G36" s="26" t="s">
        <v>293</v>
      </c>
      <c r="H36" s="25"/>
      <c r="I36" s="15"/>
      <c r="J36" s="15" t="s">
        <v>604</v>
      </c>
      <c r="K36" s="15" t="s">
        <v>294</v>
      </c>
      <c r="L36" s="15" t="s">
        <v>294</v>
      </c>
    </row>
    <row r="37" s="1" customFormat="1" spans="2:12">
      <c r="B37" s="61" t="s">
        <v>440</v>
      </c>
      <c r="C37" s="32" t="s">
        <v>307</v>
      </c>
      <c r="D37" s="10" t="s">
        <v>627</v>
      </c>
      <c r="E37" s="25" t="s">
        <v>266</v>
      </c>
      <c r="F37" s="26" t="s">
        <v>440</v>
      </c>
      <c r="G37" s="26" t="s">
        <v>293</v>
      </c>
      <c r="H37" s="25"/>
      <c r="I37" s="15"/>
      <c r="J37" s="15" t="s">
        <v>604</v>
      </c>
      <c r="K37" s="15" t="s">
        <v>294</v>
      </c>
      <c r="L37" s="15" t="s">
        <v>294</v>
      </c>
    </row>
    <row r="38" s="59" customFormat="1" spans="1:12">
      <c r="A38" s="60"/>
      <c r="B38" s="61" t="s">
        <v>567</v>
      </c>
      <c r="C38" s="13" t="s">
        <v>291</v>
      </c>
      <c r="D38" s="10" t="s">
        <v>568</v>
      </c>
      <c r="E38" s="25" t="s">
        <v>266</v>
      </c>
      <c r="F38" s="26" t="s">
        <v>567</v>
      </c>
      <c r="G38" s="26" t="s">
        <v>293</v>
      </c>
      <c r="H38" s="25"/>
      <c r="I38" s="52"/>
      <c r="J38" s="15" t="s">
        <v>604</v>
      </c>
      <c r="K38" s="15" t="s">
        <v>294</v>
      </c>
      <c r="L38" s="15" t="s">
        <v>294</v>
      </c>
    </row>
    <row r="39" s="59" customFormat="1" spans="1:12">
      <c r="A39" s="60"/>
      <c r="B39" s="61" t="s">
        <v>579</v>
      </c>
      <c r="C39" s="13" t="s">
        <v>307</v>
      </c>
      <c r="D39" s="10" t="s">
        <v>580</v>
      </c>
      <c r="E39" s="25" t="s">
        <v>266</v>
      </c>
      <c r="F39" s="26" t="s">
        <v>579</v>
      </c>
      <c r="G39" s="26" t="s">
        <v>293</v>
      </c>
      <c r="H39" s="25"/>
      <c r="I39" s="52"/>
      <c r="J39" s="15" t="s">
        <v>604</v>
      </c>
      <c r="K39" s="15" t="s">
        <v>294</v>
      </c>
      <c r="L39" s="15" t="s">
        <v>626</v>
      </c>
    </row>
    <row r="40" s="1" customFormat="1" spans="1:12">
      <c r="A40" s="33"/>
      <c r="B40" s="13" t="s">
        <v>582</v>
      </c>
      <c r="C40" s="13" t="s">
        <v>307</v>
      </c>
      <c r="D40" s="10" t="s">
        <v>583</v>
      </c>
      <c r="E40" s="25" t="s">
        <v>266</v>
      </c>
      <c r="F40" s="26" t="s">
        <v>582</v>
      </c>
      <c r="G40" s="26" t="s">
        <v>293</v>
      </c>
      <c r="H40" s="25"/>
      <c r="I40" s="26"/>
      <c r="J40" s="15" t="s">
        <v>604</v>
      </c>
      <c r="K40" s="15" t="s">
        <v>294</v>
      </c>
      <c r="L40" s="15" t="s">
        <v>626</v>
      </c>
    </row>
    <row r="41" s="1" customFormat="1" spans="1:12">
      <c r="A41" s="33"/>
      <c r="B41" s="13" t="s">
        <v>629</v>
      </c>
      <c r="C41" s="13" t="s">
        <v>338</v>
      </c>
      <c r="D41" s="10" t="s">
        <v>630</v>
      </c>
      <c r="E41" s="25" t="s">
        <v>266</v>
      </c>
      <c r="F41" s="26"/>
      <c r="G41" s="26" t="s">
        <v>933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637</v>
      </c>
      <c r="C42" s="13" t="s">
        <v>338</v>
      </c>
      <c r="D42" s="10" t="s">
        <v>638</v>
      </c>
      <c r="E42" s="25" t="s">
        <v>266</v>
      </c>
      <c r="F42" s="26"/>
      <c r="G42" s="26" t="s">
        <v>935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32" t="s">
        <v>337</v>
      </c>
      <c r="C43" s="32" t="s">
        <v>338</v>
      </c>
      <c r="D43" s="10" t="s">
        <v>640</v>
      </c>
      <c r="E43" s="25" t="s">
        <v>266</v>
      </c>
      <c r="F43" s="26"/>
      <c r="G43" s="26" t="s">
        <v>641</v>
      </c>
      <c r="H43" s="37"/>
      <c r="I43" s="26"/>
      <c r="J43" s="15" t="s">
        <v>632</v>
      </c>
      <c r="K43" s="15" t="s">
        <v>404</v>
      </c>
      <c r="L43" s="15" t="s">
        <v>633</v>
      </c>
    </row>
    <row r="44" s="1" customFormat="1" spans="1:12">
      <c r="A44" s="33"/>
      <c r="B44" s="13" t="s">
        <v>342</v>
      </c>
      <c r="C44" s="13" t="s">
        <v>338</v>
      </c>
      <c r="D44" s="10" t="s">
        <v>642</v>
      </c>
      <c r="E44" s="25" t="s">
        <v>266</v>
      </c>
      <c r="F44" s="26"/>
      <c r="G44" s="26" t="s">
        <v>643</v>
      </c>
      <c r="H44" s="37"/>
      <c r="I44" s="26"/>
      <c r="J44" s="15" t="s">
        <v>632</v>
      </c>
      <c r="K44" s="15" t="s">
        <v>644</v>
      </c>
      <c r="L44" s="15" t="s">
        <v>633</v>
      </c>
    </row>
    <row r="45" s="1" customFormat="1" spans="1:12">
      <c r="A45" s="33"/>
      <c r="B45" s="13" t="s">
        <v>340</v>
      </c>
      <c r="C45" s="13" t="s">
        <v>338</v>
      </c>
      <c r="D45" s="10" t="s">
        <v>645</v>
      </c>
      <c r="E45" s="25" t="s">
        <v>266</v>
      </c>
      <c r="F45" s="26"/>
      <c r="G45" s="26" t="s">
        <v>646</v>
      </c>
      <c r="H45" s="37"/>
      <c r="I45" s="26"/>
      <c r="J45" s="15" t="s">
        <v>632</v>
      </c>
      <c r="K45" s="15" t="s">
        <v>644</v>
      </c>
      <c r="L45" s="15" t="s">
        <v>633</v>
      </c>
    </row>
    <row r="46" s="1" customFormat="1" spans="1:12">
      <c r="A46" s="33"/>
      <c r="B46" s="13" t="s">
        <v>647</v>
      </c>
      <c r="C46" s="13" t="s">
        <v>338</v>
      </c>
      <c r="D46" s="10" t="s">
        <v>648</v>
      </c>
      <c r="E46" s="25" t="s">
        <v>266</v>
      </c>
      <c r="F46" s="26"/>
      <c r="G46" s="26" t="s">
        <v>936</v>
      </c>
      <c r="H46" s="37"/>
      <c r="I46" s="26"/>
      <c r="J46" s="15" t="s">
        <v>632</v>
      </c>
      <c r="K46" s="15" t="s">
        <v>644</v>
      </c>
      <c r="L46" s="15" t="s">
        <v>633</v>
      </c>
    </row>
    <row r="47" s="1" customFormat="1" spans="1:12">
      <c r="A47" s="33"/>
      <c r="B47" s="13" t="s">
        <v>650</v>
      </c>
      <c r="C47" s="13" t="s">
        <v>338</v>
      </c>
      <c r="D47" s="10" t="s">
        <v>651</v>
      </c>
      <c r="E47" s="25" t="s">
        <v>266</v>
      </c>
      <c r="F47" s="26"/>
      <c r="G47" s="26" t="s">
        <v>937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656</v>
      </c>
      <c r="C48" s="13" t="s">
        <v>338</v>
      </c>
      <c r="D48" s="10" t="s">
        <v>657</v>
      </c>
      <c r="E48" s="25" t="s">
        <v>266</v>
      </c>
      <c r="F48" s="26"/>
      <c r="G48" s="26" t="s">
        <v>939</v>
      </c>
      <c r="H48" s="37"/>
      <c r="I48" s="26"/>
      <c r="J48" s="15" t="s">
        <v>632</v>
      </c>
      <c r="K48" s="15" t="s">
        <v>644</v>
      </c>
      <c r="L48" s="15" t="s">
        <v>633</v>
      </c>
    </row>
    <row r="49" s="1" customFormat="1" spans="1:12">
      <c r="A49" s="33"/>
      <c r="B49" s="13" t="s">
        <v>659</v>
      </c>
      <c r="C49" s="13" t="s">
        <v>338</v>
      </c>
      <c r="D49" s="10" t="s">
        <v>660</v>
      </c>
      <c r="E49" s="25" t="s">
        <v>266</v>
      </c>
      <c r="F49" s="26"/>
      <c r="G49" s="26" t="s">
        <v>940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346</v>
      </c>
      <c r="C50" s="13" t="s">
        <v>338</v>
      </c>
      <c r="D50" s="10" t="s">
        <v>693</v>
      </c>
      <c r="E50" s="25" t="s">
        <v>266</v>
      </c>
      <c r="F50" s="26"/>
      <c r="G50" s="26" t="s">
        <v>694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344</v>
      </c>
      <c r="C51" s="13" t="s">
        <v>338</v>
      </c>
      <c r="D51" s="10" t="s">
        <v>695</v>
      </c>
      <c r="E51" s="25" t="s">
        <v>266</v>
      </c>
      <c r="F51" s="26"/>
      <c r="G51" s="26" t="s">
        <v>696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392</v>
      </c>
      <c r="C52" s="13" t="s">
        <v>338</v>
      </c>
      <c r="D52" s="10" t="s">
        <v>697</v>
      </c>
      <c r="E52" s="25" t="s">
        <v>266</v>
      </c>
      <c r="F52" s="26"/>
      <c r="G52" s="26" t="s">
        <v>698</v>
      </c>
      <c r="H52" s="3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394</v>
      </c>
      <c r="C53" s="13" t="s">
        <v>338</v>
      </c>
      <c r="D53" s="10" t="s">
        <v>699</v>
      </c>
      <c r="E53" s="25" t="s">
        <v>266</v>
      </c>
      <c r="F53" s="26"/>
      <c r="G53" s="26" t="s">
        <v>700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701</v>
      </c>
      <c r="C54" s="13" t="s">
        <v>338</v>
      </c>
      <c r="D54" s="10" t="s">
        <v>702</v>
      </c>
      <c r="E54" s="25" t="s">
        <v>266</v>
      </c>
      <c r="F54" s="26"/>
      <c r="G54" s="26" t="s">
        <v>950</v>
      </c>
      <c r="H54" s="37"/>
      <c r="I54" s="26"/>
      <c r="J54" s="15" t="s">
        <v>632</v>
      </c>
      <c r="K54" s="15" t="s">
        <v>294</v>
      </c>
      <c r="L54" s="15" t="s">
        <v>633</v>
      </c>
    </row>
    <row r="55" s="1" customFormat="1" spans="1:12">
      <c r="A55" s="33"/>
      <c r="B55" s="13" t="s">
        <v>704</v>
      </c>
      <c r="C55" s="13" t="s">
        <v>338</v>
      </c>
      <c r="D55" s="10" t="s">
        <v>705</v>
      </c>
      <c r="E55" s="25" t="s">
        <v>266</v>
      </c>
      <c r="F55" s="26"/>
      <c r="G55" s="26" t="s">
        <v>951</v>
      </c>
      <c r="H55" s="37"/>
      <c r="I55" s="26"/>
      <c r="J55" s="15" t="s">
        <v>632</v>
      </c>
      <c r="K55" s="15" t="s">
        <v>294</v>
      </c>
      <c r="L55" s="15" t="s">
        <v>633</v>
      </c>
    </row>
    <row r="56" s="1" customFormat="1" spans="1:12">
      <c r="A56" s="33"/>
      <c r="B56" s="13" t="s">
        <v>707</v>
      </c>
      <c r="C56" s="13" t="s">
        <v>338</v>
      </c>
      <c r="D56" s="10" t="s">
        <v>708</v>
      </c>
      <c r="E56" s="25" t="s">
        <v>266</v>
      </c>
      <c r="F56" s="26"/>
      <c r="G56" s="26" t="s">
        <v>952</v>
      </c>
      <c r="H56" s="37"/>
      <c r="I56" s="26"/>
      <c r="J56" s="15" t="s">
        <v>632</v>
      </c>
      <c r="K56" s="15" t="s">
        <v>294</v>
      </c>
      <c r="L56" s="15" t="s">
        <v>633</v>
      </c>
    </row>
    <row r="57" s="1" customFormat="1" spans="1:12">
      <c r="A57" s="33"/>
      <c r="B57" s="13" t="s">
        <v>710</v>
      </c>
      <c r="C57" s="13" t="s">
        <v>338</v>
      </c>
      <c r="D57" s="10" t="s">
        <v>711</v>
      </c>
      <c r="E57" s="25" t="s">
        <v>266</v>
      </c>
      <c r="F57" s="26"/>
      <c r="G57" s="26" t="s">
        <v>953</v>
      </c>
      <c r="H57" s="37"/>
      <c r="I57" s="26"/>
      <c r="J57" s="15" t="s">
        <v>632</v>
      </c>
      <c r="K57" s="15" t="s">
        <v>294</v>
      </c>
      <c r="L57" s="15" t="s">
        <v>633</v>
      </c>
    </row>
    <row r="58" s="1" customFormat="1" spans="1:12">
      <c r="A58" s="33"/>
      <c r="B58" s="13" t="s">
        <v>713</v>
      </c>
      <c r="C58" s="13" t="s">
        <v>338</v>
      </c>
      <c r="D58" s="10" t="s">
        <v>714</v>
      </c>
      <c r="E58" s="25" t="s">
        <v>266</v>
      </c>
      <c r="F58" s="26"/>
      <c r="G58" s="26" t="s">
        <v>954</v>
      </c>
      <c r="H58" s="3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716</v>
      </c>
      <c r="C59" s="13" t="s">
        <v>338</v>
      </c>
      <c r="D59" s="10" t="s">
        <v>717</v>
      </c>
      <c r="E59" s="25" t="s">
        <v>266</v>
      </c>
      <c r="F59" s="26"/>
      <c r="G59" s="26" t="s">
        <v>955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410</v>
      </c>
      <c r="C60" s="13" t="s">
        <v>338</v>
      </c>
      <c r="D60" s="10" t="s">
        <v>719</v>
      </c>
      <c r="E60" s="25" t="s">
        <v>266</v>
      </c>
      <c r="F60" s="26"/>
      <c r="G60" s="26" t="s">
        <v>720</v>
      </c>
      <c r="H60" s="3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412</v>
      </c>
      <c r="C61" s="13" t="s">
        <v>338</v>
      </c>
      <c r="D61" s="10" t="s">
        <v>721</v>
      </c>
      <c r="E61" s="25" t="s">
        <v>266</v>
      </c>
      <c r="F61" s="26"/>
      <c r="G61" s="26" t="s">
        <v>722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1916</v>
      </c>
      <c r="C62" s="13" t="s">
        <v>338</v>
      </c>
      <c r="D62" s="10" t="s">
        <v>1917</v>
      </c>
      <c r="E62" s="25" t="s">
        <v>266</v>
      </c>
      <c r="F62" s="26"/>
      <c r="G62" s="26" t="s">
        <v>2136</v>
      </c>
      <c r="H62" s="37"/>
      <c r="I62" s="26"/>
      <c r="J62" s="15" t="s">
        <v>632</v>
      </c>
      <c r="K62" s="15" t="s">
        <v>803</v>
      </c>
      <c r="L62" s="15" t="s">
        <v>633</v>
      </c>
    </row>
    <row r="63" s="1" customFormat="1" spans="1:12">
      <c r="A63" s="33"/>
      <c r="B63" s="13" t="s">
        <v>1919</v>
      </c>
      <c r="C63" s="13" t="s">
        <v>338</v>
      </c>
      <c r="D63" s="10" t="s">
        <v>1920</v>
      </c>
      <c r="E63" s="25" t="s">
        <v>266</v>
      </c>
      <c r="F63" s="26"/>
      <c r="G63" s="26" t="s">
        <v>2137</v>
      </c>
      <c r="H63" s="37"/>
      <c r="I63" s="26"/>
      <c r="J63" s="15" t="s">
        <v>632</v>
      </c>
      <c r="K63" s="15" t="s">
        <v>803</v>
      </c>
      <c r="L63" s="15" t="s">
        <v>633</v>
      </c>
    </row>
    <row r="64" s="1" customFormat="1" spans="1:12">
      <c r="A64" s="33"/>
      <c r="B64" s="13" t="s">
        <v>1922</v>
      </c>
      <c r="C64" s="13" t="s">
        <v>338</v>
      </c>
      <c r="D64" s="10" t="s">
        <v>1923</v>
      </c>
      <c r="E64" s="25" t="s">
        <v>266</v>
      </c>
      <c r="F64" s="26"/>
      <c r="G64" s="26" t="s">
        <v>2138</v>
      </c>
      <c r="H64" s="3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1925</v>
      </c>
      <c r="C65" s="13" t="s">
        <v>338</v>
      </c>
      <c r="D65" s="10" t="s">
        <v>1926</v>
      </c>
      <c r="E65" s="25" t="s">
        <v>266</v>
      </c>
      <c r="F65" s="26"/>
      <c r="G65" s="26" t="s">
        <v>2139</v>
      </c>
      <c r="H65" s="37"/>
      <c r="I65" s="26"/>
      <c r="J65" s="15" t="s">
        <v>632</v>
      </c>
      <c r="K65" s="15" t="s">
        <v>803</v>
      </c>
      <c r="L65" s="15" t="s">
        <v>633</v>
      </c>
    </row>
    <row r="66" s="1" customFormat="1" spans="1:12">
      <c r="A66" s="33"/>
      <c r="B66" s="13" t="s">
        <v>1928</v>
      </c>
      <c r="C66" s="13" t="s">
        <v>338</v>
      </c>
      <c r="D66" s="10" t="s">
        <v>1929</v>
      </c>
      <c r="E66" s="25" t="s">
        <v>266</v>
      </c>
      <c r="F66" s="26"/>
      <c r="G66" s="26" t="s">
        <v>2140</v>
      </c>
      <c r="H66" s="37"/>
      <c r="I66" s="26"/>
      <c r="J66" s="15" t="s">
        <v>632</v>
      </c>
      <c r="K66" s="15" t="s">
        <v>803</v>
      </c>
      <c r="L66" s="15" t="s">
        <v>633</v>
      </c>
    </row>
    <row r="67" s="1" customFormat="1" spans="1:12">
      <c r="A67" s="33"/>
      <c r="B67" s="13" t="s">
        <v>1931</v>
      </c>
      <c r="C67" s="13" t="s">
        <v>338</v>
      </c>
      <c r="D67" s="10" t="s">
        <v>1932</v>
      </c>
      <c r="E67" s="25" t="s">
        <v>266</v>
      </c>
      <c r="F67" s="26"/>
      <c r="G67" s="26" t="s">
        <v>2141</v>
      </c>
      <c r="H67" s="37"/>
      <c r="I67" s="26"/>
      <c r="J67" s="15" t="s">
        <v>632</v>
      </c>
      <c r="K67" s="15" t="s">
        <v>803</v>
      </c>
      <c r="L67" s="15" t="s">
        <v>633</v>
      </c>
    </row>
    <row r="68" s="1" customFormat="1" spans="1:12">
      <c r="A68" s="33"/>
      <c r="B68" s="13" t="s">
        <v>1934</v>
      </c>
      <c r="C68" s="13" t="s">
        <v>338</v>
      </c>
      <c r="D68" s="10" t="s">
        <v>1935</v>
      </c>
      <c r="E68" s="25" t="s">
        <v>266</v>
      </c>
      <c r="F68" s="26"/>
      <c r="G68" s="26" t="s">
        <v>2142</v>
      </c>
      <c r="H68" s="37"/>
      <c r="I68" s="26"/>
      <c r="J68" s="15" t="s">
        <v>632</v>
      </c>
      <c r="K68" s="15" t="s">
        <v>803</v>
      </c>
      <c r="L68" s="15" t="s">
        <v>633</v>
      </c>
    </row>
    <row r="69" s="1" customFormat="1" spans="1:12">
      <c r="A69" s="33"/>
      <c r="B69" s="13" t="s">
        <v>1937</v>
      </c>
      <c r="C69" s="13" t="s">
        <v>338</v>
      </c>
      <c r="D69" s="10" t="s">
        <v>1938</v>
      </c>
      <c r="E69" s="25" t="s">
        <v>266</v>
      </c>
      <c r="F69" s="26"/>
      <c r="G69" s="26" t="s">
        <v>2143</v>
      </c>
      <c r="H69" s="37"/>
      <c r="I69" s="26"/>
      <c r="J69" s="15" t="s">
        <v>632</v>
      </c>
      <c r="K69" s="15" t="s">
        <v>644</v>
      </c>
      <c r="L69" s="15" t="s">
        <v>633</v>
      </c>
    </row>
    <row r="70" s="1" customFormat="1" spans="1:12">
      <c r="A70" s="33"/>
      <c r="B70" s="13" t="s">
        <v>1940</v>
      </c>
      <c r="C70" s="13" t="s">
        <v>338</v>
      </c>
      <c r="D70" s="10" t="s">
        <v>1941</v>
      </c>
      <c r="E70" s="25" t="s">
        <v>266</v>
      </c>
      <c r="F70" s="26"/>
      <c r="G70" s="26" t="s">
        <v>2144</v>
      </c>
      <c r="H70" s="3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1870</v>
      </c>
      <c r="C71" s="13" t="s">
        <v>338</v>
      </c>
      <c r="D71" s="10" t="s">
        <v>1943</v>
      </c>
      <c r="E71" s="25" t="s">
        <v>266</v>
      </c>
      <c r="F71" s="26"/>
      <c r="G71" s="26" t="s">
        <v>1944</v>
      </c>
      <c r="H71" s="37"/>
      <c r="I71" s="26"/>
      <c r="J71" s="15" t="s">
        <v>632</v>
      </c>
      <c r="K71" s="15" t="s">
        <v>644</v>
      </c>
      <c r="L71" s="15" t="s">
        <v>633</v>
      </c>
    </row>
    <row r="72" s="1" customFormat="1" spans="1:12">
      <c r="A72" s="33"/>
      <c r="B72" s="13" t="s">
        <v>1945</v>
      </c>
      <c r="C72" s="52" t="s">
        <v>666</v>
      </c>
      <c r="D72" s="10" t="s">
        <v>1946</v>
      </c>
      <c r="E72" s="25" t="s">
        <v>266</v>
      </c>
      <c r="F72" s="26"/>
      <c r="G72" s="26" t="s">
        <v>2145</v>
      </c>
      <c r="H72" s="3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1948</v>
      </c>
      <c r="C73" s="52" t="s">
        <v>666</v>
      </c>
      <c r="D73" s="10" t="s">
        <v>1949</v>
      </c>
      <c r="E73" s="25" t="s">
        <v>266</v>
      </c>
      <c r="F73" s="26"/>
      <c r="G73" s="26" t="s">
        <v>2146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728</v>
      </c>
      <c r="C74" s="13" t="s">
        <v>338</v>
      </c>
      <c r="D74" s="10" t="s">
        <v>729</v>
      </c>
      <c r="E74" s="25" t="s">
        <v>266</v>
      </c>
      <c r="F74" s="26"/>
      <c r="G74" s="26" t="s">
        <v>956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730</v>
      </c>
      <c r="C75" s="13" t="s">
        <v>666</v>
      </c>
      <c r="D75" s="10" t="s">
        <v>731</v>
      </c>
      <c r="E75" s="25" t="s">
        <v>266</v>
      </c>
      <c r="F75" s="55"/>
      <c r="G75" s="26" t="s">
        <v>957</v>
      </c>
      <c r="H75" s="3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733</v>
      </c>
      <c r="C76" s="13" t="s">
        <v>338</v>
      </c>
      <c r="D76" s="10" t="s">
        <v>734</v>
      </c>
      <c r="E76" s="25" t="s">
        <v>266</v>
      </c>
      <c r="F76" s="26"/>
      <c r="G76" s="26" t="s">
        <v>958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736</v>
      </c>
      <c r="C77" s="13" t="s">
        <v>338</v>
      </c>
      <c r="D77" s="10" t="s">
        <v>737</v>
      </c>
      <c r="E77" s="25" t="s">
        <v>266</v>
      </c>
      <c r="F77" s="26"/>
      <c r="G77" s="26" t="s">
        <v>959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739</v>
      </c>
      <c r="C78" s="13" t="s">
        <v>338</v>
      </c>
      <c r="D78" s="10" t="s">
        <v>740</v>
      </c>
      <c r="E78" s="25" t="s">
        <v>266</v>
      </c>
      <c r="F78" s="26"/>
      <c r="G78" s="26" t="s">
        <v>960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742</v>
      </c>
      <c r="C79" s="13" t="s">
        <v>338</v>
      </c>
      <c r="D79" s="10" t="s">
        <v>743</v>
      </c>
      <c r="E79" s="25" t="s">
        <v>266</v>
      </c>
      <c r="F79" s="26"/>
      <c r="G79" s="26" t="s">
        <v>961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745</v>
      </c>
      <c r="C80" s="13" t="s">
        <v>338</v>
      </c>
      <c r="D80" s="10" t="s">
        <v>746</v>
      </c>
      <c r="E80" s="25" t="s">
        <v>266</v>
      </c>
      <c r="F80" s="26"/>
      <c r="G80" s="26" t="s">
        <v>962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748</v>
      </c>
      <c r="C81" s="13" t="s">
        <v>338</v>
      </c>
      <c r="D81" s="10" t="s">
        <v>749</v>
      </c>
      <c r="E81" s="25" t="s">
        <v>266</v>
      </c>
      <c r="F81" s="26"/>
      <c r="G81" s="26" t="s">
        <v>963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751</v>
      </c>
      <c r="C82" s="13" t="s">
        <v>666</v>
      </c>
      <c r="D82" s="10" t="s">
        <v>752</v>
      </c>
      <c r="E82" s="25" t="s">
        <v>266</v>
      </c>
      <c r="F82" s="55"/>
      <c r="G82" s="26" t="s">
        <v>964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754</v>
      </c>
      <c r="C83" s="13" t="s">
        <v>338</v>
      </c>
      <c r="D83" s="10" t="s">
        <v>755</v>
      </c>
      <c r="E83" s="25" t="s">
        <v>266</v>
      </c>
      <c r="F83" s="26"/>
      <c r="G83" s="26" t="s">
        <v>965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757</v>
      </c>
      <c r="C84" s="13" t="s">
        <v>338</v>
      </c>
      <c r="D84" s="10" t="s">
        <v>758</v>
      </c>
      <c r="E84" s="25" t="s">
        <v>266</v>
      </c>
      <c r="F84" s="26"/>
      <c r="G84" s="26" t="s">
        <v>966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760</v>
      </c>
      <c r="C85" s="13" t="s">
        <v>338</v>
      </c>
      <c r="D85" s="10" t="s">
        <v>761</v>
      </c>
      <c r="E85" s="25" t="s">
        <v>266</v>
      </c>
      <c r="F85" s="26"/>
      <c r="G85" s="26" t="s">
        <v>967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763</v>
      </c>
      <c r="C86" s="13" t="s">
        <v>338</v>
      </c>
      <c r="D86" s="10" t="s">
        <v>764</v>
      </c>
      <c r="E86" s="25" t="s">
        <v>266</v>
      </c>
      <c r="F86" s="26"/>
      <c r="G86" s="26" t="s">
        <v>968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766</v>
      </c>
      <c r="C87" s="13" t="s">
        <v>338</v>
      </c>
      <c r="D87" s="10" t="s">
        <v>767</v>
      </c>
      <c r="E87" s="25" t="s">
        <v>266</v>
      </c>
      <c r="F87" s="26"/>
      <c r="G87" s="26" t="s">
        <v>969</v>
      </c>
      <c r="H87" s="3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13" t="s">
        <v>769</v>
      </c>
      <c r="C88" s="13" t="s">
        <v>666</v>
      </c>
      <c r="D88" s="10" t="s">
        <v>770</v>
      </c>
      <c r="E88" s="25" t="s">
        <v>266</v>
      </c>
      <c r="F88" s="26"/>
      <c r="G88" s="26" t="s">
        <v>970</v>
      </c>
      <c r="H88" s="37"/>
      <c r="I88" s="26"/>
      <c r="J88" s="15" t="s">
        <v>632</v>
      </c>
      <c r="K88" s="15" t="s">
        <v>404</v>
      </c>
      <c r="L88" s="15" t="s">
        <v>633</v>
      </c>
    </row>
    <row r="89" s="1" customFormat="1" spans="1:12">
      <c r="A89" s="33"/>
      <c r="B89" s="13" t="s">
        <v>772</v>
      </c>
      <c r="C89" s="13" t="s">
        <v>666</v>
      </c>
      <c r="D89" s="10" t="s">
        <v>773</v>
      </c>
      <c r="E89" s="25" t="s">
        <v>266</v>
      </c>
      <c r="F89" s="55"/>
      <c r="G89" s="26" t="s">
        <v>971</v>
      </c>
      <c r="H89" s="37"/>
      <c r="I89" s="26"/>
      <c r="J89" s="15" t="s">
        <v>632</v>
      </c>
      <c r="K89" s="15" t="s">
        <v>404</v>
      </c>
      <c r="L89" s="15" t="s">
        <v>633</v>
      </c>
    </row>
    <row r="90" s="1" customFormat="1" spans="1:12">
      <c r="A90" s="33"/>
      <c r="B90" s="13" t="s">
        <v>775</v>
      </c>
      <c r="C90" s="13" t="s">
        <v>338</v>
      </c>
      <c r="D90" s="10" t="s">
        <v>776</v>
      </c>
      <c r="E90" s="25" t="s">
        <v>266</v>
      </c>
      <c r="F90" s="26"/>
      <c r="G90" s="26" t="s">
        <v>972</v>
      </c>
      <c r="H90" s="37"/>
      <c r="I90" s="26"/>
      <c r="J90" s="15" t="s">
        <v>632</v>
      </c>
      <c r="K90" s="15" t="s">
        <v>294</v>
      </c>
      <c r="L90" s="15" t="s">
        <v>633</v>
      </c>
    </row>
    <row r="91" s="1" customFormat="1" spans="1:12">
      <c r="A91" s="33"/>
      <c r="B91" s="13" t="s">
        <v>778</v>
      </c>
      <c r="C91" s="13" t="s">
        <v>338</v>
      </c>
      <c r="D91" s="10" t="s">
        <v>779</v>
      </c>
      <c r="E91" s="25" t="s">
        <v>266</v>
      </c>
      <c r="F91" s="26"/>
      <c r="G91" s="26" t="s">
        <v>973</v>
      </c>
      <c r="H91" s="37"/>
      <c r="I91" s="26"/>
      <c r="J91" s="15" t="s">
        <v>632</v>
      </c>
      <c r="K91" s="15" t="s">
        <v>294</v>
      </c>
      <c r="L91" s="15" t="s">
        <v>633</v>
      </c>
    </row>
    <row r="92" s="1" customFormat="1" spans="1:12">
      <c r="A92" s="33"/>
      <c r="B92" s="13" t="s">
        <v>781</v>
      </c>
      <c r="C92" s="13" t="s">
        <v>338</v>
      </c>
      <c r="D92" s="10" t="s">
        <v>782</v>
      </c>
      <c r="E92" s="25" t="s">
        <v>266</v>
      </c>
      <c r="F92" s="26"/>
      <c r="G92" s="26" t="s">
        <v>974</v>
      </c>
      <c r="H92" s="37"/>
      <c r="I92" s="26"/>
      <c r="J92" s="15" t="s">
        <v>632</v>
      </c>
      <c r="K92" s="15" t="s">
        <v>294</v>
      </c>
      <c r="L92" s="15" t="s">
        <v>633</v>
      </c>
    </row>
    <row r="93" s="1" customFormat="1" spans="1:12">
      <c r="A93" s="33"/>
      <c r="B93" s="13" t="s">
        <v>784</v>
      </c>
      <c r="C93" s="13" t="s">
        <v>338</v>
      </c>
      <c r="D93" s="10" t="s">
        <v>785</v>
      </c>
      <c r="E93" s="25" t="s">
        <v>266</v>
      </c>
      <c r="F93" s="26"/>
      <c r="G93" s="26" t="s">
        <v>975</v>
      </c>
      <c r="H93" s="37"/>
      <c r="I93" s="26"/>
      <c r="J93" s="15" t="s">
        <v>632</v>
      </c>
      <c r="K93" s="15" t="s">
        <v>294</v>
      </c>
      <c r="L93" s="15" t="s">
        <v>633</v>
      </c>
    </row>
    <row r="94" s="1" customFormat="1" spans="1:12">
      <c r="A94" s="33"/>
      <c r="B94" s="13" t="s">
        <v>787</v>
      </c>
      <c r="C94" s="13" t="s">
        <v>338</v>
      </c>
      <c r="D94" s="10" t="s">
        <v>788</v>
      </c>
      <c r="E94" s="25" t="s">
        <v>266</v>
      </c>
      <c r="F94" s="26"/>
      <c r="G94" s="26" t="s">
        <v>976</v>
      </c>
      <c r="H94" s="37"/>
      <c r="I94" s="26"/>
      <c r="J94" s="15" t="s">
        <v>632</v>
      </c>
      <c r="K94" s="15" t="s">
        <v>294</v>
      </c>
      <c r="L94" s="15" t="s">
        <v>633</v>
      </c>
    </row>
    <row r="95" s="1" customFormat="1" spans="1:12">
      <c r="A95" s="33"/>
      <c r="B95" s="13" t="s">
        <v>413</v>
      </c>
      <c r="C95" s="13" t="s">
        <v>666</v>
      </c>
      <c r="D95" s="10" t="s">
        <v>790</v>
      </c>
      <c r="E95" s="25" t="s">
        <v>266</v>
      </c>
      <c r="F95" s="55"/>
      <c r="G95" s="26" t="s">
        <v>977</v>
      </c>
      <c r="H95" s="37"/>
      <c r="I95" s="26"/>
      <c r="J95" s="15" t="s">
        <v>632</v>
      </c>
      <c r="K95" s="15" t="s">
        <v>404</v>
      </c>
      <c r="L95" s="15" t="s">
        <v>633</v>
      </c>
    </row>
    <row r="96" s="1" customFormat="1" spans="1:12">
      <c r="A96" s="33"/>
      <c r="B96" s="13" t="s">
        <v>792</v>
      </c>
      <c r="C96" s="13" t="s">
        <v>338</v>
      </c>
      <c r="D96" s="10" t="s">
        <v>793</v>
      </c>
      <c r="E96" s="25" t="s">
        <v>266</v>
      </c>
      <c r="F96" s="26"/>
      <c r="G96" s="26" t="s">
        <v>978</v>
      </c>
      <c r="H96" s="37"/>
      <c r="I96" s="26"/>
      <c r="J96" s="15" t="s">
        <v>632</v>
      </c>
      <c r="K96" s="15" t="s">
        <v>294</v>
      </c>
      <c r="L96" s="15" t="s">
        <v>633</v>
      </c>
    </row>
    <row r="97" s="1" customFormat="1" spans="1:12">
      <c r="A97" s="33"/>
      <c r="B97" s="13" t="s">
        <v>418</v>
      </c>
      <c r="C97" s="13" t="s">
        <v>666</v>
      </c>
      <c r="D97" s="10" t="s">
        <v>795</v>
      </c>
      <c r="E97" s="25" t="s">
        <v>266</v>
      </c>
      <c r="F97" s="55"/>
      <c r="G97" s="26" t="s">
        <v>979</v>
      </c>
      <c r="H97" s="37"/>
      <c r="I97" s="26"/>
      <c r="J97" s="15" t="s">
        <v>632</v>
      </c>
      <c r="K97" s="15" t="s">
        <v>404</v>
      </c>
      <c r="L97" s="15" t="s">
        <v>633</v>
      </c>
    </row>
    <row r="98" s="1" customFormat="1" spans="1:12">
      <c r="A98" s="33"/>
      <c r="B98" s="13" t="s">
        <v>797</v>
      </c>
      <c r="C98" s="13" t="s">
        <v>338</v>
      </c>
      <c r="D98" s="10" t="s">
        <v>798</v>
      </c>
      <c r="E98" s="25" t="s">
        <v>266</v>
      </c>
      <c r="F98" s="26"/>
      <c r="G98" s="26" t="s">
        <v>980</v>
      </c>
      <c r="H98" s="37"/>
      <c r="I98" s="26"/>
      <c r="J98" s="15" t="s">
        <v>632</v>
      </c>
      <c r="K98" s="15" t="s">
        <v>294</v>
      </c>
      <c r="L98" s="15" t="s">
        <v>633</v>
      </c>
    </row>
    <row r="99" s="1" customFormat="1" spans="1:12">
      <c r="A99" s="33"/>
      <c r="B99" s="32" t="s">
        <v>1860</v>
      </c>
      <c r="C99" s="32" t="s">
        <v>338</v>
      </c>
      <c r="D99" s="10" t="s">
        <v>1861</v>
      </c>
      <c r="E99" s="25" t="s">
        <v>266</v>
      </c>
      <c r="F99" s="26"/>
      <c r="G99" s="26" t="s">
        <v>1966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32" t="s">
        <v>1903</v>
      </c>
      <c r="C100" s="32" t="s">
        <v>666</v>
      </c>
      <c r="D100" s="10" t="s">
        <v>1904</v>
      </c>
      <c r="E100" s="25" t="s">
        <v>266</v>
      </c>
      <c r="F100" s="26"/>
      <c r="G100" s="26" t="s">
        <v>1967</v>
      </c>
      <c r="H100" s="37"/>
      <c r="I100" s="26"/>
      <c r="J100" s="15" t="s">
        <v>632</v>
      </c>
      <c r="K100" s="15" t="s">
        <v>1898</v>
      </c>
      <c r="L100" s="15" t="s">
        <v>633</v>
      </c>
    </row>
    <row r="101" s="1" customFormat="1" spans="1:12">
      <c r="A101" s="33"/>
      <c r="B101" s="52" t="s">
        <v>1968</v>
      </c>
      <c r="C101" s="52" t="s">
        <v>666</v>
      </c>
      <c r="D101" s="54" t="s">
        <v>1969</v>
      </c>
      <c r="E101" s="25" t="s">
        <v>266</v>
      </c>
      <c r="F101" s="55"/>
      <c r="G101" s="26" t="s">
        <v>2147</v>
      </c>
      <c r="H101" s="27"/>
      <c r="I101" s="26"/>
      <c r="J101" s="15" t="s">
        <v>632</v>
      </c>
      <c r="K101" s="15" t="s">
        <v>1898</v>
      </c>
      <c r="L101" s="15" t="s">
        <v>633</v>
      </c>
    </row>
    <row r="102" s="1" customFormat="1" spans="2:12">
      <c r="B102" s="32" t="s">
        <v>1906</v>
      </c>
      <c r="C102" s="32" t="s">
        <v>666</v>
      </c>
      <c r="D102" s="10" t="s">
        <v>1907</v>
      </c>
      <c r="E102" s="25" t="s">
        <v>266</v>
      </c>
      <c r="F102" s="32"/>
      <c r="G102" s="26" t="s">
        <v>1971</v>
      </c>
      <c r="H102" s="37"/>
      <c r="I102" s="26"/>
      <c r="J102" s="15" t="s">
        <v>632</v>
      </c>
      <c r="K102" s="15" t="s">
        <v>1902</v>
      </c>
      <c r="L102" s="15" t="s">
        <v>633</v>
      </c>
    </row>
    <row r="103" s="1" customFormat="1" spans="1:12">
      <c r="A103" s="33"/>
      <c r="B103" s="32" t="s">
        <v>1892</v>
      </c>
      <c r="C103" s="32" t="s">
        <v>338</v>
      </c>
      <c r="D103" s="10" t="s">
        <v>1972</v>
      </c>
      <c r="E103" s="25" t="s">
        <v>266</v>
      </c>
      <c r="F103" s="26"/>
      <c r="G103" s="26" t="s">
        <v>1973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1:12">
      <c r="A104" s="33"/>
      <c r="B104" s="32" t="s">
        <v>1895</v>
      </c>
      <c r="C104" s="32" t="s">
        <v>666</v>
      </c>
      <c r="D104" s="10" t="s">
        <v>1896</v>
      </c>
      <c r="E104" s="25" t="s">
        <v>266</v>
      </c>
      <c r="F104" s="26"/>
      <c r="G104" s="26" t="s">
        <v>1974</v>
      </c>
      <c r="H104" s="37"/>
      <c r="I104" s="26"/>
      <c r="J104" s="15" t="s">
        <v>632</v>
      </c>
      <c r="K104" s="15" t="s">
        <v>1898</v>
      </c>
      <c r="L104" s="15" t="s">
        <v>633</v>
      </c>
    </row>
    <row r="105" s="1" customFormat="1" spans="2:12">
      <c r="B105" s="32" t="s">
        <v>1899</v>
      </c>
      <c r="C105" s="32" t="s">
        <v>666</v>
      </c>
      <c r="D105" s="10" t="s">
        <v>1900</v>
      </c>
      <c r="E105" s="25" t="s">
        <v>266</v>
      </c>
      <c r="F105" s="32"/>
      <c r="G105" s="26" t="s">
        <v>1975</v>
      </c>
      <c r="H105" s="37"/>
      <c r="I105" s="26"/>
      <c r="J105" s="15" t="s">
        <v>632</v>
      </c>
      <c r="K105" s="15" t="s">
        <v>1902</v>
      </c>
      <c r="L105" s="15" t="s">
        <v>633</v>
      </c>
    </row>
    <row r="106" s="1" customFormat="1" spans="2:12">
      <c r="B106" s="32" t="s">
        <v>1976</v>
      </c>
      <c r="C106" s="32" t="s">
        <v>666</v>
      </c>
      <c r="D106" s="10" t="s">
        <v>1977</v>
      </c>
      <c r="E106" s="25" t="s">
        <v>266</v>
      </c>
      <c r="F106" s="26"/>
      <c r="G106" s="26" t="s">
        <v>2148</v>
      </c>
      <c r="H106" s="37"/>
      <c r="I106" s="26"/>
      <c r="J106" s="15" t="s">
        <v>632</v>
      </c>
      <c r="K106" s="15" t="s">
        <v>669</v>
      </c>
      <c r="L106" s="15" t="s">
        <v>633</v>
      </c>
    </row>
    <row r="107" s="1" customFormat="1" spans="2:12">
      <c r="B107" s="32" t="s">
        <v>1979</v>
      </c>
      <c r="C107" s="32" t="s">
        <v>338</v>
      </c>
      <c r="D107" s="10" t="s">
        <v>1980</v>
      </c>
      <c r="E107" s="25" t="s">
        <v>266</v>
      </c>
      <c r="F107" s="26"/>
      <c r="G107" s="26" t="s">
        <v>2149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1982</v>
      </c>
      <c r="C108" s="32" t="s">
        <v>338</v>
      </c>
      <c r="D108" s="10" t="s">
        <v>1983</v>
      </c>
      <c r="E108" s="25" t="s">
        <v>266</v>
      </c>
      <c r="F108" s="26"/>
      <c r="G108" s="26" t="s">
        <v>2150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1985</v>
      </c>
      <c r="C109" s="32" t="s">
        <v>338</v>
      </c>
      <c r="D109" s="10" t="s">
        <v>1986</v>
      </c>
      <c r="E109" s="25" t="s">
        <v>266</v>
      </c>
      <c r="F109" s="26"/>
      <c r="G109" s="26" t="s">
        <v>2151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1988</v>
      </c>
      <c r="C110" s="32" t="s">
        <v>666</v>
      </c>
      <c r="D110" s="10" t="s">
        <v>1989</v>
      </c>
      <c r="E110" s="25" t="s">
        <v>266</v>
      </c>
      <c r="F110" s="32"/>
      <c r="G110" s="26" t="s">
        <v>2152</v>
      </c>
      <c r="H110" s="37"/>
      <c r="I110" s="26"/>
      <c r="J110" s="15" t="s">
        <v>632</v>
      </c>
      <c r="K110" s="15" t="s">
        <v>294</v>
      </c>
      <c r="L110" s="15" t="s">
        <v>1264</v>
      </c>
    </row>
    <row r="111" s="1" customFormat="1" spans="2:12">
      <c r="B111" s="32" t="s">
        <v>1991</v>
      </c>
      <c r="C111" s="32" t="s">
        <v>666</v>
      </c>
      <c r="D111" s="10" t="s">
        <v>1992</v>
      </c>
      <c r="E111" s="25" t="s">
        <v>266</v>
      </c>
      <c r="F111" s="26"/>
      <c r="G111" s="26" t="s">
        <v>2153</v>
      </c>
      <c r="H111" s="37"/>
      <c r="I111" s="26"/>
      <c r="J111" s="15" t="s">
        <v>632</v>
      </c>
      <c r="K111" s="15" t="s">
        <v>669</v>
      </c>
      <c r="L111" s="15" t="s">
        <v>633</v>
      </c>
    </row>
    <row r="112" s="1" customFormat="1" spans="2:12">
      <c r="B112" s="32" t="s">
        <v>1994</v>
      </c>
      <c r="C112" s="32" t="s">
        <v>338</v>
      </c>
      <c r="D112" s="10" t="s">
        <v>1995</v>
      </c>
      <c r="E112" s="25" t="s">
        <v>266</v>
      </c>
      <c r="F112" s="26"/>
      <c r="G112" s="26" t="s">
        <v>2154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2:12">
      <c r="B113" s="32" t="s">
        <v>1997</v>
      </c>
      <c r="C113" s="32" t="s">
        <v>338</v>
      </c>
      <c r="D113" s="10" t="s">
        <v>1998</v>
      </c>
      <c r="E113" s="25" t="s">
        <v>266</v>
      </c>
      <c r="F113" s="26"/>
      <c r="G113" s="26" t="s">
        <v>2155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2:12">
      <c r="B114" s="32" t="s">
        <v>2000</v>
      </c>
      <c r="C114" s="32" t="s">
        <v>338</v>
      </c>
      <c r="D114" s="10" t="s">
        <v>2001</v>
      </c>
      <c r="E114" s="25" t="s">
        <v>266</v>
      </c>
      <c r="F114" s="26"/>
      <c r="G114" s="26" t="s">
        <v>2156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2:12">
      <c r="B115" s="32" t="s">
        <v>2002</v>
      </c>
      <c r="C115" s="32" t="s">
        <v>338</v>
      </c>
      <c r="D115" s="10" t="s">
        <v>1887</v>
      </c>
      <c r="E115" s="25" t="s">
        <v>266</v>
      </c>
      <c r="F115" s="26"/>
      <c r="G115" s="26" t="s">
        <v>2157</v>
      </c>
      <c r="H115" s="37"/>
      <c r="I115" s="26"/>
      <c r="J115" s="15" t="s">
        <v>632</v>
      </c>
      <c r="K115" s="15" t="s">
        <v>669</v>
      </c>
      <c r="L115" s="15" t="s">
        <v>633</v>
      </c>
    </row>
    <row r="116" s="1" customFormat="1" spans="2:12">
      <c r="B116" s="32" t="s">
        <v>2004</v>
      </c>
      <c r="C116" s="32" t="s">
        <v>338</v>
      </c>
      <c r="D116" s="10" t="s">
        <v>2005</v>
      </c>
      <c r="E116" s="25" t="s">
        <v>266</v>
      </c>
      <c r="F116" s="26"/>
      <c r="G116" s="26" t="s">
        <v>2158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2:12">
      <c r="B117" s="32" t="s">
        <v>2007</v>
      </c>
      <c r="C117" s="32" t="s">
        <v>338</v>
      </c>
      <c r="D117" s="10" t="s">
        <v>1890</v>
      </c>
      <c r="E117" s="25" t="s">
        <v>266</v>
      </c>
      <c r="F117" s="26"/>
      <c r="G117" s="26" t="s">
        <v>2159</v>
      </c>
      <c r="H117" s="37"/>
      <c r="I117" s="26"/>
      <c r="J117" s="15" t="s">
        <v>632</v>
      </c>
      <c r="K117" s="15" t="s">
        <v>669</v>
      </c>
      <c r="L117" s="15" t="s">
        <v>633</v>
      </c>
    </row>
    <row r="118" s="1" customFormat="1" spans="2:12">
      <c r="B118" s="32" t="s">
        <v>2009</v>
      </c>
      <c r="C118" s="32" t="s">
        <v>338</v>
      </c>
      <c r="D118" s="10" t="s">
        <v>2010</v>
      </c>
      <c r="E118" s="25" t="s">
        <v>266</v>
      </c>
      <c r="F118" s="26"/>
      <c r="G118" s="26" t="s">
        <v>2160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2:12">
      <c r="B119" s="32" t="s">
        <v>2012</v>
      </c>
      <c r="C119" s="32" t="s">
        <v>338</v>
      </c>
      <c r="D119" s="10" t="s">
        <v>2013</v>
      </c>
      <c r="E119" s="25" t="s">
        <v>266</v>
      </c>
      <c r="F119" s="26"/>
      <c r="G119" s="26" t="s">
        <v>2161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2:12">
      <c r="B120" s="32" t="s">
        <v>2015</v>
      </c>
      <c r="C120" s="32" t="s">
        <v>338</v>
      </c>
      <c r="D120" s="10" t="s">
        <v>2016</v>
      </c>
      <c r="E120" s="25" t="s">
        <v>266</v>
      </c>
      <c r="F120" s="26"/>
      <c r="G120" s="26" t="s">
        <v>2162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2:12">
      <c r="B121" s="32" t="s">
        <v>2018</v>
      </c>
      <c r="C121" s="32" t="s">
        <v>338</v>
      </c>
      <c r="D121" s="10" t="s">
        <v>2019</v>
      </c>
      <c r="E121" s="25" t="s">
        <v>266</v>
      </c>
      <c r="F121" s="26"/>
      <c r="G121" s="26" t="s">
        <v>2163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2:12">
      <c r="B122" s="32" t="s">
        <v>2021</v>
      </c>
      <c r="C122" s="32" t="s">
        <v>338</v>
      </c>
      <c r="D122" s="10" t="s">
        <v>2022</v>
      </c>
      <c r="E122" s="25" t="s">
        <v>266</v>
      </c>
      <c r="F122" s="26"/>
      <c r="G122" s="26" t="s">
        <v>2164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2:12">
      <c r="B123" s="32" t="s">
        <v>2024</v>
      </c>
      <c r="C123" s="32" t="s">
        <v>338</v>
      </c>
      <c r="D123" s="10" t="s">
        <v>2025</v>
      </c>
      <c r="E123" s="25" t="s">
        <v>266</v>
      </c>
      <c r="F123" s="26"/>
      <c r="G123" s="26" t="s">
        <v>2165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2:12">
      <c r="B124" s="32" t="s">
        <v>2027</v>
      </c>
      <c r="C124" s="32" t="s">
        <v>338</v>
      </c>
      <c r="D124" s="10" t="s">
        <v>2028</v>
      </c>
      <c r="E124" s="25" t="s">
        <v>266</v>
      </c>
      <c r="F124" s="26"/>
      <c r="G124" s="26" t="s">
        <v>2166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13" t="s">
        <v>2030</v>
      </c>
      <c r="C125" s="13" t="s">
        <v>666</v>
      </c>
      <c r="D125" s="10" t="s">
        <v>2031</v>
      </c>
      <c r="E125" s="25" t="s">
        <v>266</v>
      </c>
      <c r="F125" s="55"/>
      <c r="G125" s="26" t="s">
        <v>2167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2033</v>
      </c>
      <c r="C126" s="52" t="s">
        <v>338</v>
      </c>
      <c r="D126" s="54" t="s">
        <v>2034</v>
      </c>
      <c r="E126" s="25" t="s">
        <v>266</v>
      </c>
      <c r="F126" s="26"/>
      <c r="G126" s="26" t="s">
        <v>2168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2036</v>
      </c>
      <c r="C127" s="52" t="s">
        <v>338</v>
      </c>
      <c r="D127" s="54" t="s">
        <v>2037</v>
      </c>
      <c r="E127" s="25" t="s">
        <v>266</v>
      </c>
      <c r="F127" s="26"/>
      <c r="G127" s="26" t="s">
        <v>2169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2039</v>
      </c>
      <c r="C128" s="52" t="s">
        <v>338</v>
      </c>
      <c r="D128" s="54" t="s">
        <v>2040</v>
      </c>
      <c r="E128" s="25" t="s">
        <v>266</v>
      </c>
      <c r="F128" s="26"/>
      <c r="G128" s="26" t="s">
        <v>2170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2042</v>
      </c>
      <c r="C129" s="52" t="s">
        <v>338</v>
      </c>
      <c r="D129" s="54" t="s">
        <v>2043</v>
      </c>
      <c r="E129" s="25" t="s">
        <v>266</v>
      </c>
      <c r="F129" s="26"/>
      <c r="G129" s="26" t="s">
        <v>2171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2045</v>
      </c>
      <c r="C130" s="52" t="s">
        <v>338</v>
      </c>
      <c r="D130" s="54" t="s">
        <v>2046</v>
      </c>
      <c r="E130" s="25" t="s">
        <v>266</v>
      </c>
      <c r="F130" s="26"/>
      <c r="G130" s="26" t="s">
        <v>2172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13" t="s">
        <v>2048</v>
      </c>
      <c r="C131" s="52" t="s">
        <v>666</v>
      </c>
      <c r="D131" s="10" t="s">
        <v>2049</v>
      </c>
      <c r="E131" s="25" t="s">
        <v>266</v>
      </c>
      <c r="F131" s="55"/>
      <c r="G131" s="26" t="s">
        <v>2173</v>
      </c>
      <c r="H131" s="37"/>
      <c r="I131" s="26"/>
      <c r="J131" s="15" t="s">
        <v>632</v>
      </c>
      <c r="K131" s="15" t="s">
        <v>404</v>
      </c>
      <c r="L131" s="15" t="s">
        <v>633</v>
      </c>
    </row>
    <row r="132" s="1" customFormat="1" spans="1:12">
      <c r="A132" s="33"/>
      <c r="B132" s="13" t="s">
        <v>2051</v>
      </c>
      <c r="C132" s="13" t="s">
        <v>338</v>
      </c>
      <c r="D132" s="10" t="s">
        <v>2052</v>
      </c>
      <c r="E132" s="25" t="s">
        <v>266</v>
      </c>
      <c r="F132" s="26"/>
      <c r="G132" s="26" t="s">
        <v>2174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13" t="s">
        <v>2054</v>
      </c>
      <c r="C133" s="13" t="s">
        <v>338</v>
      </c>
      <c r="D133" s="10" t="s">
        <v>2055</v>
      </c>
      <c r="E133" s="25" t="s">
        <v>266</v>
      </c>
      <c r="F133" s="26"/>
      <c r="G133" s="26" t="s">
        <v>2175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13" t="s">
        <v>2057</v>
      </c>
      <c r="C134" s="13" t="s">
        <v>338</v>
      </c>
      <c r="D134" s="10" t="s">
        <v>2058</v>
      </c>
      <c r="E134" s="25" t="s">
        <v>266</v>
      </c>
      <c r="F134" s="26"/>
      <c r="G134" s="26" t="s">
        <v>2176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13" t="s">
        <v>2060</v>
      </c>
      <c r="C135" s="13" t="s">
        <v>338</v>
      </c>
      <c r="D135" s="10" t="s">
        <v>2061</v>
      </c>
      <c r="E135" s="25" t="s">
        <v>266</v>
      </c>
      <c r="F135" s="26"/>
      <c r="G135" s="26" t="s">
        <v>2177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13" t="s">
        <v>2063</v>
      </c>
      <c r="C136" s="13" t="s">
        <v>338</v>
      </c>
      <c r="D136" s="10" t="s">
        <v>2064</v>
      </c>
      <c r="E136" s="25" t="s">
        <v>266</v>
      </c>
      <c r="F136" s="26"/>
      <c r="G136" s="26" t="s">
        <v>2178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13" t="s">
        <v>2066</v>
      </c>
      <c r="C137" s="52" t="s">
        <v>666</v>
      </c>
      <c r="D137" s="10" t="s">
        <v>2067</v>
      </c>
      <c r="E137" s="25" t="s">
        <v>266</v>
      </c>
      <c r="F137" s="55"/>
      <c r="G137" s="26" t="s">
        <v>2179</v>
      </c>
      <c r="H137" s="37"/>
      <c r="I137" s="26"/>
      <c r="J137" s="15" t="s">
        <v>632</v>
      </c>
      <c r="K137" s="15" t="s">
        <v>404</v>
      </c>
      <c r="L137" s="15" t="s">
        <v>633</v>
      </c>
    </row>
    <row r="138" s="1" customFormat="1" spans="1:12">
      <c r="A138" s="33"/>
      <c r="B138" s="52" t="s">
        <v>2069</v>
      </c>
      <c r="C138" s="52" t="s">
        <v>338</v>
      </c>
      <c r="D138" s="54" t="s">
        <v>2070</v>
      </c>
      <c r="E138" s="25" t="s">
        <v>266</v>
      </c>
      <c r="F138" s="26"/>
      <c r="G138" s="26" t="s">
        <v>2180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2072</v>
      </c>
      <c r="C139" s="52" t="s">
        <v>338</v>
      </c>
      <c r="D139" s="54" t="s">
        <v>2073</v>
      </c>
      <c r="E139" s="25" t="s">
        <v>266</v>
      </c>
      <c r="F139" s="26"/>
      <c r="G139" s="26" t="s">
        <v>2181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2075</v>
      </c>
      <c r="C140" s="52" t="s">
        <v>338</v>
      </c>
      <c r="D140" s="54" t="s">
        <v>2076</v>
      </c>
      <c r="E140" s="25" t="s">
        <v>266</v>
      </c>
      <c r="F140" s="26"/>
      <c r="G140" s="26" t="s">
        <v>2182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2078</v>
      </c>
      <c r="C141" s="52" t="s">
        <v>338</v>
      </c>
      <c r="D141" s="54" t="s">
        <v>2079</v>
      </c>
      <c r="E141" s="25" t="s">
        <v>266</v>
      </c>
      <c r="F141" s="26"/>
      <c r="G141" s="26" t="s">
        <v>2183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2081</v>
      </c>
      <c r="C142" s="52" t="s">
        <v>338</v>
      </c>
      <c r="D142" s="54" t="s">
        <v>2082</v>
      </c>
      <c r="E142" s="25" t="s">
        <v>266</v>
      </c>
      <c r="F142" s="26"/>
      <c r="G142" s="26" t="s">
        <v>2184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2:12">
      <c r="B143" s="32" t="s">
        <v>2084</v>
      </c>
      <c r="C143" s="32" t="s">
        <v>338</v>
      </c>
      <c r="D143" s="10" t="s">
        <v>2085</v>
      </c>
      <c r="E143" s="25" t="s">
        <v>266</v>
      </c>
      <c r="F143" s="26"/>
      <c r="G143" s="26" t="s">
        <v>2185</v>
      </c>
      <c r="H143" s="37"/>
      <c r="I143" s="26"/>
      <c r="J143" s="15" t="s">
        <v>632</v>
      </c>
      <c r="K143" s="15" t="s">
        <v>669</v>
      </c>
      <c r="L143" s="15" t="s">
        <v>670</v>
      </c>
    </row>
    <row r="144" s="1" customFormat="1" spans="2:12">
      <c r="B144" s="32" t="s">
        <v>1909</v>
      </c>
      <c r="C144" s="32" t="s">
        <v>338</v>
      </c>
      <c r="D144" s="10" t="s">
        <v>2087</v>
      </c>
      <c r="E144" s="25" t="s">
        <v>266</v>
      </c>
      <c r="F144" s="26"/>
      <c r="G144" s="26" t="s">
        <v>2088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2089</v>
      </c>
      <c r="C145" s="52" t="s">
        <v>666</v>
      </c>
      <c r="D145" s="54" t="s">
        <v>2090</v>
      </c>
      <c r="E145" s="25" t="s">
        <v>266</v>
      </c>
      <c r="F145" s="55"/>
      <c r="G145" s="26" t="s">
        <v>2186</v>
      </c>
      <c r="H145" s="37"/>
      <c r="I145" s="26"/>
      <c r="J145" s="15" t="s">
        <v>632</v>
      </c>
      <c r="K145" s="15" t="s">
        <v>669</v>
      </c>
      <c r="L145" s="15" t="s">
        <v>670</v>
      </c>
    </row>
    <row r="146" s="1" customFormat="1" spans="1:12">
      <c r="A146" s="33"/>
      <c r="B146" s="52" t="s">
        <v>2092</v>
      </c>
      <c r="C146" s="52" t="s">
        <v>338</v>
      </c>
      <c r="D146" s="54" t="s">
        <v>2093</v>
      </c>
      <c r="E146" s="25" t="s">
        <v>266</v>
      </c>
      <c r="F146" s="26"/>
      <c r="G146" s="26" t="s">
        <v>2187</v>
      </c>
      <c r="H146" s="37"/>
      <c r="I146" s="26"/>
      <c r="J146" s="15" t="s">
        <v>632</v>
      </c>
      <c r="K146" s="15" t="s">
        <v>803</v>
      </c>
      <c r="L146" s="15" t="s">
        <v>633</v>
      </c>
    </row>
    <row r="147" s="1" customFormat="1" spans="1:12">
      <c r="A147" s="33"/>
      <c r="B147" s="52" t="s">
        <v>2095</v>
      </c>
      <c r="C147" s="52" t="s">
        <v>338</v>
      </c>
      <c r="D147" s="54" t="s">
        <v>2096</v>
      </c>
      <c r="E147" s="25" t="s">
        <v>266</v>
      </c>
      <c r="F147" s="26"/>
      <c r="G147" s="26" t="s">
        <v>2188</v>
      </c>
      <c r="H147" s="37"/>
      <c r="I147" s="26"/>
      <c r="J147" s="15" t="s">
        <v>632</v>
      </c>
      <c r="K147" s="15" t="s">
        <v>803</v>
      </c>
      <c r="L147" s="15" t="s">
        <v>633</v>
      </c>
    </row>
    <row r="148" s="1" customFormat="1" spans="1:12">
      <c r="A148" s="33"/>
      <c r="B148" s="52" t="s">
        <v>2098</v>
      </c>
      <c r="C148" s="52" t="s">
        <v>338</v>
      </c>
      <c r="D148" s="54" t="s">
        <v>2099</v>
      </c>
      <c r="E148" s="25" t="s">
        <v>266</v>
      </c>
      <c r="F148" s="26"/>
      <c r="G148" s="26" t="s">
        <v>2189</v>
      </c>
      <c r="H148" s="37"/>
      <c r="I148" s="26"/>
      <c r="J148" s="15" t="s">
        <v>632</v>
      </c>
      <c r="K148" s="15" t="s">
        <v>803</v>
      </c>
      <c r="L148" s="15" t="s">
        <v>633</v>
      </c>
    </row>
    <row r="149" s="1" customFormat="1" spans="1:12">
      <c r="A149" s="33"/>
      <c r="B149" s="52" t="s">
        <v>2101</v>
      </c>
      <c r="C149" s="52" t="s">
        <v>338</v>
      </c>
      <c r="D149" s="54" t="s">
        <v>2102</v>
      </c>
      <c r="E149" s="25" t="s">
        <v>266</v>
      </c>
      <c r="F149" s="26"/>
      <c r="G149" s="26" t="s">
        <v>2190</v>
      </c>
      <c r="H149" s="37"/>
      <c r="I149" s="26"/>
      <c r="J149" s="15" t="s">
        <v>632</v>
      </c>
      <c r="K149" s="15" t="s">
        <v>803</v>
      </c>
      <c r="L149" s="15" t="s">
        <v>633</v>
      </c>
    </row>
    <row r="150" s="1" customFormat="1" spans="1:12">
      <c r="A150" s="33"/>
      <c r="B150" s="52" t="s">
        <v>2104</v>
      </c>
      <c r="C150" s="52" t="s">
        <v>338</v>
      </c>
      <c r="D150" s="54" t="s">
        <v>2105</v>
      </c>
      <c r="E150" s="25" t="s">
        <v>266</v>
      </c>
      <c r="F150" s="26"/>
      <c r="G150" s="26" t="s">
        <v>2191</v>
      </c>
      <c r="H150" s="37"/>
      <c r="I150" s="26"/>
      <c r="J150" s="15" t="s">
        <v>632</v>
      </c>
      <c r="K150" s="15" t="s">
        <v>803</v>
      </c>
      <c r="L150" s="15" t="s">
        <v>633</v>
      </c>
    </row>
    <row r="151" s="1" customFormat="1" spans="1:12">
      <c r="A151" s="33"/>
      <c r="B151" s="52" t="s">
        <v>2107</v>
      </c>
      <c r="C151" s="52" t="s">
        <v>338</v>
      </c>
      <c r="D151" s="10" t="s">
        <v>2108</v>
      </c>
      <c r="E151" s="25" t="s">
        <v>266</v>
      </c>
      <c r="F151" s="26"/>
      <c r="G151" s="26" t="s">
        <v>2192</v>
      </c>
      <c r="H151" s="37"/>
      <c r="I151" s="26"/>
      <c r="J151" s="15" t="s">
        <v>632</v>
      </c>
      <c r="K151" s="15" t="s">
        <v>669</v>
      </c>
      <c r="L151" s="15" t="s">
        <v>670</v>
      </c>
    </row>
    <row r="152" s="1" customFormat="1" spans="1:12">
      <c r="A152" s="33"/>
      <c r="B152" s="52" t="s">
        <v>1912</v>
      </c>
      <c r="C152" s="52" t="s">
        <v>338</v>
      </c>
      <c r="D152" s="10" t="s">
        <v>2110</v>
      </c>
      <c r="E152" s="25" t="s">
        <v>266</v>
      </c>
      <c r="F152" s="26"/>
      <c r="G152" s="26" t="s">
        <v>2111</v>
      </c>
      <c r="H152" s="37"/>
      <c r="I152" s="26"/>
      <c r="J152" s="15" t="s">
        <v>632</v>
      </c>
      <c r="K152" s="15" t="s">
        <v>803</v>
      </c>
      <c r="L152" s="15" t="s">
        <v>633</v>
      </c>
    </row>
    <row r="153" s="1" customFormat="1" spans="1:12">
      <c r="A153" s="33"/>
      <c r="B153" s="52" t="s">
        <v>2112</v>
      </c>
      <c r="C153" s="52" t="s">
        <v>666</v>
      </c>
      <c r="D153" s="54" t="s">
        <v>2113</v>
      </c>
      <c r="E153" s="25" t="s">
        <v>266</v>
      </c>
      <c r="F153" s="55"/>
      <c r="G153" s="26" t="s">
        <v>2193</v>
      </c>
      <c r="H153" s="37"/>
      <c r="I153" s="26"/>
      <c r="J153" s="15" t="s">
        <v>632</v>
      </c>
      <c r="K153" s="15" t="s">
        <v>669</v>
      </c>
      <c r="L153" s="15" t="s">
        <v>670</v>
      </c>
    </row>
    <row r="154" s="1" customFormat="1" spans="1:12">
      <c r="A154" s="33"/>
      <c r="B154" s="52" t="s">
        <v>2115</v>
      </c>
      <c r="C154" s="52" t="s">
        <v>338</v>
      </c>
      <c r="D154" s="54" t="s">
        <v>2116</v>
      </c>
      <c r="E154" s="25" t="s">
        <v>266</v>
      </c>
      <c r="F154" s="26"/>
      <c r="G154" s="26" t="s">
        <v>2194</v>
      </c>
      <c r="H154" s="37"/>
      <c r="I154" s="26"/>
      <c r="J154" s="15" t="s">
        <v>632</v>
      </c>
      <c r="K154" s="15" t="s">
        <v>803</v>
      </c>
      <c r="L154" s="15" t="s">
        <v>633</v>
      </c>
    </row>
    <row r="155" s="1" customFormat="1" spans="1:12">
      <c r="A155" s="33"/>
      <c r="B155" s="52" t="s">
        <v>2118</v>
      </c>
      <c r="C155" s="52" t="s">
        <v>338</v>
      </c>
      <c r="D155" s="54" t="s">
        <v>2119</v>
      </c>
      <c r="E155" s="25" t="s">
        <v>266</v>
      </c>
      <c r="F155" s="26"/>
      <c r="G155" s="26" t="s">
        <v>2195</v>
      </c>
      <c r="H155" s="37"/>
      <c r="I155" s="26"/>
      <c r="J155" s="15" t="s">
        <v>632</v>
      </c>
      <c r="K155" s="15" t="s">
        <v>803</v>
      </c>
      <c r="L155" s="15" t="s">
        <v>633</v>
      </c>
    </row>
    <row r="156" s="1" customFormat="1" spans="1:12">
      <c r="A156" s="33"/>
      <c r="B156" s="52" t="s">
        <v>2121</v>
      </c>
      <c r="C156" s="52" t="s">
        <v>338</v>
      </c>
      <c r="D156" s="54" t="s">
        <v>2122</v>
      </c>
      <c r="E156" s="25" t="s">
        <v>266</v>
      </c>
      <c r="F156" s="26"/>
      <c r="G156" s="26" t="s">
        <v>2196</v>
      </c>
      <c r="H156" s="37"/>
      <c r="I156" s="26"/>
      <c r="J156" s="15" t="s">
        <v>632</v>
      </c>
      <c r="K156" s="15" t="s">
        <v>803</v>
      </c>
      <c r="L156" s="15" t="s">
        <v>633</v>
      </c>
    </row>
    <row r="157" s="1" customFormat="1" spans="1:12">
      <c r="A157" s="33"/>
      <c r="B157" s="52" t="s">
        <v>2124</v>
      </c>
      <c r="C157" s="52" t="s">
        <v>338</v>
      </c>
      <c r="D157" s="54" t="s">
        <v>2125</v>
      </c>
      <c r="E157" s="25" t="s">
        <v>266</v>
      </c>
      <c r="F157" s="26"/>
      <c r="G157" s="26" t="s">
        <v>2197</v>
      </c>
      <c r="H157" s="37"/>
      <c r="I157" s="26"/>
      <c r="J157" s="15" t="s">
        <v>632</v>
      </c>
      <c r="K157" s="15" t="s">
        <v>803</v>
      </c>
      <c r="L157" s="15" t="s">
        <v>633</v>
      </c>
    </row>
    <row r="158" s="1" customFormat="1" spans="1:12">
      <c r="A158" s="33"/>
      <c r="B158" s="52" t="s">
        <v>2127</v>
      </c>
      <c r="C158" s="52" t="s">
        <v>338</v>
      </c>
      <c r="D158" s="54" t="s">
        <v>2128</v>
      </c>
      <c r="E158" s="25" t="s">
        <v>266</v>
      </c>
      <c r="F158" s="26"/>
      <c r="G158" s="26" t="s">
        <v>2198</v>
      </c>
      <c r="H158" s="37"/>
      <c r="I158" s="26"/>
      <c r="J158" s="15" t="s">
        <v>632</v>
      </c>
      <c r="K158" s="15" t="s">
        <v>803</v>
      </c>
      <c r="L158" s="15" t="s">
        <v>633</v>
      </c>
    </row>
    <row r="159" s="1" customFormat="1" spans="1:12">
      <c r="A159" s="33"/>
      <c r="B159" s="52" t="s">
        <v>2130</v>
      </c>
      <c r="C159" s="52" t="s">
        <v>338</v>
      </c>
      <c r="D159" s="54" t="s">
        <v>2131</v>
      </c>
      <c r="E159" s="25" t="s">
        <v>266</v>
      </c>
      <c r="F159" s="55"/>
      <c r="G159" s="26" t="s">
        <v>2199</v>
      </c>
      <c r="H159" s="27"/>
      <c r="I159" s="26"/>
      <c r="J159" s="15" t="s">
        <v>632</v>
      </c>
      <c r="K159" s="15" t="s">
        <v>294</v>
      </c>
      <c r="L159" s="15" t="s">
        <v>633</v>
      </c>
    </row>
    <row r="160" s="1" customFormat="1" spans="1:12">
      <c r="A160" s="33"/>
      <c r="B160" s="52" t="s">
        <v>2133</v>
      </c>
      <c r="C160" s="52" t="s">
        <v>338</v>
      </c>
      <c r="D160" s="54" t="s">
        <v>2134</v>
      </c>
      <c r="E160" s="25" t="s">
        <v>266</v>
      </c>
      <c r="F160" s="55"/>
      <c r="G160" s="26" t="s">
        <v>2200</v>
      </c>
      <c r="H160" s="27"/>
      <c r="I160" s="26"/>
      <c r="J160" s="15" t="s">
        <v>632</v>
      </c>
      <c r="K160" s="15" t="s">
        <v>669</v>
      </c>
      <c r="L160" s="15" t="s">
        <v>633</v>
      </c>
    </row>
    <row r="161" s="1" customFormat="1" spans="1:12">
      <c r="A161" s="33"/>
      <c r="B161" s="13" t="s">
        <v>887</v>
      </c>
      <c r="C161" s="13" t="s">
        <v>338</v>
      </c>
      <c r="D161" s="10" t="s">
        <v>888</v>
      </c>
      <c r="E161" s="25" t="s">
        <v>266</v>
      </c>
      <c r="F161" s="26"/>
      <c r="G161" s="26" t="s">
        <v>1013</v>
      </c>
      <c r="H161" s="37"/>
      <c r="I161" s="26"/>
      <c r="J161" s="15" t="s">
        <v>632</v>
      </c>
      <c r="K161" s="15" t="s">
        <v>294</v>
      </c>
      <c r="L161" s="15" t="s">
        <v>633</v>
      </c>
    </row>
    <row r="162" s="1" customFormat="1" spans="1:12">
      <c r="A162" s="33"/>
      <c r="B162" s="13" t="s">
        <v>926</v>
      </c>
      <c r="C162" s="13" t="s">
        <v>291</v>
      </c>
      <c r="D162" s="10" t="s">
        <v>927</v>
      </c>
      <c r="E162" s="25" t="s">
        <v>266</v>
      </c>
      <c r="F162" s="35"/>
      <c r="G162" s="35" t="s">
        <v>1026</v>
      </c>
      <c r="H162" s="37"/>
      <c r="I162" s="56">
        <v>20250415101139</v>
      </c>
      <c r="J162" s="15" t="s">
        <v>632</v>
      </c>
      <c r="K162" s="15" t="s">
        <v>294</v>
      </c>
      <c r="L162" s="15" t="s">
        <v>670</v>
      </c>
    </row>
    <row r="163" s="1" customFormat="1" spans="1:12">
      <c r="A163" s="33"/>
      <c r="B163" s="13" t="s">
        <v>929</v>
      </c>
      <c r="C163" s="13" t="s">
        <v>291</v>
      </c>
      <c r="D163" s="10" t="s">
        <v>930</v>
      </c>
      <c r="E163" s="25" t="s">
        <v>266</v>
      </c>
      <c r="F163" s="35"/>
      <c r="G163" s="35" t="s">
        <v>1027</v>
      </c>
      <c r="H163" s="37"/>
      <c r="I163" s="56">
        <v>20250415101024</v>
      </c>
      <c r="J163" s="15" t="s">
        <v>632</v>
      </c>
      <c r="K163" s="15" t="s">
        <v>294</v>
      </c>
      <c r="L163" s="15" t="s">
        <v>670</v>
      </c>
    </row>
    <row r="164" s="2" customFormat="1" spans="2:14">
      <c r="B164" s="17" t="s">
        <v>594</v>
      </c>
      <c r="C164" s="18" t="s">
        <v>307</v>
      </c>
      <c r="D164" s="19" t="s">
        <v>595</v>
      </c>
      <c r="E164" s="28"/>
      <c r="F164" s="28"/>
      <c r="G164" s="28"/>
      <c r="H164" s="17"/>
      <c r="I164" s="17"/>
      <c r="J164" s="17"/>
      <c r="K164" s="17"/>
      <c r="L164" s="17"/>
      <c r="M164" s="17"/>
      <c r="N164" s="17"/>
    </row>
    <row r="165" s="2" customFormat="1" spans="2:14">
      <c r="B165" s="17" t="s">
        <v>596</v>
      </c>
      <c r="C165" s="18" t="s">
        <v>291</v>
      </c>
      <c r="D165" s="19" t="s">
        <v>597</v>
      </c>
      <c r="E165" s="28"/>
      <c r="F165" s="28"/>
      <c r="G165" s="28"/>
      <c r="H165" s="17"/>
      <c r="I165" s="17"/>
      <c r="J165" s="17"/>
      <c r="K165" s="17"/>
      <c r="L165" s="17"/>
      <c r="M165" s="17"/>
      <c r="N165" s="17"/>
    </row>
    <row r="166" s="2" customFormat="1" spans="2:14">
      <c r="B166" s="17" t="s">
        <v>598</v>
      </c>
      <c r="C166" s="18" t="s">
        <v>307</v>
      </c>
      <c r="D166" s="19" t="s">
        <v>599</v>
      </c>
      <c r="E166" s="28"/>
      <c r="F166" s="28"/>
      <c r="G166" s="28"/>
      <c r="H166" s="17"/>
      <c r="I166" s="17"/>
      <c r="J166" s="17"/>
      <c r="K166" s="17"/>
      <c r="L166" s="17"/>
      <c r="M166" s="17"/>
      <c r="N166" s="17"/>
    </row>
  </sheetData>
  <autoFilter xmlns:etc="http://www.wps.cn/officeDocument/2017/etCustomData" ref="A13:N16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zoomScale="85" zoomScaleNormal="85" workbookViewId="0">
      <pane ySplit="5" topLeftCell="A6" activePane="bottomLeft" state="frozen"/>
      <selection/>
      <selection pane="bottomLeft" activeCell="B17" sqref="B1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51" t="s">
        <v>187</v>
      </c>
      <c r="D5" s="10" t="s">
        <v>188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185</v>
      </c>
      <c r="D9" s="10" t="s">
        <v>186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522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524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1356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2201</v>
      </c>
      <c r="C21" s="13" t="s">
        <v>338</v>
      </c>
      <c r="D21" s="10" t="s">
        <v>377</v>
      </c>
      <c r="E21" s="25" t="s">
        <v>266</v>
      </c>
      <c r="F21" s="26"/>
      <c r="G21" s="26" t="s">
        <v>1035</v>
      </c>
      <c r="H21" s="25"/>
      <c r="I21" s="53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1036</v>
      </c>
      <c r="C22" s="13" t="s">
        <v>338</v>
      </c>
      <c r="D22" s="10" t="s">
        <v>1037</v>
      </c>
      <c r="E22" s="25" t="s">
        <v>266</v>
      </c>
      <c r="F22" s="26"/>
      <c r="G22" s="26" t="s">
        <v>1038</v>
      </c>
      <c r="H22" s="25"/>
      <c r="I22" s="53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2202</v>
      </c>
      <c r="C23" s="13" t="s">
        <v>291</v>
      </c>
      <c r="D23" s="10" t="s">
        <v>618</v>
      </c>
      <c r="E23" s="25" t="s">
        <v>266</v>
      </c>
      <c r="F23" s="26" t="s">
        <v>295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26" t="s">
        <v>297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26" t="s">
        <v>300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302</v>
      </c>
      <c r="C26" s="13" t="s">
        <v>291</v>
      </c>
      <c r="D26" s="10" t="s">
        <v>303</v>
      </c>
      <c r="E26" s="25" t="s">
        <v>266</v>
      </c>
      <c r="F26" s="26" t="s">
        <v>302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313</v>
      </c>
      <c r="C27" s="13" t="s">
        <v>291</v>
      </c>
      <c r="D27" s="10" t="s">
        <v>620</v>
      </c>
      <c r="E27" s="25" t="s">
        <v>266</v>
      </c>
      <c r="F27" s="26" t="s">
        <v>313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2:12"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25"/>
      <c r="I28" s="15"/>
      <c r="J28" s="15" t="s">
        <v>604</v>
      </c>
      <c r="K28" s="15" t="s">
        <v>294</v>
      </c>
      <c r="L28" s="15" t="s">
        <v>294</v>
      </c>
    </row>
    <row r="29" s="33" customFormat="1" spans="2:12">
      <c r="B29" s="32" t="s">
        <v>356</v>
      </c>
      <c r="C29" s="13" t="s">
        <v>291</v>
      </c>
      <c r="D29" s="10" t="s">
        <v>357</v>
      </c>
      <c r="E29" s="25" t="s">
        <v>266</v>
      </c>
      <c r="F29" s="26" t="s">
        <v>356</v>
      </c>
      <c r="G29" s="26" t="s">
        <v>293</v>
      </c>
      <c r="H29" s="25"/>
      <c r="I29" s="30"/>
      <c r="J29" s="15" t="s">
        <v>604</v>
      </c>
      <c r="K29" s="15" t="s">
        <v>294</v>
      </c>
      <c r="L29" s="15" t="s">
        <v>294</v>
      </c>
    </row>
    <row r="30" s="33" customFormat="1" spans="2:12"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25"/>
      <c r="I30" s="30"/>
      <c r="J30" s="15" t="s">
        <v>604</v>
      </c>
      <c r="K30" s="15" t="s">
        <v>294</v>
      </c>
      <c r="L30" s="15" t="s">
        <v>615</v>
      </c>
    </row>
    <row r="31" s="59" customFormat="1" spans="1:12">
      <c r="A31" s="60"/>
      <c r="B31" s="61" t="s">
        <v>1874</v>
      </c>
      <c r="C31" s="13" t="s">
        <v>307</v>
      </c>
      <c r="D31" s="10" t="s">
        <v>1915</v>
      </c>
      <c r="E31" s="25" t="s">
        <v>266</v>
      </c>
      <c r="F31" s="26" t="s">
        <v>1874</v>
      </c>
      <c r="G31" s="26" t="s">
        <v>293</v>
      </c>
      <c r="H31" s="25"/>
      <c r="I31" s="52"/>
      <c r="J31" s="15" t="s">
        <v>604</v>
      </c>
      <c r="K31" s="15" t="s">
        <v>294</v>
      </c>
      <c r="L31" s="15" t="s">
        <v>294</v>
      </c>
    </row>
    <row r="32" s="59" customFormat="1" spans="1:12">
      <c r="A32" s="60"/>
      <c r="B32" s="61" t="s">
        <v>567</v>
      </c>
      <c r="C32" s="13" t="s">
        <v>291</v>
      </c>
      <c r="D32" s="10" t="s">
        <v>568</v>
      </c>
      <c r="E32" s="25" t="s">
        <v>266</v>
      </c>
      <c r="F32" s="26" t="s">
        <v>567</v>
      </c>
      <c r="G32" s="26" t="s">
        <v>293</v>
      </c>
      <c r="H32" s="25"/>
      <c r="I32" s="52"/>
      <c r="J32" s="15" t="s">
        <v>604</v>
      </c>
      <c r="K32" s="15" t="s">
        <v>294</v>
      </c>
      <c r="L32" s="15" t="s">
        <v>294</v>
      </c>
    </row>
    <row r="33" s="1" customFormat="1" spans="1:12">
      <c r="A33" s="33"/>
      <c r="B33" s="32" t="s">
        <v>1273</v>
      </c>
      <c r="C33" s="32" t="s">
        <v>338</v>
      </c>
      <c r="D33" s="10" t="s">
        <v>640</v>
      </c>
      <c r="E33" s="25" t="s">
        <v>266</v>
      </c>
      <c r="F33" s="26"/>
      <c r="G33" s="26" t="s">
        <v>641</v>
      </c>
      <c r="H33" s="37"/>
      <c r="I33" s="26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1044</v>
      </c>
      <c r="C34" s="13" t="s">
        <v>338</v>
      </c>
      <c r="D34" s="10" t="s">
        <v>642</v>
      </c>
      <c r="E34" s="25" t="s">
        <v>266</v>
      </c>
      <c r="F34" s="26"/>
      <c r="G34" s="26" t="s">
        <v>643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1045</v>
      </c>
      <c r="C35" s="13" t="s">
        <v>338</v>
      </c>
      <c r="D35" s="10" t="s">
        <v>645</v>
      </c>
      <c r="E35" s="25" t="s">
        <v>266</v>
      </c>
      <c r="F35" s="26"/>
      <c r="G35" s="26" t="s">
        <v>646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1050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1055</v>
      </c>
      <c r="C37" s="13" t="s">
        <v>338</v>
      </c>
      <c r="D37" s="10" t="s">
        <v>693</v>
      </c>
      <c r="E37" s="25" t="s">
        <v>266</v>
      </c>
      <c r="F37" s="26"/>
      <c r="G37" s="26" t="s">
        <v>694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1054</v>
      </c>
      <c r="C38" s="13" t="s">
        <v>338</v>
      </c>
      <c r="D38" s="10" t="s">
        <v>695</v>
      </c>
      <c r="E38" s="25" t="s">
        <v>266</v>
      </c>
      <c r="F38" s="26"/>
      <c r="G38" s="26" t="s">
        <v>696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1056</v>
      </c>
      <c r="C39" s="13" t="s">
        <v>338</v>
      </c>
      <c r="D39" s="10" t="s">
        <v>697</v>
      </c>
      <c r="E39" s="25" t="s">
        <v>266</v>
      </c>
      <c r="F39" s="26"/>
      <c r="G39" s="26" t="s">
        <v>698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1057</v>
      </c>
      <c r="C40" s="13" t="s">
        <v>338</v>
      </c>
      <c r="D40" s="10" t="s">
        <v>699</v>
      </c>
      <c r="E40" s="25" t="s">
        <v>266</v>
      </c>
      <c r="F40" s="26"/>
      <c r="G40" s="26" t="s">
        <v>700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1274</v>
      </c>
      <c r="C41" s="13" t="s">
        <v>338</v>
      </c>
      <c r="D41" s="10" t="s">
        <v>702</v>
      </c>
      <c r="E41" s="25" t="s">
        <v>266</v>
      </c>
      <c r="F41" s="26"/>
      <c r="G41" s="26" t="s">
        <v>950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1275</v>
      </c>
      <c r="C42" s="13" t="s">
        <v>338</v>
      </c>
      <c r="D42" s="10" t="s">
        <v>705</v>
      </c>
      <c r="E42" s="25" t="s">
        <v>266</v>
      </c>
      <c r="F42" s="26"/>
      <c r="G42" s="26" t="s">
        <v>951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1088</v>
      </c>
      <c r="C43" s="13" t="s">
        <v>338</v>
      </c>
      <c r="D43" s="10" t="s">
        <v>1801</v>
      </c>
      <c r="E43" s="25" t="s">
        <v>266</v>
      </c>
      <c r="F43" s="26"/>
      <c r="G43" s="26" t="s">
        <v>1090</v>
      </c>
      <c r="H43" s="37"/>
      <c r="I43" s="26"/>
      <c r="J43" s="15" t="s">
        <v>632</v>
      </c>
      <c r="K43" s="15" t="s">
        <v>404</v>
      </c>
      <c r="L43" s="15" t="s">
        <v>670</v>
      </c>
    </row>
    <row r="44" s="1" customFormat="1" spans="1:12">
      <c r="A44" s="33"/>
      <c r="B44" s="13" t="s">
        <v>1101</v>
      </c>
      <c r="C44" s="13" t="s">
        <v>338</v>
      </c>
      <c r="D44" s="10" t="s">
        <v>1802</v>
      </c>
      <c r="E44" s="25" t="s">
        <v>266</v>
      </c>
      <c r="F44" s="26"/>
      <c r="G44" s="26" t="s">
        <v>1103</v>
      </c>
      <c r="H44" s="37"/>
      <c r="I44" s="26"/>
      <c r="J44" s="15" t="s">
        <v>632</v>
      </c>
      <c r="K44" s="15" t="s">
        <v>404</v>
      </c>
      <c r="L44" s="15" t="s">
        <v>670</v>
      </c>
    </row>
    <row r="45" s="1" customFormat="1" spans="1:12">
      <c r="A45" s="33"/>
      <c r="B45" s="13" t="s">
        <v>1114</v>
      </c>
      <c r="C45" s="13" t="s">
        <v>338</v>
      </c>
      <c r="D45" s="10" t="s">
        <v>1803</v>
      </c>
      <c r="E45" s="25" t="s">
        <v>266</v>
      </c>
      <c r="F45" s="26"/>
      <c r="G45" s="26" t="s">
        <v>1116</v>
      </c>
      <c r="H45" s="37"/>
      <c r="I45" s="26"/>
      <c r="J45" s="15" t="s">
        <v>632</v>
      </c>
      <c r="K45" s="15" t="s">
        <v>404</v>
      </c>
      <c r="L45" s="15" t="s">
        <v>670</v>
      </c>
    </row>
    <row r="46" s="1" customFormat="1" spans="1:12">
      <c r="A46" s="33"/>
      <c r="B46" s="13" t="s">
        <v>1119</v>
      </c>
      <c r="C46" s="13" t="s">
        <v>338</v>
      </c>
      <c r="D46" s="10" t="s">
        <v>790</v>
      </c>
      <c r="E46" s="25" t="s">
        <v>266</v>
      </c>
      <c r="F46" s="26"/>
      <c r="G46" s="26" t="s">
        <v>1121</v>
      </c>
      <c r="H46" s="37"/>
      <c r="I46" s="26"/>
      <c r="J46" s="15" t="s">
        <v>632</v>
      </c>
      <c r="K46" s="15" t="s">
        <v>404</v>
      </c>
      <c r="L46" s="15" t="s">
        <v>670</v>
      </c>
    </row>
    <row r="47" s="1" customFormat="1" spans="1:12">
      <c r="A47" s="33"/>
      <c r="B47" s="13" t="s">
        <v>1123</v>
      </c>
      <c r="C47" s="13" t="s">
        <v>338</v>
      </c>
      <c r="D47" s="10" t="s">
        <v>795</v>
      </c>
      <c r="E47" s="25" t="s">
        <v>266</v>
      </c>
      <c r="F47" s="26"/>
      <c r="G47" s="26" t="s">
        <v>1125</v>
      </c>
      <c r="H47" s="37"/>
      <c r="I47" s="26"/>
      <c r="J47" s="15" t="s">
        <v>632</v>
      </c>
      <c r="K47" s="15" t="s">
        <v>404</v>
      </c>
      <c r="L47" s="15" t="s">
        <v>670</v>
      </c>
    </row>
    <row r="48" s="1" customFormat="1" spans="1:12">
      <c r="A48" s="33"/>
      <c r="B48" s="13" t="s">
        <v>1060</v>
      </c>
      <c r="C48" s="13" t="s">
        <v>338</v>
      </c>
      <c r="D48" s="10" t="s">
        <v>708</v>
      </c>
      <c r="E48" s="25" t="s">
        <v>266</v>
      </c>
      <c r="F48" s="26"/>
      <c r="G48" s="26" t="s">
        <v>952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1061</v>
      </c>
      <c r="C49" s="13" t="s">
        <v>338</v>
      </c>
      <c r="D49" s="10" t="s">
        <v>711</v>
      </c>
      <c r="E49" s="25" t="s">
        <v>266</v>
      </c>
      <c r="F49" s="26"/>
      <c r="G49" s="26" t="s">
        <v>953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1062</v>
      </c>
      <c r="C50" s="13" t="s">
        <v>338</v>
      </c>
      <c r="D50" s="10" t="s">
        <v>714</v>
      </c>
      <c r="E50" s="25" t="s">
        <v>266</v>
      </c>
      <c r="F50" s="26"/>
      <c r="G50" s="26" t="s">
        <v>954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1063</v>
      </c>
      <c r="C51" s="13" t="s">
        <v>338</v>
      </c>
      <c r="D51" s="10" t="s">
        <v>717</v>
      </c>
      <c r="E51" s="25" t="s">
        <v>266</v>
      </c>
      <c r="F51" s="26"/>
      <c r="G51" s="26" t="s">
        <v>955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1064</v>
      </c>
      <c r="C52" s="13" t="s">
        <v>338</v>
      </c>
      <c r="D52" s="10" t="s">
        <v>719</v>
      </c>
      <c r="E52" s="25" t="s">
        <v>266</v>
      </c>
      <c r="F52" s="26"/>
      <c r="G52" s="26" t="s">
        <v>720</v>
      </c>
      <c r="H52" s="3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1066</v>
      </c>
      <c r="C53" s="13" t="s">
        <v>338</v>
      </c>
      <c r="D53" s="10" t="s">
        <v>721</v>
      </c>
      <c r="E53" s="25" t="s">
        <v>266</v>
      </c>
      <c r="F53" s="26"/>
      <c r="G53" s="26" t="s">
        <v>722</v>
      </c>
      <c r="H53" s="3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2203</v>
      </c>
      <c r="C54" s="13" t="s">
        <v>338</v>
      </c>
      <c r="D54" s="10" t="s">
        <v>1917</v>
      </c>
      <c r="E54" s="25" t="s">
        <v>266</v>
      </c>
      <c r="F54" s="26"/>
      <c r="G54" s="26" t="s">
        <v>2136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2204</v>
      </c>
      <c r="C55" s="13" t="s">
        <v>338</v>
      </c>
      <c r="D55" s="10" t="s">
        <v>1920</v>
      </c>
      <c r="E55" s="25" t="s">
        <v>266</v>
      </c>
      <c r="F55" s="26"/>
      <c r="G55" s="26" t="s">
        <v>2137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1922</v>
      </c>
      <c r="C56" s="13" t="s">
        <v>338</v>
      </c>
      <c r="D56" s="10" t="s">
        <v>1923</v>
      </c>
      <c r="E56" s="25" t="s">
        <v>266</v>
      </c>
      <c r="F56" s="26"/>
      <c r="G56" s="26" t="s">
        <v>2138</v>
      </c>
      <c r="H56" s="37"/>
      <c r="I56" s="26"/>
      <c r="J56" s="15" t="s">
        <v>632</v>
      </c>
      <c r="K56" s="15" t="s">
        <v>404</v>
      </c>
      <c r="L56" s="15" t="s">
        <v>633</v>
      </c>
    </row>
    <row r="57" s="1" customFormat="1" spans="1:12">
      <c r="A57" s="33"/>
      <c r="B57" s="13" t="s">
        <v>1925</v>
      </c>
      <c r="C57" s="13" t="s">
        <v>338</v>
      </c>
      <c r="D57" s="10" t="s">
        <v>1926</v>
      </c>
      <c r="E57" s="25" t="s">
        <v>266</v>
      </c>
      <c r="F57" s="26"/>
      <c r="G57" s="26" t="s">
        <v>2139</v>
      </c>
      <c r="H57" s="37"/>
      <c r="I57" s="26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1928</v>
      </c>
      <c r="C58" s="13" t="s">
        <v>338</v>
      </c>
      <c r="D58" s="10" t="s">
        <v>1929</v>
      </c>
      <c r="E58" s="25" t="s">
        <v>266</v>
      </c>
      <c r="F58" s="26"/>
      <c r="G58" s="26" t="s">
        <v>2140</v>
      </c>
      <c r="H58" s="37"/>
      <c r="I58" s="26"/>
      <c r="J58" s="15" t="s">
        <v>632</v>
      </c>
      <c r="K58" s="15" t="s">
        <v>803</v>
      </c>
      <c r="L58" s="15" t="s">
        <v>633</v>
      </c>
    </row>
    <row r="59" s="1" customFormat="1" spans="1:12">
      <c r="A59" s="33"/>
      <c r="B59" s="13" t="s">
        <v>1931</v>
      </c>
      <c r="C59" s="13" t="s">
        <v>338</v>
      </c>
      <c r="D59" s="10" t="s">
        <v>1932</v>
      </c>
      <c r="E59" s="25" t="s">
        <v>266</v>
      </c>
      <c r="F59" s="26"/>
      <c r="G59" s="26" t="s">
        <v>2141</v>
      </c>
      <c r="H59" s="37"/>
      <c r="I59" s="26"/>
      <c r="J59" s="15" t="s">
        <v>632</v>
      </c>
      <c r="K59" s="15" t="s">
        <v>803</v>
      </c>
      <c r="L59" s="15" t="s">
        <v>633</v>
      </c>
    </row>
    <row r="60" s="1" customFormat="1" spans="1:12">
      <c r="A60" s="33"/>
      <c r="B60" s="13" t="s">
        <v>1934</v>
      </c>
      <c r="C60" s="13" t="s">
        <v>338</v>
      </c>
      <c r="D60" s="10" t="s">
        <v>1935</v>
      </c>
      <c r="E60" s="25" t="s">
        <v>266</v>
      </c>
      <c r="F60" s="26"/>
      <c r="G60" s="26" t="s">
        <v>2142</v>
      </c>
      <c r="H60" s="37"/>
      <c r="I60" s="26"/>
      <c r="J60" s="15" t="s">
        <v>632</v>
      </c>
      <c r="K60" s="15" t="s">
        <v>803</v>
      </c>
      <c r="L60" s="15" t="s">
        <v>633</v>
      </c>
    </row>
    <row r="61" s="1" customFormat="1" spans="1:12">
      <c r="A61" s="33"/>
      <c r="B61" s="13" t="s">
        <v>1937</v>
      </c>
      <c r="C61" s="13" t="s">
        <v>338</v>
      </c>
      <c r="D61" s="10" t="s">
        <v>1938</v>
      </c>
      <c r="E61" s="25" t="s">
        <v>266</v>
      </c>
      <c r="F61" s="26"/>
      <c r="G61" s="26" t="s">
        <v>2143</v>
      </c>
      <c r="H61" s="37"/>
      <c r="I61" s="26"/>
      <c r="J61" s="15" t="s">
        <v>632</v>
      </c>
      <c r="K61" s="15" t="s">
        <v>644</v>
      </c>
      <c r="L61" s="15" t="s">
        <v>633</v>
      </c>
    </row>
    <row r="62" s="1" customFormat="1" spans="1:12">
      <c r="A62" s="33"/>
      <c r="B62" s="13" t="s">
        <v>1940</v>
      </c>
      <c r="C62" s="13" t="s">
        <v>338</v>
      </c>
      <c r="D62" s="10" t="s">
        <v>1941</v>
      </c>
      <c r="E62" s="25" t="s">
        <v>266</v>
      </c>
      <c r="F62" s="26"/>
      <c r="G62" s="26" t="s">
        <v>2144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2205</v>
      </c>
      <c r="C63" s="13" t="s">
        <v>338</v>
      </c>
      <c r="D63" s="10" t="s">
        <v>1943</v>
      </c>
      <c r="E63" s="25" t="s">
        <v>266</v>
      </c>
      <c r="F63" s="26"/>
      <c r="G63" s="26" t="s">
        <v>1944</v>
      </c>
      <c r="H63" s="37"/>
      <c r="I63" s="26"/>
      <c r="J63" s="15" t="s">
        <v>632</v>
      </c>
      <c r="K63" s="15" t="s">
        <v>644</v>
      </c>
      <c r="L63" s="15" t="s">
        <v>633</v>
      </c>
    </row>
    <row r="64" s="1" customFormat="1" spans="1:12">
      <c r="A64" s="33"/>
      <c r="B64" s="13" t="s">
        <v>1948</v>
      </c>
      <c r="C64" s="52" t="s">
        <v>666</v>
      </c>
      <c r="D64" s="10" t="s">
        <v>1949</v>
      </c>
      <c r="E64" s="25" t="s">
        <v>266</v>
      </c>
      <c r="F64" s="26"/>
      <c r="G64" s="26" t="s">
        <v>2146</v>
      </c>
      <c r="H64" s="3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728</v>
      </c>
      <c r="C65" s="13" t="s">
        <v>338</v>
      </c>
      <c r="D65" s="10" t="s">
        <v>729</v>
      </c>
      <c r="E65" s="25" t="s">
        <v>266</v>
      </c>
      <c r="F65" s="26"/>
      <c r="G65" s="26" t="s">
        <v>956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1091</v>
      </c>
      <c r="C66" s="13" t="s">
        <v>338</v>
      </c>
      <c r="D66" s="10" t="s">
        <v>734</v>
      </c>
      <c r="E66" s="25" t="s">
        <v>266</v>
      </c>
      <c r="F66" s="26"/>
      <c r="G66" s="26" t="s">
        <v>958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1093</v>
      </c>
      <c r="C67" s="13" t="s">
        <v>338</v>
      </c>
      <c r="D67" s="10" t="s">
        <v>737</v>
      </c>
      <c r="E67" s="25" t="s">
        <v>266</v>
      </c>
      <c r="F67" s="26"/>
      <c r="G67" s="26" t="s">
        <v>959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1095</v>
      </c>
      <c r="C68" s="13" t="s">
        <v>338</v>
      </c>
      <c r="D68" s="10" t="s">
        <v>740</v>
      </c>
      <c r="E68" s="25" t="s">
        <v>266</v>
      </c>
      <c r="F68" s="26"/>
      <c r="G68" s="26" t="s">
        <v>960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1097</v>
      </c>
      <c r="C69" s="13" t="s">
        <v>338</v>
      </c>
      <c r="D69" s="10" t="s">
        <v>743</v>
      </c>
      <c r="E69" s="25" t="s">
        <v>266</v>
      </c>
      <c r="F69" s="26"/>
      <c r="G69" s="26" t="s">
        <v>961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1099</v>
      </c>
      <c r="C70" s="13" t="s">
        <v>338</v>
      </c>
      <c r="D70" s="10" t="s">
        <v>746</v>
      </c>
      <c r="E70" s="25" t="s">
        <v>266</v>
      </c>
      <c r="F70" s="26"/>
      <c r="G70" s="26" t="s">
        <v>962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748</v>
      </c>
      <c r="C71" s="13" t="s">
        <v>338</v>
      </c>
      <c r="D71" s="10" t="s">
        <v>749</v>
      </c>
      <c r="E71" s="25" t="s">
        <v>266</v>
      </c>
      <c r="F71" s="26"/>
      <c r="G71" s="26" t="s">
        <v>963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1104</v>
      </c>
      <c r="C72" s="13" t="s">
        <v>338</v>
      </c>
      <c r="D72" s="10" t="s">
        <v>755</v>
      </c>
      <c r="E72" s="25" t="s">
        <v>266</v>
      </c>
      <c r="F72" s="26"/>
      <c r="G72" s="26" t="s">
        <v>965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1106</v>
      </c>
      <c r="C73" s="13" t="s">
        <v>338</v>
      </c>
      <c r="D73" s="10" t="s">
        <v>758</v>
      </c>
      <c r="E73" s="25" t="s">
        <v>266</v>
      </c>
      <c r="F73" s="26"/>
      <c r="G73" s="26" t="s">
        <v>966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1108</v>
      </c>
      <c r="C74" s="13" t="s">
        <v>338</v>
      </c>
      <c r="D74" s="10" t="s">
        <v>761</v>
      </c>
      <c r="E74" s="25" t="s">
        <v>266</v>
      </c>
      <c r="F74" s="26"/>
      <c r="G74" s="26" t="s">
        <v>967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1110</v>
      </c>
      <c r="C75" s="13" t="s">
        <v>338</v>
      </c>
      <c r="D75" s="10" t="s">
        <v>764</v>
      </c>
      <c r="E75" s="25" t="s">
        <v>266</v>
      </c>
      <c r="F75" s="26"/>
      <c r="G75" s="26" t="s">
        <v>968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1112</v>
      </c>
      <c r="C76" s="13" t="s">
        <v>338</v>
      </c>
      <c r="D76" s="10" t="s">
        <v>767</v>
      </c>
      <c r="E76" s="25" t="s">
        <v>266</v>
      </c>
      <c r="F76" s="26"/>
      <c r="G76" s="26" t="s">
        <v>969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1122</v>
      </c>
      <c r="C77" s="13" t="s">
        <v>338</v>
      </c>
      <c r="D77" s="10" t="s">
        <v>793</v>
      </c>
      <c r="E77" s="25" t="s">
        <v>266</v>
      </c>
      <c r="F77" s="26"/>
      <c r="G77" s="26" t="s">
        <v>978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1126</v>
      </c>
      <c r="C78" s="13" t="s">
        <v>338</v>
      </c>
      <c r="D78" s="10" t="s">
        <v>798</v>
      </c>
      <c r="E78" s="25" t="s">
        <v>266</v>
      </c>
      <c r="F78" s="26"/>
      <c r="G78" s="26" t="s">
        <v>980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32" t="s">
        <v>1860</v>
      </c>
      <c r="C79" s="32" t="s">
        <v>338</v>
      </c>
      <c r="D79" s="10" t="s">
        <v>1861</v>
      </c>
      <c r="E79" s="25" t="s">
        <v>266</v>
      </c>
      <c r="F79" s="26"/>
      <c r="G79" s="26" t="s">
        <v>1966</v>
      </c>
      <c r="H79" s="37"/>
      <c r="I79" s="26"/>
      <c r="J79" s="15" t="s">
        <v>632</v>
      </c>
      <c r="K79" s="15" t="s">
        <v>803</v>
      </c>
      <c r="L79" s="15" t="s">
        <v>633</v>
      </c>
    </row>
    <row r="80" s="1" customFormat="1" spans="1:12">
      <c r="A80" s="33"/>
      <c r="B80" s="52" t="s">
        <v>2130</v>
      </c>
      <c r="C80" s="52" t="s">
        <v>338</v>
      </c>
      <c r="D80" s="54" t="s">
        <v>2131</v>
      </c>
      <c r="E80" s="25" t="s">
        <v>266</v>
      </c>
      <c r="F80" s="55"/>
      <c r="G80" s="26" t="s">
        <v>2199</v>
      </c>
      <c r="H80" s="2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52" t="s">
        <v>2133</v>
      </c>
      <c r="C81" s="52" t="s">
        <v>338</v>
      </c>
      <c r="D81" s="54" t="s">
        <v>2134</v>
      </c>
      <c r="E81" s="25" t="s">
        <v>266</v>
      </c>
      <c r="F81" s="55"/>
      <c r="G81" s="26" t="s">
        <v>2200</v>
      </c>
      <c r="H81" s="27"/>
      <c r="I81" s="26"/>
      <c r="J81" s="15" t="s">
        <v>632</v>
      </c>
      <c r="K81" s="15" t="s">
        <v>669</v>
      </c>
      <c r="L81" s="15" t="s">
        <v>633</v>
      </c>
    </row>
    <row r="82" s="1" customFormat="1" spans="1:12">
      <c r="A82" s="33"/>
      <c r="B82" s="52" t="s">
        <v>1968</v>
      </c>
      <c r="C82" s="52" t="s">
        <v>666</v>
      </c>
      <c r="D82" s="54" t="s">
        <v>1969</v>
      </c>
      <c r="E82" s="25" t="s">
        <v>266</v>
      </c>
      <c r="F82" s="55"/>
      <c r="G82" s="26" t="s">
        <v>2147</v>
      </c>
      <c r="H82" s="27"/>
      <c r="I82" s="26"/>
      <c r="J82" s="15" t="s">
        <v>632</v>
      </c>
      <c r="K82" s="15" t="s">
        <v>1898</v>
      </c>
      <c r="L82" s="15" t="s">
        <v>633</v>
      </c>
    </row>
    <row r="83" s="1" customFormat="1" spans="1:12">
      <c r="A83" s="33"/>
      <c r="B83" s="13" t="s">
        <v>887</v>
      </c>
      <c r="C83" s="13" t="s">
        <v>338</v>
      </c>
      <c r="D83" s="10" t="s">
        <v>888</v>
      </c>
      <c r="E83" s="25" t="s">
        <v>266</v>
      </c>
      <c r="F83" s="26"/>
      <c r="G83" s="26" t="s">
        <v>1013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2" customFormat="1" spans="2:14">
      <c r="B84" s="17" t="s">
        <v>594</v>
      </c>
      <c r="C84" s="18" t="s">
        <v>307</v>
      </c>
      <c r="D84" s="19" t="s">
        <v>595</v>
      </c>
      <c r="E84" s="28"/>
      <c r="F84" s="28"/>
      <c r="G84" s="28"/>
      <c r="H84" s="17"/>
      <c r="I84" s="17"/>
      <c r="J84" s="17"/>
      <c r="K84" s="17"/>
      <c r="L84" s="17"/>
      <c r="M84" s="17"/>
      <c r="N84" s="17"/>
    </row>
    <row r="85" s="2" customFormat="1" spans="2:14">
      <c r="B85" s="17" t="s">
        <v>596</v>
      </c>
      <c r="C85" s="18" t="s">
        <v>291</v>
      </c>
      <c r="D85" s="19" t="s">
        <v>597</v>
      </c>
      <c r="E85" s="28"/>
      <c r="F85" s="28"/>
      <c r="G85" s="28"/>
      <c r="H85" s="17"/>
      <c r="I85" s="17"/>
      <c r="J85" s="17"/>
      <c r="K85" s="17"/>
      <c r="L85" s="17"/>
      <c r="M85" s="17"/>
      <c r="N85" s="17"/>
    </row>
    <row r="86" s="2" customFormat="1" spans="2:14">
      <c r="B86" s="17" t="s">
        <v>598</v>
      </c>
      <c r="C86" s="18" t="s">
        <v>307</v>
      </c>
      <c r="D86" s="19" t="s">
        <v>599</v>
      </c>
      <c r="E86" s="28"/>
      <c r="F86" s="28"/>
      <c r="G86" s="28"/>
      <c r="H86" s="17"/>
      <c r="I86" s="17"/>
      <c r="J86" s="17"/>
      <c r="K86" s="17"/>
      <c r="L86" s="17"/>
      <c r="M86" s="17"/>
      <c r="N86" s="17"/>
    </row>
  </sheetData>
  <autoFilter xmlns:etc="http://www.wps.cn/officeDocument/2017/etCustomData" ref="A13:N8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zoomScale="85" zoomScaleNormal="85" workbookViewId="0">
      <pane ySplit="5" topLeftCell="A6" activePane="bottomLeft" state="frozen"/>
      <selection/>
      <selection pane="bottomLeft" activeCell="B16" sqref="B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51" t="s">
        <v>190</v>
      </c>
      <c r="D5" s="10" t="s">
        <v>191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185</v>
      </c>
      <c r="D9" s="10" t="s">
        <v>186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26" t="s">
        <v>514</v>
      </c>
      <c r="G24" s="26" t="s">
        <v>293</v>
      </c>
      <c r="H24" s="25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295</v>
      </c>
      <c r="C25" s="13" t="s">
        <v>291</v>
      </c>
      <c r="D25" s="10" t="s">
        <v>618</v>
      </c>
      <c r="E25" s="25" t="s">
        <v>266</v>
      </c>
      <c r="F25" s="26" t="s">
        <v>295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26" t="s">
        <v>297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26" t="s">
        <v>300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2:12">
      <c r="B28" s="32" t="s">
        <v>331</v>
      </c>
      <c r="C28" s="13" t="s">
        <v>291</v>
      </c>
      <c r="D28" s="10" t="s">
        <v>623</v>
      </c>
      <c r="E28" s="25" t="s">
        <v>266</v>
      </c>
      <c r="F28" s="26" t="s">
        <v>331</v>
      </c>
      <c r="G28" s="26" t="s">
        <v>293</v>
      </c>
      <c r="H28" s="25"/>
      <c r="I28" s="15"/>
      <c r="J28" s="15" t="s">
        <v>604</v>
      </c>
      <c r="K28" s="15" t="s">
        <v>294</v>
      </c>
      <c r="L28" s="15" t="s">
        <v>294</v>
      </c>
    </row>
    <row r="29" s="33" customFormat="1" spans="2:12">
      <c r="B29" s="32" t="s">
        <v>378</v>
      </c>
      <c r="C29" s="13" t="s">
        <v>291</v>
      </c>
      <c r="D29" s="10" t="s">
        <v>624</v>
      </c>
      <c r="E29" s="25" t="s">
        <v>266</v>
      </c>
      <c r="F29" s="26" t="s">
        <v>378</v>
      </c>
      <c r="G29" s="26" t="s">
        <v>293</v>
      </c>
      <c r="H29" s="25"/>
      <c r="I29" s="30"/>
      <c r="J29" s="15" t="s">
        <v>604</v>
      </c>
      <c r="K29" s="15" t="s">
        <v>294</v>
      </c>
      <c r="L29" s="15" t="s">
        <v>615</v>
      </c>
    </row>
    <row r="30" s="1" customFormat="1" spans="1:12">
      <c r="A30" s="33"/>
      <c r="B30" s="13" t="s">
        <v>629</v>
      </c>
      <c r="C30" s="13" t="s">
        <v>338</v>
      </c>
      <c r="D30" s="10" t="s">
        <v>630</v>
      </c>
      <c r="E30" s="25" t="s">
        <v>266</v>
      </c>
      <c r="F30" s="26"/>
      <c r="G30" s="26" t="s">
        <v>933</v>
      </c>
      <c r="H30" s="3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13" t="s">
        <v>637</v>
      </c>
      <c r="C31" s="13" t="s">
        <v>338</v>
      </c>
      <c r="D31" s="10" t="s">
        <v>638</v>
      </c>
      <c r="E31" s="25" t="s">
        <v>266</v>
      </c>
      <c r="F31" s="26"/>
      <c r="G31" s="26" t="s">
        <v>935</v>
      </c>
      <c r="H31" s="3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32" t="s">
        <v>337</v>
      </c>
      <c r="C32" s="32" t="s">
        <v>338</v>
      </c>
      <c r="D32" s="10" t="s">
        <v>640</v>
      </c>
      <c r="E32" s="25" t="s">
        <v>266</v>
      </c>
      <c r="F32" s="26"/>
      <c r="G32" s="26" t="s">
        <v>641</v>
      </c>
      <c r="H32" s="37"/>
      <c r="I32" s="26"/>
      <c r="J32" s="15" t="s">
        <v>632</v>
      </c>
      <c r="K32" s="15" t="s">
        <v>404</v>
      </c>
      <c r="L32" s="15" t="s">
        <v>633</v>
      </c>
    </row>
    <row r="33" s="1" customFormat="1" spans="1:12">
      <c r="A33" s="33"/>
      <c r="B33" s="13" t="s">
        <v>342</v>
      </c>
      <c r="C33" s="13" t="s">
        <v>338</v>
      </c>
      <c r="D33" s="10" t="s">
        <v>642</v>
      </c>
      <c r="E33" s="25" t="s">
        <v>266</v>
      </c>
      <c r="F33" s="26"/>
      <c r="G33" s="26" t="s">
        <v>643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340</v>
      </c>
      <c r="C34" s="13" t="s">
        <v>338</v>
      </c>
      <c r="D34" s="10" t="s">
        <v>645</v>
      </c>
      <c r="E34" s="25" t="s">
        <v>266</v>
      </c>
      <c r="F34" s="26"/>
      <c r="G34" s="26" t="s">
        <v>646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647</v>
      </c>
      <c r="C35" s="13" t="s">
        <v>338</v>
      </c>
      <c r="D35" s="10" t="s">
        <v>648</v>
      </c>
      <c r="E35" s="25" t="s">
        <v>266</v>
      </c>
      <c r="F35" s="26"/>
      <c r="G35" s="26" t="s">
        <v>936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650</v>
      </c>
      <c r="C36" s="13" t="s">
        <v>338</v>
      </c>
      <c r="D36" s="10" t="s">
        <v>651</v>
      </c>
      <c r="E36" s="25" t="s">
        <v>266</v>
      </c>
      <c r="F36" s="26"/>
      <c r="G36" s="26" t="s">
        <v>937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656</v>
      </c>
      <c r="C37" s="13" t="s">
        <v>338</v>
      </c>
      <c r="D37" s="10" t="s">
        <v>657</v>
      </c>
      <c r="E37" s="25" t="s">
        <v>266</v>
      </c>
      <c r="F37" s="26"/>
      <c r="G37" s="26" t="s">
        <v>939</v>
      </c>
      <c r="H37" s="37"/>
      <c r="I37" s="26"/>
      <c r="J37" s="15" t="s">
        <v>632</v>
      </c>
      <c r="K37" s="15" t="s">
        <v>644</v>
      </c>
      <c r="L37" s="15" t="s">
        <v>633</v>
      </c>
    </row>
    <row r="38" s="1" customFormat="1" spans="1:12">
      <c r="A38" s="33"/>
      <c r="B38" s="13" t="s">
        <v>659</v>
      </c>
      <c r="C38" s="13" t="s">
        <v>338</v>
      </c>
      <c r="D38" s="10" t="s">
        <v>660</v>
      </c>
      <c r="E38" s="25" t="s">
        <v>266</v>
      </c>
      <c r="F38" s="26"/>
      <c r="G38" s="26" t="s">
        <v>940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346</v>
      </c>
      <c r="C39" s="13" t="s">
        <v>338</v>
      </c>
      <c r="D39" s="10" t="s">
        <v>693</v>
      </c>
      <c r="E39" s="25" t="s">
        <v>266</v>
      </c>
      <c r="F39" s="26"/>
      <c r="G39" s="26" t="s">
        <v>694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344</v>
      </c>
      <c r="C40" s="13" t="s">
        <v>338</v>
      </c>
      <c r="D40" s="10" t="s">
        <v>695</v>
      </c>
      <c r="E40" s="25" t="s">
        <v>266</v>
      </c>
      <c r="F40" s="26"/>
      <c r="G40" s="26" t="s">
        <v>696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392</v>
      </c>
      <c r="C41" s="13" t="s">
        <v>338</v>
      </c>
      <c r="D41" s="10" t="s">
        <v>697</v>
      </c>
      <c r="E41" s="25" t="s">
        <v>266</v>
      </c>
      <c r="F41" s="26"/>
      <c r="G41" s="26" t="s">
        <v>698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394</v>
      </c>
      <c r="C42" s="13" t="s">
        <v>338</v>
      </c>
      <c r="D42" s="10" t="s">
        <v>699</v>
      </c>
      <c r="E42" s="25" t="s">
        <v>266</v>
      </c>
      <c r="F42" s="26"/>
      <c r="G42" s="26" t="s">
        <v>700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701</v>
      </c>
      <c r="C43" s="13" t="s">
        <v>338</v>
      </c>
      <c r="D43" s="10" t="s">
        <v>702</v>
      </c>
      <c r="E43" s="25" t="s">
        <v>266</v>
      </c>
      <c r="F43" s="26"/>
      <c r="G43" s="26" t="s">
        <v>950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704</v>
      </c>
      <c r="C44" s="13" t="s">
        <v>338</v>
      </c>
      <c r="D44" s="10" t="s">
        <v>705</v>
      </c>
      <c r="E44" s="25" t="s">
        <v>266</v>
      </c>
      <c r="F44" s="26"/>
      <c r="G44" s="26" t="s">
        <v>951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707</v>
      </c>
      <c r="C45" s="13" t="s">
        <v>338</v>
      </c>
      <c r="D45" s="10" t="s">
        <v>708</v>
      </c>
      <c r="E45" s="25" t="s">
        <v>266</v>
      </c>
      <c r="F45" s="26"/>
      <c r="G45" s="26" t="s">
        <v>952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710</v>
      </c>
      <c r="C46" s="13" t="s">
        <v>338</v>
      </c>
      <c r="D46" s="10" t="s">
        <v>711</v>
      </c>
      <c r="E46" s="25" t="s">
        <v>266</v>
      </c>
      <c r="F46" s="26"/>
      <c r="G46" s="26" t="s">
        <v>953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713</v>
      </c>
      <c r="C47" s="13" t="s">
        <v>338</v>
      </c>
      <c r="D47" s="10" t="s">
        <v>714</v>
      </c>
      <c r="E47" s="25" t="s">
        <v>266</v>
      </c>
      <c r="F47" s="26"/>
      <c r="G47" s="26" t="s">
        <v>954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716</v>
      </c>
      <c r="C48" s="13" t="s">
        <v>338</v>
      </c>
      <c r="D48" s="10" t="s">
        <v>717</v>
      </c>
      <c r="E48" s="25" t="s">
        <v>266</v>
      </c>
      <c r="F48" s="26"/>
      <c r="G48" s="26" t="s">
        <v>955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410</v>
      </c>
      <c r="C49" s="13" t="s">
        <v>338</v>
      </c>
      <c r="D49" s="10" t="s">
        <v>719</v>
      </c>
      <c r="E49" s="25" t="s">
        <v>266</v>
      </c>
      <c r="F49" s="26"/>
      <c r="G49" s="26" t="s">
        <v>720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412</v>
      </c>
      <c r="C50" s="13" t="s">
        <v>338</v>
      </c>
      <c r="D50" s="10" t="s">
        <v>721</v>
      </c>
      <c r="E50" s="25" t="s">
        <v>266</v>
      </c>
      <c r="F50" s="26"/>
      <c r="G50" s="26" t="s">
        <v>722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1916</v>
      </c>
      <c r="C51" s="13" t="s">
        <v>338</v>
      </c>
      <c r="D51" s="10" t="s">
        <v>1917</v>
      </c>
      <c r="E51" s="25" t="s">
        <v>266</v>
      </c>
      <c r="F51" s="26"/>
      <c r="G51" s="26" t="s">
        <v>2136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1919</v>
      </c>
      <c r="C52" s="13" t="s">
        <v>338</v>
      </c>
      <c r="D52" s="10" t="s">
        <v>1920</v>
      </c>
      <c r="E52" s="25" t="s">
        <v>266</v>
      </c>
      <c r="F52" s="26"/>
      <c r="G52" s="26" t="s">
        <v>2137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1922</v>
      </c>
      <c r="C53" s="13" t="s">
        <v>338</v>
      </c>
      <c r="D53" s="10" t="s">
        <v>1923</v>
      </c>
      <c r="E53" s="25" t="s">
        <v>266</v>
      </c>
      <c r="F53" s="26"/>
      <c r="G53" s="26" t="s">
        <v>2138</v>
      </c>
      <c r="H53" s="37"/>
      <c r="I53" s="26"/>
      <c r="J53" s="15" t="s">
        <v>632</v>
      </c>
      <c r="K53" s="15" t="s">
        <v>404</v>
      </c>
      <c r="L53" s="15" t="s">
        <v>633</v>
      </c>
    </row>
    <row r="54" s="1" customFormat="1" spans="1:12">
      <c r="A54" s="33"/>
      <c r="B54" s="13" t="s">
        <v>1925</v>
      </c>
      <c r="C54" s="13" t="s">
        <v>338</v>
      </c>
      <c r="D54" s="10" t="s">
        <v>1926</v>
      </c>
      <c r="E54" s="25" t="s">
        <v>266</v>
      </c>
      <c r="F54" s="26"/>
      <c r="G54" s="26" t="s">
        <v>2139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1928</v>
      </c>
      <c r="C55" s="13" t="s">
        <v>338</v>
      </c>
      <c r="D55" s="10" t="s">
        <v>1929</v>
      </c>
      <c r="E55" s="25" t="s">
        <v>266</v>
      </c>
      <c r="F55" s="26"/>
      <c r="G55" s="26" t="s">
        <v>2140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1931</v>
      </c>
      <c r="C56" s="13" t="s">
        <v>338</v>
      </c>
      <c r="D56" s="10" t="s">
        <v>1932</v>
      </c>
      <c r="E56" s="25" t="s">
        <v>266</v>
      </c>
      <c r="F56" s="26"/>
      <c r="G56" s="26" t="s">
        <v>2141</v>
      </c>
      <c r="H56" s="37"/>
      <c r="I56" s="26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1934</v>
      </c>
      <c r="C57" s="13" t="s">
        <v>338</v>
      </c>
      <c r="D57" s="10" t="s">
        <v>1935</v>
      </c>
      <c r="E57" s="25" t="s">
        <v>266</v>
      </c>
      <c r="F57" s="26"/>
      <c r="G57" s="26" t="s">
        <v>2142</v>
      </c>
      <c r="H57" s="37"/>
      <c r="I57" s="26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1937</v>
      </c>
      <c r="C58" s="13" t="s">
        <v>338</v>
      </c>
      <c r="D58" s="10" t="s">
        <v>1938</v>
      </c>
      <c r="E58" s="25" t="s">
        <v>266</v>
      </c>
      <c r="F58" s="26"/>
      <c r="G58" s="26" t="s">
        <v>2143</v>
      </c>
      <c r="H58" s="37"/>
      <c r="I58" s="26"/>
      <c r="J58" s="15" t="s">
        <v>632</v>
      </c>
      <c r="K58" s="15" t="s">
        <v>644</v>
      </c>
      <c r="L58" s="15" t="s">
        <v>633</v>
      </c>
    </row>
    <row r="59" s="1" customFormat="1" spans="1:12">
      <c r="A59" s="33"/>
      <c r="B59" s="13" t="s">
        <v>1940</v>
      </c>
      <c r="C59" s="13" t="s">
        <v>338</v>
      </c>
      <c r="D59" s="10" t="s">
        <v>1941</v>
      </c>
      <c r="E59" s="25" t="s">
        <v>266</v>
      </c>
      <c r="F59" s="26"/>
      <c r="G59" s="26" t="s">
        <v>2144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1870</v>
      </c>
      <c r="C60" s="13" t="s">
        <v>338</v>
      </c>
      <c r="D60" s="10" t="s">
        <v>1943</v>
      </c>
      <c r="E60" s="25" t="s">
        <v>266</v>
      </c>
      <c r="F60" s="26"/>
      <c r="G60" s="26" t="s">
        <v>1944</v>
      </c>
      <c r="H60" s="37"/>
      <c r="I60" s="26"/>
      <c r="J60" s="15" t="s">
        <v>632</v>
      </c>
      <c r="K60" s="15" t="s">
        <v>644</v>
      </c>
      <c r="L60" s="15" t="s">
        <v>633</v>
      </c>
    </row>
    <row r="61" s="1" customFormat="1" spans="1:12">
      <c r="A61" s="33"/>
      <c r="B61" s="13" t="s">
        <v>1945</v>
      </c>
      <c r="C61" s="52" t="s">
        <v>666</v>
      </c>
      <c r="D61" s="10" t="s">
        <v>1946</v>
      </c>
      <c r="E61" s="25" t="s">
        <v>266</v>
      </c>
      <c r="F61" s="26"/>
      <c r="G61" s="26" t="s">
        <v>2145</v>
      </c>
      <c r="H61" s="3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1948</v>
      </c>
      <c r="C62" s="52" t="s">
        <v>666</v>
      </c>
      <c r="D62" s="10" t="s">
        <v>1949</v>
      </c>
      <c r="E62" s="25" t="s">
        <v>266</v>
      </c>
      <c r="F62" s="26"/>
      <c r="G62" s="26" t="s">
        <v>2146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728</v>
      </c>
      <c r="C63" s="13" t="s">
        <v>338</v>
      </c>
      <c r="D63" s="10" t="s">
        <v>729</v>
      </c>
      <c r="E63" s="25" t="s">
        <v>266</v>
      </c>
      <c r="F63" s="26"/>
      <c r="G63" s="26" t="s">
        <v>956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730</v>
      </c>
      <c r="C64" s="13" t="s">
        <v>666</v>
      </c>
      <c r="D64" s="10" t="s">
        <v>731</v>
      </c>
      <c r="E64" s="25" t="s">
        <v>266</v>
      </c>
      <c r="F64" s="55"/>
      <c r="G64" s="26" t="s">
        <v>957</v>
      </c>
      <c r="H64" s="37"/>
      <c r="I64" s="26"/>
      <c r="J64" s="15" t="s">
        <v>632</v>
      </c>
      <c r="K64" s="15" t="s">
        <v>404</v>
      </c>
      <c r="L64" s="15" t="s">
        <v>633</v>
      </c>
    </row>
    <row r="65" s="1" customFormat="1" spans="1:12">
      <c r="A65" s="33"/>
      <c r="B65" s="13" t="s">
        <v>733</v>
      </c>
      <c r="C65" s="13" t="s">
        <v>338</v>
      </c>
      <c r="D65" s="10" t="s">
        <v>734</v>
      </c>
      <c r="E65" s="25" t="s">
        <v>266</v>
      </c>
      <c r="F65" s="26"/>
      <c r="G65" s="26" t="s">
        <v>958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736</v>
      </c>
      <c r="C66" s="13" t="s">
        <v>338</v>
      </c>
      <c r="D66" s="10" t="s">
        <v>737</v>
      </c>
      <c r="E66" s="25" t="s">
        <v>266</v>
      </c>
      <c r="F66" s="26"/>
      <c r="G66" s="26" t="s">
        <v>959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739</v>
      </c>
      <c r="C67" s="13" t="s">
        <v>338</v>
      </c>
      <c r="D67" s="10" t="s">
        <v>740</v>
      </c>
      <c r="E67" s="25" t="s">
        <v>266</v>
      </c>
      <c r="F67" s="26"/>
      <c r="G67" s="26" t="s">
        <v>960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742</v>
      </c>
      <c r="C68" s="13" t="s">
        <v>338</v>
      </c>
      <c r="D68" s="10" t="s">
        <v>743</v>
      </c>
      <c r="E68" s="25" t="s">
        <v>266</v>
      </c>
      <c r="F68" s="26"/>
      <c r="G68" s="26" t="s">
        <v>961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745</v>
      </c>
      <c r="C69" s="13" t="s">
        <v>338</v>
      </c>
      <c r="D69" s="10" t="s">
        <v>746</v>
      </c>
      <c r="E69" s="25" t="s">
        <v>266</v>
      </c>
      <c r="F69" s="26"/>
      <c r="G69" s="26" t="s">
        <v>962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748</v>
      </c>
      <c r="C70" s="13" t="s">
        <v>338</v>
      </c>
      <c r="D70" s="10" t="s">
        <v>749</v>
      </c>
      <c r="E70" s="25" t="s">
        <v>266</v>
      </c>
      <c r="F70" s="26"/>
      <c r="G70" s="26" t="s">
        <v>963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751</v>
      </c>
      <c r="C71" s="13" t="s">
        <v>666</v>
      </c>
      <c r="D71" s="10" t="s">
        <v>752</v>
      </c>
      <c r="E71" s="25" t="s">
        <v>266</v>
      </c>
      <c r="F71" s="55"/>
      <c r="G71" s="26" t="s">
        <v>964</v>
      </c>
      <c r="H71" s="37"/>
      <c r="I71" s="26"/>
      <c r="J71" s="15" t="s">
        <v>632</v>
      </c>
      <c r="K71" s="15" t="s">
        <v>404</v>
      </c>
      <c r="L71" s="15" t="s">
        <v>633</v>
      </c>
    </row>
    <row r="72" s="1" customFormat="1" spans="1:12">
      <c r="A72" s="33"/>
      <c r="B72" s="13" t="s">
        <v>754</v>
      </c>
      <c r="C72" s="13" t="s">
        <v>338</v>
      </c>
      <c r="D72" s="10" t="s">
        <v>755</v>
      </c>
      <c r="E72" s="25" t="s">
        <v>266</v>
      </c>
      <c r="F72" s="26"/>
      <c r="G72" s="26" t="s">
        <v>965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757</v>
      </c>
      <c r="C73" s="13" t="s">
        <v>338</v>
      </c>
      <c r="D73" s="10" t="s">
        <v>758</v>
      </c>
      <c r="E73" s="25" t="s">
        <v>266</v>
      </c>
      <c r="F73" s="26"/>
      <c r="G73" s="26" t="s">
        <v>966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760</v>
      </c>
      <c r="C74" s="13" t="s">
        <v>338</v>
      </c>
      <c r="D74" s="10" t="s">
        <v>761</v>
      </c>
      <c r="E74" s="25" t="s">
        <v>266</v>
      </c>
      <c r="F74" s="26"/>
      <c r="G74" s="26" t="s">
        <v>967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763</v>
      </c>
      <c r="C75" s="13" t="s">
        <v>338</v>
      </c>
      <c r="D75" s="10" t="s">
        <v>764</v>
      </c>
      <c r="E75" s="25" t="s">
        <v>266</v>
      </c>
      <c r="F75" s="26"/>
      <c r="G75" s="26" t="s">
        <v>968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766</v>
      </c>
      <c r="C76" s="13" t="s">
        <v>338</v>
      </c>
      <c r="D76" s="10" t="s">
        <v>767</v>
      </c>
      <c r="E76" s="25" t="s">
        <v>266</v>
      </c>
      <c r="F76" s="26"/>
      <c r="G76" s="26" t="s">
        <v>969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769</v>
      </c>
      <c r="C77" s="13" t="s">
        <v>666</v>
      </c>
      <c r="D77" s="10" t="s">
        <v>770</v>
      </c>
      <c r="E77" s="25" t="s">
        <v>266</v>
      </c>
      <c r="F77" s="26"/>
      <c r="G77" s="26" t="s">
        <v>970</v>
      </c>
      <c r="H77" s="3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772</v>
      </c>
      <c r="C78" s="13" t="s">
        <v>666</v>
      </c>
      <c r="D78" s="10" t="s">
        <v>773</v>
      </c>
      <c r="E78" s="25" t="s">
        <v>266</v>
      </c>
      <c r="F78" s="55"/>
      <c r="G78" s="26" t="s">
        <v>971</v>
      </c>
      <c r="H78" s="3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775</v>
      </c>
      <c r="C79" s="13" t="s">
        <v>338</v>
      </c>
      <c r="D79" s="10" t="s">
        <v>776</v>
      </c>
      <c r="E79" s="25" t="s">
        <v>266</v>
      </c>
      <c r="F79" s="26"/>
      <c r="G79" s="26" t="s">
        <v>972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778</v>
      </c>
      <c r="C80" s="13" t="s">
        <v>338</v>
      </c>
      <c r="D80" s="10" t="s">
        <v>779</v>
      </c>
      <c r="E80" s="25" t="s">
        <v>266</v>
      </c>
      <c r="F80" s="26"/>
      <c r="G80" s="26" t="s">
        <v>973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781</v>
      </c>
      <c r="C81" s="13" t="s">
        <v>338</v>
      </c>
      <c r="D81" s="10" t="s">
        <v>782</v>
      </c>
      <c r="E81" s="25" t="s">
        <v>266</v>
      </c>
      <c r="F81" s="26"/>
      <c r="G81" s="26" t="s">
        <v>974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784</v>
      </c>
      <c r="C82" s="13" t="s">
        <v>338</v>
      </c>
      <c r="D82" s="10" t="s">
        <v>785</v>
      </c>
      <c r="E82" s="25" t="s">
        <v>266</v>
      </c>
      <c r="F82" s="26"/>
      <c r="G82" s="26" t="s">
        <v>975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787</v>
      </c>
      <c r="C83" s="13" t="s">
        <v>338</v>
      </c>
      <c r="D83" s="10" t="s">
        <v>788</v>
      </c>
      <c r="E83" s="25" t="s">
        <v>266</v>
      </c>
      <c r="F83" s="26"/>
      <c r="G83" s="26" t="s">
        <v>976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413</v>
      </c>
      <c r="C84" s="13" t="s">
        <v>666</v>
      </c>
      <c r="D84" s="10" t="s">
        <v>790</v>
      </c>
      <c r="E84" s="25" t="s">
        <v>266</v>
      </c>
      <c r="F84" s="55"/>
      <c r="G84" s="26" t="s">
        <v>977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792</v>
      </c>
      <c r="C85" s="13" t="s">
        <v>338</v>
      </c>
      <c r="D85" s="10" t="s">
        <v>793</v>
      </c>
      <c r="E85" s="25" t="s">
        <v>266</v>
      </c>
      <c r="F85" s="26"/>
      <c r="G85" s="26" t="s">
        <v>978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13" t="s">
        <v>418</v>
      </c>
      <c r="C86" s="13" t="s">
        <v>666</v>
      </c>
      <c r="D86" s="10" t="s">
        <v>795</v>
      </c>
      <c r="E86" s="25" t="s">
        <v>266</v>
      </c>
      <c r="F86" s="55"/>
      <c r="G86" s="26" t="s">
        <v>979</v>
      </c>
      <c r="H86" s="37"/>
      <c r="I86" s="26"/>
      <c r="J86" s="15" t="s">
        <v>632</v>
      </c>
      <c r="K86" s="15" t="s">
        <v>404</v>
      </c>
      <c r="L86" s="15" t="s">
        <v>633</v>
      </c>
    </row>
    <row r="87" s="1" customFormat="1" spans="1:12">
      <c r="A87" s="33"/>
      <c r="B87" s="13" t="s">
        <v>797</v>
      </c>
      <c r="C87" s="13" t="s">
        <v>338</v>
      </c>
      <c r="D87" s="10" t="s">
        <v>798</v>
      </c>
      <c r="E87" s="25" t="s">
        <v>266</v>
      </c>
      <c r="F87" s="26"/>
      <c r="G87" s="26" t="s">
        <v>980</v>
      </c>
      <c r="H87" s="37"/>
      <c r="I87" s="26"/>
      <c r="J87" s="15" t="s">
        <v>632</v>
      </c>
      <c r="K87" s="15" t="s">
        <v>294</v>
      </c>
      <c r="L87" s="15" t="s">
        <v>633</v>
      </c>
    </row>
    <row r="88" s="1" customFormat="1" spans="1:12">
      <c r="A88" s="33"/>
      <c r="B88" s="32" t="s">
        <v>1860</v>
      </c>
      <c r="C88" s="32" t="s">
        <v>338</v>
      </c>
      <c r="D88" s="10" t="s">
        <v>1861</v>
      </c>
      <c r="E88" s="25" t="s">
        <v>266</v>
      </c>
      <c r="F88" s="26"/>
      <c r="G88" s="26" t="s">
        <v>1966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32" t="s">
        <v>1903</v>
      </c>
      <c r="C89" s="32" t="s">
        <v>666</v>
      </c>
      <c r="D89" s="10" t="s">
        <v>1904</v>
      </c>
      <c r="E89" s="25" t="s">
        <v>266</v>
      </c>
      <c r="F89" s="26"/>
      <c r="G89" s="26" t="s">
        <v>1967</v>
      </c>
      <c r="H89" s="37"/>
      <c r="I89" s="26"/>
      <c r="J89" s="15" t="s">
        <v>632</v>
      </c>
      <c r="K89" s="15" t="s">
        <v>1898</v>
      </c>
      <c r="L89" s="15" t="s">
        <v>633</v>
      </c>
    </row>
    <row r="90" s="1" customFormat="1" spans="1:12">
      <c r="A90" s="33"/>
      <c r="B90" s="52" t="s">
        <v>1968</v>
      </c>
      <c r="C90" s="52" t="s">
        <v>666</v>
      </c>
      <c r="D90" s="54" t="s">
        <v>1969</v>
      </c>
      <c r="E90" s="25" t="s">
        <v>266</v>
      </c>
      <c r="F90" s="55"/>
      <c r="G90" s="26" t="s">
        <v>2147</v>
      </c>
      <c r="H90" s="27"/>
      <c r="I90" s="26"/>
      <c r="J90" s="15" t="s">
        <v>632</v>
      </c>
      <c r="K90" s="15" t="s">
        <v>1898</v>
      </c>
      <c r="L90" s="15" t="s">
        <v>633</v>
      </c>
    </row>
    <row r="91" s="1" customFormat="1" spans="2:12">
      <c r="B91" s="32" t="s">
        <v>1906</v>
      </c>
      <c r="C91" s="32" t="s">
        <v>666</v>
      </c>
      <c r="D91" s="10" t="s">
        <v>1907</v>
      </c>
      <c r="E91" s="25" t="s">
        <v>266</v>
      </c>
      <c r="F91" s="32"/>
      <c r="G91" s="26" t="s">
        <v>1971</v>
      </c>
      <c r="H91" s="37"/>
      <c r="I91" s="26"/>
      <c r="J91" s="15" t="s">
        <v>632</v>
      </c>
      <c r="K91" s="15" t="s">
        <v>1902</v>
      </c>
      <c r="L91" s="15" t="s">
        <v>633</v>
      </c>
    </row>
    <row r="92" s="1" customFormat="1" spans="1:12">
      <c r="A92" s="33"/>
      <c r="B92" s="32" t="s">
        <v>1892</v>
      </c>
      <c r="C92" s="32" t="s">
        <v>338</v>
      </c>
      <c r="D92" s="10" t="s">
        <v>1972</v>
      </c>
      <c r="E92" s="25" t="s">
        <v>266</v>
      </c>
      <c r="F92" s="26"/>
      <c r="G92" s="26" t="s">
        <v>1973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32" t="s">
        <v>1895</v>
      </c>
      <c r="C93" s="32" t="s">
        <v>666</v>
      </c>
      <c r="D93" s="10" t="s">
        <v>1896</v>
      </c>
      <c r="E93" s="25" t="s">
        <v>266</v>
      </c>
      <c r="F93" s="26"/>
      <c r="G93" s="26" t="s">
        <v>1974</v>
      </c>
      <c r="H93" s="37"/>
      <c r="I93" s="26"/>
      <c r="J93" s="15" t="s">
        <v>632</v>
      </c>
      <c r="K93" s="15" t="s">
        <v>1898</v>
      </c>
      <c r="L93" s="15" t="s">
        <v>633</v>
      </c>
    </row>
    <row r="94" s="1" customFormat="1" spans="2:12">
      <c r="B94" s="32" t="s">
        <v>1899</v>
      </c>
      <c r="C94" s="32" t="s">
        <v>666</v>
      </c>
      <c r="D94" s="10" t="s">
        <v>1900</v>
      </c>
      <c r="E94" s="25" t="s">
        <v>266</v>
      </c>
      <c r="F94" s="32"/>
      <c r="G94" s="26" t="s">
        <v>1975</v>
      </c>
      <c r="H94" s="37"/>
      <c r="I94" s="26"/>
      <c r="J94" s="15" t="s">
        <v>632</v>
      </c>
      <c r="K94" s="15" t="s">
        <v>1902</v>
      </c>
      <c r="L94" s="15" t="s">
        <v>633</v>
      </c>
    </row>
    <row r="95" s="1" customFormat="1" spans="2:12">
      <c r="B95" s="32" t="s">
        <v>1976</v>
      </c>
      <c r="C95" s="32" t="s">
        <v>666</v>
      </c>
      <c r="D95" s="10" t="s">
        <v>1977</v>
      </c>
      <c r="E95" s="25" t="s">
        <v>266</v>
      </c>
      <c r="F95" s="26"/>
      <c r="G95" s="26" t="s">
        <v>2148</v>
      </c>
      <c r="H95" s="37"/>
      <c r="I95" s="26"/>
      <c r="J95" s="15" t="s">
        <v>632</v>
      </c>
      <c r="K95" s="15" t="s">
        <v>669</v>
      </c>
      <c r="L95" s="15" t="s">
        <v>633</v>
      </c>
    </row>
    <row r="96" s="1" customFormat="1" spans="2:12">
      <c r="B96" s="32" t="s">
        <v>1979</v>
      </c>
      <c r="C96" s="32" t="s">
        <v>338</v>
      </c>
      <c r="D96" s="10" t="s">
        <v>1980</v>
      </c>
      <c r="E96" s="25" t="s">
        <v>266</v>
      </c>
      <c r="F96" s="26"/>
      <c r="G96" s="26" t="s">
        <v>2149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1982</v>
      </c>
      <c r="C97" s="32" t="s">
        <v>338</v>
      </c>
      <c r="D97" s="10" t="s">
        <v>1983</v>
      </c>
      <c r="E97" s="25" t="s">
        <v>266</v>
      </c>
      <c r="F97" s="26"/>
      <c r="G97" s="26" t="s">
        <v>2150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1985</v>
      </c>
      <c r="C98" s="32" t="s">
        <v>338</v>
      </c>
      <c r="D98" s="10" t="s">
        <v>1986</v>
      </c>
      <c r="E98" s="25" t="s">
        <v>266</v>
      </c>
      <c r="F98" s="26"/>
      <c r="G98" s="26" t="s">
        <v>2151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1988</v>
      </c>
      <c r="C99" s="32" t="s">
        <v>666</v>
      </c>
      <c r="D99" s="10" t="s">
        <v>1989</v>
      </c>
      <c r="E99" s="25" t="s">
        <v>266</v>
      </c>
      <c r="F99" s="32"/>
      <c r="G99" s="26" t="s">
        <v>2152</v>
      </c>
      <c r="H99" s="37"/>
      <c r="I99" s="26"/>
      <c r="J99" s="15" t="s">
        <v>632</v>
      </c>
      <c r="K99" s="15" t="s">
        <v>294</v>
      </c>
      <c r="L99" s="15" t="s">
        <v>1264</v>
      </c>
    </row>
    <row r="100" s="1" customFormat="1" spans="2:12">
      <c r="B100" s="32" t="s">
        <v>1991</v>
      </c>
      <c r="C100" s="32" t="s">
        <v>666</v>
      </c>
      <c r="D100" s="10" t="s">
        <v>1992</v>
      </c>
      <c r="E100" s="25" t="s">
        <v>266</v>
      </c>
      <c r="F100" s="26"/>
      <c r="G100" s="26" t="s">
        <v>2153</v>
      </c>
      <c r="H100" s="37"/>
      <c r="I100" s="26"/>
      <c r="J100" s="15" t="s">
        <v>632</v>
      </c>
      <c r="K100" s="15" t="s">
        <v>669</v>
      </c>
      <c r="L100" s="15" t="s">
        <v>633</v>
      </c>
    </row>
    <row r="101" s="1" customFormat="1" spans="2:12">
      <c r="B101" s="32" t="s">
        <v>1994</v>
      </c>
      <c r="C101" s="32" t="s">
        <v>338</v>
      </c>
      <c r="D101" s="10" t="s">
        <v>1995</v>
      </c>
      <c r="E101" s="25" t="s">
        <v>266</v>
      </c>
      <c r="F101" s="26"/>
      <c r="G101" s="26" t="s">
        <v>2154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1997</v>
      </c>
      <c r="C102" s="32" t="s">
        <v>338</v>
      </c>
      <c r="D102" s="10" t="s">
        <v>1998</v>
      </c>
      <c r="E102" s="25" t="s">
        <v>266</v>
      </c>
      <c r="F102" s="26"/>
      <c r="G102" s="26" t="s">
        <v>2155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2:12">
      <c r="B103" s="32" t="s">
        <v>2000</v>
      </c>
      <c r="C103" s="32" t="s">
        <v>338</v>
      </c>
      <c r="D103" s="10" t="s">
        <v>2001</v>
      </c>
      <c r="E103" s="25" t="s">
        <v>266</v>
      </c>
      <c r="F103" s="26"/>
      <c r="G103" s="26" t="s">
        <v>2156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2002</v>
      </c>
      <c r="C104" s="32" t="s">
        <v>338</v>
      </c>
      <c r="D104" s="10" t="s">
        <v>1887</v>
      </c>
      <c r="E104" s="25" t="s">
        <v>266</v>
      </c>
      <c r="F104" s="26"/>
      <c r="G104" s="26" t="s">
        <v>2157</v>
      </c>
      <c r="H104" s="37"/>
      <c r="I104" s="26"/>
      <c r="J104" s="15" t="s">
        <v>632</v>
      </c>
      <c r="K104" s="15" t="s">
        <v>669</v>
      </c>
      <c r="L104" s="15" t="s">
        <v>633</v>
      </c>
    </row>
    <row r="105" s="1" customFormat="1" spans="2:12">
      <c r="B105" s="32" t="s">
        <v>2004</v>
      </c>
      <c r="C105" s="32" t="s">
        <v>338</v>
      </c>
      <c r="D105" s="10" t="s">
        <v>2005</v>
      </c>
      <c r="E105" s="25" t="s">
        <v>266</v>
      </c>
      <c r="F105" s="26"/>
      <c r="G105" s="26" t="s">
        <v>2158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2007</v>
      </c>
      <c r="C106" s="32" t="s">
        <v>338</v>
      </c>
      <c r="D106" s="10" t="s">
        <v>1890</v>
      </c>
      <c r="E106" s="25" t="s">
        <v>266</v>
      </c>
      <c r="F106" s="26"/>
      <c r="G106" s="26" t="s">
        <v>2159</v>
      </c>
      <c r="H106" s="37"/>
      <c r="I106" s="26"/>
      <c r="J106" s="15" t="s">
        <v>632</v>
      </c>
      <c r="K106" s="15" t="s">
        <v>669</v>
      </c>
      <c r="L106" s="15" t="s">
        <v>633</v>
      </c>
    </row>
    <row r="107" s="1" customFormat="1" spans="2:12">
      <c r="B107" s="32" t="s">
        <v>2009</v>
      </c>
      <c r="C107" s="32" t="s">
        <v>338</v>
      </c>
      <c r="D107" s="10" t="s">
        <v>2010</v>
      </c>
      <c r="E107" s="25" t="s">
        <v>266</v>
      </c>
      <c r="F107" s="26"/>
      <c r="G107" s="26" t="s">
        <v>2160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2012</v>
      </c>
      <c r="C108" s="32" t="s">
        <v>338</v>
      </c>
      <c r="D108" s="10" t="s">
        <v>2013</v>
      </c>
      <c r="E108" s="25" t="s">
        <v>266</v>
      </c>
      <c r="F108" s="26"/>
      <c r="G108" s="26" t="s">
        <v>2161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2015</v>
      </c>
      <c r="C109" s="32" t="s">
        <v>338</v>
      </c>
      <c r="D109" s="10" t="s">
        <v>2016</v>
      </c>
      <c r="E109" s="25" t="s">
        <v>266</v>
      </c>
      <c r="F109" s="26"/>
      <c r="G109" s="26" t="s">
        <v>2162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2018</v>
      </c>
      <c r="C110" s="32" t="s">
        <v>338</v>
      </c>
      <c r="D110" s="10" t="s">
        <v>2019</v>
      </c>
      <c r="E110" s="25" t="s">
        <v>266</v>
      </c>
      <c r="F110" s="26"/>
      <c r="G110" s="26" t="s">
        <v>2163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2021</v>
      </c>
      <c r="C111" s="32" t="s">
        <v>338</v>
      </c>
      <c r="D111" s="10" t="s">
        <v>2022</v>
      </c>
      <c r="E111" s="25" t="s">
        <v>266</v>
      </c>
      <c r="F111" s="26"/>
      <c r="G111" s="26" t="s">
        <v>2164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2:12">
      <c r="B112" s="32" t="s">
        <v>2024</v>
      </c>
      <c r="C112" s="32" t="s">
        <v>338</v>
      </c>
      <c r="D112" s="10" t="s">
        <v>2025</v>
      </c>
      <c r="E112" s="25" t="s">
        <v>266</v>
      </c>
      <c r="F112" s="26"/>
      <c r="G112" s="26" t="s">
        <v>2165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2:12">
      <c r="B113" s="32" t="s">
        <v>2027</v>
      </c>
      <c r="C113" s="32" t="s">
        <v>338</v>
      </c>
      <c r="D113" s="10" t="s">
        <v>2028</v>
      </c>
      <c r="E113" s="25" t="s">
        <v>266</v>
      </c>
      <c r="F113" s="26"/>
      <c r="G113" s="26" t="s">
        <v>2166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13" t="s">
        <v>2030</v>
      </c>
      <c r="C114" s="13" t="s">
        <v>666</v>
      </c>
      <c r="D114" s="10" t="s">
        <v>2031</v>
      </c>
      <c r="E114" s="25" t="s">
        <v>266</v>
      </c>
      <c r="F114" s="55"/>
      <c r="G114" s="26" t="s">
        <v>2167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2033</v>
      </c>
      <c r="C115" s="52" t="s">
        <v>338</v>
      </c>
      <c r="D115" s="54" t="s">
        <v>2034</v>
      </c>
      <c r="E115" s="25" t="s">
        <v>266</v>
      </c>
      <c r="F115" s="26"/>
      <c r="G115" s="26" t="s">
        <v>2168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2036</v>
      </c>
      <c r="C116" s="52" t="s">
        <v>338</v>
      </c>
      <c r="D116" s="54" t="s">
        <v>2037</v>
      </c>
      <c r="E116" s="25" t="s">
        <v>266</v>
      </c>
      <c r="F116" s="26"/>
      <c r="G116" s="26" t="s">
        <v>2169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2039</v>
      </c>
      <c r="C117" s="52" t="s">
        <v>338</v>
      </c>
      <c r="D117" s="54" t="s">
        <v>2040</v>
      </c>
      <c r="E117" s="25" t="s">
        <v>266</v>
      </c>
      <c r="F117" s="26"/>
      <c r="G117" s="26" t="s">
        <v>2170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52" t="s">
        <v>2042</v>
      </c>
      <c r="C118" s="52" t="s">
        <v>338</v>
      </c>
      <c r="D118" s="54" t="s">
        <v>2043</v>
      </c>
      <c r="E118" s="25" t="s">
        <v>266</v>
      </c>
      <c r="F118" s="26"/>
      <c r="G118" s="26" t="s">
        <v>2171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52" t="s">
        <v>2045</v>
      </c>
      <c r="C119" s="52" t="s">
        <v>338</v>
      </c>
      <c r="D119" s="54" t="s">
        <v>2046</v>
      </c>
      <c r="E119" s="25" t="s">
        <v>266</v>
      </c>
      <c r="F119" s="26"/>
      <c r="G119" s="26" t="s">
        <v>2172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2048</v>
      </c>
      <c r="C120" s="52" t="s">
        <v>666</v>
      </c>
      <c r="D120" s="10" t="s">
        <v>2049</v>
      </c>
      <c r="E120" s="25" t="s">
        <v>266</v>
      </c>
      <c r="F120" s="55"/>
      <c r="G120" s="26" t="s">
        <v>2173</v>
      </c>
      <c r="H120" s="37"/>
      <c r="I120" s="26"/>
      <c r="J120" s="15" t="s">
        <v>632</v>
      </c>
      <c r="K120" s="15" t="s">
        <v>404</v>
      </c>
      <c r="L120" s="15" t="s">
        <v>633</v>
      </c>
    </row>
    <row r="121" s="1" customFormat="1" spans="1:12">
      <c r="A121" s="33"/>
      <c r="B121" s="13" t="s">
        <v>2051</v>
      </c>
      <c r="C121" s="13" t="s">
        <v>338</v>
      </c>
      <c r="D121" s="10" t="s">
        <v>2052</v>
      </c>
      <c r="E121" s="25" t="s">
        <v>266</v>
      </c>
      <c r="F121" s="26"/>
      <c r="G121" s="26" t="s">
        <v>2174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2054</v>
      </c>
      <c r="C122" s="13" t="s">
        <v>338</v>
      </c>
      <c r="D122" s="10" t="s">
        <v>2055</v>
      </c>
      <c r="E122" s="25" t="s">
        <v>266</v>
      </c>
      <c r="F122" s="26"/>
      <c r="G122" s="26" t="s">
        <v>2175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2057</v>
      </c>
      <c r="C123" s="13" t="s">
        <v>338</v>
      </c>
      <c r="D123" s="10" t="s">
        <v>2058</v>
      </c>
      <c r="E123" s="25" t="s">
        <v>266</v>
      </c>
      <c r="F123" s="26"/>
      <c r="G123" s="26" t="s">
        <v>2176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2060</v>
      </c>
      <c r="C124" s="13" t="s">
        <v>338</v>
      </c>
      <c r="D124" s="10" t="s">
        <v>2061</v>
      </c>
      <c r="E124" s="25" t="s">
        <v>266</v>
      </c>
      <c r="F124" s="26"/>
      <c r="G124" s="26" t="s">
        <v>2177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13" t="s">
        <v>2063</v>
      </c>
      <c r="C125" s="13" t="s">
        <v>338</v>
      </c>
      <c r="D125" s="10" t="s">
        <v>2064</v>
      </c>
      <c r="E125" s="25" t="s">
        <v>266</v>
      </c>
      <c r="F125" s="26"/>
      <c r="G125" s="26" t="s">
        <v>2178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13" t="s">
        <v>2066</v>
      </c>
      <c r="C126" s="52" t="s">
        <v>666</v>
      </c>
      <c r="D126" s="10" t="s">
        <v>2067</v>
      </c>
      <c r="E126" s="25" t="s">
        <v>266</v>
      </c>
      <c r="F126" s="55"/>
      <c r="G126" s="26" t="s">
        <v>2179</v>
      </c>
      <c r="H126" s="37"/>
      <c r="I126" s="26"/>
      <c r="J126" s="15" t="s">
        <v>632</v>
      </c>
      <c r="K126" s="15" t="s">
        <v>404</v>
      </c>
      <c r="L126" s="15" t="s">
        <v>633</v>
      </c>
    </row>
    <row r="127" s="1" customFormat="1" spans="1:12">
      <c r="A127" s="33"/>
      <c r="B127" s="52" t="s">
        <v>2069</v>
      </c>
      <c r="C127" s="52" t="s">
        <v>338</v>
      </c>
      <c r="D127" s="54" t="s">
        <v>2070</v>
      </c>
      <c r="E127" s="25" t="s">
        <v>266</v>
      </c>
      <c r="F127" s="26"/>
      <c r="G127" s="26" t="s">
        <v>2180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2072</v>
      </c>
      <c r="C128" s="52" t="s">
        <v>338</v>
      </c>
      <c r="D128" s="54" t="s">
        <v>2073</v>
      </c>
      <c r="E128" s="25" t="s">
        <v>266</v>
      </c>
      <c r="F128" s="26"/>
      <c r="G128" s="26" t="s">
        <v>2181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2075</v>
      </c>
      <c r="C129" s="52" t="s">
        <v>338</v>
      </c>
      <c r="D129" s="54" t="s">
        <v>2076</v>
      </c>
      <c r="E129" s="25" t="s">
        <v>266</v>
      </c>
      <c r="F129" s="26"/>
      <c r="G129" s="26" t="s">
        <v>2182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2078</v>
      </c>
      <c r="C130" s="52" t="s">
        <v>338</v>
      </c>
      <c r="D130" s="54" t="s">
        <v>2079</v>
      </c>
      <c r="E130" s="25" t="s">
        <v>266</v>
      </c>
      <c r="F130" s="26"/>
      <c r="G130" s="26" t="s">
        <v>2183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52" t="s">
        <v>2081</v>
      </c>
      <c r="C131" s="52" t="s">
        <v>338</v>
      </c>
      <c r="D131" s="54" t="s">
        <v>2082</v>
      </c>
      <c r="E131" s="25" t="s">
        <v>266</v>
      </c>
      <c r="F131" s="26"/>
      <c r="G131" s="26" t="s">
        <v>2184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2:12">
      <c r="B132" s="32" t="s">
        <v>2084</v>
      </c>
      <c r="C132" s="32" t="s">
        <v>338</v>
      </c>
      <c r="D132" s="10" t="s">
        <v>2085</v>
      </c>
      <c r="E132" s="25" t="s">
        <v>266</v>
      </c>
      <c r="F132" s="26"/>
      <c r="G132" s="26" t="s">
        <v>2185</v>
      </c>
      <c r="H132" s="37"/>
      <c r="I132" s="26"/>
      <c r="J132" s="15" t="s">
        <v>632</v>
      </c>
      <c r="K132" s="15" t="s">
        <v>669</v>
      </c>
      <c r="L132" s="15" t="s">
        <v>670</v>
      </c>
    </row>
    <row r="133" s="1" customFormat="1" spans="2:12">
      <c r="B133" s="32" t="s">
        <v>1909</v>
      </c>
      <c r="C133" s="32" t="s">
        <v>338</v>
      </c>
      <c r="D133" s="10" t="s">
        <v>2087</v>
      </c>
      <c r="E133" s="25" t="s">
        <v>266</v>
      </c>
      <c r="F133" s="26"/>
      <c r="G133" s="26" t="s">
        <v>2088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2089</v>
      </c>
      <c r="C134" s="52" t="s">
        <v>666</v>
      </c>
      <c r="D134" s="54" t="s">
        <v>2090</v>
      </c>
      <c r="E134" s="25" t="s">
        <v>266</v>
      </c>
      <c r="F134" s="55"/>
      <c r="G134" s="26" t="s">
        <v>2186</v>
      </c>
      <c r="H134" s="37"/>
      <c r="I134" s="26"/>
      <c r="J134" s="15" t="s">
        <v>632</v>
      </c>
      <c r="K134" s="15" t="s">
        <v>669</v>
      </c>
      <c r="L134" s="15" t="s">
        <v>670</v>
      </c>
    </row>
    <row r="135" s="1" customFormat="1" spans="1:12">
      <c r="A135" s="33"/>
      <c r="B135" s="52" t="s">
        <v>2092</v>
      </c>
      <c r="C135" s="52" t="s">
        <v>338</v>
      </c>
      <c r="D135" s="54" t="s">
        <v>2093</v>
      </c>
      <c r="E135" s="25" t="s">
        <v>266</v>
      </c>
      <c r="F135" s="26"/>
      <c r="G135" s="26" t="s">
        <v>2187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2095</v>
      </c>
      <c r="C136" s="52" t="s">
        <v>338</v>
      </c>
      <c r="D136" s="54" t="s">
        <v>2096</v>
      </c>
      <c r="E136" s="25" t="s">
        <v>266</v>
      </c>
      <c r="F136" s="26"/>
      <c r="G136" s="26" t="s">
        <v>2188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2098</v>
      </c>
      <c r="C137" s="52" t="s">
        <v>338</v>
      </c>
      <c r="D137" s="54" t="s">
        <v>2099</v>
      </c>
      <c r="E137" s="25" t="s">
        <v>266</v>
      </c>
      <c r="F137" s="26"/>
      <c r="G137" s="26" t="s">
        <v>2189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2101</v>
      </c>
      <c r="C138" s="52" t="s">
        <v>338</v>
      </c>
      <c r="D138" s="54" t="s">
        <v>2102</v>
      </c>
      <c r="E138" s="25" t="s">
        <v>266</v>
      </c>
      <c r="F138" s="26"/>
      <c r="G138" s="26" t="s">
        <v>2190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2104</v>
      </c>
      <c r="C139" s="52" t="s">
        <v>338</v>
      </c>
      <c r="D139" s="54" t="s">
        <v>2105</v>
      </c>
      <c r="E139" s="25" t="s">
        <v>266</v>
      </c>
      <c r="F139" s="26"/>
      <c r="G139" s="26" t="s">
        <v>2191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2107</v>
      </c>
      <c r="C140" s="52" t="s">
        <v>338</v>
      </c>
      <c r="D140" s="10" t="s">
        <v>2108</v>
      </c>
      <c r="E140" s="25" t="s">
        <v>266</v>
      </c>
      <c r="F140" s="26"/>
      <c r="G140" s="26" t="s">
        <v>2192</v>
      </c>
      <c r="H140" s="37"/>
      <c r="I140" s="26"/>
      <c r="J140" s="15" t="s">
        <v>632</v>
      </c>
      <c r="K140" s="15" t="s">
        <v>669</v>
      </c>
      <c r="L140" s="15" t="s">
        <v>670</v>
      </c>
    </row>
    <row r="141" s="1" customFormat="1" spans="1:12">
      <c r="A141" s="33"/>
      <c r="B141" s="52" t="s">
        <v>1912</v>
      </c>
      <c r="C141" s="52" t="s">
        <v>338</v>
      </c>
      <c r="D141" s="10" t="s">
        <v>2110</v>
      </c>
      <c r="E141" s="25" t="s">
        <v>266</v>
      </c>
      <c r="F141" s="26"/>
      <c r="G141" s="26" t="s">
        <v>2111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2112</v>
      </c>
      <c r="C142" s="52" t="s">
        <v>666</v>
      </c>
      <c r="D142" s="54" t="s">
        <v>2113</v>
      </c>
      <c r="E142" s="25" t="s">
        <v>266</v>
      </c>
      <c r="F142" s="55"/>
      <c r="G142" s="26" t="s">
        <v>2193</v>
      </c>
      <c r="H142" s="37"/>
      <c r="I142" s="26"/>
      <c r="J142" s="15" t="s">
        <v>632</v>
      </c>
      <c r="K142" s="15" t="s">
        <v>669</v>
      </c>
      <c r="L142" s="15" t="s">
        <v>670</v>
      </c>
    </row>
    <row r="143" s="1" customFormat="1" spans="1:12">
      <c r="A143" s="33"/>
      <c r="B143" s="52" t="s">
        <v>2115</v>
      </c>
      <c r="C143" s="52" t="s">
        <v>338</v>
      </c>
      <c r="D143" s="54" t="s">
        <v>2116</v>
      </c>
      <c r="E143" s="25" t="s">
        <v>266</v>
      </c>
      <c r="F143" s="26"/>
      <c r="G143" s="26" t="s">
        <v>2194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2118</v>
      </c>
      <c r="C144" s="52" t="s">
        <v>338</v>
      </c>
      <c r="D144" s="54" t="s">
        <v>2119</v>
      </c>
      <c r="E144" s="25" t="s">
        <v>266</v>
      </c>
      <c r="F144" s="26"/>
      <c r="G144" s="26" t="s">
        <v>2195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2121</v>
      </c>
      <c r="C145" s="52" t="s">
        <v>338</v>
      </c>
      <c r="D145" s="54" t="s">
        <v>2122</v>
      </c>
      <c r="E145" s="25" t="s">
        <v>266</v>
      </c>
      <c r="F145" s="26"/>
      <c r="G145" s="26" t="s">
        <v>2196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2124</v>
      </c>
      <c r="C146" s="52" t="s">
        <v>338</v>
      </c>
      <c r="D146" s="54" t="s">
        <v>2125</v>
      </c>
      <c r="E146" s="25" t="s">
        <v>266</v>
      </c>
      <c r="F146" s="26"/>
      <c r="G146" s="26" t="s">
        <v>2197</v>
      </c>
      <c r="H146" s="37"/>
      <c r="I146" s="26"/>
      <c r="J146" s="15" t="s">
        <v>632</v>
      </c>
      <c r="K146" s="15" t="s">
        <v>803</v>
      </c>
      <c r="L146" s="15" t="s">
        <v>633</v>
      </c>
    </row>
    <row r="147" s="1" customFormat="1" spans="1:12">
      <c r="A147" s="33"/>
      <c r="B147" s="52" t="s">
        <v>2127</v>
      </c>
      <c r="C147" s="52" t="s">
        <v>338</v>
      </c>
      <c r="D147" s="54" t="s">
        <v>2128</v>
      </c>
      <c r="E147" s="25" t="s">
        <v>266</v>
      </c>
      <c r="F147" s="26"/>
      <c r="G147" s="26" t="s">
        <v>2198</v>
      </c>
      <c r="H147" s="37"/>
      <c r="I147" s="26"/>
      <c r="J147" s="15" t="s">
        <v>632</v>
      </c>
      <c r="K147" s="15" t="s">
        <v>803</v>
      </c>
      <c r="L147" s="15" t="s">
        <v>633</v>
      </c>
    </row>
    <row r="148" s="1" customFormat="1" spans="1:12">
      <c r="A148" s="33"/>
      <c r="B148" s="52" t="s">
        <v>2130</v>
      </c>
      <c r="C148" s="52" t="s">
        <v>338</v>
      </c>
      <c r="D148" s="54" t="s">
        <v>2131</v>
      </c>
      <c r="E148" s="25" t="s">
        <v>266</v>
      </c>
      <c r="F148" s="55"/>
      <c r="G148" s="26" t="s">
        <v>2199</v>
      </c>
      <c r="H148" s="27"/>
      <c r="I148" s="26"/>
      <c r="J148" s="15" t="s">
        <v>632</v>
      </c>
      <c r="K148" s="15" t="s">
        <v>294</v>
      </c>
      <c r="L148" s="15" t="s">
        <v>633</v>
      </c>
    </row>
    <row r="149" s="1" customFormat="1" spans="1:12">
      <c r="A149" s="33"/>
      <c r="B149" s="52" t="s">
        <v>2133</v>
      </c>
      <c r="C149" s="52" t="s">
        <v>338</v>
      </c>
      <c r="D149" s="54" t="s">
        <v>2134</v>
      </c>
      <c r="E149" s="25" t="s">
        <v>266</v>
      </c>
      <c r="F149" s="55"/>
      <c r="G149" s="26" t="s">
        <v>2200</v>
      </c>
      <c r="H149" s="27"/>
      <c r="I149" s="26"/>
      <c r="J149" s="15" t="s">
        <v>632</v>
      </c>
      <c r="K149" s="15" t="s">
        <v>669</v>
      </c>
      <c r="L149" s="15" t="s">
        <v>633</v>
      </c>
    </row>
    <row r="150" s="1" customFormat="1" spans="1:12">
      <c r="A150" s="33"/>
      <c r="B150" s="13" t="s">
        <v>887</v>
      </c>
      <c r="C150" s="13" t="s">
        <v>338</v>
      </c>
      <c r="D150" s="10" t="s">
        <v>888</v>
      </c>
      <c r="E150" s="25" t="s">
        <v>266</v>
      </c>
      <c r="F150" s="26"/>
      <c r="G150" s="26" t="s">
        <v>1013</v>
      </c>
      <c r="H150" s="37"/>
      <c r="I150" s="26"/>
      <c r="J150" s="15" t="s">
        <v>632</v>
      </c>
      <c r="K150" s="15" t="s">
        <v>294</v>
      </c>
      <c r="L150" s="15" t="s">
        <v>633</v>
      </c>
    </row>
    <row r="151" s="1" customFormat="1" spans="1:12">
      <c r="A151" s="33"/>
      <c r="B151" s="13" t="s">
        <v>926</v>
      </c>
      <c r="C151" s="13" t="s">
        <v>291</v>
      </c>
      <c r="D151" s="10" t="s">
        <v>927</v>
      </c>
      <c r="E151" s="25" t="s">
        <v>266</v>
      </c>
      <c r="F151" s="35"/>
      <c r="G151" s="35" t="s">
        <v>1026</v>
      </c>
      <c r="H151" s="37"/>
      <c r="I151" s="56">
        <v>20250415101139</v>
      </c>
      <c r="J151" s="15" t="s">
        <v>632</v>
      </c>
      <c r="K151" s="15" t="s">
        <v>294</v>
      </c>
      <c r="L151" s="15" t="s">
        <v>670</v>
      </c>
    </row>
    <row r="152" s="1" customFormat="1" spans="1:12">
      <c r="A152" s="33"/>
      <c r="B152" s="13" t="s">
        <v>929</v>
      </c>
      <c r="C152" s="13" t="s">
        <v>291</v>
      </c>
      <c r="D152" s="10" t="s">
        <v>930</v>
      </c>
      <c r="E152" s="25" t="s">
        <v>266</v>
      </c>
      <c r="F152" s="35"/>
      <c r="G152" s="35" t="s">
        <v>1027</v>
      </c>
      <c r="H152" s="37"/>
      <c r="I152" s="56">
        <v>20250415101024</v>
      </c>
      <c r="J152" s="15" t="s">
        <v>632</v>
      </c>
      <c r="K152" s="15" t="s">
        <v>294</v>
      </c>
      <c r="L152" s="15" t="s">
        <v>670</v>
      </c>
    </row>
    <row r="153" s="2" customFormat="1" spans="2:14">
      <c r="B153" s="17" t="s">
        <v>594</v>
      </c>
      <c r="C153" s="18" t="s">
        <v>307</v>
      </c>
      <c r="D153" s="19" t="s">
        <v>595</v>
      </c>
      <c r="E153" s="28"/>
      <c r="F153" s="28"/>
      <c r="G153" s="28"/>
      <c r="H153" s="17"/>
      <c r="I153" s="17"/>
      <c r="J153" s="17"/>
      <c r="K153" s="17"/>
      <c r="L153" s="17"/>
      <c r="M153" s="17"/>
      <c r="N153" s="17"/>
    </row>
    <row r="154" s="2" customFormat="1" spans="2:14">
      <c r="B154" s="17" t="s">
        <v>596</v>
      </c>
      <c r="C154" s="18" t="s">
        <v>291</v>
      </c>
      <c r="D154" s="19" t="s">
        <v>597</v>
      </c>
      <c r="E154" s="28"/>
      <c r="F154" s="28"/>
      <c r="G154" s="28"/>
      <c r="H154" s="17"/>
      <c r="I154" s="17"/>
      <c r="J154" s="17"/>
      <c r="K154" s="17"/>
      <c r="L154" s="17"/>
      <c r="M154" s="17"/>
      <c r="N154" s="17"/>
    </row>
    <row r="155" s="2" customFormat="1" spans="2:14">
      <c r="B155" s="17" t="s">
        <v>598</v>
      </c>
      <c r="C155" s="18" t="s">
        <v>307</v>
      </c>
      <c r="D155" s="19" t="s">
        <v>599</v>
      </c>
      <c r="E155" s="28"/>
      <c r="F155" s="28"/>
      <c r="G155" s="28"/>
      <c r="H155" s="17"/>
      <c r="I155" s="17"/>
      <c r="J155" s="17"/>
      <c r="K155" s="17"/>
      <c r="L155" s="17"/>
      <c r="M155" s="17"/>
      <c r="N155" s="17"/>
    </row>
  </sheetData>
  <autoFilter xmlns:etc="http://www.wps.cn/officeDocument/2017/etCustomData" ref="A13:N155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zoomScale="85" zoomScaleNormal="85" workbookViewId="0">
      <pane ySplit="5" topLeftCell="A6" activePane="bottomLeft" state="frozen"/>
      <selection/>
      <selection pane="bottomLeft" activeCell="B16" sqref="B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51" t="s">
        <v>192</v>
      </c>
      <c r="D5" s="14" t="s">
        <v>193</v>
      </c>
      <c r="E5" s="13" t="s">
        <v>606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190</v>
      </c>
      <c r="D9" s="10" t="s">
        <v>191</v>
      </c>
      <c r="E9" s="13" t="s">
        <v>266</v>
      </c>
      <c r="F9" s="26"/>
      <c r="G9" s="26"/>
      <c r="H9" s="23" t="s">
        <v>44</v>
      </c>
    </row>
    <row r="10" spans="2:8">
      <c r="B10" s="13"/>
      <c r="C10" s="10" t="s">
        <v>1244</v>
      </c>
      <c r="D10" s="10" t="s">
        <v>1245</v>
      </c>
      <c r="E10" s="13" t="s">
        <v>269</v>
      </c>
      <c r="F10" s="26"/>
      <c r="G10" s="26" t="s">
        <v>1246</v>
      </c>
      <c r="H10" s="23"/>
    </row>
    <row r="11" spans="2:8">
      <c r="B11" s="13"/>
      <c r="C11" s="10" t="s">
        <v>1247</v>
      </c>
      <c r="D11" s="10" t="s">
        <v>1248</v>
      </c>
      <c r="E11" s="13" t="s">
        <v>273</v>
      </c>
      <c r="F11" s="26" t="s">
        <v>2206</v>
      </c>
      <c r="G11" s="26" t="s">
        <v>1249</v>
      </c>
      <c r="H11" s="13"/>
    </row>
    <row r="13" spans="2:2">
      <c r="B13" s="3" t="s">
        <v>279</v>
      </c>
    </row>
    <row r="14" ht="13.5" spans="2:12">
      <c r="B14" s="7" t="s">
        <v>279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3.5" spans="2:12">
      <c r="B15" s="8" t="s">
        <v>280</v>
      </c>
      <c r="C15" s="8" t="s">
        <v>281</v>
      </c>
      <c r="D15" s="8" t="s">
        <v>282</v>
      </c>
      <c r="E15" s="8" t="s">
        <v>283</v>
      </c>
      <c r="F15" s="12" t="s">
        <v>284</v>
      </c>
      <c r="G15" s="12" t="s">
        <v>285</v>
      </c>
      <c r="H15" s="8" t="s">
        <v>286</v>
      </c>
      <c r="I15" s="8" t="s">
        <v>17</v>
      </c>
      <c r="J15" s="8" t="s">
        <v>287</v>
      </c>
      <c r="K15" s="8" t="s">
        <v>288</v>
      </c>
      <c r="L15" s="8" t="s">
        <v>289</v>
      </c>
    </row>
    <row r="16" s="1" customFormat="1" spans="2:12">
      <c r="B16" s="32" t="s">
        <v>602</v>
      </c>
      <c r="C16" s="32" t="s">
        <v>291</v>
      </c>
      <c r="D16" s="10" t="s">
        <v>603</v>
      </c>
      <c r="E16" s="25" t="s">
        <v>266</v>
      </c>
      <c r="F16" s="26" t="s">
        <v>596</v>
      </c>
      <c r="G16" s="26" t="s">
        <v>293</v>
      </c>
      <c r="H16" s="25"/>
      <c r="I16" s="15"/>
      <c r="J16" s="15" t="s">
        <v>604</v>
      </c>
      <c r="K16" s="15" t="s">
        <v>294</v>
      </c>
      <c r="L16" s="15" t="s">
        <v>605</v>
      </c>
    </row>
    <row r="17" s="1" customFormat="1" spans="2:12">
      <c r="B17" s="32" t="s">
        <v>606</v>
      </c>
      <c r="C17" s="32" t="s">
        <v>307</v>
      </c>
      <c r="D17" s="10" t="s">
        <v>48</v>
      </c>
      <c r="E17" s="25" t="s">
        <v>266</v>
      </c>
      <c r="F17" s="26" t="s">
        <v>598</v>
      </c>
      <c r="G17" s="26" t="s">
        <v>293</v>
      </c>
      <c r="H17" s="25"/>
      <c r="I17" s="15"/>
      <c r="J17" s="15" t="s">
        <v>604</v>
      </c>
      <c r="K17" s="15" t="s">
        <v>294</v>
      </c>
      <c r="L17" s="15" t="s">
        <v>607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32" t="s">
        <v>520</v>
      </c>
      <c r="C20" s="32" t="s">
        <v>307</v>
      </c>
      <c r="D20" s="10" t="s">
        <v>521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514</v>
      </c>
      <c r="C21" s="32" t="s">
        <v>291</v>
      </c>
      <c r="D21" s="10" t="s">
        <v>1250</v>
      </c>
      <c r="E21" s="25" t="s">
        <v>266</v>
      </c>
      <c r="F21" s="26" t="s">
        <v>514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295</v>
      </c>
      <c r="C22" s="32" t="s">
        <v>291</v>
      </c>
      <c r="D22" s="10" t="s">
        <v>296</v>
      </c>
      <c r="E22" s="25" t="s">
        <v>266</v>
      </c>
      <c r="F22" s="26" t="s">
        <v>295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297</v>
      </c>
      <c r="C23" s="32" t="s">
        <v>291</v>
      </c>
      <c r="D23" s="10" t="s">
        <v>298</v>
      </c>
      <c r="E23" s="25" t="s">
        <v>266</v>
      </c>
      <c r="F23" s="26" t="s">
        <v>297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300</v>
      </c>
      <c r="C24" s="32" t="s">
        <v>291</v>
      </c>
      <c r="D24" s="10" t="s">
        <v>1251</v>
      </c>
      <c r="E24" s="25" t="s">
        <v>266</v>
      </c>
      <c r="F24" s="26" t="s">
        <v>300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331</v>
      </c>
      <c r="C25" s="13" t="s">
        <v>291</v>
      </c>
      <c r="D25" s="10" t="s">
        <v>332</v>
      </c>
      <c r="E25" s="25" t="s">
        <v>266</v>
      </c>
      <c r="F25" s="26" t="s">
        <v>331</v>
      </c>
      <c r="G25" s="26" t="s">
        <v>293</v>
      </c>
      <c r="H25" s="25"/>
      <c r="I25" s="53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1252</v>
      </c>
      <c r="C26" s="13" t="s">
        <v>291</v>
      </c>
      <c r="D26" s="10" t="s">
        <v>1253</v>
      </c>
      <c r="E26" s="25" t="s">
        <v>266</v>
      </c>
      <c r="F26" s="26"/>
      <c r="G26" s="26" t="s">
        <v>1254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1255</v>
      </c>
      <c r="C27" s="13" t="s">
        <v>291</v>
      </c>
      <c r="D27" s="10" t="s">
        <v>1256</v>
      </c>
      <c r="E27" s="25" t="s">
        <v>269</v>
      </c>
      <c r="F27" s="26" t="s">
        <v>1257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926</v>
      </c>
      <c r="C28" s="13" t="s">
        <v>291</v>
      </c>
      <c r="D28" s="10" t="s">
        <v>927</v>
      </c>
      <c r="E28" s="25" t="s">
        <v>266</v>
      </c>
      <c r="F28" s="26"/>
      <c r="G28" s="26" t="s">
        <v>1026</v>
      </c>
      <c r="H28" s="25"/>
      <c r="I28" s="30"/>
      <c r="J28" s="15" t="s">
        <v>632</v>
      </c>
      <c r="K28" s="15" t="s">
        <v>294</v>
      </c>
      <c r="L28" s="15" t="s">
        <v>294</v>
      </c>
    </row>
    <row r="29" s="1" customFormat="1" spans="1:12">
      <c r="A29" s="33"/>
      <c r="B29" s="13" t="s">
        <v>929</v>
      </c>
      <c r="C29" s="13" t="s">
        <v>291</v>
      </c>
      <c r="D29" s="10" t="s">
        <v>930</v>
      </c>
      <c r="E29" s="25" t="s">
        <v>266</v>
      </c>
      <c r="F29" s="26"/>
      <c r="G29" s="26" t="s">
        <v>1027</v>
      </c>
      <c r="H29" s="25"/>
      <c r="I29" s="30"/>
      <c r="J29" s="15" t="s">
        <v>632</v>
      </c>
      <c r="K29" s="15" t="s">
        <v>294</v>
      </c>
      <c r="L29" s="15" t="s">
        <v>294</v>
      </c>
    </row>
    <row r="30" s="1" customFormat="1" spans="2:12">
      <c r="B30" s="32" t="s">
        <v>1258</v>
      </c>
      <c r="C30" s="13" t="s">
        <v>338</v>
      </c>
      <c r="D30" s="10" t="s">
        <v>1259</v>
      </c>
      <c r="E30" s="25" t="s">
        <v>266</v>
      </c>
      <c r="F30" s="26"/>
      <c r="G30" s="26" t="s">
        <v>2136</v>
      </c>
      <c r="H30" s="25"/>
      <c r="I30" s="15"/>
      <c r="J30" s="15" t="s">
        <v>632</v>
      </c>
      <c r="K30" s="15" t="s">
        <v>294</v>
      </c>
      <c r="L30" s="15" t="s">
        <v>633</v>
      </c>
    </row>
    <row r="31" s="33" customFormat="1" spans="2:13">
      <c r="B31" s="32" t="s">
        <v>629</v>
      </c>
      <c r="C31" s="13" t="s">
        <v>338</v>
      </c>
      <c r="D31" s="10" t="s">
        <v>1260</v>
      </c>
      <c r="E31" s="25" t="s">
        <v>266</v>
      </c>
      <c r="F31" s="26"/>
      <c r="G31" s="26" t="s">
        <v>933</v>
      </c>
      <c r="H31" s="25"/>
      <c r="I31" s="30"/>
      <c r="J31" s="15" t="s">
        <v>632</v>
      </c>
      <c r="K31" s="15" t="s">
        <v>294</v>
      </c>
      <c r="L31" s="15" t="s">
        <v>633</v>
      </c>
      <c r="M31" s="1"/>
    </row>
    <row r="32" s="1" customFormat="1" spans="1:12">
      <c r="A32" s="33"/>
      <c r="B32" s="13" t="s">
        <v>1261</v>
      </c>
      <c r="C32" s="13" t="s">
        <v>666</v>
      </c>
      <c r="D32" s="10" t="s">
        <v>1262</v>
      </c>
      <c r="E32" s="25" t="s">
        <v>266</v>
      </c>
      <c r="F32" s="26"/>
      <c r="G32" s="26" t="s">
        <v>2207</v>
      </c>
      <c r="H32" s="25"/>
      <c r="I32" s="26"/>
      <c r="J32" s="15" t="s">
        <v>632</v>
      </c>
      <c r="K32" s="15" t="s">
        <v>294</v>
      </c>
      <c r="L32" s="15" t="s">
        <v>1264</v>
      </c>
    </row>
    <row r="33" s="1" customFormat="1" spans="1:12">
      <c r="A33" s="33"/>
      <c r="B33" s="13" t="s">
        <v>337</v>
      </c>
      <c r="C33" s="57" t="s">
        <v>338</v>
      </c>
      <c r="D33" s="10" t="s">
        <v>1265</v>
      </c>
      <c r="E33" s="25" t="s">
        <v>266</v>
      </c>
      <c r="F33" s="26"/>
      <c r="G33" s="26" t="s">
        <v>641</v>
      </c>
      <c r="H33" s="25"/>
      <c r="I33" s="26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1266</v>
      </c>
      <c r="C34" s="57" t="s">
        <v>338</v>
      </c>
      <c r="D34" s="10" t="s">
        <v>1267</v>
      </c>
      <c r="E34" s="25" t="s">
        <v>266</v>
      </c>
      <c r="F34" s="26"/>
      <c r="G34" s="26" t="s">
        <v>1268</v>
      </c>
      <c r="H34" s="25"/>
      <c r="I34" s="26"/>
      <c r="J34" s="15" t="s">
        <v>632</v>
      </c>
      <c r="K34" s="15" t="s">
        <v>644</v>
      </c>
      <c r="L34" s="15" t="s">
        <v>633</v>
      </c>
    </row>
    <row r="35" s="2" customFormat="1" spans="2:17">
      <c r="B35" s="17" t="s">
        <v>594</v>
      </c>
      <c r="C35" s="18" t="s">
        <v>307</v>
      </c>
      <c r="D35" s="19" t="s">
        <v>595</v>
      </c>
      <c r="E35" s="28"/>
      <c r="F35" s="28"/>
      <c r="G35" s="28" t="s">
        <v>932</v>
      </c>
      <c r="H35" s="17" t="s">
        <v>932</v>
      </c>
      <c r="I35" s="17"/>
      <c r="J35" s="17"/>
      <c r="K35" s="17"/>
      <c r="L35" s="17"/>
      <c r="M35" s="17"/>
      <c r="N35" s="17"/>
      <c r="O35" s="17"/>
      <c r="P35" s="17"/>
      <c r="Q35" s="17"/>
    </row>
    <row r="36" s="2" customFormat="1" spans="2:17">
      <c r="B36" s="17" t="s">
        <v>596</v>
      </c>
      <c r="C36" s="18" t="s">
        <v>291</v>
      </c>
      <c r="D36" s="19" t="s">
        <v>597</v>
      </c>
      <c r="E36" s="28"/>
      <c r="F36" s="28"/>
      <c r="G36" s="28" t="s">
        <v>932</v>
      </c>
      <c r="H36" s="17" t="s">
        <v>932</v>
      </c>
      <c r="I36" s="17"/>
      <c r="J36" s="17"/>
      <c r="K36" s="17"/>
      <c r="L36" s="17"/>
      <c r="M36" s="17"/>
      <c r="N36" s="17"/>
      <c r="O36" s="17"/>
      <c r="P36" s="17"/>
      <c r="Q36" s="17"/>
    </row>
    <row r="37" s="2" customFormat="1" spans="2:17">
      <c r="B37" s="17" t="s">
        <v>598</v>
      </c>
      <c r="C37" s="18" t="s">
        <v>307</v>
      </c>
      <c r="D37" s="19" t="s">
        <v>599</v>
      </c>
      <c r="E37" s="28"/>
      <c r="F37" s="28"/>
      <c r="G37" s="28" t="s">
        <v>932</v>
      </c>
      <c r="H37" s="17" t="s">
        <v>932</v>
      </c>
      <c r="I37" s="17"/>
      <c r="J37" s="17"/>
      <c r="K37" s="17"/>
      <c r="L37" s="17"/>
      <c r="M37" s="17"/>
      <c r="N37" s="17"/>
      <c r="O37" s="17"/>
      <c r="P37" s="17"/>
      <c r="Q37" s="17"/>
    </row>
  </sheetData>
  <autoFilter xmlns:etc="http://www.wps.cn/officeDocument/2017/etCustomData" ref="A15:Q37" etc:filterBottomFollowUsedRange="0">
    <extLst/>
  </autoFilter>
  <mergeCells count="4">
    <mergeCell ref="B2:H2"/>
    <mergeCell ref="B3:H3"/>
    <mergeCell ref="B7:H7"/>
    <mergeCell ref="B14:L14"/>
  </mergeCells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zoomScale="85" zoomScaleNormal="85" workbookViewId="0">
      <pane ySplit="5" topLeftCell="A6" activePane="bottomLeft" state="frozen"/>
      <selection/>
      <selection pane="bottomLeft" activeCell="B16" sqref="B1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196</v>
      </c>
      <c r="D5" s="10" t="s">
        <v>197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190</v>
      </c>
      <c r="D9" s="10" t="s">
        <v>191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295</v>
      </c>
      <c r="C24" s="13" t="s">
        <v>291</v>
      </c>
      <c r="D24" s="10" t="s">
        <v>618</v>
      </c>
      <c r="E24" s="25" t="s">
        <v>266</v>
      </c>
      <c r="F24" s="26" t="s">
        <v>295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26" t="s">
        <v>297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26" t="s">
        <v>300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2:12">
      <c r="B27" s="32" t="s">
        <v>331</v>
      </c>
      <c r="C27" s="13" t="s">
        <v>291</v>
      </c>
      <c r="D27" s="10" t="s">
        <v>623</v>
      </c>
      <c r="E27" s="25" t="s">
        <v>266</v>
      </c>
      <c r="F27" s="26" t="s">
        <v>331</v>
      </c>
      <c r="G27" s="26" t="s">
        <v>293</v>
      </c>
      <c r="H27" s="25"/>
      <c r="I27" s="15"/>
      <c r="J27" s="15" t="s">
        <v>604</v>
      </c>
      <c r="K27" s="15" t="s">
        <v>294</v>
      </c>
      <c r="L27" s="15" t="s">
        <v>294</v>
      </c>
    </row>
    <row r="28" s="33" customFormat="1" spans="2:12">
      <c r="B28" s="32" t="s">
        <v>378</v>
      </c>
      <c r="C28" s="13" t="s">
        <v>291</v>
      </c>
      <c r="D28" s="10" t="s">
        <v>624</v>
      </c>
      <c r="E28" s="25" t="s">
        <v>266</v>
      </c>
      <c r="F28" s="26" t="s">
        <v>378</v>
      </c>
      <c r="G28" s="26" t="s">
        <v>293</v>
      </c>
      <c r="H28" s="25"/>
      <c r="I28" s="30"/>
      <c r="J28" s="15" t="s">
        <v>604</v>
      </c>
      <c r="K28" s="15" t="s">
        <v>294</v>
      </c>
      <c r="L28" s="15" t="s">
        <v>615</v>
      </c>
    </row>
    <row r="29" s="1" customFormat="1" spans="1:12">
      <c r="A29" s="33"/>
      <c r="B29" s="13" t="s">
        <v>629</v>
      </c>
      <c r="C29" s="13" t="s">
        <v>338</v>
      </c>
      <c r="D29" s="10" t="s">
        <v>630</v>
      </c>
      <c r="E29" s="25" t="s">
        <v>266</v>
      </c>
      <c r="F29" s="26"/>
      <c r="G29" s="26" t="s">
        <v>933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3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337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3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342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340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346</v>
      </c>
      <c r="C38" s="13" t="s">
        <v>338</v>
      </c>
      <c r="D38" s="10" t="s">
        <v>693</v>
      </c>
      <c r="E38" s="25" t="s">
        <v>266</v>
      </c>
      <c r="F38" s="26"/>
      <c r="G38" s="26" t="s">
        <v>694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344</v>
      </c>
      <c r="C39" s="13" t="s">
        <v>338</v>
      </c>
      <c r="D39" s="10" t="s">
        <v>695</v>
      </c>
      <c r="E39" s="25" t="s">
        <v>266</v>
      </c>
      <c r="F39" s="26"/>
      <c r="G39" s="26" t="s">
        <v>696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392</v>
      </c>
      <c r="C40" s="13" t="s">
        <v>338</v>
      </c>
      <c r="D40" s="10" t="s">
        <v>697</v>
      </c>
      <c r="E40" s="25" t="s">
        <v>266</v>
      </c>
      <c r="F40" s="26"/>
      <c r="G40" s="26" t="s">
        <v>698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394</v>
      </c>
      <c r="C41" s="13" t="s">
        <v>338</v>
      </c>
      <c r="D41" s="10" t="s">
        <v>699</v>
      </c>
      <c r="E41" s="25" t="s">
        <v>266</v>
      </c>
      <c r="F41" s="26"/>
      <c r="G41" s="26" t="s">
        <v>700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701</v>
      </c>
      <c r="C42" s="13" t="s">
        <v>338</v>
      </c>
      <c r="D42" s="10" t="s">
        <v>702</v>
      </c>
      <c r="E42" s="25" t="s">
        <v>266</v>
      </c>
      <c r="F42" s="26"/>
      <c r="G42" s="26" t="s">
        <v>950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704</v>
      </c>
      <c r="C43" s="13" t="s">
        <v>338</v>
      </c>
      <c r="D43" s="10" t="s">
        <v>705</v>
      </c>
      <c r="E43" s="25" t="s">
        <v>266</v>
      </c>
      <c r="F43" s="26"/>
      <c r="G43" s="26" t="s">
        <v>951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707</v>
      </c>
      <c r="C44" s="13" t="s">
        <v>338</v>
      </c>
      <c r="D44" s="10" t="s">
        <v>708</v>
      </c>
      <c r="E44" s="25" t="s">
        <v>266</v>
      </c>
      <c r="F44" s="26"/>
      <c r="G44" s="26" t="s">
        <v>952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710</v>
      </c>
      <c r="C45" s="13" t="s">
        <v>338</v>
      </c>
      <c r="D45" s="10" t="s">
        <v>711</v>
      </c>
      <c r="E45" s="25" t="s">
        <v>266</v>
      </c>
      <c r="F45" s="26"/>
      <c r="G45" s="26" t="s">
        <v>953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713</v>
      </c>
      <c r="C46" s="13" t="s">
        <v>338</v>
      </c>
      <c r="D46" s="10" t="s">
        <v>714</v>
      </c>
      <c r="E46" s="25" t="s">
        <v>266</v>
      </c>
      <c r="F46" s="26"/>
      <c r="G46" s="26" t="s">
        <v>954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716</v>
      </c>
      <c r="C47" s="13" t="s">
        <v>338</v>
      </c>
      <c r="D47" s="10" t="s">
        <v>717</v>
      </c>
      <c r="E47" s="25" t="s">
        <v>266</v>
      </c>
      <c r="F47" s="26"/>
      <c r="G47" s="26" t="s">
        <v>955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410</v>
      </c>
      <c r="C48" s="13" t="s">
        <v>338</v>
      </c>
      <c r="D48" s="10" t="s">
        <v>719</v>
      </c>
      <c r="E48" s="25" t="s">
        <v>266</v>
      </c>
      <c r="F48" s="26"/>
      <c r="G48" s="26" t="s">
        <v>720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412</v>
      </c>
      <c r="C49" s="13" t="s">
        <v>338</v>
      </c>
      <c r="D49" s="10" t="s">
        <v>721</v>
      </c>
      <c r="E49" s="25" t="s">
        <v>266</v>
      </c>
      <c r="F49" s="26"/>
      <c r="G49" s="26" t="s">
        <v>722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1916</v>
      </c>
      <c r="C50" s="13" t="s">
        <v>338</v>
      </c>
      <c r="D50" s="10" t="s">
        <v>1917</v>
      </c>
      <c r="E50" s="25" t="s">
        <v>266</v>
      </c>
      <c r="F50" s="26"/>
      <c r="G50" s="26" t="s">
        <v>2136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1919</v>
      </c>
      <c r="C51" s="13" t="s">
        <v>338</v>
      </c>
      <c r="D51" s="10" t="s">
        <v>1920</v>
      </c>
      <c r="E51" s="25" t="s">
        <v>266</v>
      </c>
      <c r="F51" s="26"/>
      <c r="G51" s="26" t="s">
        <v>2137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1922</v>
      </c>
      <c r="C52" s="13" t="s">
        <v>338</v>
      </c>
      <c r="D52" s="10" t="s">
        <v>1923</v>
      </c>
      <c r="E52" s="25" t="s">
        <v>266</v>
      </c>
      <c r="F52" s="26"/>
      <c r="G52" s="26" t="s">
        <v>2138</v>
      </c>
      <c r="H52" s="37"/>
      <c r="I52" s="26"/>
      <c r="J52" s="15" t="s">
        <v>632</v>
      </c>
      <c r="K52" s="15" t="s">
        <v>404</v>
      </c>
      <c r="L52" s="15" t="s">
        <v>633</v>
      </c>
    </row>
    <row r="53" s="1" customFormat="1" spans="1:12">
      <c r="A53" s="33"/>
      <c r="B53" s="13" t="s">
        <v>1925</v>
      </c>
      <c r="C53" s="13" t="s">
        <v>338</v>
      </c>
      <c r="D53" s="10" t="s">
        <v>1926</v>
      </c>
      <c r="E53" s="25" t="s">
        <v>266</v>
      </c>
      <c r="F53" s="26"/>
      <c r="G53" s="26" t="s">
        <v>2139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1928</v>
      </c>
      <c r="C54" s="13" t="s">
        <v>338</v>
      </c>
      <c r="D54" s="10" t="s">
        <v>1929</v>
      </c>
      <c r="E54" s="25" t="s">
        <v>266</v>
      </c>
      <c r="F54" s="26"/>
      <c r="G54" s="26" t="s">
        <v>2140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1931</v>
      </c>
      <c r="C55" s="13" t="s">
        <v>338</v>
      </c>
      <c r="D55" s="10" t="s">
        <v>1932</v>
      </c>
      <c r="E55" s="25" t="s">
        <v>266</v>
      </c>
      <c r="F55" s="26"/>
      <c r="G55" s="26" t="s">
        <v>2141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1934</v>
      </c>
      <c r="C56" s="13" t="s">
        <v>338</v>
      </c>
      <c r="D56" s="10" t="s">
        <v>1935</v>
      </c>
      <c r="E56" s="25" t="s">
        <v>266</v>
      </c>
      <c r="F56" s="26"/>
      <c r="G56" s="26" t="s">
        <v>2142</v>
      </c>
      <c r="H56" s="37"/>
      <c r="I56" s="26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1937</v>
      </c>
      <c r="C57" s="13" t="s">
        <v>338</v>
      </c>
      <c r="D57" s="10" t="s">
        <v>1938</v>
      </c>
      <c r="E57" s="25" t="s">
        <v>266</v>
      </c>
      <c r="F57" s="26"/>
      <c r="G57" s="26" t="s">
        <v>2143</v>
      </c>
      <c r="H57" s="37"/>
      <c r="I57" s="26"/>
      <c r="J57" s="15" t="s">
        <v>632</v>
      </c>
      <c r="K57" s="15" t="s">
        <v>644</v>
      </c>
      <c r="L57" s="15" t="s">
        <v>633</v>
      </c>
    </row>
    <row r="58" s="1" customFormat="1" spans="1:12">
      <c r="A58" s="33"/>
      <c r="B58" s="13" t="s">
        <v>1940</v>
      </c>
      <c r="C58" s="13" t="s">
        <v>338</v>
      </c>
      <c r="D58" s="10" t="s">
        <v>1941</v>
      </c>
      <c r="E58" s="25" t="s">
        <v>266</v>
      </c>
      <c r="F58" s="26"/>
      <c r="G58" s="26" t="s">
        <v>2144</v>
      </c>
      <c r="H58" s="3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1870</v>
      </c>
      <c r="C59" s="13" t="s">
        <v>338</v>
      </c>
      <c r="D59" s="10" t="s">
        <v>1943</v>
      </c>
      <c r="E59" s="25" t="s">
        <v>266</v>
      </c>
      <c r="F59" s="26"/>
      <c r="G59" s="26" t="s">
        <v>1944</v>
      </c>
      <c r="H59" s="37"/>
      <c r="I59" s="26"/>
      <c r="J59" s="15" t="s">
        <v>632</v>
      </c>
      <c r="K59" s="15" t="s">
        <v>644</v>
      </c>
      <c r="L59" s="15" t="s">
        <v>633</v>
      </c>
    </row>
    <row r="60" s="1" customFormat="1" spans="1:12">
      <c r="A60" s="33"/>
      <c r="B60" s="13" t="s">
        <v>1945</v>
      </c>
      <c r="C60" s="52" t="s">
        <v>666</v>
      </c>
      <c r="D60" s="10" t="s">
        <v>1946</v>
      </c>
      <c r="E60" s="25" t="s">
        <v>266</v>
      </c>
      <c r="F60" s="26"/>
      <c r="G60" s="26" t="s">
        <v>2145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1948</v>
      </c>
      <c r="C61" s="52" t="s">
        <v>666</v>
      </c>
      <c r="D61" s="10" t="s">
        <v>1949</v>
      </c>
      <c r="E61" s="25" t="s">
        <v>266</v>
      </c>
      <c r="F61" s="26"/>
      <c r="G61" s="26" t="s">
        <v>2146</v>
      </c>
      <c r="H61" s="3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728</v>
      </c>
      <c r="C62" s="13" t="s">
        <v>338</v>
      </c>
      <c r="D62" s="10" t="s">
        <v>729</v>
      </c>
      <c r="E62" s="25" t="s">
        <v>266</v>
      </c>
      <c r="F62" s="26"/>
      <c r="G62" s="26" t="s">
        <v>956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730</v>
      </c>
      <c r="C63" s="13" t="s">
        <v>666</v>
      </c>
      <c r="D63" s="10" t="s">
        <v>731</v>
      </c>
      <c r="E63" s="25" t="s">
        <v>266</v>
      </c>
      <c r="F63" s="55"/>
      <c r="G63" s="26" t="s">
        <v>957</v>
      </c>
      <c r="H63" s="3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733</v>
      </c>
      <c r="C64" s="13" t="s">
        <v>338</v>
      </c>
      <c r="D64" s="10" t="s">
        <v>734</v>
      </c>
      <c r="E64" s="25" t="s">
        <v>266</v>
      </c>
      <c r="F64" s="26"/>
      <c r="G64" s="26" t="s">
        <v>958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736</v>
      </c>
      <c r="C65" s="13" t="s">
        <v>338</v>
      </c>
      <c r="D65" s="10" t="s">
        <v>737</v>
      </c>
      <c r="E65" s="25" t="s">
        <v>266</v>
      </c>
      <c r="F65" s="26"/>
      <c r="G65" s="26" t="s">
        <v>959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739</v>
      </c>
      <c r="C66" s="13" t="s">
        <v>338</v>
      </c>
      <c r="D66" s="10" t="s">
        <v>740</v>
      </c>
      <c r="E66" s="25" t="s">
        <v>266</v>
      </c>
      <c r="F66" s="26"/>
      <c r="G66" s="26" t="s">
        <v>960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742</v>
      </c>
      <c r="C67" s="13" t="s">
        <v>338</v>
      </c>
      <c r="D67" s="10" t="s">
        <v>743</v>
      </c>
      <c r="E67" s="25" t="s">
        <v>266</v>
      </c>
      <c r="F67" s="26"/>
      <c r="G67" s="26" t="s">
        <v>961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745</v>
      </c>
      <c r="C68" s="13" t="s">
        <v>338</v>
      </c>
      <c r="D68" s="10" t="s">
        <v>746</v>
      </c>
      <c r="E68" s="25" t="s">
        <v>266</v>
      </c>
      <c r="F68" s="26"/>
      <c r="G68" s="26" t="s">
        <v>962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748</v>
      </c>
      <c r="C69" s="13" t="s">
        <v>338</v>
      </c>
      <c r="D69" s="10" t="s">
        <v>749</v>
      </c>
      <c r="E69" s="25" t="s">
        <v>266</v>
      </c>
      <c r="F69" s="26"/>
      <c r="G69" s="26" t="s">
        <v>963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751</v>
      </c>
      <c r="C70" s="13" t="s">
        <v>666</v>
      </c>
      <c r="D70" s="10" t="s">
        <v>752</v>
      </c>
      <c r="E70" s="25" t="s">
        <v>266</v>
      </c>
      <c r="F70" s="55"/>
      <c r="G70" s="26" t="s">
        <v>964</v>
      </c>
      <c r="H70" s="3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754</v>
      </c>
      <c r="C71" s="13" t="s">
        <v>338</v>
      </c>
      <c r="D71" s="10" t="s">
        <v>755</v>
      </c>
      <c r="E71" s="25" t="s">
        <v>266</v>
      </c>
      <c r="F71" s="26"/>
      <c r="G71" s="26" t="s">
        <v>965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757</v>
      </c>
      <c r="C72" s="13" t="s">
        <v>338</v>
      </c>
      <c r="D72" s="10" t="s">
        <v>758</v>
      </c>
      <c r="E72" s="25" t="s">
        <v>266</v>
      </c>
      <c r="F72" s="26"/>
      <c r="G72" s="26" t="s">
        <v>966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760</v>
      </c>
      <c r="C73" s="13" t="s">
        <v>338</v>
      </c>
      <c r="D73" s="10" t="s">
        <v>761</v>
      </c>
      <c r="E73" s="25" t="s">
        <v>266</v>
      </c>
      <c r="F73" s="26"/>
      <c r="G73" s="26" t="s">
        <v>967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763</v>
      </c>
      <c r="C74" s="13" t="s">
        <v>338</v>
      </c>
      <c r="D74" s="10" t="s">
        <v>764</v>
      </c>
      <c r="E74" s="25" t="s">
        <v>266</v>
      </c>
      <c r="F74" s="26"/>
      <c r="G74" s="26" t="s">
        <v>968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766</v>
      </c>
      <c r="C75" s="13" t="s">
        <v>338</v>
      </c>
      <c r="D75" s="10" t="s">
        <v>767</v>
      </c>
      <c r="E75" s="25" t="s">
        <v>266</v>
      </c>
      <c r="F75" s="26"/>
      <c r="G75" s="26" t="s">
        <v>969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769</v>
      </c>
      <c r="C76" s="13" t="s">
        <v>666</v>
      </c>
      <c r="D76" s="10" t="s">
        <v>770</v>
      </c>
      <c r="E76" s="25" t="s">
        <v>266</v>
      </c>
      <c r="F76" s="26"/>
      <c r="G76" s="26" t="s">
        <v>970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772</v>
      </c>
      <c r="C77" s="13" t="s">
        <v>666</v>
      </c>
      <c r="D77" s="10" t="s">
        <v>773</v>
      </c>
      <c r="E77" s="25" t="s">
        <v>266</v>
      </c>
      <c r="F77" s="55"/>
      <c r="G77" s="26" t="s">
        <v>971</v>
      </c>
      <c r="H77" s="3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775</v>
      </c>
      <c r="C78" s="13" t="s">
        <v>338</v>
      </c>
      <c r="D78" s="10" t="s">
        <v>776</v>
      </c>
      <c r="E78" s="25" t="s">
        <v>266</v>
      </c>
      <c r="F78" s="26"/>
      <c r="G78" s="26" t="s">
        <v>972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778</v>
      </c>
      <c r="C79" s="13" t="s">
        <v>338</v>
      </c>
      <c r="D79" s="10" t="s">
        <v>779</v>
      </c>
      <c r="E79" s="25" t="s">
        <v>266</v>
      </c>
      <c r="F79" s="26"/>
      <c r="G79" s="26" t="s">
        <v>973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781</v>
      </c>
      <c r="C80" s="13" t="s">
        <v>338</v>
      </c>
      <c r="D80" s="10" t="s">
        <v>782</v>
      </c>
      <c r="E80" s="25" t="s">
        <v>266</v>
      </c>
      <c r="F80" s="26"/>
      <c r="G80" s="26" t="s">
        <v>974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784</v>
      </c>
      <c r="C81" s="13" t="s">
        <v>338</v>
      </c>
      <c r="D81" s="10" t="s">
        <v>785</v>
      </c>
      <c r="E81" s="25" t="s">
        <v>266</v>
      </c>
      <c r="F81" s="26"/>
      <c r="G81" s="26" t="s">
        <v>975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787</v>
      </c>
      <c r="C82" s="13" t="s">
        <v>338</v>
      </c>
      <c r="D82" s="10" t="s">
        <v>788</v>
      </c>
      <c r="E82" s="25" t="s">
        <v>266</v>
      </c>
      <c r="F82" s="26"/>
      <c r="G82" s="26" t="s">
        <v>976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413</v>
      </c>
      <c r="C83" s="13" t="s">
        <v>666</v>
      </c>
      <c r="D83" s="10" t="s">
        <v>790</v>
      </c>
      <c r="E83" s="25" t="s">
        <v>266</v>
      </c>
      <c r="F83" s="55"/>
      <c r="G83" s="26" t="s">
        <v>977</v>
      </c>
      <c r="H83" s="3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792</v>
      </c>
      <c r="C84" s="13" t="s">
        <v>338</v>
      </c>
      <c r="D84" s="10" t="s">
        <v>793</v>
      </c>
      <c r="E84" s="25" t="s">
        <v>266</v>
      </c>
      <c r="F84" s="26"/>
      <c r="G84" s="26" t="s">
        <v>978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418</v>
      </c>
      <c r="C85" s="13" t="s">
        <v>666</v>
      </c>
      <c r="D85" s="10" t="s">
        <v>795</v>
      </c>
      <c r="E85" s="25" t="s">
        <v>266</v>
      </c>
      <c r="F85" s="55"/>
      <c r="G85" s="26" t="s">
        <v>979</v>
      </c>
      <c r="H85" s="3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797</v>
      </c>
      <c r="C86" s="13" t="s">
        <v>338</v>
      </c>
      <c r="D86" s="10" t="s">
        <v>798</v>
      </c>
      <c r="E86" s="25" t="s">
        <v>266</v>
      </c>
      <c r="F86" s="26"/>
      <c r="G86" s="26" t="s">
        <v>980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32" t="s">
        <v>1860</v>
      </c>
      <c r="C87" s="32" t="s">
        <v>338</v>
      </c>
      <c r="D87" s="10" t="s">
        <v>1861</v>
      </c>
      <c r="E87" s="25" t="s">
        <v>266</v>
      </c>
      <c r="F87" s="26"/>
      <c r="G87" s="26" t="s">
        <v>1966</v>
      </c>
      <c r="H87" s="3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32" t="s">
        <v>1903</v>
      </c>
      <c r="C88" s="32" t="s">
        <v>666</v>
      </c>
      <c r="D88" s="10" t="s">
        <v>1904</v>
      </c>
      <c r="E88" s="25" t="s">
        <v>266</v>
      </c>
      <c r="F88" s="26"/>
      <c r="G88" s="26" t="s">
        <v>1967</v>
      </c>
      <c r="H88" s="37"/>
      <c r="I88" s="26"/>
      <c r="J88" s="15" t="s">
        <v>632</v>
      </c>
      <c r="K88" s="15" t="s">
        <v>1898</v>
      </c>
      <c r="L88" s="15" t="s">
        <v>633</v>
      </c>
    </row>
    <row r="89" s="1" customFormat="1" spans="1:12">
      <c r="A89" s="33"/>
      <c r="B89" s="52" t="s">
        <v>1968</v>
      </c>
      <c r="C89" s="52" t="s">
        <v>666</v>
      </c>
      <c r="D89" s="54" t="s">
        <v>1969</v>
      </c>
      <c r="E89" s="25" t="s">
        <v>266</v>
      </c>
      <c r="F89" s="55"/>
      <c r="G89" s="26" t="s">
        <v>2147</v>
      </c>
      <c r="H89" s="27"/>
      <c r="I89" s="26"/>
      <c r="J89" s="15" t="s">
        <v>632</v>
      </c>
      <c r="K89" s="15" t="s">
        <v>1898</v>
      </c>
      <c r="L89" s="15" t="s">
        <v>633</v>
      </c>
    </row>
    <row r="90" s="1" customFormat="1" spans="2:12">
      <c r="B90" s="32" t="s">
        <v>1906</v>
      </c>
      <c r="C90" s="32" t="s">
        <v>666</v>
      </c>
      <c r="D90" s="10" t="s">
        <v>1907</v>
      </c>
      <c r="E90" s="25" t="s">
        <v>266</v>
      </c>
      <c r="F90" s="32"/>
      <c r="G90" s="26" t="s">
        <v>1971</v>
      </c>
      <c r="H90" s="37"/>
      <c r="I90" s="26"/>
      <c r="J90" s="15" t="s">
        <v>632</v>
      </c>
      <c r="K90" s="15" t="s">
        <v>1902</v>
      </c>
      <c r="L90" s="15" t="s">
        <v>633</v>
      </c>
    </row>
    <row r="91" s="1" customFormat="1" spans="1:12">
      <c r="A91" s="33"/>
      <c r="B91" s="32" t="s">
        <v>1892</v>
      </c>
      <c r="C91" s="32" t="s">
        <v>338</v>
      </c>
      <c r="D91" s="10" t="s">
        <v>1972</v>
      </c>
      <c r="E91" s="25" t="s">
        <v>266</v>
      </c>
      <c r="F91" s="26"/>
      <c r="G91" s="26" t="s">
        <v>1973</v>
      </c>
      <c r="H91" s="3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32" t="s">
        <v>1895</v>
      </c>
      <c r="C92" s="32" t="s">
        <v>666</v>
      </c>
      <c r="D92" s="10" t="s">
        <v>1896</v>
      </c>
      <c r="E92" s="25" t="s">
        <v>266</v>
      </c>
      <c r="F92" s="26"/>
      <c r="G92" s="26" t="s">
        <v>1974</v>
      </c>
      <c r="H92" s="37"/>
      <c r="I92" s="26"/>
      <c r="J92" s="15" t="s">
        <v>632</v>
      </c>
      <c r="K92" s="15" t="s">
        <v>1898</v>
      </c>
      <c r="L92" s="15" t="s">
        <v>633</v>
      </c>
    </row>
    <row r="93" s="1" customFormat="1" spans="2:12">
      <c r="B93" s="32" t="s">
        <v>1899</v>
      </c>
      <c r="C93" s="32" t="s">
        <v>666</v>
      </c>
      <c r="D93" s="10" t="s">
        <v>1900</v>
      </c>
      <c r="E93" s="25" t="s">
        <v>266</v>
      </c>
      <c r="F93" s="32"/>
      <c r="G93" s="26" t="s">
        <v>1975</v>
      </c>
      <c r="H93" s="37"/>
      <c r="I93" s="26"/>
      <c r="J93" s="15" t="s">
        <v>632</v>
      </c>
      <c r="K93" s="15" t="s">
        <v>1902</v>
      </c>
      <c r="L93" s="15" t="s">
        <v>633</v>
      </c>
    </row>
    <row r="94" s="1" customFormat="1" spans="2:12">
      <c r="B94" s="32" t="s">
        <v>1976</v>
      </c>
      <c r="C94" s="32" t="s">
        <v>666</v>
      </c>
      <c r="D94" s="10" t="s">
        <v>1977</v>
      </c>
      <c r="E94" s="25" t="s">
        <v>266</v>
      </c>
      <c r="F94" s="26"/>
      <c r="G94" s="26" t="s">
        <v>2148</v>
      </c>
      <c r="H94" s="37"/>
      <c r="I94" s="26"/>
      <c r="J94" s="15" t="s">
        <v>632</v>
      </c>
      <c r="K94" s="15" t="s">
        <v>669</v>
      </c>
      <c r="L94" s="15" t="s">
        <v>633</v>
      </c>
    </row>
    <row r="95" s="1" customFormat="1" spans="2:12">
      <c r="B95" s="32" t="s">
        <v>1979</v>
      </c>
      <c r="C95" s="32" t="s">
        <v>338</v>
      </c>
      <c r="D95" s="10" t="s">
        <v>1980</v>
      </c>
      <c r="E95" s="25" t="s">
        <v>266</v>
      </c>
      <c r="F95" s="26"/>
      <c r="G95" s="26" t="s">
        <v>2149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1982</v>
      </c>
      <c r="C96" s="32" t="s">
        <v>338</v>
      </c>
      <c r="D96" s="10" t="s">
        <v>1983</v>
      </c>
      <c r="E96" s="25" t="s">
        <v>266</v>
      </c>
      <c r="F96" s="26"/>
      <c r="G96" s="26" t="s">
        <v>2150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1985</v>
      </c>
      <c r="C97" s="32" t="s">
        <v>338</v>
      </c>
      <c r="D97" s="10" t="s">
        <v>1986</v>
      </c>
      <c r="E97" s="25" t="s">
        <v>266</v>
      </c>
      <c r="F97" s="26"/>
      <c r="G97" s="26" t="s">
        <v>2151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1988</v>
      </c>
      <c r="C98" s="32" t="s">
        <v>666</v>
      </c>
      <c r="D98" s="10" t="s">
        <v>1989</v>
      </c>
      <c r="E98" s="25" t="s">
        <v>266</v>
      </c>
      <c r="F98" s="32"/>
      <c r="G98" s="26" t="s">
        <v>2152</v>
      </c>
      <c r="H98" s="37"/>
      <c r="I98" s="26"/>
      <c r="J98" s="15" t="s">
        <v>632</v>
      </c>
      <c r="K98" s="15" t="s">
        <v>294</v>
      </c>
      <c r="L98" s="15" t="s">
        <v>1264</v>
      </c>
    </row>
    <row r="99" s="1" customFormat="1" spans="2:12">
      <c r="B99" s="32" t="s">
        <v>1991</v>
      </c>
      <c r="C99" s="32" t="s">
        <v>666</v>
      </c>
      <c r="D99" s="10" t="s">
        <v>1992</v>
      </c>
      <c r="E99" s="25" t="s">
        <v>266</v>
      </c>
      <c r="F99" s="26"/>
      <c r="G99" s="26" t="s">
        <v>2153</v>
      </c>
      <c r="H99" s="37"/>
      <c r="I99" s="26"/>
      <c r="J99" s="15" t="s">
        <v>632</v>
      </c>
      <c r="K99" s="15" t="s">
        <v>669</v>
      </c>
      <c r="L99" s="15" t="s">
        <v>633</v>
      </c>
    </row>
    <row r="100" s="1" customFormat="1" spans="2:12">
      <c r="B100" s="32" t="s">
        <v>1994</v>
      </c>
      <c r="C100" s="32" t="s">
        <v>338</v>
      </c>
      <c r="D100" s="10" t="s">
        <v>1995</v>
      </c>
      <c r="E100" s="25" t="s">
        <v>266</v>
      </c>
      <c r="F100" s="26"/>
      <c r="G100" s="26" t="s">
        <v>2154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1997</v>
      </c>
      <c r="C101" s="32" t="s">
        <v>338</v>
      </c>
      <c r="D101" s="10" t="s">
        <v>1998</v>
      </c>
      <c r="E101" s="25" t="s">
        <v>266</v>
      </c>
      <c r="F101" s="26"/>
      <c r="G101" s="26" t="s">
        <v>2155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2000</v>
      </c>
      <c r="C102" s="32" t="s">
        <v>338</v>
      </c>
      <c r="D102" s="10" t="s">
        <v>2001</v>
      </c>
      <c r="E102" s="25" t="s">
        <v>266</v>
      </c>
      <c r="F102" s="26"/>
      <c r="G102" s="26" t="s">
        <v>2156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2:12">
      <c r="B103" s="32" t="s">
        <v>2002</v>
      </c>
      <c r="C103" s="32" t="s">
        <v>338</v>
      </c>
      <c r="D103" s="10" t="s">
        <v>1887</v>
      </c>
      <c r="E103" s="25" t="s">
        <v>266</v>
      </c>
      <c r="F103" s="26"/>
      <c r="G103" s="26" t="s">
        <v>2157</v>
      </c>
      <c r="H103" s="37"/>
      <c r="I103" s="26"/>
      <c r="J103" s="15" t="s">
        <v>632</v>
      </c>
      <c r="K103" s="15" t="s">
        <v>669</v>
      </c>
      <c r="L103" s="15" t="s">
        <v>633</v>
      </c>
    </row>
    <row r="104" s="1" customFormat="1" spans="2:12">
      <c r="B104" s="32" t="s">
        <v>2004</v>
      </c>
      <c r="C104" s="32" t="s">
        <v>338</v>
      </c>
      <c r="D104" s="10" t="s">
        <v>2005</v>
      </c>
      <c r="E104" s="25" t="s">
        <v>266</v>
      </c>
      <c r="F104" s="26"/>
      <c r="G104" s="26" t="s">
        <v>2158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2007</v>
      </c>
      <c r="C105" s="32" t="s">
        <v>338</v>
      </c>
      <c r="D105" s="10" t="s">
        <v>1890</v>
      </c>
      <c r="E105" s="25" t="s">
        <v>266</v>
      </c>
      <c r="F105" s="26"/>
      <c r="G105" s="26" t="s">
        <v>2159</v>
      </c>
      <c r="H105" s="37"/>
      <c r="I105" s="26"/>
      <c r="J105" s="15" t="s">
        <v>632</v>
      </c>
      <c r="K105" s="15" t="s">
        <v>669</v>
      </c>
      <c r="L105" s="15" t="s">
        <v>633</v>
      </c>
    </row>
    <row r="106" s="1" customFormat="1" spans="2:12">
      <c r="B106" s="32" t="s">
        <v>2009</v>
      </c>
      <c r="C106" s="32" t="s">
        <v>338</v>
      </c>
      <c r="D106" s="10" t="s">
        <v>2010</v>
      </c>
      <c r="E106" s="25" t="s">
        <v>266</v>
      </c>
      <c r="F106" s="26"/>
      <c r="G106" s="26" t="s">
        <v>2160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2012</v>
      </c>
      <c r="C107" s="32" t="s">
        <v>338</v>
      </c>
      <c r="D107" s="10" t="s">
        <v>2013</v>
      </c>
      <c r="E107" s="25" t="s">
        <v>266</v>
      </c>
      <c r="F107" s="26"/>
      <c r="G107" s="26" t="s">
        <v>2161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2015</v>
      </c>
      <c r="C108" s="32" t="s">
        <v>338</v>
      </c>
      <c r="D108" s="10" t="s">
        <v>2016</v>
      </c>
      <c r="E108" s="25" t="s">
        <v>266</v>
      </c>
      <c r="F108" s="26"/>
      <c r="G108" s="26" t="s">
        <v>2162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2018</v>
      </c>
      <c r="C109" s="32" t="s">
        <v>338</v>
      </c>
      <c r="D109" s="10" t="s">
        <v>2019</v>
      </c>
      <c r="E109" s="25" t="s">
        <v>266</v>
      </c>
      <c r="F109" s="26"/>
      <c r="G109" s="26" t="s">
        <v>2163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2021</v>
      </c>
      <c r="C110" s="32" t="s">
        <v>338</v>
      </c>
      <c r="D110" s="10" t="s">
        <v>2022</v>
      </c>
      <c r="E110" s="25" t="s">
        <v>266</v>
      </c>
      <c r="F110" s="26"/>
      <c r="G110" s="26" t="s">
        <v>2164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2024</v>
      </c>
      <c r="C111" s="32" t="s">
        <v>338</v>
      </c>
      <c r="D111" s="10" t="s">
        <v>2025</v>
      </c>
      <c r="E111" s="25" t="s">
        <v>266</v>
      </c>
      <c r="F111" s="26"/>
      <c r="G111" s="26" t="s">
        <v>2165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2:12">
      <c r="B112" s="32" t="s">
        <v>2027</v>
      </c>
      <c r="C112" s="32" t="s">
        <v>338</v>
      </c>
      <c r="D112" s="10" t="s">
        <v>2028</v>
      </c>
      <c r="E112" s="25" t="s">
        <v>266</v>
      </c>
      <c r="F112" s="26"/>
      <c r="G112" s="26" t="s">
        <v>2166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2030</v>
      </c>
      <c r="C113" s="13" t="s">
        <v>666</v>
      </c>
      <c r="D113" s="10" t="s">
        <v>2031</v>
      </c>
      <c r="E113" s="25" t="s">
        <v>266</v>
      </c>
      <c r="F113" s="55"/>
      <c r="G113" s="26" t="s">
        <v>2167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2033</v>
      </c>
      <c r="C114" s="52" t="s">
        <v>338</v>
      </c>
      <c r="D114" s="54" t="s">
        <v>2034</v>
      </c>
      <c r="E114" s="25" t="s">
        <v>266</v>
      </c>
      <c r="F114" s="26"/>
      <c r="G114" s="26" t="s">
        <v>2168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2036</v>
      </c>
      <c r="C115" s="52" t="s">
        <v>338</v>
      </c>
      <c r="D115" s="54" t="s">
        <v>2037</v>
      </c>
      <c r="E115" s="25" t="s">
        <v>266</v>
      </c>
      <c r="F115" s="26"/>
      <c r="G115" s="26" t="s">
        <v>2169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2039</v>
      </c>
      <c r="C116" s="52" t="s">
        <v>338</v>
      </c>
      <c r="D116" s="54" t="s">
        <v>2040</v>
      </c>
      <c r="E116" s="25" t="s">
        <v>266</v>
      </c>
      <c r="F116" s="26"/>
      <c r="G116" s="26" t="s">
        <v>2170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2042</v>
      </c>
      <c r="C117" s="52" t="s">
        <v>338</v>
      </c>
      <c r="D117" s="54" t="s">
        <v>2043</v>
      </c>
      <c r="E117" s="25" t="s">
        <v>266</v>
      </c>
      <c r="F117" s="26"/>
      <c r="G117" s="26" t="s">
        <v>2171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52" t="s">
        <v>2045</v>
      </c>
      <c r="C118" s="52" t="s">
        <v>338</v>
      </c>
      <c r="D118" s="54" t="s">
        <v>2046</v>
      </c>
      <c r="E118" s="25" t="s">
        <v>266</v>
      </c>
      <c r="F118" s="26"/>
      <c r="G118" s="26" t="s">
        <v>2172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2048</v>
      </c>
      <c r="C119" s="52" t="s">
        <v>666</v>
      </c>
      <c r="D119" s="10" t="s">
        <v>2049</v>
      </c>
      <c r="E119" s="25" t="s">
        <v>266</v>
      </c>
      <c r="F119" s="55"/>
      <c r="G119" s="26" t="s">
        <v>2173</v>
      </c>
      <c r="H119" s="37"/>
      <c r="I119" s="26"/>
      <c r="J119" s="15" t="s">
        <v>632</v>
      </c>
      <c r="K119" s="15" t="s">
        <v>404</v>
      </c>
      <c r="L119" s="15" t="s">
        <v>633</v>
      </c>
    </row>
    <row r="120" s="1" customFormat="1" spans="1:12">
      <c r="A120" s="33"/>
      <c r="B120" s="13" t="s">
        <v>2051</v>
      </c>
      <c r="C120" s="13" t="s">
        <v>338</v>
      </c>
      <c r="D120" s="10" t="s">
        <v>2052</v>
      </c>
      <c r="E120" s="25" t="s">
        <v>266</v>
      </c>
      <c r="F120" s="26"/>
      <c r="G120" s="26" t="s">
        <v>2174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2054</v>
      </c>
      <c r="C121" s="13" t="s">
        <v>338</v>
      </c>
      <c r="D121" s="10" t="s">
        <v>2055</v>
      </c>
      <c r="E121" s="25" t="s">
        <v>266</v>
      </c>
      <c r="F121" s="26"/>
      <c r="G121" s="26" t="s">
        <v>2175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2057</v>
      </c>
      <c r="C122" s="13" t="s">
        <v>338</v>
      </c>
      <c r="D122" s="10" t="s">
        <v>2058</v>
      </c>
      <c r="E122" s="25" t="s">
        <v>266</v>
      </c>
      <c r="F122" s="26"/>
      <c r="G122" s="26" t="s">
        <v>2176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2060</v>
      </c>
      <c r="C123" s="13" t="s">
        <v>338</v>
      </c>
      <c r="D123" s="10" t="s">
        <v>2061</v>
      </c>
      <c r="E123" s="25" t="s">
        <v>266</v>
      </c>
      <c r="F123" s="26"/>
      <c r="G123" s="26" t="s">
        <v>2177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2063</v>
      </c>
      <c r="C124" s="13" t="s">
        <v>338</v>
      </c>
      <c r="D124" s="10" t="s">
        <v>2064</v>
      </c>
      <c r="E124" s="25" t="s">
        <v>266</v>
      </c>
      <c r="F124" s="26"/>
      <c r="G124" s="26" t="s">
        <v>2178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13" t="s">
        <v>2066</v>
      </c>
      <c r="C125" s="52" t="s">
        <v>666</v>
      </c>
      <c r="D125" s="10" t="s">
        <v>2067</v>
      </c>
      <c r="E125" s="25" t="s">
        <v>266</v>
      </c>
      <c r="F125" s="55"/>
      <c r="G125" s="26" t="s">
        <v>2179</v>
      </c>
      <c r="H125" s="37"/>
      <c r="I125" s="26"/>
      <c r="J125" s="15" t="s">
        <v>632</v>
      </c>
      <c r="K125" s="15" t="s">
        <v>404</v>
      </c>
      <c r="L125" s="15" t="s">
        <v>633</v>
      </c>
    </row>
    <row r="126" s="1" customFormat="1" spans="1:12">
      <c r="A126" s="33"/>
      <c r="B126" s="52" t="s">
        <v>2069</v>
      </c>
      <c r="C126" s="52" t="s">
        <v>338</v>
      </c>
      <c r="D126" s="54" t="s">
        <v>2070</v>
      </c>
      <c r="E126" s="25" t="s">
        <v>266</v>
      </c>
      <c r="F126" s="26"/>
      <c r="G126" s="26" t="s">
        <v>2180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2072</v>
      </c>
      <c r="C127" s="52" t="s">
        <v>338</v>
      </c>
      <c r="D127" s="54" t="s">
        <v>2073</v>
      </c>
      <c r="E127" s="25" t="s">
        <v>266</v>
      </c>
      <c r="F127" s="26"/>
      <c r="G127" s="26" t="s">
        <v>2181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2075</v>
      </c>
      <c r="C128" s="52" t="s">
        <v>338</v>
      </c>
      <c r="D128" s="54" t="s">
        <v>2076</v>
      </c>
      <c r="E128" s="25" t="s">
        <v>266</v>
      </c>
      <c r="F128" s="26"/>
      <c r="G128" s="26" t="s">
        <v>2182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2078</v>
      </c>
      <c r="C129" s="52" t="s">
        <v>338</v>
      </c>
      <c r="D129" s="54" t="s">
        <v>2079</v>
      </c>
      <c r="E129" s="25" t="s">
        <v>266</v>
      </c>
      <c r="F129" s="26"/>
      <c r="G129" s="26" t="s">
        <v>2183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2081</v>
      </c>
      <c r="C130" s="52" t="s">
        <v>338</v>
      </c>
      <c r="D130" s="54" t="s">
        <v>2082</v>
      </c>
      <c r="E130" s="25" t="s">
        <v>266</v>
      </c>
      <c r="F130" s="26"/>
      <c r="G130" s="26" t="s">
        <v>2184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2:12">
      <c r="B131" s="32" t="s">
        <v>2084</v>
      </c>
      <c r="C131" s="32" t="s">
        <v>338</v>
      </c>
      <c r="D131" s="10" t="s">
        <v>2085</v>
      </c>
      <c r="E131" s="25" t="s">
        <v>266</v>
      </c>
      <c r="F131" s="26"/>
      <c r="G131" s="26" t="s">
        <v>2185</v>
      </c>
      <c r="H131" s="37"/>
      <c r="I131" s="26"/>
      <c r="J131" s="15" t="s">
        <v>632</v>
      </c>
      <c r="K131" s="15" t="s">
        <v>669</v>
      </c>
      <c r="L131" s="15" t="s">
        <v>670</v>
      </c>
    </row>
    <row r="132" s="1" customFormat="1" spans="2:12">
      <c r="B132" s="32" t="s">
        <v>1909</v>
      </c>
      <c r="C132" s="32" t="s">
        <v>338</v>
      </c>
      <c r="D132" s="10" t="s">
        <v>2087</v>
      </c>
      <c r="E132" s="25" t="s">
        <v>266</v>
      </c>
      <c r="F132" s="26"/>
      <c r="G132" s="26" t="s">
        <v>2088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2089</v>
      </c>
      <c r="C133" s="52" t="s">
        <v>666</v>
      </c>
      <c r="D133" s="54" t="s">
        <v>2090</v>
      </c>
      <c r="E133" s="25" t="s">
        <v>266</v>
      </c>
      <c r="F133" s="55"/>
      <c r="G133" s="26" t="s">
        <v>2186</v>
      </c>
      <c r="H133" s="37"/>
      <c r="I133" s="26"/>
      <c r="J133" s="15" t="s">
        <v>632</v>
      </c>
      <c r="K133" s="15" t="s">
        <v>669</v>
      </c>
      <c r="L133" s="15" t="s">
        <v>670</v>
      </c>
    </row>
    <row r="134" s="1" customFormat="1" spans="1:12">
      <c r="A134" s="33"/>
      <c r="B134" s="52" t="s">
        <v>2092</v>
      </c>
      <c r="C134" s="52" t="s">
        <v>338</v>
      </c>
      <c r="D134" s="54" t="s">
        <v>2093</v>
      </c>
      <c r="E134" s="25" t="s">
        <v>266</v>
      </c>
      <c r="F134" s="26"/>
      <c r="G134" s="26" t="s">
        <v>2187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2095</v>
      </c>
      <c r="C135" s="52" t="s">
        <v>338</v>
      </c>
      <c r="D135" s="54" t="s">
        <v>2096</v>
      </c>
      <c r="E135" s="25" t="s">
        <v>266</v>
      </c>
      <c r="F135" s="26"/>
      <c r="G135" s="26" t="s">
        <v>2188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2098</v>
      </c>
      <c r="C136" s="52" t="s">
        <v>338</v>
      </c>
      <c r="D136" s="54" t="s">
        <v>2099</v>
      </c>
      <c r="E136" s="25" t="s">
        <v>266</v>
      </c>
      <c r="F136" s="26"/>
      <c r="G136" s="26" t="s">
        <v>2189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2101</v>
      </c>
      <c r="C137" s="52" t="s">
        <v>338</v>
      </c>
      <c r="D137" s="54" t="s">
        <v>2102</v>
      </c>
      <c r="E137" s="25" t="s">
        <v>266</v>
      </c>
      <c r="F137" s="26"/>
      <c r="G137" s="26" t="s">
        <v>2190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2104</v>
      </c>
      <c r="C138" s="52" t="s">
        <v>338</v>
      </c>
      <c r="D138" s="54" t="s">
        <v>2105</v>
      </c>
      <c r="E138" s="25" t="s">
        <v>266</v>
      </c>
      <c r="F138" s="26"/>
      <c r="G138" s="26" t="s">
        <v>2191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2107</v>
      </c>
      <c r="C139" s="52" t="s">
        <v>338</v>
      </c>
      <c r="D139" s="10" t="s">
        <v>2108</v>
      </c>
      <c r="E139" s="25" t="s">
        <v>266</v>
      </c>
      <c r="F139" s="26"/>
      <c r="G139" s="26" t="s">
        <v>2192</v>
      </c>
      <c r="H139" s="37"/>
      <c r="I139" s="26"/>
      <c r="J139" s="15" t="s">
        <v>632</v>
      </c>
      <c r="K139" s="15" t="s">
        <v>669</v>
      </c>
      <c r="L139" s="15" t="s">
        <v>670</v>
      </c>
    </row>
    <row r="140" s="1" customFormat="1" spans="1:12">
      <c r="A140" s="33"/>
      <c r="B140" s="52" t="s">
        <v>1912</v>
      </c>
      <c r="C140" s="52" t="s">
        <v>338</v>
      </c>
      <c r="D140" s="10" t="s">
        <v>2110</v>
      </c>
      <c r="E140" s="25" t="s">
        <v>266</v>
      </c>
      <c r="F140" s="26"/>
      <c r="G140" s="26" t="s">
        <v>2111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2112</v>
      </c>
      <c r="C141" s="52" t="s">
        <v>666</v>
      </c>
      <c r="D141" s="54" t="s">
        <v>2113</v>
      </c>
      <c r="E141" s="25" t="s">
        <v>266</v>
      </c>
      <c r="F141" s="55"/>
      <c r="G141" s="26" t="s">
        <v>2193</v>
      </c>
      <c r="H141" s="37"/>
      <c r="I141" s="26"/>
      <c r="J141" s="15" t="s">
        <v>632</v>
      </c>
      <c r="K141" s="15" t="s">
        <v>669</v>
      </c>
      <c r="L141" s="15" t="s">
        <v>670</v>
      </c>
    </row>
    <row r="142" s="1" customFormat="1" spans="1:12">
      <c r="A142" s="33"/>
      <c r="B142" s="52" t="s">
        <v>2115</v>
      </c>
      <c r="C142" s="52" t="s">
        <v>338</v>
      </c>
      <c r="D142" s="54" t="s">
        <v>2116</v>
      </c>
      <c r="E142" s="25" t="s">
        <v>266</v>
      </c>
      <c r="F142" s="26"/>
      <c r="G142" s="26" t="s">
        <v>2194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2118</v>
      </c>
      <c r="C143" s="52" t="s">
        <v>338</v>
      </c>
      <c r="D143" s="54" t="s">
        <v>2119</v>
      </c>
      <c r="E143" s="25" t="s">
        <v>266</v>
      </c>
      <c r="F143" s="26"/>
      <c r="G143" s="26" t="s">
        <v>2195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2121</v>
      </c>
      <c r="C144" s="52" t="s">
        <v>338</v>
      </c>
      <c r="D144" s="54" t="s">
        <v>2122</v>
      </c>
      <c r="E144" s="25" t="s">
        <v>266</v>
      </c>
      <c r="F144" s="26"/>
      <c r="G144" s="26" t="s">
        <v>2196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2124</v>
      </c>
      <c r="C145" s="52" t="s">
        <v>338</v>
      </c>
      <c r="D145" s="54" t="s">
        <v>2125</v>
      </c>
      <c r="E145" s="25" t="s">
        <v>266</v>
      </c>
      <c r="F145" s="26"/>
      <c r="G145" s="26" t="s">
        <v>2197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2127</v>
      </c>
      <c r="C146" s="52" t="s">
        <v>338</v>
      </c>
      <c r="D146" s="54" t="s">
        <v>2128</v>
      </c>
      <c r="E146" s="25" t="s">
        <v>266</v>
      </c>
      <c r="F146" s="26"/>
      <c r="G146" s="26" t="s">
        <v>2198</v>
      </c>
      <c r="H146" s="37"/>
      <c r="I146" s="26"/>
      <c r="J146" s="15" t="s">
        <v>632</v>
      </c>
      <c r="K146" s="15" t="s">
        <v>803</v>
      </c>
      <c r="L146" s="15" t="s">
        <v>633</v>
      </c>
    </row>
    <row r="147" s="1" customFormat="1" spans="1:12">
      <c r="A147" s="33"/>
      <c r="B147" s="52" t="s">
        <v>2130</v>
      </c>
      <c r="C147" s="52" t="s">
        <v>338</v>
      </c>
      <c r="D147" s="54" t="s">
        <v>2131</v>
      </c>
      <c r="E147" s="25" t="s">
        <v>266</v>
      </c>
      <c r="F147" s="55"/>
      <c r="G147" s="26" t="s">
        <v>2199</v>
      </c>
      <c r="H147" s="27"/>
      <c r="I147" s="26"/>
      <c r="J147" s="15" t="s">
        <v>632</v>
      </c>
      <c r="K147" s="15" t="s">
        <v>294</v>
      </c>
      <c r="L147" s="15" t="s">
        <v>633</v>
      </c>
    </row>
    <row r="148" s="1" customFormat="1" spans="1:12">
      <c r="A148" s="33"/>
      <c r="B148" s="52" t="s">
        <v>2133</v>
      </c>
      <c r="C148" s="52" t="s">
        <v>338</v>
      </c>
      <c r="D148" s="54" t="s">
        <v>2134</v>
      </c>
      <c r="E148" s="25" t="s">
        <v>266</v>
      </c>
      <c r="F148" s="55"/>
      <c r="G148" s="26" t="s">
        <v>2200</v>
      </c>
      <c r="H148" s="27"/>
      <c r="I148" s="26"/>
      <c r="J148" s="15" t="s">
        <v>632</v>
      </c>
      <c r="K148" s="15" t="s">
        <v>669</v>
      </c>
      <c r="L148" s="15" t="s">
        <v>633</v>
      </c>
    </row>
    <row r="149" s="1" customFormat="1" spans="1:12">
      <c r="A149" s="33"/>
      <c r="B149" s="13" t="s">
        <v>887</v>
      </c>
      <c r="C149" s="13" t="s">
        <v>338</v>
      </c>
      <c r="D149" s="10" t="s">
        <v>888</v>
      </c>
      <c r="E149" s="25" t="s">
        <v>266</v>
      </c>
      <c r="F149" s="26"/>
      <c r="G149" s="26" t="s">
        <v>1013</v>
      </c>
      <c r="H149" s="37"/>
      <c r="I149" s="26"/>
      <c r="J149" s="15" t="s">
        <v>632</v>
      </c>
      <c r="K149" s="15" t="s">
        <v>294</v>
      </c>
      <c r="L149" s="15" t="s">
        <v>633</v>
      </c>
    </row>
    <row r="150" s="1" customFormat="1" spans="1:12">
      <c r="A150" s="33"/>
      <c r="B150" s="13" t="s">
        <v>926</v>
      </c>
      <c r="C150" s="13" t="s">
        <v>291</v>
      </c>
      <c r="D150" s="10" t="s">
        <v>927</v>
      </c>
      <c r="E150" s="25" t="s">
        <v>266</v>
      </c>
      <c r="F150" s="35"/>
      <c r="G150" s="35" t="s">
        <v>1026</v>
      </c>
      <c r="H150" s="37"/>
      <c r="I150" s="56">
        <v>20250415101139</v>
      </c>
      <c r="J150" s="15" t="s">
        <v>632</v>
      </c>
      <c r="K150" s="15" t="s">
        <v>294</v>
      </c>
      <c r="L150" s="15" t="s">
        <v>670</v>
      </c>
    </row>
    <row r="151" s="1" customFormat="1" spans="1:12">
      <c r="A151" s="33"/>
      <c r="B151" s="13" t="s">
        <v>929</v>
      </c>
      <c r="C151" s="13" t="s">
        <v>291</v>
      </c>
      <c r="D151" s="10" t="s">
        <v>930</v>
      </c>
      <c r="E151" s="25" t="s">
        <v>266</v>
      </c>
      <c r="F151" s="35"/>
      <c r="G151" s="35" t="s">
        <v>1027</v>
      </c>
      <c r="H151" s="37"/>
      <c r="I151" s="56">
        <v>20250415101024</v>
      </c>
      <c r="J151" s="15" t="s">
        <v>632</v>
      </c>
      <c r="K151" s="15" t="s">
        <v>294</v>
      </c>
      <c r="L151" s="15" t="s">
        <v>670</v>
      </c>
    </row>
    <row r="152" s="2" customFormat="1" spans="2:14">
      <c r="B152" s="17" t="s">
        <v>594</v>
      </c>
      <c r="C152" s="18" t="s">
        <v>307</v>
      </c>
      <c r="D152" s="19" t="s">
        <v>595</v>
      </c>
      <c r="E152" s="28"/>
      <c r="F152" s="28"/>
      <c r="G152" s="28"/>
      <c r="H152" s="17"/>
      <c r="I152" s="17"/>
      <c r="J152" s="17"/>
      <c r="K152" s="17"/>
      <c r="L152" s="17"/>
      <c r="M152" s="17"/>
      <c r="N152" s="17"/>
    </row>
    <row r="153" s="2" customFormat="1" spans="2:14">
      <c r="B153" s="17" t="s">
        <v>596</v>
      </c>
      <c r="C153" s="18" t="s">
        <v>291</v>
      </c>
      <c r="D153" s="19" t="s">
        <v>597</v>
      </c>
      <c r="E153" s="28"/>
      <c r="F153" s="28"/>
      <c r="G153" s="28"/>
      <c r="H153" s="17"/>
      <c r="I153" s="17"/>
      <c r="J153" s="17"/>
      <c r="K153" s="17"/>
      <c r="L153" s="17"/>
      <c r="M153" s="17"/>
      <c r="N153" s="17"/>
    </row>
    <row r="154" s="2" customFormat="1" spans="2:14">
      <c r="B154" s="17" t="s">
        <v>598</v>
      </c>
      <c r="C154" s="18" t="s">
        <v>307</v>
      </c>
      <c r="D154" s="19" t="s">
        <v>599</v>
      </c>
      <c r="E154" s="28"/>
      <c r="F154" s="28"/>
      <c r="G154" s="28"/>
      <c r="H154" s="17"/>
      <c r="I154" s="17"/>
      <c r="J154" s="17"/>
      <c r="K154" s="17"/>
      <c r="L154" s="17"/>
      <c r="M154" s="17"/>
      <c r="N154" s="17"/>
    </row>
  </sheetData>
  <autoFilter xmlns:etc="http://www.wps.cn/officeDocument/2017/etCustomData" ref="A13:N154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zoomScale="85" zoomScaleNormal="85" workbookViewId="0">
      <pane ySplit="5" topLeftCell="A6" activePane="bottomLeft" state="frozen"/>
      <selection/>
      <selection pane="bottomLeft" activeCell="B15" sqref="B1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51" t="s">
        <v>198</v>
      </c>
      <c r="D5" s="10" t="s">
        <v>199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196</v>
      </c>
      <c r="D9" s="10" t="s">
        <v>197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25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26" t="s">
        <v>517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26" t="s">
        <v>520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26" t="s">
        <v>522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26" t="s">
        <v>524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295</v>
      </c>
      <c r="C23" s="13" t="s">
        <v>291</v>
      </c>
      <c r="D23" s="10" t="s">
        <v>618</v>
      </c>
      <c r="E23" s="25" t="s">
        <v>266</v>
      </c>
      <c r="F23" s="26" t="s">
        <v>295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26" t="s">
        <v>297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26" t="s">
        <v>300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2:12">
      <c r="B26" s="32" t="s">
        <v>331</v>
      </c>
      <c r="C26" s="13" t="s">
        <v>291</v>
      </c>
      <c r="D26" s="10" t="s">
        <v>623</v>
      </c>
      <c r="E26" s="25" t="s">
        <v>266</v>
      </c>
      <c r="F26" s="26" t="s">
        <v>331</v>
      </c>
      <c r="G26" s="26" t="s">
        <v>293</v>
      </c>
      <c r="H26" s="25"/>
      <c r="I26" s="15"/>
      <c r="J26" s="15" t="s">
        <v>604</v>
      </c>
      <c r="K26" s="15" t="s">
        <v>294</v>
      </c>
      <c r="L26" s="15" t="s">
        <v>294</v>
      </c>
    </row>
    <row r="27" s="33" customFormat="1" spans="2:12"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337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342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340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346</v>
      </c>
      <c r="C37" s="13" t="s">
        <v>338</v>
      </c>
      <c r="D37" s="10" t="s">
        <v>693</v>
      </c>
      <c r="E37" s="25" t="s">
        <v>266</v>
      </c>
      <c r="F37" s="26"/>
      <c r="G37" s="26" t="s">
        <v>694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344</v>
      </c>
      <c r="C38" s="13" t="s">
        <v>338</v>
      </c>
      <c r="D38" s="10" t="s">
        <v>695</v>
      </c>
      <c r="E38" s="25" t="s">
        <v>266</v>
      </c>
      <c r="F38" s="26"/>
      <c r="G38" s="26" t="s">
        <v>696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392</v>
      </c>
      <c r="C39" s="13" t="s">
        <v>338</v>
      </c>
      <c r="D39" s="10" t="s">
        <v>697</v>
      </c>
      <c r="E39" s="25" t="s">
        <v>266</v>
      </c>
      <c r="F39" s="26"/>
      <c r="G39" s="26" t="s">
        <v>698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394</v>
      </c>
      <c r="C40" s="13" t="s">
        <v>338</v>
      </c>
      <c r="D40" s="10" t="s">
        <v>699</v>
      </c>
      <c r="E40" s="25" t="s">
        <v>266</v>
      </c>
      <c r="F40" s="26"/>
      <c r="G40" s="26" t="s">
        <v>700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701</v>
      </c>
      <c r="C41" s="13" t="s">
        <v>338</v>
      </c>
      <c r="D41" s="10" t="s">
        <v>702</v>
      </c>
      <c r="E41" s="25" t="s">
        <v>266</v>
      </c>
      <c r="F41" s="26"/>
      <c r="G41" s="26" t="s">
        <v>950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704</v>
      </c>
      <c r="C42" s="13" t="s">
        <v>338</v>
      </c>
      <c r="D42" s="10" t="s">
        <v>705</v>
      </c>
      <c r="E42" s="25" t="s">
        <v>266</v>
      </c>
      <c r="F42" s="26"/>
      <c r="G42" s="26" t="s">
        <v>951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707</v>
      </c>
      <c r="C43" s="13" t="s">
        <v>338</v>
      </c>
      <c r="D43" s="10" t="s">
        <v>708</v>
      </c>
      <c r="E43" s="25" t="s">
        <v>266</v>
      </c>
      <c r="F43" s="26"/>
      <c r="G43" s="26" t="s">
        <v>952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710</v>
      </c>
      <c r="C44" s="13" t="s">
        <v>338</v>
      </c>
      <c r="D44" s="10" t="s">
        <v>711</v>
      </c>
      <c r="E44" s="25" t="s">
        <v>266</v>
      </c>
      <c r="F44" s="26"/>
      <c r="G44" s="26" t="s">
        <v>953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713</v>
      </c>
      <c r="C45" s="13" t="s">
        <v>338</v>
      </c>
      <c r="D45" s="10" t="s">
        <v>714</v>
      </c>
      <c r="E45" s="25" t="s">
        <v>266</v>
      </c>
      <c r="F45" s="26"/>
      <c r="G45" s="26" t="s">
        <v>954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716</v>
      </c>
      <c r="C46" s="13" t="s">
        <v>338</v>
      </c>
      <c r="D46" s="10" t="s">
        <v>717</v>
      </c>
      <c r="E46" s="25" t="s">
        <v>266</v>
      </c>
      <c r="F46" s="26"/>
      <c r="G46" s="26" t="s">
        <v>955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410</v>
      </c>
      <c r="C47" s="13" t="s">
        <v>338</v>
      </c>
      <c r="D47" s="10" t="s">
        <v>719</v>
      </c>
      <c r="E47" s="25" t="s">
        <v>266</v>
      </c>
      <c r="F47" s="26"/>
      <c r="G47" s="26" t="s">
        <v>720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412</v>
      </c>
      <c r="C48" s="13" t="s">
        <v>338</v>
      </c>
      <c r="D48" s="10" t="s">
        <v>721</v>
      </c>
      <c r="E48" s="25" t="s">
        <v>266</v>
      </c>
      <c r="F48" s="26"/>
      <c r="G48" s="26" t="s">
        <v>722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1916</v>
      </c>
      <c r="C49" s="13" t="s">
        <v>338</v>
      </c>
      <c r="D49" s="10" t="s">
        <v>1917</v>
      </c>
      <c r="E49" s="25" t="s">
        <v>266</v>
      </c>
      <c r="F49" s="26"/>
      <c r="G49" s="26" t="s">
        <v>2136</v>
      </c>
      <c r="H49" s="37"/>
      <c r="I49" s="26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1919</v>
      </c>
      <c r="C50" s="13" t="s">
        <v>338</v>
      </c>
      <c r="D50" s="10" t="s">
        <v>1920</v>
      </c>
      <c r="E50" s="25" t="s">
        <v>266</v>
      </c>
      <c r="F50" s="26"/>
      <c r="G50" s="26" t="s">
        <v>2137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1922</v>
      </c>
      <c r="C51" s="13" t="s">
        <v>338</v>
      </c>
      <c r="D51" s="10" t="s">
        <v>1923</v>
      </c>
      <c r="E51" s="25" t="s">
        <v>266</v>
      </c>
      <c r="F51" s="26"/>
      <c r="G51" s="26" t="s">
        <v>2138</v>
      </c>
      <c r="H51" s="37"/>
      <c r="I51" s="26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1925</v>
      </c>
      <c r="C52" s="13" t="s">
        <v>338</v>
      </c>
      <c r="D52" s="10" t="s">
        <v>1926</v>
      </c>
      <c r="E52" s="25" t="s">
        <v>266</v>
      </c>
      <c r="F52" s="26"/>
      <c r="G52" s="26" t="s">
        <v>2139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1928</v>
      </c>
      <c r="C53" s="13" t="s">
        <v>338</v>
      </c>
      <c r="D53" s="10" t="s">
        <v>1929</v>
      </c>
      <c r="E53" s="25" t="s">
        <v>266</v>
      </c>
      <c r="F53" s="26"/>
      <c r="G53" s="26" t="s">
        <v>2140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1931</v>
      </c>
      <c r="C54" s="13" t="s">
        <v>338</v>
      </c>
      <c r="D54" s="10" t="s">
        <v>1932</v>
      </c>
      <c r="E54" s="25" t="s">
        <v>266</v>
      </c>
      <c r="F54" s="26"/>
      <c r="G54" s="26" t="s">
        <v>2141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1934</v>
      </c>
      <c r="C55" s="13" t="s">
        <v>338</v>
      </c>
      <c r="D55" s="10" t="s">
        <v>1935</v>
      </c>
      <c r="E55" s="25" t="s">
        <v>266</v>
      </c>
      <c r="F55" s="26"/>
      <c r="G55" s="26" t="s">
        <v>2142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1937</v>
      </c>
      <c r="C56" s="13" t="s">
        <v>338</v>
      </c>
      <c r="D56" s="10" t="s">
        <v>1938</v>
      </c>
      <c r="E56" s="25" t="s">
        <v>266</v>
      </c>
      <c r="F56" s="26"/>
      <c r="G56" s="26" t="s">
        <v>2143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1940</v>
      </c>
      <c r="C57" s="13" t="s">
        <v>338</v>
      </c>
      <c r="D57" s="10" t="s">
        <v>1941</v>
      </c>
      <c r="E57" s="25" t="s">
        <v>266</v>
      </c>
      <c r="F57" s="26"/>
      <c r="G57" s="26" t="s">
        <v>2144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1870</v>
      </c>
      <c r="C58" s="13" t="s">
        <v>338</v>
      </c>
      <c r="D58" s="10" t="s">
        <v>1943</v>
      </c>
      <c r="E58" s="25" t="s">
        <v>266</v>
      </c>
      <c r="F58" s="26"/>
      <c r="G58" s="26" t="s">
        <v>1944</v>
      </c>
      <c r="H58" s="37"/>
      <c r="I58" s="26"/>
      <c r="J58" s="15" t="s">
        <v>632</v>
      </c>
      <c r="K58" s="15" t="s">
        <v>644</v>
      </c>
      <c r="L58" s="15" t="s">
        <v>633</v>
      </c>
    </row>
    <row r="59" s="1" customFormat="1" spans="1:12">
      <c r="A59" s="33"/>
      <c r="B59" s="13" t="s">
        <v>1945</v>
      </c>
      <c r="C59" s="52" t="s">
        <v>666</v>
      </c>
      <c r="D59" s="10" t="s">
        <v>1946</v>
      </c>
      <c r="E59" s="25" t="s">
        <v>266</v>
      </c>
      <c r="F59" s="26"/>
      <c r="G59" s="26" t="s">
        <v>2145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1948</v>
      </c>
      <c r="C60" s="52" t="s">
        <v>666</v>
      </c>
      <c r="D60" s="10" t="s">
        <v>1949</v>
      </c>
      <c r="E60" s="25" t="s">
        <v>266</v>
      </c>
      <c r="F60" s="26"/>
      <c r="G60" s="26" t="s">
        <v>2146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55"/>
      <c r="G62" s="26" t="s">
        <v>957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733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736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739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742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745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55"/>
      <c r="G69" s="26" t="s">
        <v>964</v>
      </c>
      <c r="H69" s="3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754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757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760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763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766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3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55"/>
      <c r="G76" s="26" t="s">
        <v>971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775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778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784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787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413</v>
      </c>
      <c r="C82" s="13" t="s">
        <v>666</v>
      </c>
      <c r="D82" s="10" t="s">
        <v>790</v>
      </c>
      <c r="E82" s="25" t="s">
        <v>266</v>
      </c>
      <c r="F82" s="55"/>
      <c r="G82" s="26" t="s">
        <v>977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418</v>
      </c>
      <c r="C84" s="13" t="s">
        <v>666</v>
      </c>
      <c r="D84" s="10" t="s">
        <v>795</v>
      </c>
      <c r="E84" s="25" t="s">
        <v>266</v>
      </c>
      <c r="F84" s="55"/>
      <c r="G84" s="26" t="s">
        <v>979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32" t="s">
        <v>1860</v>
      </c>
      <c r="C86" s="32" t="s">
        <v>338</v>
      </c>
      <c r="D86" s="10" t="s">
        <v>1861</v>
      </c>
      <c r="E86" s="25" t="s">
        <v>266</v>
      </c>
      <c r="F86" s="26"/>
      <c r="G86" s="26" t="s">
        <v>1966</v>
      </c>
      <c r="H86" s="3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32" t="s">
        <v>1903</v>
      </c>
      <c r="C87" s="32" t="s">
        <v>666</v>
      </c>
      <c r="D87" s="10" t="s">
        <v>1904</v>
      </c>
      <c r="E87" s="25" t="s">
        <v>266</v>
      </c>
      <c r="F87" s="26"/>
      <c r="G87" s="26" t="s">
        <v>1967</v>
      </c>
      <c r="H87" s="37"/>
      <c r="I87" s="26"/>
      <c r="J87" s="15" t="s">
        <v>632</v>
      </c>
      <c r="K87" s="15" t="s">
        <v>1898</v>
      </c>
      <c r="L87" s="15" t="s">
        <v>633</v>
      </c>
    </row>
    <row r="88" s="1" customFormat="1" spans="1:12">
      <c r="A88" s="33"/>
      <c r="B88" s="52" t="s">
        <v>1968</v>
      </c>
      <c r="C88" s="52" t="s">
        <v>666</v>
      </c>
      <c r="D88" s="54" t="s">
        <v>1969</v>
      </c>
      <c r="E88" s="25" t="s">
        <v>266</v>
      </c>
      <c r="F88" s="55"/>
      <c r="G88" s="26" t="s">
        <v>2147</v>
      </c>
      <c r="H88" s="27"/>
      <c r="I88" s="26"/>
      <c r="J88" s="15" t="s">
        <v>632</v>
      </c>
      <c r="K88" s="15" t="s">
        <v>1898</v>
      </c>
      <c r="L88" s="15" t="s">
        <v>633</v>
      </c>
    </row>
    <row r="89" s="1" customFormat="1" spans="2:12">
      <c r="B89" s="32" t="s">
        <v>1906</v>
      </c>
      <c r="C89" s="32" t="s">
        <v>666</v>
      </c>
      <c r="D89" s="10" t="s">
        <v>1907</v>
      </c>
      <c r="E89" s="25" t="s">
        <v>266</v>
      </c>
      <c r="F89" s="32"/>
      <c r="G89" s="26" t="s">
        <v>1971</v>
      </c>
      <c r="H89" s="37"/>
      <c r="I89" s="26"/>
      <c r="J89" s="15" t="s">
        <v>632</v>
      </c>
      <c r="K89" s="15" t="s">
        <v>1902</v>
      </c>
      <c r="L89" s="15" t="s">
        <v>633</v>
      </c>
    </row>
    <row r="90" s="1" customFormat="1" spans="1:12">
      <c r="A90" s="33"/>
      <c r="B90" s="32" t="s">
        <v>1892</v>
      </c>
      <c r="C90" s="32" t="s">
        <v>338</v>
      </c>
      <c r="D90" s="10" t="s">
        <v>1972</v>
      </c>
      <c r="E90" s="25" t="s">
        <v>266</v>
      </c>
      <c r="F90" s="26"/>
      <c r="G90" s="26" t="s">
        <v>1973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32" t="s">
        <v>1895</v>
      </c>
      <c r="C91" s="32" t="s">
        <v>666</v>
      </c>
      <c r="D91" s="10" t="s">
        <v>1896</v>
      </c>
      <c r="E91" s="25" t="s">
        <v>266</v>
      </c>
      <c r="F91" s="26"/>
      <c r="G91" s="26" t="s">
        <v>1974</v>
      </c>
      <c r="H91" s="37"/>
      <c r="I91" s="26"/>
      <c r="J91" s="15" t="s">
        <v>632</v>
      </c>
      <c r="K91" s="15" t="s">
        <v>1898</v>
      </c>
      <c r="L91" s="15" t="s">
        <v>633</v>
      </c>
    </row>
    <row r="92" s="1" customFormat="1" spans="2:12">
      <c r="B92" s="32" t="s">
        <v>1899</v>
      </c>
      <c r="C92" s="32" t="s">
        <v>666</v>
      </c>
      <c r="D92" s="10" t="s">
        <v>1900</v>
      </c>
      <c r="E92" s="25" t="s">
        <v>266</v>
      </c>
      <c r="F92" s="32"/>
      <c r="G92" s="26" t="s">
        <v>1975</v>
      </c>
      <c r="H92" s="37"/>
      <c r="I92" s="26"/>
      <c r="J92" s="15" t="s">
        <v>632</v>
      </c>
      <c r="K92" s="15" t="s">
        <v>1902</v>
      </c>
      <c r="L92" s="15" t="s">
        <v>633</v>
      </c>
    </row>
    <row r="93" s="1" customFormat="1" spans="2:12">
      <c r="B93" s="32" t="s">
        <v>1976</v>
      </c>
      <c r="C93" s="32" t="s">
        <v>666</v>
      </c>
      <c r="D93" s="10" t="s">
        <v>1977</v>
      </c>
      <c r="E93" s="25" t="s">
        <v>266</v>
      </c>
      <c r="F93" s="26"/>
      <c r="G93" s="26" t="s">
        <v>2148</v>
      </c>
      <c r="H93" s="37"/>
      <c r="I93" s="26"/>
      <c r="J93" s="15" t="s">
        <v>632</v>
      </c>
      <c r="K93" s="15" t="s">
        <v>669</v>
      </c>
      <c r="L93" s="15" t="s">
        <v>633</v>
      </c>
    </row>
    <row r="94" s="1" customFormat="1" spans="2:12">
      <c r="B94" s="32" t="s">
        <v>1979</v>
      </c>
      <c r="C94" s="32" t="s">
        <v>338</v>
      </c>
      <c r="D94" s="10" t="s">
        <v>1980</v>
      </c>
      <c r="E94" s="25" t="s">
        <v>266</v>
      </c>
      <c r="F94" s="26"/>
      <c r="G94" s="26" t="s">
        <v>2149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1982</v>
      </c>
      <c r="C95" s="32" t="s">
        <v>338</v>
      </c>
      <c r="D95" s="10" t="s">
        <v>1983</v>
      </c>
      <c r="E95" s="25" t="s">
        <v>266</v>
      </c>
      <c r="F95" s="26"/>
      <c r="G95" s="26" t="s">
        <v>2150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1985</v>
      </c>
      <c r="C96" s="32" t="s">
        <v>338</v>
      </c>
      <c r="D96" s="10" t="s">
        <v>1986</v>
      </c>
      <c r="E96" s="25" t="s">
        <v>266</v>
      </c>
      <c r="F96" s="26"/>
      <c r="G96" s="26" t="s">
        <v>2151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1988</v>
      </c>
      <c r="C97" s="32" t="s">
        <v>666</v>
      </c>
      <c r="D97" s="10" t="s">
        <v>1989</v>
      </c>
      <c r="E97" s="25" t="s">
        <v>266</v>
      </c>
      <c r="F97" s="32"/>
      <c r="G97" s="26" t="s">
        <v>2152</v>
      </c>
      <c r="H97" s="37"/>
      <c r="I97" s="26"/>
      <c r="J97" s="15" t="s">
        <v>632</v>
      </c>
      <c r="K97" s="15" t="s">
        <v>294</v>
      </c>
      <c r="L97" s="15" t="s">
        <v>1264</v>
      </c>
    </row>
    <row r="98" s="1" customFormat="1" spans="2:12">
      <c r="B98" s="32" t="s">
        <v>1991</v>
      </c>
      <c r="C98" s="32" t="s">
        <v>666</v>
      </c>
      <c r="D98" s="10" t="s">
        <v>1992</v>
      </c>
      <c r="E98" s="25" t="s">
        <v>266</v>
      </c>
      <c r="F98" s="26"/>
      <c r="G98" s="26" t="s">
        <v>2153</v>
      </c>
      <c r="H98" s="37"/>
      <c r="I98" s="26"/>
      <c r="J98" s="15" t="s">
        <v>632</v>
      </c>
      <c r="K98" s="15" t="s">
        <v>669</v>
      </c>
      <c r="L98" s="15" t="s">
        <v>633</v>
      </c>
    </row>
    <row r="99" s="1" customFormat="1" spans="2:12">
      <c r="B99" s="32" t="s">
        <v>1994</v>
      </c>
      <c r="C99" s="32" t="s">
        <v>338</v>
      </c>
      <c r="D99" s="10" t="s">
        <v>1995</v>
      </c>
      <c r="E99" s="25" t="s">
        <v>266</v>
      </c>
      <c r="F99" s="26"/>
      <c r="G99" s="26" t="s">
        <v>2154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1997</v>
      </c>
      <c r="C100" s="32" t="s">
        <v>338</v>
      </c>
      <c r="D100" s="10" t="s">
        <v>1998</v>
      </c>
      <c r="E100" s="25" t="s">
        <v>266</v>
      </c>
      <c r="F100" s="26"/>
      <c r="G100" s="26" t="s">
        <v>2155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2000</v>
      </c>
      <c r="C101" s="32" t="s">
        <v>338</v>
      </c>
      <c r="D101" s="10" t="s">
        <v>2001</v>
      </c>
      <c r="E101" s="25" t="s">
        <v>266</v>
      </c>
      <c r="F101" s="26"/>
      <c r="G101" s="26" t="s">
        <v>2156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2002</v>
      </c>
      <c r="C102" s="32" t="s">
        <v>338</v>
      </c>
      <c r="D102" s="10" t="s">
        <v>1887</v>
      </c>
      <c r="E102" s="25" t="s">
        <v>266</v>
      </c>
      <c r="F102" s="26"/>
      <c r="G102" s="26" t="s">
        <v>2157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2004</v>
      </c>
      <c r="C103" s="32" t="s">
        <v>338</v>
      </c>
      <c r="D103" s="10" t="s">
        <v>2005</v>
      </c>
      <c r="E103" s="25" t="s">
        <v>266</v>
      </c>
      <c r="F103" s="26"/>
      <c r="G103" s="26" t="s">
        <v>2158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2007</v>
      </c>
      <c r="C104" s="32" t="s">
        <v>338</v>
      </c>
      <c r="D104" s="10" t="s">
        <v>1890</v>
      </c>
      <c r="E104" s="25" t="s">
        <v>266</v>
      </c>
      <c r="F104" s="26"/>
      <c r="G104" s="26" t="s">
        <v>2159</v>
      </c>
      <c r="H104" s="37"/>
      <c r="I104" s="26"/>
      <c r="J104" s="15" t="s">
        <v>632</v>
      </c>
      <c r="K104" s="15" t="s">
        <v>669</v>
      </c>
      <c r="L104" s="15" t="s">
        <v>633</v>
      </c>
    </row>
    <row r="105" s="1" customFormat="1" spans="2:12">
      <c r="B105" s="32" t="s">
        <v>2009</v>
      </c>
      <c r="C105" s="32" t="s">
        <v>338</v>
      </c>
      <c r="D105" s="10" t="s">
        <v>2010</v>
      </c>
      <c r="E105" s="25" t="s">
        <v>266</v>
      </c>
      <c r="F105" s="26"/>
      <c r="G105" s="26" t="s">
        <v>2160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2012</v>
      </c>
      <c r="C106" s="32" t="s">
        <v>338</v>
      </c>
      <c r="D106" s="10" t="s">
        <v>2013</v>
      </c>
      <c r="E106" s="25" t="s">
        <v>266</v>
      </c>
      <c r="F106" s="26"/>
      <c r="G106" s="26" t="s">
        <v>2161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2015</v>
      </c>
      <c r="C107" s="32" t="s">
        <v>338</v>
      </c>
      <c r="D107" s="10" t="s">
        <v>2016</v>
      </c>
      <c r="E107" s="25" t="s">
        <v>266</v>
      </c>
      <c r="F107" s="26"/>
      <c r="G107" s="26" t="s">
        <v>2162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2018</v>
      </c>
      <c r="C108" s="32" t="s">
        <v>338</v>
      </c>
      <c r="D108" s="10" t="s">
        <v>2019</v>
      </c>
      <c r="E108" s="25" t="s">
        <v>266</v>
      </c>
      <c r="F108" s="26"/>
      <c r="G108" s="26" t="s">
        <v>2163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2021</v>
      </c>
      <c r="C109" s="32" t="s">
        <v>338</v>
      </c>
      <c r="D109" s="10" t="s">
        <v>2022</v>
      </c>
      <c r="E109" s="25" t="s">
        <v>266</v>
      </c>
      <c r="F109" s="26"/>
      <c r="G109" s="26" t="s">
        <v>2164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2024</v>
      </c>
      <c r="C110" s="32" t="s">
        <v>338</v>
      </c>
      <c r="D110" s="10" t="s">
        <v>2025</v>
      </c>
      <c r="E110" s="25" t="s">
        <v>266</v>
      </c>
      <c r="F110" s="26"/>
      <c r="G110" s="26" t="s">
        <v>2165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2027</v>
      </c>
      <c r="C111" s="32" t="s">
        <v>338</v>
      </c>
      <c r="D111" s="10" t="s">
        <v>2028</v>
      </c>
      <c r="E111" s="25" t="s">
        <v>266</v>
      </c>
      <c r="F111" s="26"/>
      <c r="G111" s="26" t="s">
        <v>2166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2030</v>
      </c>
      <c r="C112" s="13" t="s">
        <v>666</v>
      </c>
      <c r="D112" s="10" t="s">
        <v>2031</v>
      </c>
      <c r="E112" s="25" t="s">
        <v>266</v>
      </c>
      <c r="F112" s="55"/>
      <c r="G112" s="26" t="s">
        <v>2167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2033</v>
      </c>
      <c r="C113" s="52" t="s">
        <v>338</v>
      </c>
      <c r="D113" s="54" t="s">
        <v>2034</v>
      </c>
      <c r="E113" s="25" t="s">
        <v>266</v>
      </c>
      <c r="F113" s="26"/>
      <c r="G113" s="26" t="s">
        <v>2168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2036</v>
      </c>
      <c r="C114" s="52" t="s">
        <v>338</v>
      </c>
      <c r="D114" s="54" t="s">
        <v>2037</v>
      </c>
      <c r="E114" s="25" t="s">
        <v>266</v>
      </c>
      <c r="F114" s="26"/>
      <c r="G114" s="26" t="s">
        <v>2169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2039</v>
      </c>
      <c r="C115" s="52" t="s">
        <v>338</v>
      </c>
      <c r="D115" s="54" t="s">
        <v>2040</v>
      </c>
      <c r="E115" s="25" t="s">
        <v>266</v>
      </c>
      <c r="F115" s="26"/>
      <c r="G115" s="26" t="s">
        <v>2170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2042</v>
      </c>
      <c r="C116" s="52" t="s">
        <v>338</v>
      </c>
      <c r="D116" s="54" t="s">
        <v>2043</v>
      </c>
      <c r="E116" s="25" t="s">
        <v>266</v>
      </c>
      <c r="F116" s="26"/>
      <c r="G116" s="26" t="s">
        <v>2171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2045</v>
      </c>
      <c r="C117" s="52" t="s">
        <v>338</v>
      </c>
      <c r="D117" s="54" t="s">
        <v>2046</v>
      </c>
      <c r="E117" s="25" t="s">
        <v>266</v>
      </c>
      <c r="F117" s="26"/>
      <c r="G117" s="26" t="s">
        <v>2172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2048</v>
      </c>
      <c r="C118" s="52" t="s">
        <v>666</v>
      </c>
      <c r="D118" s="10" t="s">
        <v>2049</v>
      </c>
      <c r="E118" s="25" t="s">
        <v>266</v>
      </c>
      <c r="F118" s="55"/>
      <c r="G118" s="26" t="s">
        <v>2173</v>
      </c>
      <c r="H118" s="3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2051</v>
      </c>
      <c r="C119" s="13" t="s">
        <v>338</v>
      </c>
      <c r="D119" s="10" t="s">
        <v>2052</v>
      </c>
      <c r="E119" s="25" t="s">
        <v>266</v>
      </c>
      <c r="F119" s="26"/>
      <c r="G119" s="26" t="s">
        <v>2174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2054</v>
      </c>
      <c r="C120" s="13" t="s">
        <v>338</v>
      </c>
      <c r="D120" s="10" t="s">
        <v>2055</v>
      </c>
      <c r="E120" s="25" t="s">
        <v>266</v>
      </c>
      <c r="F120" s="26"/>
      <c r="G120" s="26" t="s">
        <v>2175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2057</v>
      </c>
      <c r="C121" s="13" t="s">
        <v>338</v>
      </c>
      <c r="D121" s="10" t="s">
        <v>2058</v>
      </c>
      <c r="E121" s="25" t="s">
        <v>266</v>
      </c>
      <c r="F121" s="26"/>
      <c r="G121" s="26" t="s">
        <v>2176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2060</v>
      </c>
      <c r="C122" s="13" t="s">
        <v>338</v>
      </c>
      <c r="D122" s="10" t="s">
        <v>2061</v>
      </c>
      <c r="E122" s="25" t="s">
        <v>266</v>
      </c>
      <c r="F122" s="26"/>
      <c r="G122" s="26" t="s">
        <v>2177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2063</v>
      </c>
      <c r="C123" s="13" t="s">
        <v>338</v>
      </c>
      <c r="D123" s="10" t="s">
        <v>2064</v>
      </c>
      <c r="E123" s="25" t="s">
        <v>266</v>
      </c>
      <c r="F123" s="26"/>
      <c r="G123" s="26" t="s">
        <v>2178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2066</v>
      </c>
      <c r="C124" s="52" t="s">
        <v>666</v>
      </c>
      <c r="D124" s="10" t="s">
        <v>2067</v>
      </c>
      <c r="E124" s="25" t="s">
        <v>266</v>
      </c>
      <c r="F124" s="55"/>
      <c r="G124" s="26" t="s">
        <v>2179</v>
      </c>
      <c r="H124" s="37"/>
      <c r="I124" s="26"/>
      <c r="J124" s="15" t="s">
        <v>632</v>
      </c>
      <c r="K124" s="15" t="s">
        <v>404</v>
      </c>
      <c r="L124" s="15" t="s">
        <v>633</v>
      </c>
    </row>
    <row r="125" s="1" customFormat="1" spans="1:12">
      <c r="A125" s="33"/>
      <c r="B125" s="52" t="s">
        <v>2069</v>
      </c>
      <c r="C125" s="52" t="s">
        <v>338</v>
      </c>
      <c r="D125" s="54" t="s">
        <v>2070</v>
      </c>
      <c r="E125" s="25" t="s">
        <v>266</v>
      </c>
      <c r="F125" s="26"/>
      <c r="G125" s="26" t="s">
        <v>2180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2072</v>
      </c>
      <c r="C126" s="52" t="s">
        <v>338</v>
      </c>
      <c r="D126" s="54" t="s">
        <v>2073</v>
      </c>
      <c r="E126" s="25" t="s">
        <v>266</v>
      </c>
      <c r="F126" s="26"/>
      <c r="G126" s="26" t="s">
        <v>2181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2075</v>
      </c>
      <c r="C127" s="52" t="s">
        <v>338</v>
      </c>
      <c r="D127" s="54" t="s">
        <v>2076</v>
      </c>
      <c r="E127" s="25" t="s">
        <v>266</v>
      </c>
      <c r="F127" s="26"/>
      <c r="G127" s="26" t="s">
        <v>2182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2078</v>
      </c>
      <c r="C128" s="52" t="s">
        <v>338</v>
      </c>
      <c r="D128" s="54" t="s">
        <v>2079</v>
      </c>
      <c r="E128" s="25" t="s">
        <v>266</v>
      </c>
      <c r="F128" s="26"/>
      <c r="G128" s="26" t="s">
        <v>2183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2081</v>
      </c>
      <c r="C129" s="52" t="s">
        <v>338</v>
      </c>
      <c r="D129" s="54" t="s">
        <v>2082</v>
      </c>
      <c r="E129" s="25" t="s">
        <v>266</v>
      </c>
      <c r="F129" s="26"/>
      <c r="G129" s="26" t="s">
        <v>2184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2:12">
      <c r="B130" s="32" t="s">
        <v>2084</v>
      </c>
      <c r="C130" s="32" t="s">
        <v>338</v>
      </c>
      <c r="D130" s="10" t="s">
        <v>2085</v>
      </c>
      <c r="E130" s="25" t="s">
        <v>266</v>
      </c>
      <c r="F130" s="26"/>
      <c r="G130" s="26" t="s">
        <v>2185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2:12">
      <c r="B131" s="32" t="s">
        <v>1909</v>
      </c>
      <c r="C131" s="32" t="s">
        <v>338</v>
      </c>
      <c r="D131" s="10" t="s">
        <v>2087</v>
      </c>
      <c r="E131" s="25" t="s">
        <v>266</v>
      </c>
      <c r="F131" s="26"/>
      <c r="G131" s="26" t="s">
        <v>2088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2089</v>
      </c>
      <c r="C132" s="52" t="s">
        <v>666</v>
      </c>
      <c r="D132" s="54" t="s">
        <v>2090</v>
      </c>
      <c r="E132" s="25" t="s">
        <v>266</v>
      </c>
      <c r="F132" s="55"/>
      <c r="G132" s="26" t="s">
        <v>2186</v>
      </c>
      <c r="H132" s="37"/>
      <c r="I132" s="26"/>
      <c r="J132" s="15" t="s">
        <v>632</v>
      </c>
      <c r="K132" s="15" t="s">
        <v>669</v>
      </c>
      <c r="L132" s="15" t="s">
        <v>670</v>
      </c>
    </row>
    <row r="133" s="1" customFormat="1" spans="1:12">
      <c r="A133" s="33"/>
      <c r="B133" s="52" t="s">
        <v>2092</v>
      </c>
      <c r="C133" s="52" t="s">
        <v>338</v>
      </c>
      <c r="D133" s="54" t="s">
        <v>2093</v>
      </c>
      <c r="E133" s="25" t="s">
        <v>266</v>
      </c>
      <c r="F133" s="26"/>
      <c r="G133" s="26" t="s">
        <v>2187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2095</v>
      </c>
      <c r="C134" s="52" t="s">
        <v>338</v>
      </c>
      <c r="D134" s="54" t="s">
        <v>2096</v>
      </c>
      <c r="E134" s="25" t="s">
        <v>266</v>
      </c>
      <c r="F134" s="26"/>
      <c r="G134" s="26" t="s">
        <v>2188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2098</v>
      </c>
      <c r="C135" s="52" t="s">
        <v>338</v>
      </c>
      <c r="D135" s="54" t="s">
        <v>2099</v>
      </c>
      <c r="E135" s="25" t="s">
        <v>266</v>
      </c>
      <c r="F135" s="26"/>
      <c r="G135" s="26" t="s">
        <v>2189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2101</v>
      </c>
      <c r="C136" s="52" t="s">
        <v>338</v>
      </c>
      <c r="D136" s="54" t="s">
        <v>2102</v>
      </c>
      <c r="E136" s="25" t="s">
        <v>266</v>
      </c>
      <c r="F136" s="26"/>
      <c r="G136" s="26" t="s">
        <v>2190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2104</v>
      </c>
      <c r="C137" s="52" t="s">
        <v>338</v>
      </c>
      <c r="D137" s="54" t="s">
        <v>2105</v>
      </c>
      <c r="E137" s="25" t="s">
        <v>266</v>
      </c>
      <c r="F137" s="26"/>
      <c r="G137" s="26" t="s">
        <v>2191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2107</v>
      </c>
      <c r="C138" s="52" t="s">
        <v>338</v>
      </c>
      <c r="D138" s="10" t="s">
        <v>2108</v>
      </c>
      <c r="E138" s="25" t="s">
        <v>266</v>
      </c>
      <c r="F138" s="26"/>
      <c r="G138" s="26" t="s">
        <v>2192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1912</v>
      </c>
      <c r="C139" s="52" t="s">
        <v>338</v>
      </c>
      <c r="D139" s="10" t="s">
        <v>2110</v>
      </c>
      <c r="E139" s="25" t="s">
        <v>266</v>
      </c>
      <c r="F139" s="26"/>
      <c r="G139" s="26" t="s">
        <v>2111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2112</v>
      </c>
      <c r="C140" s="52" t="s">
        <v>666</v>
      </c>
      <c r="D140" s="54" t="s">
        <v>2113</v>
      </c>
      <c r="E140" s="25" t="s">
        <v>266</v>
      </c>
      <c r="F140" s="55"/>
      <c r="G140" s="26" t="s">
        <v>2193</v>
      </c>
      <c r="H140" s="37"/>
      <c r="I140" s="26"/>
      <c r="J140" s="15" t="s">
        <v>632</v>
      </c>
      <c r="K140" s="15" t="s">
        <v>669</v>
      </c>
      <c r="L140" s="15" t="s">
        <v>670</v>
      </c>
    </row>
    <row r="141" s="1" customFormat="1" spans="1:12">
      <c r="A141" s="33"/>
      <c r="B141" s="52" t="s">
        <v>2115</v>
      </c>
      <c r="C141" s="52" t="s">
        <v>338</v>
      </c>
      <c r="D141" s="54" t="s">
        <v>2116</v>
      </c>
      <c r="E141" s="25" t="s">
        <v>266</v>
      </c>
      <c r="F141" s="26"/>
      <c r="G141" s="26" t="s">
        <v>2194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2118</v>
      </c>
      <c r="C142" s="52" t="s">
        <v>338</v>
      </c>
      <c r="D142" s="54" t="s">
        <v>2119</v>
      </c>
      <c r="E142" s="25" t="s">
        <v>266</v>
      </c>
      <c r="F142" s="26"/>
      <c r="G142" s="26" t="s">
        <v>2195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2121</v>
      </c>
      <c r="C143" s="52" t="s">
        <v>338</v>
      </c>
      <c r="D143" s="54" t="s">
        <v>2122</v>
      </c>
      <c r="E143" s="25" t="s">
        <v>266</v>
      </c>
      <c r="F143" s="26"/>
      <c r="G143" s="26" t="s">
        <v>2196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2124</v>
      </c>
      <c r="C144" s="52" t="s">
        <v>338</v>
      </c>
      <c r="D144" s="54" t="s">
        <v>2125</v>
      </c>
      <c r="E144" s="25" t="s">
        <v>266</v>
      </c>
      <c r="F144" s="26"/>
      <c r="G144" s="26" t="s">
        <v>2197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2127</v>
      </c>
      <c r="C145" s="52" t="s">
        <v>338</v>
      </c>
      <c r="D145" s="54" t="s">
        <v>2128</v>
      </c>
      <c r="E145" s="25" t="s">
        <v>266</v>
      </c>
      <c r="F145" s="26"/>
      <c r="G145" s="26" t="s">
        <v>2198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2130</v>
      </c>
      <c r="C146" s="52" t="s">
        <v>338</v>
      </c>
      <c r="D146" s="54" t="s">
        <v>2131</v>
      </c>
      <c r="E146" s="25" t="s">
        <v>266</v>
      </c>
      <c r="F146" s="55"/>
      <c r="G146" s="26" t="s">
        <v>2199</v>
      </c>
      <c r="H146" s="2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52" t="s">
        <v>2133</v>
      </c>
      <c r="C147" s="52" t="s">
        <v>338</v>
      </c>
      <c r="D147" s="54" t="s">
        <v>2134</v>
      </c>
      <c r="E147" s="25" t="s">
        <v>266</v>
      </c>
      <c r="F147" s="55"/>
      <c r="G147" s="26" t="s">
        <v>2200</v>
      </c>
      <c r="H147" s="27"/>
      <c r="I147" s="26"/>
      <c r="J147" s="15" t="s">
        <v>632</v>
      </c>
      <c r="K147" s="15" t="s">
        <v>669</v>
      </c>
      <c r="L147" s="15" t="s">
        <v>633</v>
      </c>
    </row>
    <row r="148" s="1" customFormat="1" spans="1:12">
      <c r="A148" s="33"/>
      <c r="B148" s="13" t="s">
        <v>887</v>
      </c>
      <c r="C148" s="13" t="s">
        <v>338</v>
      </c>
      <c r="D148" s="10" t="s">
        <v>888</v>
      </c>
      <c r="E148" s="25" t="s">
        <v>266</v>
      </c>
      <c r="F148" s="26"/>
      <c r="G148" s="26" t="s">
        <v>1013</v>
      </c>
      <c r="H148" s="37"/>
      <c r="I148" s="26"/>
      <c r="J148" s="15" t="s">
        <v>632</v>
      </c>
      <c r="K148" s="15" t="s">
        <v>294</v>
      </c>
      <c r="L148" s="15" t="s">
        <v>633</v>
      </c>
    </row>
    <row r="149" s="1" customFormat="1" spans="1:12">
      <c r="A149" s="33"/>
      <c r="B149" s="13" t="s">
        <v>926</v>
      </c>
      <c r="C149" s="13" t="s">
        <v>291</v>
      </c>
      <c r="D149" s="10" t="s">
        <v>927</v>
      </c>
      <c r="E149" s="25" t="s">
        <v>266</v>
      </c>
      <c r="F149" s="35"/>
      <c r="G149" s="35" t="s">
        <v>1026</v>
      </c>
      <c r="H149" s="37"/>
      <c r="I149" s="56">
        <v>20250415101139</v>
      </c>
      <c r="J149" s="15" t="s">
        <v>632</v>
      </c>
      <c r="K149" s="15" t="s">
        <v>294</v>
      </c>
      <c r="L149" s="15" t="s">
        <v>670</v>
      </c>
    </row>
    <row r="150" s="1" customFormat="1" spans="1:12">
      <c r="A150" s="33"/>
      <c r="B150" s="13" t="s">
        <v>929</v>
      </c>
      <c r="C150" s="13" t="s">
        <v>291</v>
      </c>
      <c r="D150" s="10" t="s">
        <v>930</v>
      </c>
      <c r="E150" s="25" t="s">
        <v>266</v>
      </c>
      <c r="F150" s="35"/>
      <c r="G150" s="35" t="s">
        <v>1027</v>
      </c>
      <c r="H150" s="37"/>
      <c r="I150" s="56">
        <v>20250415101024</v>
      </c>
      <c r="J150" s="15" t="s">
        <v>632</v>
      </c>
      <c r="K150" s="15" t="s">
        <v>294</v>
      </c>
      <c r="L150" s="15" t="s">
        <v>670</v>
      </c>
    </row>
    <row r="151" s="2" customFormat="1" spans="2:14">
      <c r="B151" s="17" t="s">
        <v>594</v>
      </c>
      <c r="C151" s="18" t="s">
        <v>307</v>
      </c>
      <c r="D151" s="19" t="s">
        <v>595</v>
      </c>
      <c r="E151" s="28"/>
      <c r="F151" s="28"/>
      <c r="G151" s="28"/>
      <c r="H151" s="17"/>
      <c r="I151" s="17"/>
      <c r="J151" s="17"/>
      <c r="K151" s="17"/>
      <c r="L151" s="17"/>
      <c r="M151" s="17"/>
      <c r="N151" s="17"/>
    </row>
    <row r="152" s="2" customFormat="1" spans="2:14">
      <c r="B152" s="17" t="s">
        <v>596</v>
      </c>
      <c r="C152" s="18" t="s">
        <v>291</v>
      </c>
      <c r="D152" s="19" t="s">
        <v>597</v>
      </c>
      <c r="E152" s="28"/>
      <c r="F152" s="28"/>
      <c r="G152" s="28"/>
      <c r="H152" s="17"/>
      <c r="I152" s="17"/>
      <c r="J152" s="17"/>
      <c r="K152" s="17"/>
      <c r="L152" s="17"/>
      <c r="M152" s="17"/>
      <c r="N152" s="17"/>
    </row>
  </sheetData>
  <autoFilter xmlns:etc="http://www.wps.cn/officeDocument/2017/etCustomData" ref="A13:N152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zoomScale="85" zoomScaleNormal="85" workbookViewId="0">
      <pane ySplit="5" topLeftCell="A6" activePane="bottomLeft" state="frozen"/>
      <selection/>
      <selection pane="bottomLeft" activeCell="B21" sqref="B2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37.4416666666667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51" t="s">
        <v>200</v>
      </c>
      <c r="D5" s="10" t="s">
        <v>201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61</v>
      </c>
      <c r="D9" s="10" t="s">
        <v>62</v>
      </c>
      <c r="E9" s="13" t="s">
        <v>266</v>
      </c>
      <c r="F9" s="26"/>
      <c r="G9" s="26" t="s">
        <v>1468</v>
      </c>
      <c r="H9" s="23" t="s">
        <v>44</v>
      </c>
    </row>
    <row r="10" spans="2:8">
      <c r="B10" s="13"/>
      <c r="C10" s="51" t="s">
        <v>198</v>
      </c>
      <c r="D10" s="10" t="s">
        <v>199</v>
      </c>
      <c r="E10" s="13" t="s">
        <v>269</v>
      </c>
      <c r="F10" s="26"/>
      <c r="G10" s="26"/>
      <c r="H10" s="23"/>
    </row>
    <row r="11" spans="2:8">
      <c r="B11" s="13"/>
      <c r="C11" s="51" t="s">
        <v>1244</v>
      </c>
      <c r="D11" s="10" t="s">
        <v>2208</v>
      </c>
      <c r="E11" s="13" t="s">
        <v>273</v>
      </c>
      <c r="F11" s="26"/>
      <c r="G11" s="26"/>
      <c r="H11" s="23"/>
    </row>
    <row r="13" spans="2:2">
      <c r="B13" s="3" t="s">
        <v>279</v>
      </c>
    </row>
    <row r="14" ht="13.5" spans="2:12">
      <c r="B14" s="7" t="s">
        <v>279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3.5" spans="2:12">
      <c r="B15" s="8" t="s">
        <v>280</v>
      </c>
      <c r="C15" s="8" t="s">
        <v>281</v>
      </c>
      <c r="D15" s="8" t="s">
        <v>282</v>
      </c>
      <c r="E15" s="8" t="s">
        <v>283</v>
      </c>
      <c r="F15" s="12" t="s">
        <v>284</v>
      </c>
      <c r="G15" s="12" t="s">
        <v>285</v>
      </c>
      <c r="H15" s="8" t="s">
        <v>286</v>
      </c>
      <c r="I15" s="8" t="s">
        <v>17</v>
      </c>
      <c r="J15" s="8" t="s">
        <v>287</v>
      </c>
      <c r="K15" s="8" t="s">
        <v>288</v>
      </c>
      <c r="L15" s="8" t="s">
        <v>289</v>
      </c>
    </row>
    <row r="16" s="1" customFormat="1" spans="1:12">
      <c r="A16" s="33"/>
      <c r="B16" s="32" t="s">
        <v>602</v>
      </c>
      <c r="C16" s="32" t="s">
        <v>291</v>
      </c>
      <c r="D16" s="10" t="s">
        <v>1028</v>
      </c>
      <c r="E16" s="25" t="s">
        <v>2209</v>
      </c>
      <c r="F16" s="26" t="s">
        <v>596</v>
      </c>
      <c r="G16" s="26"/>
      <c r="H16" s="25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297</v>
      </c>
      <c r="C17" s="32" t="s">
        <v>291</v>
      </c>
      <c r="D17" s="10" t="s">
        <v>298</v>
      </c>
      <c r="E17" s="25" t="s">
        <v>2209</v>
      </c>
      <c r="F17" s="10" t="s">
        <v>297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294</v>
      </c>
    </row>
    <row r="18" s="1" customFormat="1" ht="26" spans="1:12">
      <c r="A18" s="33"/>
      <c r="B18" s="13" t="s">
        <v>2210</v>
      </c>
      <c r="C18" s="32" t="s">
        <v>291</v>
      </c>
      <c r="D18" s="10" t="s">
        <v>2211</v>
      </c>
      <c r="E18" s="25" t="s">
        <v>2209</v>
      </c>
      <c r="F18" s="10"/>
      <c r="G18" s="24" t="s">
        <v>2212</v>
      </c>
      <c r="H18" s="25"/>
      <c r="I18" s="30"/>
      <c r="J18" s="15" t="s">
        <v>604</v>
      </c>
      <c r="K18" s="15" t="s">
        <v>294</v>
      </c>
      <c r="L18" s="108" t="s">
        <v>2213</v>
      </c>
    </row>
    <row r="19" s="1" customFormat="1" spans="1:12">
      <c r="A19" s="33"/>
      <c r="B19" s="13" t="s">
        <v>331</v>
      </c>
      <c r="C19" s="13" t="s">
        <v>291</v>
      </c>
      <c r="D19" s="10" t="s">
        <v>623</v>
      </c>
      <c r="E19" s="25" t="s">
        <v>2209</v>
      </c>
      <c r="F19" s="26" t="s">
        <v>331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13" t="s">
        <v>1257</v>
      </c>
      <c r="C20" s="13" t="s">
        <v>291</v>
      </c>
      <c r="D20" s="10" t="s">
        <v>2214</v>
      </c>
      <c r="E20" s="13" t="s">
        <v>273</v>
      </c>
      <c r="F20" s="10"/>
      <c r="G20" s="26" t="s">
        <v>2215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613</v>
      </c>
      <c r="C21" s="13" t="s">
        <v>291</v>
      </c>
      <c r="D21" s="10" t="s">
        <v>1316</v>
      </c>
      <c r="E21" s="25" t="s">
        <v>2209</v>
      </c>
      <c r="F21" s="26" t="s">
        <v>594</v>
      </c>
      <c r="G21" s="26"/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2:12">
      <c r="B22" s="32" t="s">
        <v>522</v>
      </c>
      <c r="C22" s="13" t="s">
        <v>291</v>
      </c>
      <c r="D22" s="10" t="s">
        <v>523</v>
      </c>
      <c r="E22" s="25" t="s">
        <v>2209</v>
      </c>
      <c r="F22" s="26" t="s">
        <v>522</v>
      </c>
      <c r="G22" s="26"/>
      <c r="H22" s="25"/>
      <c r="I22" s="15"/>
      <c r="J22" s="15" t="s">
        <v>604</v>
      </c>
      <c r="K22" s="15" t="s">
        <v>294</v>
      </c>
      <c r="L22" s="15" t="s">
        <v>294</v>
      </c>
    </row>
    <row r="23" s="33" customFormat="1" spans="2:15">
      <c r="B23" s="32" t="s">
        <v>517</v>
      </c>
      <c r="C23" s="13" t="s">
        <v>291</v>
      </c>
      <c r="D23" s="10" t="s">
        <v>1317</v>
      </c>
      <c r="E23" s="25" t="s">
        <v>2209</v>
      </c>
      <c r="F23" s="26" t="s">
        <v>517</v>
      </c>
      <c r="G23" s="26"/>
      <c r="H23" s="25"/>
      <c r="I23" s="30"/>
      <c r="J23" s="15" t="s">
        <v>604</v>
      </c>
      <c r="K23" s="15" t="s">
        <v>294</v>
      </c>
      <c r="L23" s="15" t="s">
        <v>294</v>
      </c>
      <c r="M23" s="1"/>
      <c r="N23" s="1"/>
      <c r="O23" s="1"/>
    </row>
    <row r="24" s="33" customFormat="1" spans="2:15">
      <c r="B24" s="32" t="s">
        <v>524</v>
      </c>
      <c r="C24" s="57" t="s">
        <v>291</v>
      </c>
      <c r="D24" s="10" t="s">
        <v>525</v>
      </c>
      <c r="E24" s="25" t="s">
        <v>2209</v>
      </c>
      <c r="F24" s="26" t="s">
        <v>524</v>
      </c>
      <c r="G24" s="26"/>
      <c r="H24" s="25"/>
      <c r="I24" s="30"/>
      <c r="J24" s="15" t="s">
        <v>604</v>
      </c>
      <c r="K24" s="15" t="s">
        <v>294</v>
      </c>
      <c r="L24" s="15" t="s">
        <v>294</v>
      </c>
      <c r="M24" s="1"/>
      <c r="N24" s="1"/>
      <c r="O24" s="1"/>
    </row>
    <row r="25" s="33" customFormat="1" spans="2:13">
      <c r="B25" s="32" t="s">
        <v>520</v>
      </c>
      <c r="C25" s="57" t="s">
        <v>307</v>
      </c>
      <c r="D25" s="10" t="s">
        <v>1318</v>
      </c>
      <c r="E25" s="25" t="s">
        <v>2209</v>
      </c>
      <c r="F25" s="26" t="s">
        <v>520</v>
      </c>
      <c r="G25" s="26"/>
      <c r="H25" s="25"/>
      <c r="I25" s="30"/>
      <c r="J25" s="15" t="s">
        <v>604</v>
      </c>
      <c r="K25" s="15" t="s">
        <v>294</v>
      </c>
      <c r="L25" s="15" t="s">
        <v>294</v>
      </c>
      <c r="M25" s="1"/>
    </row>
    <row r="26" s="33" customFormat="1" spans="2:13">
      <c r="B26" s="32" t="s">
        <v>526</v>
      </c>
      <c r="C26" s="57" t="s">
        <v>291</v>
      </c>
      <c r="D26" s="10" t="s">
        <v>527</v>
      </c>
      <c r="E26" s="25" t="s">
        <v>2209</v>
      </c>
      <c r="F26" s="26" t="s">
        <v>526</v>
      </c>
      <c r="G26" s="26"/>
      <c r="H26" s="25"/>
      <c r="I26" s="30"/>
      <c r="J26" s="15" t="s">
        <v>604</v>
      </c>
      <c r="K26" s="15" t="s">
        <v>294</v>
      </c>
      <c r="L26" s="15" t="s">
        <v>294</v>
      </c>
      <c r="M26" s="1"/>
    </row>
    <row r="27" s="33" customFormat="1" spans="2:13">
      <c r="B27" s="32" t="s">
        <v>1044</v>
      </c>
      <c r="C27" s="57" t="s">
        <v>338</v>
      </c>
      <c r="D27" s="10" t="s">
        <v>642</v>
      </c>
      <c r="E27" s="25" t="s">
        <v>2209</v>
      </c>
      <c r="F27" s="26"/>
      <c r="G27" s="26" t="s">
        <v>643</v>
      </c>
      <c r="H27" s="25"/>
      <c r="I27" s="30"/>
      <c r="J27" s="15" t="s">
        <v>632</v>
      </c>
      <c r="K27" s="15" t="s">
        <v>644</v>
      </c>
      <c r="L27" s="15" t="s">
        <v>670</v>
      </c>
      <c r="M27" s="1"/>
    </row>
    <row r="28" s="33" customFormat="1" spans="2:13">
      <c r="B28" s="32" t="s">
        <v>1045</v>
      </c>
      <c r="C28" s="57" t="s">
        <v>338</v>
      </c>
      <c r="D28" s="10" t="s">
        <v>645</v>
      </c>
      <c r="E28" s="25" t="s">
        <v>2209</v>
      </c>
      <c r="F28" s="26"/>
      <c r="G28" s="26" t="s">
        <v>646</v>
      </c>
      <c r="H28" s="25"/>
      <c r="I28" s="30"/>
      <c r="J28" s="15" t="s">
        <v>632</v>
      </c>
      <c r="K28" s="15" t="s">
        <v>644</v>
      </c>
      <c r="L28" s="15" t="s">
        <v>670</v>
      </c>
      <c r="M28" s="1"/>
    </row>
    <row r="29" s="33" customFormat="1" spans="2:13">
      <c r="B29" s="32" t="s">
        <v>2216</v>
      </c>
      <c r="C29" s="57" t="s">
        <v>338</v>
      </c>
      <c r="D29" s="10" t="s">
        <v>2217</v>
      </c>
      <c r="E29" s="25" t="s">
        <v>2209</v>
      </c>
      <c r="F29" s="26"/>
      <c r="G29" s="26" t="s">
        <v>1268</v>
      </c>
      <c r="H29" s="25"/>
      <c r="I29" s="30"/>
      <c r="J29" s="15" t="s">
        <v>632</v>
      </c>
      <c r="K29" s="15" t="s">
        <v>644</v>
      </c>
      <c r="L29" s="15" t="s">
        <v>670</v>
      </c>
      <c r="M29" s="1"/>
    </row>
    <row r="30" s="33" customFormat="1" spans="2:13">
      <c r="B30" s="32" t="s">
        <v>1273</v>
      </c>
      <c r="C30" s="57" t="s">
        <v>338</v>
      </c>
      <c r="D30" s="10" t="s">
        <v>339</v>
      </c>
      <c r="E30" s="25" t="s">
        <v>2209</v>
      </c>
      <c r="F30" s="26"/>
      <c r="G30" s="26" t="s">
        <v>641</v>
      </c>
      <c r="H30" s="25"/>
      <c r="I30" s="30"/>
      <c r="J30" s="15" t="s">
        <v>632</v>
      </c>
      <c r="K30" s="15" t="s">
        <v>404</v>
      </c>
      <c r="L30" s="15" t="s">
        <v>670</v>
      </c>
      <c r="M30" s="1"/>
    </row>
    <row r="31" s="2" customFormat="1" spans="2:17">
      <c r="B31" s="17" t="s">
        <v>594</v>
      </c>
      <c r="C31" s="18" t="s">
        <v>307</v>
      </c>
      <c r="D31" s="19" t="s">
        <v>595</v>
      </c>
      <c r="E31" s="28"/>
      <c r="F31" s="28"/>
      <c r="G31" s="28" t="s">
        <v>932</v>
      </c>
      <c r="H31" s="17" t="s">
        <v>932</v>
      </c>
      <c r="I31" s="17"/>
      <c r="J31" s="17"/>
      <c r="K31" s="17"/>
      <c r="L31" s="17"/>
      <c r="M31" s="17"/>
      <c r="N31" s="17"/>
      <c r="O31" s="17"/>
      <c r="P31" s="17"/>
      <c r="Q31" s="17"/>
    </row>
    <row r="32" s="2" customFormat="1" spans="2:17">
      <c r="B32" s="17" t="s">
        <v>596</v>
      </c>
      <c r="C32" s="18" t="s">
        <v>291</v>
      </c>
      <c r="D32" s="19" t="s">
        <v>597</v>
      </c>
      <c r="E32" s="28"/>
      <c r="F32" s="28"/>
      <c r="G32" s="28" t="s">
        <v>932</v>
      </c>
      <c r="H32" s="17" t="s">
        <v>932</v>
      </c>
      <c r="I32" s="17"/>
      <c r="J32" s="17"/>
      <c r="K32" s="17"/>
      <c r="L32" s="17"/>
      <c r="M32" s="17"/>
      <c r="N32" s="17"/>
      <c r="O32" s="17"/>
      <c r="P32" s="17"/>
      <c r="Q32" s="17"/>
    </row>
  </sheetData>
  <autoFilter xmlns:etc="http://www.wps.cn/officeDocument/2017/etCustomData" ref="A15:Q32" etc:filterBottomFollowUsedRange="0">
    <extLst/>
  </autoFilter>
  <mergeCells count="4">
    <mergeCell ref="B2:H2"/>
    <mergeCell ref="B3:H3"/>
    <mergeCell ref="B7:H7"/>
    <mergeCell ref="B14:L14"/>
  </mergeCells>
  <pageMargins left="0.7" right="0.7" top="0.75" bottom="0.75" header="0.3" footer="0.3"/>
  <pageSetup paperSize="9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zoomScale="85" zoomScaleNormal="85" workbookViewId="0">
      <pane ySplit="5" topLeftCell="A78" activePane="bottomLeft" state="frozen"/>
      <selection/>
      <selection pane="bottomLeft" activeCell="A1" sqref="A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203</v>
      </c>
      <c r="D5" s="14" t="s">
        <v>204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190</v>
      </c>
      <c r="D9" s="10" t="s">
        <v>191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26" t="s">
        <v>514</v>
      </c>
      <c r="G24" s="26" t="s">
        <v>293</v>
      </c>
      <c r="H24" s="25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25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3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3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3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3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3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656</v>
      </c>
      <c r="C33" s="13" t="s">
        <v>338</v>
      </c>
      <c r="D33" s="10" t="s">
        <v>657</v>
      </c>
      <c r="E33" s="25" t="s">
        <v>266</v>
      </c>
      <c r="F33" s="26"/>
      <c r="G33" s="26" t="s">
        <v>939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659</v>
      </c>
      <c r="C34" s="13" t="s">
        <v>338</v>
      </c>
      <c r="D34" s="10" t="s">
        <v>660</v>
      </c>
      <c r="E34" s="25" t="s">
        <v>266</v>
      </c>
      <c r="F34" s="26"/>
      <c r="G34" s="26" t="s">
        <v>940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346</v>
      </c>
      <c r="C35" s="13" t="s">
        <v>338</v>
      </c>
      <c r="D35" s="10" t="s">
        <v>693</v>
      </c>
      <c r="E35" s="25" t="s">
        <v>266</v>
      </c>
      <c r="F35" s="26"/>
      <c r="G35" s="26" t="s">
        <v>694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344</v>
      </c>
      <c r="C36" s="13" t="s">
        <v>338</v>
      </c>
      <c r="D36" s="10" t="s">
        <v>695</v>
      </c>
      <c r="E36" s="25" t="s">
        <v>266</v>
      </c>
      <c r="F36" s="26"/>
      <c r="G36" s="26" t="s">
        <v>696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392</v>
      </c>
      <c r="C37" s="13" t="s">
        <v>338</v>
      </c>
      <c r="D37" s="10" t="s">
        <v>697</v>
      </c>
      <c r="E37" s="25" t="s">
        <v>266</v>
      </c>
      <c r="F37" s="26"/>
      <c r="G37" s="26" t="s">
        <v>698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394</v>
      </c>
      <c r="C38" s="13" t="s">
        <v>338</v>
      </c>
      <c r="D38" s="10" t="s">
        <v>699</v>
      </c>
      <c r="E38" s="25" t="s">
        <v>266</v>
      </c>
      <c r="F38" s="26"/>
      <c r="G38" s="26" t="s">
        <v>700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701</v>
      </c>
      <c r="C39" s="13" t="s">
        <v>338</v>
      </c>
      <c r="D39" s="10" t="s">
        <v>702</v>
      </c>
      <c r="E39" s="25" t="s">
        <v>266</v>
      </c>
      <c r="F39" s="26"/>
      <c r="G39" s="26" t="s">
        <v>950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704</v>
      </c>
      <c r="C40" s="13" t="s">
        <v>338</v>
      </c>
      <c r="D40" s="10" t="s">
        <v>705</v>
      </c>
      <c r="E40" s="25" t="s">
        <v>266</v>
      </c>
      <c r="F40" s="26"/>
      <c r="G40" s="26" t="s">
        <v>951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707</v>
      </c>
      <c r="C41" s="13" t="s">
        <v>338</v>
      </c>
      <c r="D41" s="10" t="s">
        <v>708</v>
      </c>
      <c r="E41" s="25" t="s">
        <v>266</v>
      </c>
      <c r="F41" s="26"/>
      <c r="G41" s="26" t="s">
        <v>952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710</v>
      </c>
      <c r="C42" s="13" t="s">
        <v>338</v>
      </c>
      <c r="D42" s="10" t="s">
        <v>711</v>
      </c>
      <c r="E42" s="25" t="s">
        <v>266</v>
      </c>
      <c r="F42" s="26"/>
      <c r="G42" s="26" t="s">
        <v>953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713</v>
      </c>
      <c r="C43" s="13" t="s">
        <v>338</v>
      </c>
      <c r="D43" s="10" t="s">
        <v>714</v>
      </c>
      <c r="E43" s="25" t="s">
        <v>266</v>
      </c>
      <c r="F43" s="26"/>
      <c r="G43" s="26" t="s">
        <v>954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716</v>
      </c>
      <c r="C44" s="13" t="s">
        <v>338</v>
      </c>
      <c r="D44" s="10" t="s">
        <v>717</v>
      </c>
      <c r="E44" s="25" t="s">
        <v>266</v>
      </c>
      <c r="F44" s="26"/>
      <c r="G44" s="26" t="s">
        <v>955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410</v>
      </c>
      <c r="C45" s="13" t="s">
        <v>338</v>
      </c>
      <c r="D45" s="10" t="s">
        <v>719</v>
      </c>
      <c r="E45" s="25" t="s">
        <v>266</v>
      </c>
      <c r="F45" s="26"/>
      <c r="G45" s="26" t="s">
        <v>720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412</v>
      </c>
      <c r="C46" s="13" t="s">
        <v>338</v>
      </c>
      <c r="D46" s="10" t="s">
        <v>721</v>
      </c>
      <c r="E46" s="25" t="s">
        <v>266</v>
      </c>
      <c r="F46" s="26"/>
      <c r="G46" s="26" t="s">
        <v>722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1916</v>
      </c>
      <c r="C47" s="13" t="s">
        <v>338</v>
      </c>
      <c r="D47" s="10" t="s">
        <v>1917</v>
      </c>
      <c r="E47" s="25" t="s">
        <v>266</v>
      </c>
      <c r="F47" s="26"/>
      <c r="G47" s="26" t="s">
        <v>2136</v>
      </c>
      <c r="H47" s="37"/>
      <c r="I47" s="26"/>
      <c r="J47" s="15" t="s">
        <v>632</v>
      </c>
      <c r="K47" s="15" t="s">
        <v>803</v>
      </c>
      <c r="L47" s="15" t="s">
        <v>633</v>
      </c>
    </row>
    <row r="48" s="1" customFormat="1" spans="1:12">
      <c r="A48" s="33"/>
      <c r="B48" s="13" t="s">
        <v>1919</v>
      </c>
      <c r="C48" s="13" t="s">
        <v>338</v>
      </c>
      <c r="D48" s="10" t="s">
        <v>1920</v>
      </c>
      <c r="E48" s="25" t="s">
        <v>266</v>
      </c>
      <c r="F48" s="26"/>
      <c r="G48" s="26" t="s">
        <v>2137</v>
      </c>
      <c r="H48" s="37"/>
      <c r="I48" s="26"/>
      <c r="J48" s="15" t="s">
        <v>632</v>
      </c>
      <c r="K48" s="15" t="s">
        <v>803</v>
      </c>
      <c r="L48" s="15" t="s">
        <v>633</v>
      </c>
    </row>
    <row r="49" s="1" customFormat="1" spans="1:12">
      <c r="A49" s="33"/>
      <c r="B49" s="13" t="s">
        <v>1922</v>
      </c>
      <c r="C49" s="13" t="s">
        <v>338</v>
      </c>
      <c r="D49" s="10" t="s">
        <v>1923</v>
      </c>
      <c r="E49" s="25" t="s">
        <v>266</v>
      </c>
      <c r="F49" s="26"/>
      <c r="G49" s="26" t="s">
        <v>2138</v>
      </c>
      <c r="H49" s="37"/>
      <c r="I49" s="26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1925</v>
      </c>
      <c r="C50" s="13" t="s">
        <v>338</v>
      </c>
      <c r="D50" s="10" t="s">
        <v>1926</v>
      </c>
      <c r="E50" s="25" t="s">
        <v>266</v>
      </c>
      <c r="F50" s="26"/>
      <c r="G50" s="26" t="s">
        <v>2139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1928</v>
      </c>
      <c r="C51" s="13" t="s">
        <v>338</v>
      </c>
      <c r="D51" s="10" t="s">
        <v>1929</v>
      </c>
      <c r="E51" s="25" t="s">
        <v>266</v>
      </c>
      <c r="F51" s="26"/>
      <c r="G51" s="26" t="s">
        <v>2140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1931</v>
      </c>
      <c r="C52" s="13" t="s">
        <v>338</v>
      </c>
      <c r="D52" s="10" t="s">
        <v>1932</v>
      </c>
      <c r="E52" s="25" t="s">
        <v>266</v>
      </c>
      <c r="F52" s="26"/>
      <c r="G52" s="26" t="s">
        <v>2141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1934</v>
      </c>
      <c r="C53" s="13" t="s">
        <v>338</v>
      </c>
      <c r="D53" s="10" t="s">
        <v>1935</v>
      </c>
      <c r="E53" s="25" t="s">
        <v>266</v>
      </c>
      <c r="F53" s="26"/>
      <c r="G53" s="26" t="s">
        <v>2142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1937</v>
      </c>
      <c r="C54" s="13" t="s">
        <v>338</v>
      </c>
      <c r="D54" s="10" t="s">
        <v>1938</v>
      </c>
      <c r="E54" s="25" t="s">
        <v>266</v>
      </c>
      <c r="F54" s="26"/>
      <c r="G54" s="26" t="s">
        <v>2143</v>
      </c>
      <c r="H54" s="37"/>
      <c r="I54" s="26"/>
      <c r="J54" s="15" t="s">
        <v>632</v>
      </c>
      <c r="K54" s="15" t="s">
        <v>644</v>
      </c>
      <c r="L54" s="15" t="s">
        <v>633</v>
      </c>
    </row>
    <row r="55" s="1" customFormat="1" spans="1:12">
      <c r="A55" s="33"/>
      <c r="B55" s="13" t="s">
        <v>1940</v>
      </c>
      <c r="C55" s="13" t="s">
        <v>338</v>
      </c>
      <c r="D55" s="10" t="s">
        <v>1941</v>
      </c>
      <c r="E55" s="25" t="s">
        <v>266</v>
      </c>
      <c r="F55" s="26"/>
      <c r="G55" s="26" t="s">
        <v>2144</v>
      </c>
      <c r="H55" s="37"/>
      <c r="I55" s="26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1870</v>
      </c>
      <c r="C56" s="13" t="s">
        <v>338</v>
      </c>
      <c r="D56" s="10" t="s">
        <v>1943</v>
      </c>
      <c r="E56" s="25" t="s">
        <v>266</v>
      </c>
      <c r="F56" s="26"/>
      <c r="G56" s="26" t="s">
        <v>1944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1945</v>
      </c>
      <c r="C57" s="52" t="s">
        <v>666</v>
      </c>
      <c r="D57" s="10" t="s">
        <v>1946</v>
      </c>
      <c r="E57" s="25" t="s">
        <v>266</v>
      </c>
      <c r="F57" s="26"/>
      <c r="G57" s="26" t="s">
        <v>2145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1948</v>
      </c>
      <c r="C58" s="52" t="s">
        <v>666</v>
      </c>
      <c r="D58" s="10" t="s">
        <v>1949</v>
      </c>
      <c r="E58" s="25" t="s">
        <v>266</v>
      </c>
      <c r="F58" s="26"/>
      <c r="G58" s="26" t="s">
        <v>2146</v>
      </c>
      <c r="H58" s="3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728</v>
      </c>
      <c r="C59" s="13" t="s">
        <v>338</v>
      </c>
      <c r="D59" s="10" t="s">
        <v>729</v>
      </c>
      <c r="E59" s="25" t="s">
        <v>266</v>
      </c>
      <c r="F59" s="26"/>
      <c r="G59" s="26" t="s">
        <v>956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730</v>
      </c>
      <c r="C60" s="13" t="s">
        <v>666</v>
      </c>
      <c r="D60" s="10" t="s">
        <v>731</v>
      </c>
      <c r="E60" s="25" t="s">
        <v>266</v>
      </c>
      <c r="F60" s="55"/>
      <c r="G60" s="26" t="s">
        <v>957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733</v>
      </c>
      <c r="C61" s="13" t="s">
        <v>338</v>
      </c>
      <c r="D61" s="10" t="s">
        <v>734</v>
      </c>
      <c r="E61" s="25" t="s">
        <v>266</v>
      </c>
      <c r="F61" s="26"/>
      <c r="G61" s="26" t="s">
        <v>958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736</v>
      </c>
      <c r="C62" s="13" t="s">
        <v>338</v>
      </c>
      <c r="D62" s="10" t="s">
        <v>737</v>
      </c>
      <c r="E62" s="25" t="s">
        <v>266</v>
      </c>
      <c r="F62" s="26"/>
      <c r="G62" s="26" t="s">
        <v>959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739</v>
      </c>
      <c r="C63" s="13" t="s">
        <v>338</v>
      </c>
      <c r="D63" s="10" t="s">
        <v>740</v>
      </c>
      <c r="E63" s="25" t="s">
        <v>266</v>
      </c>
      <c r="F63" s="26"/>
      <c r="G63" s="26" t="s">
        <v>960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742</v>
      </c>
      <c r="C64" s="13" t="s">
        <v>338</v>
      </c>
      <c r="D64" s="10" t="s">
        <v>743</v>
      </c>
      <c r="E64" s="25" t="s">
        <v>266</v>
      </c>
      <c r="F64" s="26"/>
      <c r="G64" s="26" t="s">
        <v>961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745</v>
      </c>
      <c r="C65" s="13" t="s">
        <v>338</v>
      </c>
      <c r="D65" s="10" t="s">
        <v>746</v>
      </c>
      <c r="E65" s="25" t="s">
        <v>266</v>
      </c>
      <c r="F65" s="26"/>
      <c r="G65" s="26" t="s">
        <v>962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748</v>
      </c>
      <c r="C66" s="13" t="s">
        <v>338</v>
      </c>
      <c r="D66" s="10" t="s">
        <v>749</v>
      </c>
      <c r="E66" s="25" t="s">
        <v>266</v>
      </c>
      <c r="F66" s="26"/>
      <c r="G66" s="26" t="s">
        <v>963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751</v>
      </c>
      <c r="C67" s="13" t="s">
        <v>666</v>
      </c>
      <c r="D67" s="10" t="s">
        <v>752</v>
      </c>
      <c r="E67" s="25" t="s">
        <v>266</v>
      </c>
      <c r="F67" s="55"/>
      <c r="G67" s="26" t="s">
        <v>964</v>
      </c>
      <c r="H67" s="3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754</v>
      </c>
      <c r="C68" s="13" t="s">
        <v>338</v>
      </c>
      <c r="D68" s="10" t="s">
        <v>755</v>
      </c>
      <c r="E68" s="25" t="s">
        <v>266</v>
      </c>
      <c r="F68" s="26"/>
      <c r="G68" s="26" t="s">
        <v>965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757</v>
      </c>
      <c r="C69" s="13" t="s">
        <v>338</v>
      </c>
      <c r="D69" s="10" t="s">
        <v>758</v>
      </c>
      <c r="E69" s="25" t="s">
        <v>266</v>
      </c>
      <c r="F69" s="26"/>
      <c r="G69" s="26" t="s">
        <v>966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760</v>
      </c>
      <c r="C70" s="13" t="s">
        <v>338</v>
      </c>
      <c r="D70" s="10" t="s">
        <v>761</v>
      </c>
      <c r="E70" s="25" t="s">
        <v>266</v>
      </c>
      <c r="F70" s="26"/>
      <c r="G70" s="26" t="s">
        <v>967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763</v>
      </c>
      <c r="C71" s="13" t="s">
        <v>338</v>
      </c>
      <c r="D71" s="10" t="s">
        <v>764</v>
      </c>
      <c r="E71" s="25" t="s">
        <v>266</v>
      </c>
      <c r="F71" s="26"/>
      <c r="G71" s="26" t="s">
        <v>968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766</v>
      </c>
      <c r="C72" s="13" t="s">
        <v>338</v>
      </c>
      <c r="D72" s="10" t="s">
        <v>767</v>
      </c>
      <c r="E72" s="25" t="s">
        <v>266</v>
      </c>
      <c r="F72" s="26"/>
      <c r="G72" s="26" t="s">
        <v>969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769</v>
      </c>
      <c r="C73" s="13" t="s">
        <v>666</v>
      </c>
      <c r="D73" s="10" t="s">
        <v>770</v>
      </c>
      <c r="E73" s="25" t="s">
        <v>266</v>
      </c>
      <c r="F73" s="26"/>
      <c r="G73" s="26" t="s">
        <v>970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772</v>
      </c>
      <c r="C74" s="13" t="s">
        <v>666</v>
      </c>
      <c r="D74" s="10" t="s">
        <v>773</v>
      </c>
      <c r="E74" s="25" t="s">
        <v>266</v>
      </c>
      <c r="F74" s="55"/>
      <c r="G74" s="26" t="s">
        <v>971</v>
      </c>
      <c r="H74" s="3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775</v>
      </c>
      <c r="C75" s="13" t="s">
        <v>338</v>
      </c>
      <c r="D75" s="10" t="s">
        <v>776</v>
      </c>
      <c r="E75" s="25" t="s">
        <v>266</v>
      </c>
      <c r="F75" s="26"/>
      <c r="G75" s="26" t="s">
        <v>972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778</v>
      </c>
      <c r="C76" s="13" t="s">
        <v>338</v>
      </c>
      <c r="D76" s="10" t="s">
        <v>779</v>
      </c>
      <c r="E76" s="25" t="s">
        <v>266</v>
      </c>
      <c r="F76" s="26"/>
      <c r="G76" s="26" t="s">
        <v>973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781</v>
      </c>
      <c r="C77" s="13" t="s">
        <v>338</v>
      </c>
      <c r="D77" s="10" t="s">
        <v>782</v>
      </c>
      <c r="E77" s="25" t="s">
        <v>266</v>
      </c>
      <c r="F77" s="26"/>
      <c r="G77" s="26" t="s">
        <v>974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784</v>
      </c>
      <c r="C78" s="13" t="s">
        <v>338</v>
      </c>
      <c r="D78" s="10" t="s">
        <v>785</v>
      </c>
      <c r="E78" s="25" t="s">
        <v>266</v>
      </c>
      <c r="F78" s="26"/>
      <c r="G78" s="26" t="s">
        <v>975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787</v>
      </c>
      <c r="C79" s="13" t="s">
        <v>338</v>
      </c>
      <c r="D79" s="10" t="s">
        <v>788</v>
      </c>
      <c r="E79" s="25" t="s">
        <v>266</v>
      </c>
      <c r="F79" s="26"/>
      <c r="G79" s="26" t="s">
        <v>976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413</v>
      </c>
      <c r="C80" s="13" t="s">
        <v>666</v>
      </c>
      <c r="D80" s="10" t="s">
        <v>790</v>
      </c>
      <c r="E80" s="25" t="s">
        <v>266</v>
      </c>
      <c r="F80" s="55"/>
      <c r="G80" s="26" t="s">
        <v>977</v>
      </c>
      <c r="H80" s="3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792</v>
      </c>
      <c r="C81" s="13" t="s">
        <v>338</v>
      </c>
      <c r="D81" s="10" t="s">
        <v>793</v>
      </c>
      <c r="E81" s="25" t="s">
        <v>266</v>
      </c>
      <c r="F81" s="26"/>
      <c r="G81" s="26" t="s">
        <v>978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418</v>
      </c>
      <c r="C82" s="13" t="s">
        <v>666</v>
      </c>
      <c r="D82" s="10" t="s">
        <v>795</v>
      </c>
      <c r="E82" s="25" t="s">
        <v>266</v>
      </c>
      <c r="F82" s="55"/>
      <c r="G82" s="26" t="s">
        <v>979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797</v>
      </c>
      <c r="C83" s="13" t="s">
        <v>338</v>
      </c>
      <c r="D83" s="10" t="s">
        <v>798</v>
      </c>
      <c r="E83" s="25" t="s">
        <v>266</v>
      </c>
      <c r="F83" s="26"/>
      <c r="G83" s="26" t="s">
        <v>980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32" t="s">
        <v>1860</v>
      </c>
      <c r="C84" s="32" t="s">
        <v>338</v>
      </c>
      <c r="D84" s="10" t="s">
        <v>1861</v>
      </c>
      <c r="E84" s="25" t="s">
        <v>266</v>
      </c>
      <c r="F84" s="26"/>
      <c r="G84" s="26" t="s">
        <v>1966</v>
      </c>
      <c r="H84" s="3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32" t="s">
        <v>1903</v>
      </c>
      <c r="C85" s="32" t="s">
        <v>666</v>
      </c>
      <c r="D85" s="10" t="s">
        <v>1904</v>
      </c>
      <c r="E85" s="25" t="s">
        <v>266</v>
      </c>
      <c r="F85" s="26"/>
      <c r="G85" s="26" t="s">
        <v>1967</v>
      </c>
      <c r="H85" s="37"/>
      <c r="I85" s="26"/>
      <c r="J85" s="15" t="s">
        <v>632</v>
      </c>
      <c r="K85" s="15" t="s">
        <v>1898</v>
      </c>
      <c r="L85" s="15" t="s">
        <v>633</v>
      </c>
    </row>
    <row r="86" s="1" customFormat="1" spans="1:12">
      <c r="A86" s="33"/>
      <c r="B86" s="52" t="s">
        <v>1968</v>
      </c>
      <c r="C86" s="52" t="s">
        <v>666</v>
      </c>
      <c r="D86" s="54" t="s">
        <v>1969</v>
      </c>
      <c r="E86" s="25" t="s">
        <v>266</v>
      </c>
      <c r="F86" s="55"/>
      <c r="G86" s="26" t="s">
        <v>2147</v>
      </c>
      <c r="H86" s="27"/>
      <c r="I86" s="26"/>
      <c r="J86" s="15" t="s">
        <v>632</v>
      </c>
      <c r="K86" s="15" t="s">
        <v>1898</v>
      </c>
      <c r="L86" s="15" t="s">
        <v>633</v>
      </c>
    </row>
    <row r="87" s="1" customFormat="1" spans="2:12">
      <c r="B87" s="32" t="s">
        <v>1906</v>
      </c>
      <c r="C87" s="32" t="s">
        <v>666</v>
      </c>
      <c r="D87" s="10" t="s">
        <v>1907</v>
      </c>
      <c r="E87" s="25" t="s">
        <v>266</v>
      </c>
      <c r="F87" s="32"/>
      <c r="G87" s="26" t="s">
        <v>1971</v>
      </c>
      <c r="H87" s="37"/>
      <c r="I87" s="26"/>
      <c r="J87" s="15" t="s">
        <v>632</v>
      </c>
      <c r="K87" s="15" t="s">
        <v>1902</v>
      </c>
      <c r="L87" s="15" t="s">
        <v>633</v>
      </c>
    </row>
    <row r="88" s="1" customFormat="1" spans="1:12">
      <c r="A88" s="33"/>
      <c r="B88" s="32" t="s">
        <v>1892</v>
      </c>
      <c r="C88" s="32" t="s">
        <v>338</v>
      </c>
      <c r="D88" s="10" t="s">
        <v>1972</v>
      </c>
      <c r="E88" s="25" t="s">
        <v>266</v>
      </c>
      <c r="F88" s="26"/>
      <c r="G88" s="26" t="s">
        <v>1973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32" t="s">
        <v>1895</v>
      </c>
      <c r="C89" s="32" t="s">
        <v>666</v>
      </c>
      <c r="D89" s="10" t="s">
        <v>1896</v>
      </c>
      <c r="E89" s="25" t="s">
        <v>266</v>
      </c>
      <c r="F89" s="26"/>
      <c r="G89" s="26" t="s">
        <v>1974</v>
      </c>
      <c r="H89" s="37"/>
      <c r="I89" s="26"/>
      <c r="J89" s="15" t="s">
        <v>632</v>
      </c>
      <c r="K89" s="15" t="s">
        <v>1898</v>
      </c>
      <c r="L89" s="15" t="s">
        <v>633</v>
      </c>
    </row>
    <row r="90" s="1" customFormat="1" spans="2:12">
      <c r="B90" s="32" t="s">
        <v>1899</v>
      </c>
      <c r="C90" s="32" t="s">
        <v>666</v>
      </c>
      <c r="D90" s="10" t="s">
        <v>1900</v>
      </c>
      <c r="E90" s="25" t="s">
        <v>266</v>
      </c>
      <c r="F90" s="32"/>
      <c r="G90" s="26" t="s">
        <v>1975</v>
      </c>
      <c r="H90" s="37"/>
      <c r="I90" s="26"/>
      <c r="J90" s="15" t="s">
        <v>632</v>
      </c>
      <c r="K90" s="15" t="s">
        <v>1902</v>
      </c>
      <c r="L90" s="15" t="s">
        <v>633</v>
      </c>
    </row>
    <row r="91" s="1" customFormat="1" spans="2:12">
      <c r="B91" s="32" t="s">
        <v>1976</v>
      </c>
      <c r="C91" s="32" t="s">
        <v>666</v>
      </c>
      <c r="D91" s="10" t="s">
        <v>1977</v>
      </c>
      <c r="E91" s="25" t="s">
        <v>266</v>
      </c>
      <c r="F91" s="26"/>
      <c r="G91" s="26" t="s">
        <v>2148</v>
      </c>
      <c r="H91" s="37"/>
      <c r="I91" s="26"/>
      <c r="J91" s="15" t="s">
        <v>632</v>
      </c>
      <c r="K91" s="15" t="s">
        <v>669</v>
      </c>
      <c r="L91" s="15" t="s">
        <v>633</v>
      </c>
    </row>
    <row r="92" s="1" customFormat="1" spans="2:12">
      <c r="B92" s="32" t="s">
        <v>1979</v>
      </c>
      <c r="C92" s="32" t="s">
        <v>338</v>
      </c>
      <c r="D92" s="10" t="s">
        <v>1980</v>
      </c>
      <c r="E92" s="25" t="s">
        <v>266</v>
      </c>
      <c r="F92" s="26"/>
      <c r="G92" s="26" t="s">
        <v>2149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2:12">
      <c r="B93" s="32" t="s">
        <v>1982</v>
      </c>
      <c r="C93" s="32" t="s">
        <v>338</v>
      </c>
      <c r="D93" s="10" t="s">
        <v>1983</v>
      </c>
      <c r="E93" s="25" t="s">
        <v>266</v>
      </c>
      <c r="F93" s="26"/>
      <c r="G93" s="26" t="s">
        <v>2150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2:12">
      <c r="B94" s="32" t="s">
        <v>1985</v>
      </c>
      <c r="C94" s="32" t="s">
        <v>338</v>
      </c>
      <c r="D94" s="10" t="s">
        <v>1986</v>
      </c>
      <c r="E94" s="25" t="s">
        <v>266</v>
      </c>
      <c r="F94" s="26"/>
      <c r="G94" s="26" t="s">
        <v>2151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1988</v>
      </c>
      <c r="C95" s="32" t="s">
        <v>666</v>
      </c>
      <c r="D95" s="10" t="s">
        <v>1989</v>
      </c>
      <c r="E95" s="25" t="s">
        <v>266</v>
      </c>
      <c r="F95" s="32"/>
      <c r="G95" s="26" t="s">
        <v>2152</v>
      </c>
      <c r="H95" s="37"/>
      <c r="I95" s="26"/>
      <c r="J95" s="15" t="s">
        <v>632</v>
      </c>
      <c r="K95" s="15" t="s">
        <v>294</v>
      </c>
      <c r="L95" s="15" t="s">
        <v>1264</v>
      </c>
    </row>
    <row r="96" s="1" customFormat="1" spans="2:12">
      <c r="B96" s="32" t="s">
        <v>1991</v>
      </c>
      <c r="C96" s="32" t="s">
        <v>666</v>
      </c>
      <c r="D96" s="10" t="s">
        <v>1992</v>
      </c>
      <c r="E96" s="25" t="s">
        <v>266</v>
      </c>
      <c r="F96" s="26"/>
      <c r="G96" s="26" t="s">
        <v>2153</v>
      </c>
      <c r="H96" s="37"/>
      <c r="I96" s="26"/>
      <c r="J96" s="15" t="s">
        <v>632</v>
      </c>
      <c r="K96" s="15" t="s">
        <v>669</v>
      </c>
      <c r="L96" s="15" t="s">
        <v>633</v>
      </c>
    </row>
    <row r="97" s="1" customFormat="1" spans="2:12">
      <c r="B97" s="32" t="s">
        <v>1994</v>
      </c>
      <c r="C97" s="32" t="s">
        <v>338</v>
      </c>
      <c r="D97" s="10" t="s">
        <v>1995</v>
      </c>
      <c r="E97" s="25" t="s">
        <v>266</v>
      </c>
      <c r="F97" s="26"/>
      <c r="G97" s="26" t="s">
        <v>2154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1997</v>
      </c>
      <c r="C98" s="32" t="s">
        <v>338</v>
      </c>
      <c r="D98" s="10" t="s">
        <v>1998</v>
      </c>
      <c r="E98" s="25" t="s">
        <v>266</v>
      </c>
      <c r="F98" s="26"/>
      <c r="G98" s="26" t="s">
        <v>2155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2000</v>
      </c>
      <c r="C99" s="32" t="s">
        <v>338</v>
      </c>
      <c r="D99" s="10" t="s">
        <v>2001</v>
      </c>
      <c r="E99" s="25" t="s">
        <v>266</v>
      </c>
      <c r="F99" s="26"/>
      <c r="G99" s="26" t="s">
        <v>2156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2002</v>
      </c>
      <c r="C100" s="32" t="s">
        <v>338</v>
      </c>
      <c r="D100" s="10" t="s">
        <v>1887</v>
      </c>
      <c r="E100" s="25" t="s">
        <v>266</v>
      </c>
      <c r="F100" s="26"/>
      <c r="G100" s="26" t="s">
        <v>2157</v>
      </c>
      <c r="H100" s="37"/>
      <c r="I100" s="26"/>
      <c r="J100" s="15" t="s">
        <v>632</v>
      </c>
      <c r="K100" s="15" t="s">
        <v>669</v>
      </c>
      <c r="L100" s="15" t="s">
        <v>633</v>
      </c>
    </row>
    <row r="101" s="1" customFormat="1" spans="2:12">
      <c r="B101" s="32" t="s">
        <v>2004</v>
      </c>
      <c r="C101" s="32" t="s">
        <v>338</v>
      </c>
      <c r="D101" s="10" t="s">
        <v>2005</v>
      </c>
      <c r="E101" s="25" t="s">
        <v>266</v>
      </c>
      <c r="F101" s="26"/>
      <c r="G101" s="26" t="s">
        <v>2158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2007</v>
      </c>
      <c r="C102" s="32" t="s">
        <v>338</v>
      </c>
      <c r="D102" s="10" t="s">
        <v>1890</v>
      </c>
      <c r="E102" s="25" t="s">
        <v>266</v>
      </c>
      <c r="F102" s="26"/>
      <c r="G102" s="26" t="s">
        <v>2159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2009</v>
      </c>
      <c r="C103" s="32" t="s">
        <v>338</v>
      </c>
      <c r="D103" s="10" t="s">
        <v>2010</v>
      </c>
      <c r="E103" s="25" t="s">
        <v>266</v>
      </c>
      <c r="F103" s="26"/>
      <c r="G103" s="26" t="s">
        <v>2160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2012</v>
      </c>
      <c r="C104" s="32" t="s">
        <v>338</v>
      </c>
      <c r="D104" s="10" t="s">
        <v>2013</v>
      </c>
      <c r="E104" s="25" t="s">
        <v>266</v>
      </c>
      <c r="F104" s="26"/>
      <c r="G104" s="26" t="s">
        <v>2161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2015</v>
      </c>
      <c r="C105" s="32" t="s">
        <v>338</v>
      </c>
      <c r="D105" s="10" t="s">
        <v>2016</v>
      </c>
      <c r="E105" s="25" t="s">
        <v>266</v>
      </c>
      <c r="F105" s="26"/>
      <c r="G105" s="26" t="s">
        <v>2162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2018</v>
      </c>
      <c r="C106" s="32" t="s">
        <v>338</v>
      </c>
      <c r="D106" s="10" t="s">
        <v>2019</v>
      </c>
      <c r="E106" s="25" t="s">
        <v>266</v>
      </c>
      <c r="F106" s="26"/>
      <c r="G106" s="26" t="s">
        <v>2163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2021</v>
      </c>
      <c r="C107" s="32" t="s">
        <v>338</v>
      </c>
      <c r="D107" s="10" t="s">
        <v>2022</v>
      </c>
      <c r="E107" s="25" t="s">
        <v>266</v>
      </c>
      <c r="F107" s="26"/>
      <c r="G107" s="26" t="s">
        <v>2164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2024</v>
      </c>
      <c r="C108" s="32" t="s">
        <v>338</v>
      </c>
      <c r="D108" s="10" t="s">
        <v>2025</v>
      </c>
      <c r="E108" s="25" t="s">
        <v>266</v>
      </c>
      <c r="F108" s="26"/>
      <c r="G108" s="26" t="s">
        <v>2165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2027</v>
      </c>
      <c r="C109" s="32" t="s">
        <v>338</v>
      </c>
      <c r="D109" s="10" t="s">
        <v>2028</v>
      </c>
      <c r="E109" s="25" t="s">
        <v>266</v>
      </c>
      <c r="F109" s="26"/>
      <c r="G109" s="26" t="s">
        <v>2166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2030</v>
      </c>
      <c r="C110" s="13" t="s">
        <v>666</v>
      </c>
      <c r="D110" s="10" t="s">
        <v>2031</v>
      </c>
      <c r="E110" s="25" t="s">
        <v>266</v>
      </c>
      <c r="F110" s="55"/>
      <c r="G110" s="26" t="s">
        <v>2167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52" t="s">
        <v>2033</v>
      </c>
      <c r="C111" s="52" t="s">
        <v>338</v>
      </c>
      <c r="D111" s="54" t="s">
        <v>2034</v>
      </c>
      <c r="E111" s="25" t="s">
        <v>266</v>
      </c>
      <c r="F111" s="26"/>
      <c r="G111" s="26" t="s">
        <v>2168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52" t="s">
        <v>2036</v>
      </c>
      <c r="C112" s="52" t="s">
        <v>338</v>
      </c>
      <c r="D112" s="54" t="s">
        <v>2037</v>
      </c>
      <c r="E112" s="25" t="s">
        <v>266</v>
      </c>
      <c r="F112" s="26"/>
      <c r="G112" s="26" t="s">
        <v>2169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2039</v>
      </c>
      <c r="C113" s="52" t="s">
        <v>338</v>
      </c>
      <c r="D113" s="54" t="s">
        <v>2040</v>
      </c>
      <c r="E113" s="25" t="s">
        <v>266</v>
      </c>
      <c r="F113" s="26"/>
      <c r="G113" s="26" t="s">
        <v>2170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2042</v>
      </c>
      <c r="C114" s="52" t="s">
        <v>338</v>
      </c>
      <c r="D114" s="54" t="s">
        <v>2043</v>
      </c>
      <c r="E114" s="25" t="s">
        <v>266</v>
      </c>
      <c r="F114" s="26"/>
      <c r="G114" s="26" t="s">
        <v>2171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2045</v>
      </c>
      <c r="C115" s="52" t="s">
        <v>338</v>
      </c>
      <c r="D115" s="54" t="s">
        <v>2046</v>
      </c>
      <c r="E115" s="25" t="s">
        <v>266</v>
      </c>
      <c r="F115" s="26"/>
      <c r="G115" s="26" t="s">
        <v>2172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2048</v>
      </c>
      <c r="C116" s="52" t="s">
        <v>666</v>
      </c>
      <c r="D116" s="10" t="s">
        <v>2049</v>
      </c>
      <c r="E116" s="25" t="s">
        <v>266</v>
      </c>
      <c r="F116" s="55"/>
      <c r="G116" s="26" t="s">
        <v>2173</v>
      </c>
      <c r="H116" s="37"/>
      <c r="I116" s="26"/>
      <c r="J116" s="15" t="s">
        <v>632</v>
      </c>
      <c r="K116" s="15" t="s">
        <v>404</v>
      </c>
      <c r="L116" s="15" t="s">
        <v>633</v>
      </c>
    </row>
    <row r="117" s="1" customFormat="1" spans="1:12">
      <c r="A117" s="33"/>
      <c r="B117" s="13" t="s">
        <v>2051</v>
      </c>
      <c r="C117" s="13" t="s">
        <v>338</v>
      </c>
      <c r="D117" s="10" t="s">
        <v>2052</v>
      </c>
      <c r="E117" s="25" t="s">
        <v>266</v>
      </c>
      <c r="F117" s="26"/>
      <c r="G117" s="26" t="s">
        <v>2174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2054</v>
      </c>
      <c r="C118" s="13" t="s">
        <v>338</v>
      </c>
      <c r="D118" s="10" t="s">
        <v>2055</v>
      </c>
      <c r="E118" s="25" t="s">
        <v>266</v>
      </c>
      <c r="F118" s="26"/>
      <c r="G118" s="26" t="s">
        <v>2175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2057</v>
      </c>
      <c r="C119" s="13" t="s">
        <v>338</v>
      </c>
      <c r="D119" s="10" t="s">
        <v>2058</v>
      </c>
      <c r="E119" s="25" t="s">
        <v>266</v>
      </c>
      <c r="F119" s="26"/>
      <c r="G119" s="26" t="s">
        <v>2176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2060</v>
      </c>
      <c r="C120" s="13" t="s">
        <v>338</v>
      </c>
      <c r="D120" s="10" t="s">
        <v>2061</v>
      </c>
      <c r="E120" s="25" t="s">
        <v>266</v>
      </c>
      <c r="F120" s="26"/>
      <c r="G120" s="26" t="s">
        <v>2177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2063</v>
      </c>
      <c r="C121" s="13" t="s">
        <v>338</v>
      </c>
      <c r="D121" s="10" t="s">
        <v>2064</v>
      </c>
      <c r="E121" s="25" t="s">
        <v>266</v>
      </c>
      <c r="F121" s="26"/>
      <c r="G121" s="26" t="s">
        <v>2178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2066</v>
      </c>
      <c r="C122" s="52" t="s">
        <v>666</v>
      </c>
      <c r="D122" s="10" t="s">
        <v>2067</v>
      </c>
      <c r="E122" s="25" t="s">
        <v>266</v>
      </c>
      <c r="F122" s="55"/>
      <c r="G122" s="26" t="s">
        <v>2179</v>
      </c>
      <c r="H122" s="3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52" t="s">
        <v>2069</v>
      </c>
      <c r="C123" s="52" t="s">
        <v>338</v>
      </c>
      <c r="D123" s="54" t="s">
        <v>2070</v>
      </c>
      <c r="E123" s="25" t="s">
        <v>266</v>
      </c>
      <c r="F123" s="26"/>
      <c r="G123" s="26" t="s">
        <v>2180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52" t="s">
        <v>2072</v>
      </c>
      <c r="C124" s="52" t="s">
        <v>338</v>
      </c>
      <c r="D124" s="54" t="s">
        <v>2073</v>
      </c>
      <c r="E124" s="25" t="s">
        <v>266</v>
      </c>
      <c r="F124" s="26"/>
      <c r="G124" s="26" t="s">
        <v>2181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52" t="s">
        <v>2075</v>
      </c>
      <c r="C125" s="52" t="s">
        <v>338</v>
      </c>
      <c r="D125" s="54" t="s">
        <v>2076</v>
      </c>
      <c r="E125" s="25" t="s">
        <v>266</v>
      </c>
      <c r="F125" s="26"/>
      <c r="G125" s="26" t="s">
        <v>2182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2078</v>
      </c>
      <c r="C126" s="52" t="s">
        <v>338</v>
      </c>
      <c r="D126" s="54" t="s">
        <v>2079</v>
      </c>
      <c r="E126" s="25" t="s">
        <v>266</v>
      </c>
      <c r="F126" s="26"/>
      <c r="G126" s="26" t="s">
        <v>2183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2081</v>
      </c>
      <c r="C127" s="52" t="s">
        <v>338</v>
      </c>
      <c r="D127" s="54" t="s">
        <v>2082</v>
      </c>
      <c r="E127" s="25" t="s">
        <v>266</v>
      </c>
      <c r="F127" s="26"/>
      <c r="G127" s="26" t="s">
        <v>2184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2:12">
      <c r="B128" s="32" t="s">
        <v>2084</v>
      </c>
      <c r="C128" s="32" t="s">
        <v>338</v>
      </c>
      <c r="D128" s="10" t="s">
        <v>2085</v>
      </c>
      <c r="E128" s="25" t="s">
        <v>266</v>
      </c>
      <c r="F128" s="26"/>
      <c r="G128" s="26" t="s">
        <v>2185</v>
      </c>
      <c r="H128" s="37"/>
      <c r="I128" s="26"/>
      <c r="J128" s="15" t="s">
        <v>632</v>
      </c>
      <c r="K128" s="15" t="s">
        <v>669</v>
      </c>
      <c r="L128" s="15" t="s">
        <v>670</v>
      </c>
    </row>
    <row r="129" s="1" customFormat="1" spans="2:12">
      <c r="B129" s="32" t="s">
        <v>1909</v>
      </c>
      <c r="C129" s="32" t="s">
        <v>338</v>
      </c>
      <c r="D129" s="10" t="s">
        <v>2087</v>
      </c>
      <c r="E129" s="25" t="s">
        <v>266</v>
      </c>
      <c r="F129" s="26"/>
      <c r="G129" s="26" t="s">
        <v>2088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2089</v>
      </c>
      <c r="C130" s="52" t="s">
        <v>666</v>
      </c>
      <c r="D130" s="54" t="s">
        <v>2090</v>
      </c>
      <c r="E130" s="25" t="s">
        <v>266</v>
      </c>
      <c r="F130" s="55"/>
      <c r="G130" s="26" t="s">
        <v>2186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1:12">
      <c r="A131" s="33"/>
      <c r="B131" s="52" t="s">
        <v>2092</v>
      </c>
      <c r="C131" s="52" t="s">
        <v>338</v>
      </c>
      <c r="D131" s="54" t="s">
        <v>2093</v>
      </c>
      <c r="E131" s="25" t="s">
        <v>266</v>
      </c>
      <c r="F131" s="26"/>
      <c r="G131" s="26" t="s">
        <v>2187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2095</v>
      </c>
      <c r="C132" s="52" t="s">
        <v>338</v>
      </c>
      <c r="D132" s="54" t="s">
        <v>2096</v>
      </c>
      <c r="E132" s="25" t="s">
        <v>266</v>
      </c>
      <c r="F132" s="26"/>
      <c r="G132" s="26" t="s">
        <v>2188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2098</v>
      </c>
      <c r="C133" s="52" t="s">
        <v>338</v>
      </c>
      <c r="D133" s="54" t="s">
        <v>2099</v>
      </c>
      <c r="E133" s="25" t="s">
        <v>266</v>
      </c>
      <c r="F133" s="26"/>
      <c r="G133" s="26" t="s">
        <v>2189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2101</v>
      </c>
      <c r="C134" s="52" t="s">
        <v>338</v>
      </c>
      <c r="D134" s="54" t="s">
        <v>2102</v>
      </c>
      <c r="E134" s="25" t="s">
        <v>266</v>
      </c>
      <c r="F134" s="26"/>
      <c r="G134" s="26" t="s">
        <v>2190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2104</v>
      </c>
      <c r="C135" s="52" t="s">
        <v>338</v>
      </c>
      <c r="D135" s="54" t="s">
        <v>2105</v>
      </c>
      <c r="E135" s="25" t="s">
        <v>266</v>
      </c>
      <c r="F135" s="26"/>
      <c r="G135" s="26" t="s">
        <v>2191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2107</v>
      </c>
      <c r="C136" s="52" t="s">
        <v>338</v>
      </c>
      <c r="D136" s="10" t="s">
        <v>2108</v>
      </c>
      <c r="E136" s="25" t="s">
        <v>266</v>
      </c>
      <c r="F136" s="26"/>
      <c r="G136" s="26" t="s">
        <v>2192</v>
      </c>
      <c r="H136" s="37"/>
      <c r="I136" s="26"/>
      <c r="J136" s="15" t="s">
        <v>632</v>
      </c>
      <c r="K136" s="15" t="s">
        <v>669</v>
      </c>
      <c r="L136" s="15" t="s">
        <v>670</v>
      </c>
    </row>
    <row r="137" s="1" customFormat="1" spans="1:12">
      <c r="A137" s="33"/>
      <c r="B137" s="52" t="s">
        <v>1912</v>
      </c>
      <c r="C137" s="52" t="s">
        <v>338</v>
      </c>
      <c r="D137" s="10" t="s">
        <v>2110</v>
      </c>
      <c r="E137" s="25" t="s">
        <v>266</v>
      </c>
      <c r="F137" s="26"/>
      <c r="G137" s="26" t="s">
        <v>2111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2112</v>
      </c>
      <c r="C138" s="52" t="s">
        <v>666</v>
      </c>
      <c r="D138" s="54" t="s">
        <v>2113</v>
      </c>
      <c r="E138" s="25" t="s">
        <v>266</v>
      </c>
      <c r="F138" s="55"/>
      <c r="G138" s="26" t="s">
        <v>2193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2115</v>
      </c>
      <c r="C139" s="52" t="s">
        <v>338</v>
      </c>
      <c r="D139" s="54" t="s">
        <v>2116</v>
      </c>
      <c r="E139" s="25" t="s">
        <v>266</v>
      </c>
      <c r="F139" s="26"/>
      <c r="G139" s="26" t="s">
        <v>2194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2118</v>
      </c>
      <c r="C140" s="52" t="s">
        <v>338</v>
      </c>
      <c r="D140" s="54" t="s">
        <v>2119</v>
      </c>
      <c r="E140" s="25" t="s">
        <v>266</v>
      </c>
      <c r="F140" s="26"/>
      <c r="G140" s="26" t="s">
        <v>2195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2121</v>
      </c>
      <c r="C141" s="52" t="s">
        <v>338</v>
      </c>
      <c r="D141" s="54" t="s">
        <v>2122</v>
      </c>
      <c r="E141" s="25" t="s">
        <v>266</v>
      </c>
      <c r="F141" s="26"/>
      <c r="G141" s="26" t="s">
        <v>2196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2124</v>
      </c>
      <c r="C142" s="52" t="s">
        <v>338</v>
      </c>
      <c r="D142" s="54" t="s">
        <v>2125</v>
      </c>
      <c r="E142" s="25" t="s">
        <v>266</v>
      </c>
      <c r="F142" s="26"/>
      <c r="G142" s="26" t="s">
        <v>2197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2127</v>
      </c>
      <c r="C143" s="52" t="s">
        <v>338</v>
      </c>
      <c r="D143" s="54" t="s">
        <v>2128</v>
      </c>
      <c r="E143" s="25" t="s">
        <v>266</v>
      </c>
      <c r="F143" s="26"/>
      <c r="G143" s="26" t="s">
        <v>2198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2130</v>
      </c>
      <c r="C144" s="52" t="s">
        <v>338</v>
      </c>
      <c r="D144" s="54" t="s">
        <v>2131</v>
      </c>
      <c r="E144" s="25" t="s">
        <v>266</v>
      </c>
      <c r="F144" s="55"/>
      <c r="G144" s="26" t="s">
        <v>2199</v>
      </c>
      <c r="H144" s="27"/>
      <c r="I144" s="26"/>
      <c r="J144" s="15" t="s">
        <v>632</v>
      </c>
      <c r="K144" s="15" t="s">
        <v>294</v>
      </c>
      <c r="L144" s="15" t="s">
        <v>633</v>
      </c>
    </row>
    <row r="145" s="1" customFormat="1" spans="1:12">
      <c r="A145" s="33"/>
      <c r="B145" s="52" t="s">
        <v>2133</v>
      </c>
      <c r="C145" s="52" t="s">
        <v>338</v>
      </c>
      <c r="D145" s="54" t="s">
        <v>2134</v>
      </c>
      <c r="E145" s="25" t="s">
        <v>266</v>
      </c>
      <c r="F145" s="55"/>
      <c r="G145" s="26" t="s">
        <v>2200</v>
      </c>
      <c r="H145" s="27"/>
      <c r="I145" s="26"/>
      <c r="J145" s="15" t="s">
        <v>632</v>
      </c>
      <c r="K145" s="15" t="s">
        <v>669</v>
      </c>
      <c r="L145" s="15" t="s">
        <v>633</v>
      </c>
    </row>
    <row r="146" s="1" customFormat="1" spans="1:12">
      <c r="A146" s="33"/>
      <c r="B146" s="13" t="s">
        <v>887</v>
      </c>
      <c r="C146" s="13" t="s">
        <v>338</v>
      </c>
      <c r="D146" s="10" t="s">
        <v>888</v>
      </c>
      <c r="E146" s="25" t="s">
        <v>266</v>
      </c>
      <c r="F146" s="26"/>
      <c r="G146" s="26" t="s">
        <v>1013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13" t="s">
        <v>926</v>
      </c>
      <c r="C147" s="13" t="s">
        <v>291</v>
      </c>
      <c r="D147" s="10" t="s">
        <v>927</v>
      </c>
      <c r="E147" s="25" t="s">
        <v>266</v>
      </c>
      <c r="F147" s="35"/>
      <c r="G147" s="35" t="s">
        <v>1026</v>
      </c>
      <c r="H147" s="37"/>
      <c r="I147" s="56">
        <v>20250415101139</v>
      </c>
      <c r="J147" s="15" t="s">
        <v>632</v>
      </c>
      <c r="K147" s="15" t="s">
        <v>294</v>
      </c>
      <c r="L147" s="15" t="s">
        <v>670</v>
      </c>
    </row>
    <row r="148" s="1" customFormat="1" spans="1:12">
      <c r="A148" s="33"/>
      <c r="B148" s="13" t="s">
        <v>929</v>
      </c>
      <c r="C148" s="13" t="s">
        <v>291</v>
      </c>
      <c r="D148" s="10" t="s">
        <v>930</v>
      </c>
      <c r="E148" s="25" t="s">
        <v>266</v>
      </c>
      <c r="F148" s="35"/>
      <c r="G148" s="35" t="s">
        <v>1027</v>
      </c>
      <c r="H148" s="37"/>
      <c r="I148" s="56">
        <v>20250415101024</v>
      </c>
      <c r="J148" s="15" t="s">
        <v>632</v>
      </c>
      <c r="K148" s="15" t="s">
        <v>294</v>
      </c>
      <c r="L148" s="15" t="s">
        <v>670</v>
      </c>
    </row>
    <row r="149" s="2" customFormat="1" spans="2:14">
      <c r="B149" s="17" t="s">
        <v>594</v>
      </c>
      <c r="C149" s="18" t="s">
        <v>307</v>
      </c>
      <c r="D149" s="19" t="s">
        <v>595</v>
      </c>
      <c r="E149" s="28"/>
      <c r="F149" s="28"/>
      <c r="G149" s="28"/>
      <c r="H149" s="17"/>
      <c r="I149" s="17"/>
      <c r="J149" s="17"/>
      <c r="K149" s="17"/>
      <c r="L149" s="17"/>
      <c r="M149" s="17"/>
      <c r="N149" s="17"/>
    </row>
    <row r="150" s="2" customFormat="1" spans="2:14">
      <c r="B150" s="17" t="s">
        <v>596</v>
      </c>
      <c r="C150" s="18" t="s">
        <v>291</v>
      </c>
      <c r="D150" s="19" t="s">
        <v>597</v>
      </c>
      <c r="E150" s="28"/>
      <c r="F150" s="28"/>
      <c r="G150" s="28"/>
      <c r="H150" s="17"/>
      <c r="I150" s="17"/>
      <c r="J150" s="17"/>
      <c r="K150" s="17"/>
      <c r="L150" s="17"/>
      <c r="M150" s="17"/>
      <c r="N150" s="17"/>
    </row>
    <row r="151" s="2" customFormat="1" spans="2:14">
      <c r="B151" s="17" t="s">
        <v>598</v>
      </c>
      <c r="C151" s="18" t="s">
        <v>307</v>
      </c>
      <c r="D151" s="19" t="s">
        <v>599</v>
      </c>
      <c r="E151" s="28"/>
      <c r="F151" s="28"/>
      <c r="G151" s="28"/>
      <c r="H151" s="17"/>
      <c r="I151" s="17"/>
      <c r="J151" s="17"/>
      <c r="K151" s="17"/>
      <c r="L151" s="17"/>
      <c r="M151" s="17"/>
      <c r="N151" s="17"/>
    </row>
  </sheetData>
  <autoFilter xmlns:etc="http://www.wps.cn/officeDocument/2017/etCustomData" ref="A13:N151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"/>
  <sheetViews>
    <sheetView zoomScale="85" zoomScaleNormal="85" workbookViewId="0">
      <pane ySplit="5" topLeftCell="A9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205</v>
      </c>
      <c r="D5" s="14" t="s">
        <v>206</v>
      </c>
      <c r="E5" s="13" t="s">
        <v>602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203</v>
      </c>
      <c r="D9" s="14" t="s">
        <v>204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25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26" t="s">
        <v>517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26" t="s">
        <v>520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26" t="s">
        <v>522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26" t="s">
        <v>524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26" t="s">
        <v>514</v>
      </c>
      <c r="G23" s="26" t="s">
        <v>293</v>
      </c>
      <c r="H23" s="25"/>
      <c r="I23" s="53"/>
      <c r="J23" s="15" t="s">
        <v>604</v>
      </c>
      <c r="K23" s="15" t="s">
        <v>294</v>
      </c>
      <c r="L23" s="15" t="s">
        <v>294</v>
      </c>
    </row>
    <row r="24" s="1" customFormat="1" spans="2:12"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25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3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637</v>
      </c>
      <c r="C26" s="13" t="s">
        <v>338</v>
      </c>
      <c r="D26" s="10" t="s">
        <v>638</v>
      </c>
      <c r="E26" s="25" t="s">
        <v>266</v>
      </c>
      <c r="F26" s="26"/>
      <c r="G26" s="26" t="s">
        <v>935</v>
      </c>
      <c r="H26" s="3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32" t="s">
        <v>337</v>
      </c>
      <c r="C27" s="32" t="s">
        <v>338</v>
      </c>
      <c r="D27" s="10" t="s">
        <v>640</v>
      </c>
      <c r="E27" s="25" t="s">
        <v>266</v>
      </c>
      <c r="F27" s="26"/>
      <c r="G27" s="26" t="s">
        <v>641</v>
      </c>
      <c r="H27" s="37"/>
      <c r="I27" s="26"/>
      <c r="J27" s="15" t="s">
        <v>632</v>
      </c>
      <c r="K27" s="15" t="s">
        <v>404</v>
      </c>
      <c r="L27" s="15" t="s">
        <v>633</v>
      </c>
    </row>
    <row r="28" s="1" customFormat="1" spans="1:12">
      <c r="A28" s="33"/>
      <c r="B28" s="13" t="s">
        <v>342</v>
      </c>
      <c r="C28" s="13" t="s">
        <v>338</v>
      </c>
      <c r="D28" s="10" t="s">
        <v>642</v>
      </c>
      <c r="E28" s="25" t="s">
        <v>266</v>
      </c>
      <c r="F28" s="26"/>
      <c r="G28" s="26" t="s">
        <v>643</v>
      </c>
      <c r="H28" s="37"/>
      <c r="I28" s="26"/>
      <c r="J28" s="15" t="s">
        <v>632</v>
      </c>
      <c r="K28" s="15" t="s">
        <v>644</v>
      </c>
      <c r="L28" s="15" t="s">
        <v>633</v>
      </c>
    </row>
    <row r="29" s="1" customFormat="1" spans="1:12">
      <c r="A29" s="33"/>
      <c r="B29" s="13" t="s">
        <v>340</v>
      </c>
      <c r="C29" s="13" t="s">
        <v>338</v>
      </c>
      <c r="D29" s="10" t="s">
        <v>645</v>
      </c>
      <c r="E29" s="25" t="s">
        <v>266</v>
      </c>
      <c r="F29" s="26"/>
      <c r="G29" s="26" t="s">
        <v>646</v>
      </c>
      <c r="H29" s="3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647</v>
      </c>
      <c r="C30" s="13" t="s">
        <v>338</v>
      </c>
      <c r="D30" s="10" t="s">
        <v>648</v>
      </c>
      <c r="E30" s="25" t="s">
        <v>266</v>
      </c>
      <c r="F30" s="26"/>
      <c r="G30" s="26" t="s">
        <v>936</v>
      </c>
      <c r="H30" s="3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650</v>
      </c>
      <c r="C31" s="13" t="s">
        <v>338</v>
      </c>
      <c r="D31" s="10" t="s">
        <v>651</v>
      </c>
      <c r="E31" s="25" t="s">
        <v>266</v>
      </c>
      <c r="F31" s="26"/>
      <c r="G31" s="26" t="s">
        <v>937</v>
      </c>
      <c r="H31" s="3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656</v>
      </c>
      <c r="C32" s="13" t="s">
        <v>338</v>
      </c>
      <c r="D32" s="10" t="s">
        <v>657</v>
      </c>
      <c r="E32" s="25" t="s">
        <v>266</v>
      </c>
      <c r="F32" s="26"/>
      <c r="G32" s="26" t="s">
        <v>939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659</v>
      </c>
      <c r="C33" s="13" t="s">
        <v>338</v>
      </c>
      <c r="D33" s="10" t="s">
        <v>660</v>
      </c>
      <c r="E33" s="25" t="s">
        <v>266</v>
      </c>
      <c r="F33" s="26"/>
      <c r="G33" s="26" t="s">
        <v>940</v>
      </c>
      <c r="H33" s="37"/>
      <c r="I33" s="26"/>
      <c r="J33" s="15" t="s">
        <v>632</v>
      </c>
      <c r="K33" s="15" t="s">
        <v>294</v>
      </c>
      <c r="L33" s="15" t="s">
        <v>633</v>
      </c>
    </row>
    <row r="34" s="1" customFormat="1" spans="1:12">
      <c r="A34" s="33"/>
      <c r="B34" s="13" t="s">
        <v>346</v>
      </c>
      <c r="C34" s="13" t="s">
        <v>338</v>
      </c>
      <c r="D34" s="10" t="s">
        <v>693</v>
      </c>
      <c r="E34" s="25" t="s">
        <v>266</v>
      </c>
      <c r="F34" s="26"/>
      <c r="G34" s="26" t="s">
        <v>694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344</v>
      </c>
      <c r="C35" s="13" t="s">
        <v>338</v>
      </c>
      <c r="D35" s="10" t="s">
        <v>695</v>
      </c>
      <c r="E35" s="25" t="s">
        <v>266</v>
      </c>
      <c r="F35" s="26"/>
      <c r="G35" s="26" t="s">
        <v>696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392</v>
      </c>
      <c r="C36" s="13" t="s">
        <v>338</v>
      </c>
      <c r="D36" s="10" t="s">
        <v>697</v>
      </c>
      <c r="E36" s="25" t="s">
        <v>266</v>
      </c>
      <c r="F36" s="26"/>
      <c r="G36" s="26" t="s">
        <v>698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394</v>
      </c>
      <c r="C37" s="13" t="s">
        <v>338</v>
      </c>
      <c r="D37" s="10" t="s">
        <v>699</v>
      </c>
      <c r="E37" s="25" t="s">
        <v>266</v>
      </c>
      <c r="F37" s="26"/>
      <c r="G37" s="26" t="s">
        <v>700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701</v>
      </c>
      <c r="C38" s="13" t="s">
        <v>338</v>
      </c>
      <c r="D38" s="10" t="s">
        <v>702</v>
      </c>
      <c r="E38" s="25" t="s">
        <v>266</v>
      </c>
      <c r="F38" s="26"/>
      <c r="G38" s="26" t="s">
        <v>950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704</v>
      </c>
      <c r="C39" s="13" t="s">
        <v>338</v>
      </c>
      <c r="D39" s="10" t="s">
        <v>705</v>
      </c>
      <c r="E39" s="25" t="s">
        <v>266</v>
      </c>
      <c r="F39" s="26"/>
      <c r="G39" s="26" t="s">
        <v>951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707</v>
      </c>
      <c r="C40" s="13" t="s">
        <v>338</v>
      </c>
      <c r="D40" s="10" t="s">
        <v>708</v>
      </c>
      <c r="E40" s="25" t="s">
        <v>266</v>
      </c>
      <c r="F40" s="26"/>
      <c r="G40" s="26" t="s">
        <v>952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710</v>
      </c>
      <c r="C41" s="13" t="s">
        <v>338</v>
      </c>
      <c r="D41" s="10" t="s">
        <v>711</v>
      </c>
      <c r="E41" s="25" t="s">
        <v>266</v>
      </c>
      <c r="F41" s="26"/>
      <c r="G41" s="26" t="s">
        <v>953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713</v>
      </c>
      <c r="C42" s="13" t="s">
        <v>338</v>
      </c>
      <c r="D42" s="10" t="s">
        <v>714</v>
      </c>
      <c r="E42" s="25" t="s">
        <v>266</v>
      </c>
      <c r="F42" s="26"/>
      <c r="G42" s="26" t="s">
        <v>954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716</v>
      </c>
      <c r="C43" s="13" t="s">
        <v>338</v>
      </c>
      <c r="D43" s="10" t="s">
        <v>717</v>
      </c>
      <c r="E43" s="25" t="s">
        <v>266</v>
      </c>
      <c r="F43" s="26"/>
      <c r="G43" s="26" t="s">
        <v>955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410</v>
      </c>
      <c r="C44" s="13" t="s">
        <v>338</v>
      </c>
      <c r="D44" s="10" t="s">
        <v>719</v>
      </c>
      <c r="E44" s="25" t="s">
        <v>266</v>
      </c>
      <c r="F44" s="26"/>
      <c r="G44" s="26" t="s">
        <v>720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412</v>
      </c>
      <c r="C45" s="13" t="s">
        <v>338</v>
      </c>
      <c r="D45" s="10" t="s">
        <v>721</v>
      </c>
      <c r="E45" s="25" t="s">
        <v>266</v>
      </c>
      <c r="F45" s="26"/>
      <c r="G45" s="26" t="s">
        <v>722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1916</v>
      </c>
      <c r="C46" s="13" t="s">
        <v>338</v>
      </c>
      <c r="D46" s="10" t="s">
        <v>1917</v>
      </c>
      <c r="E46" s="25" t="s">
        <v>266</v>
      </c>
      <c r="F46" s="26"/>
      <c r="G46" s="26" t="s">
        <v>2136</v>
      </c>
      <c r="H46" s="37"/>
      <c r="I46" s="26"/>
      <c r="J46" s="15" t="s">
        <v>632</v>
      </c>
      <c r="K46" s="15" t="s">
        <v>803</v>
      </c>
      <c r="L46" s="15" t="s">
        <v>633</v>
      </c>
    </row>
    <row r="47" s="1" customFormat="1" spans="1:12">
      <c r="A47" s="33"/>
      <c r="B47" s="13" t="s">
        <v>1919</v>
      </c>
      <c r="C47" s="13" t="s">
        <v>338</v>
      </c>
      <c r="D47" s="10" t="s">
        <v>1920</v>
      </c>
      <c r="E47" s="25" t="s">
        <v>266</v>
      </c>
      <c r="F47" s="26"/>
      <c r="G47" s="26" t="s">
        <v>2137</v>
      </c>
      <c r="H47" s="37"/>
      <c r="I47" s="26"/>
      <c r="J47" s="15" t="s">
        <v>632</v>
      </c>
      <c r="K47" s="15" t="s">
        <v>803</v>
      </c>
      <c r="L47" s="15" t="s">
        <v>633</v>
      </c>
    </row>
    <row r="48" s="1" customFormat="1" spans="1:12">
      <c r="A48" s="33"/>
      <c r="B48" s="13" t="s">
        <v>1922</v>
      </c>
      <c r="C48" s="13" t="s">
        <v>338</v>
      </c>
      <c r="D48" s="10" t="s">
        <v>1923</v>
      </c>
      <c r="E48" s="25" t="s">
        <v>266</v>
      </c>
      <c r="F48" s="26"/>
      <c r="G48" s="26" t="s">
        <v>2138</v>
      </c>
      <c r="H48" s="37"/>
      <c r="I48" s="26"/>
      <c r="J48" s="15" t="s">
        <v>632</v>
      </c>
      <c r="K48" s="15" t="s">
        <v>404</v>
      </c>
      <c r="L48" s="15" t="s">
        <v>633</v>
      </c>
    </row>
    <row r="49" s="1" customFormat="1" spans="1:12">
      <c r="A49" s="33"/>
      <c r="B49" s="13" t="s">
        <v>1925</v>
      </c>
      <c r="C49" s="13" t="s">
        <v>338</v>
      </c>
      <c r="D49" s="10" t="s">
        <v>1926</v>
      </c>
      <c r="E49" s="25" t="s">
        <v>266</v>
      </c>
      <c r="F49" s="26"/>
      <c r="G49" s="26" t="s">
        <v>2139</v>
      </c>
      <c r="H49" s="37"/>
      <c r="I49" s="26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1928</v>
      </c>
      <c r="C50" s="13" t="s">
        <v>338</v>
      </c>
      <c r="D50" s="10" t="s">
        <v>1929</v>
      </c>
      <c r="E50" s="25" t="s">
        <v>266</v>
      </c>
      <c r="F50" s="26"/>
      <c r="G50" s="26" t="s">
        <v>2140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1931</v>
      </c>
      <c r="C51" s="13" t="s">
        <v>338</v>
      </c>
      <c r="D51" s="10" t="s">
        <v>1932</v>
      </c>
      <c r="E51" s="25" t="s">
        <v>266</v>
      </c>
      <c r="F51" s="26"/>
      <c r="G51" s="26" t="s">
        <v>2141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1934</v>
      </c>
      <c r="C52" s="13" t="s">
        <v>338</v>
      </c>
      <c r="D52" s="10" t="s">
        <v>1935</v>
      </c>
      <c r="E52" s="25" t="s">
        <v>266</v>
      </c>
      <c r="F52" s="26"/>
      <c r="G52" s="26" t="s">
        <v>2142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1937</v>
      </c>
      <c r="C53" s="13" t="s">
        <v>338</v>
      </c>
      <c r="D53" s="10" t="s">
        <v>1938</v>
      </c>
      <c r="E53" s="25" t="s">
        <v>266</v>
      </c>
      <c r="F53" s="26"/>
      <c r="G53" s="26" t="s">
        <v>2143</v>
      </c>
      <c r="H53" s="37"/>
      <c r="I53" s="26"/>
      <c r="J53" s="15" t="s">
        <v>632</v>
      </c>
      <c r="K53" s="15" t="s">
        <v>644</v>
      </c>
      <c r="L53" s="15" t="s">
        <v>633</v>
      </c>
    </row>
    <row r="54" s="1" customFormat="1" spans="1:12">
      <c r="A54" s="33"/>
      <c r="B54" s="13" t="s">
        <v>1940</v>
      </c>
      <c r="C54" s="13" t="s">
        <v>338</v>
      </c>
      <c r="D54" s="10" t="s">
        <v>1941</v>
      </c>
      <c r="E54" s="25" t="s">
        <v>266</v>
      </c>
      <c r="F54" s="26"/>
      <c r="G54" s="26" t="s">
        <v>2144</v>
      </c>
      <c r="H54" s="37"/>
      <c r="I54" s="26"/>
      <c r="J54" s="15" t="s">
        <v>632</v>
      </c>
      <c r="K54" s="15" t="s">
        <v>404</v>
      </c>
      <c r="L54" s="15" t="s">
        <v>633</v>
      </c>
    </row>
    <row r="55" s="1" customFormat="1" spans="1:12">
      <c r="A55" s="33"/>
      <c r="B55" s="13" t="s">
        <v>1870</v>
      </c>
      <c r="C55" s="13" t="s">
        <v>338</v>
      </c>
      <c r="D55" s="10" t="s">
        <v>1943</v>
      </c>
      <c r="E55" s="25" t="s">
        <v>266</v>
      </c>
      <c r="F55" s="26"/>
      <c r="G55" s="26" t="s">
        <v>1944</v>
      </c>
      <c r="H55" s="37"/>
      <c r="I55" s="26"/>
      <c r="J55" s="15" t="s">
        <v>632</v>
      </c>
      <c r="K55" s="15" t="s">
        <v>644</v>
      </c>
      <c r="L55" s="15" t="s">
        <v>633</v>
      </c>
    </row>
    <row r="56" s="1" customFormat="1" spans="1:12">
      <c r="A56" s="33"/>
      <c r="B56" s="13" t="s">
        <v>1945</v>
      </c>
      <c r="C56" s="52" t="s">
        <v>666</v>
      </c>
      <c r="D56" s="10" t="s">
        <v>1946</v>
      </c>
      <c r="E56" s="25" t="s">
        <v>266</v>
      </c>
      <c r="F56" s="26"/>
      <c r="G56" s="26" t="s">
        <v>2145</v>
      </c>
      <c r="H56" s="37"/>
      <c r="I56" s="26"/>
      <c r="J56" s="15" t="s">
        <v>632</v>
      </c>
      <c r="K56" s="15" t="s">
        <v>404</v>
      </c>
      <c r="L56" s="15" t="s">
        <v>633</v>
      </c>
    </row>
    <row r="57" s="1" customFormat="1" spans="1:12">
      <c r="A57" s="33"/>
      <c r="B57" s="13" t="s">
        <v>1948</v>
      </c>
      <c r="C57" s="52" t="s">
        <v>666</v>
      </c>
      <c r="D57" s="10" t="s">
        <v>1949</v>
      </c>
      <c r="E57" s="25" t="s">
        <v>266</v>
      </c>
      <c r="F57" s="26"/>
      <c r="G57" s="26" t="s">
        <v>2146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728</v>
      </c>
      <c r="C58" s="13" t="s">
        <v>338</v>
      </c>
      <c r="D58" s="10" t="s">
        <v>729</v>
      </c>
      <c r="E58" s="25" t="s">
        <v>266</v>
      </c>
      <c r="F58" s="26"/>
      <c r="G58" s="26" t="s">
        <v>956</v>
      </c>
      <c r="H58" s="37"/>
      <c r="I58" s="26"/>
      <c r="J58" s="15" t="s">
        <v>632</v>
      </c>
      <c r="K58" s="15" t="s">
        <v>294</v>
      </c>
      <c r="L58" s="15" t="s">
        <v>633</v>
      </c>
    </row>
    <row r="59" s="1" customFormat="1" spans="1:12">
      <c r="A59" s="33"/>
      <c r="B59" s="13" t="s">
        <v>730</v>
      </c>
      <c r="C59" s="13" t="s">
        <v>666</v>
      </c>
      <c r="D59" s="10" t="s">
        <v>731</v>
      </c>
      <c r="E59" s="25" t="s">
        <v>266</v>
      </c>
      <c r="F59" s="55"/>
      <c r="G59" s="26" t="s">
        <v>957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733</v>
      </c>
      <c r="C60" s="13" t="s">
        <v>338</v>
      </c>
      <c r="D60" s="10" t="s">
        <v>734</v>
      </c>
      <c r="E60" s="25" t="s">
        <v>266</v>
      </c>
      <c r="F60" s="26"/>
      <c r="G60" s="26" t="s">
        <v>958</v>
      </c>
      <c r="H60" s="37"/>
      <c r="I60" s="26"/>
      <c r="J60" s="15" t="s">
        <v>632</v>
      </c>
      <c r="K60" s="15" t="s">
        <v>294</v>
      </c>
      <c r="L60" s="15" t="s">
        <v>633</v>
      </c>
    </row>
    <row r="61" s="1" customFormat="1" spans="1:12">
      <c r="A61" s="33"/>
      <c r="B61" s="13" t="s">
        <v>736</v>
      </c>
      <c r="C61" s="13" t="s">
        <v>338</v>
      </c>
      <c r="D61" s="10" t="s">
        <v>737</v>
      </c>
      <c r="E61" s="25" t="s">
        <v>266</v>
      </c>
      <c r="F61" s="26"/>
      <c r="G61" s="26" t="s">
        <v>959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739</v>
      </c>
      <c r="C62" s="13" t="s">
        <v>338</v>
      </c>
      <c r="D62" s="10" t="s">
        <v>740</v>
      </c>
      <c r="E62" s="25" t="s">
        <v>266</v>
      </c>
      <c r="F62" s="26"/>
      <c r="G62" s="26" t="s">
        <v>960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742</v>
      </c>
      <c r="C63" s="13" t="s">
        <v>338</v>
      </c>
      <c r="D63" s="10" t="s">
        <v>743</v>
      </c>
      <c r="E63" s="25" t="s">
        <v>266</v>
      </c>
      <c r="F63" s="26"/>
      <c r="G63" s="26" t="s">
        <v>961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745</v>
      </c>
      <c r="C64" s="13" t="s">
        <v>338</v>
      </c>
      <c r="D64" s="10" t="s">
        <v>746</v>
      </c>
      <c r="E64" s="25" t="s">
        <v>266</v>
      </c>
      <c r="F64" s="26"/>
      <c r="G64" s="26" t="s">
        <v>962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748</v>
      </c>
      <c r="C65" s="13" t="s">
        <v>338</v>
      </c>
      <c r="D65" s="10" t="s">
        <v>749</v>
      </c>
      <c r="E65" s="25" t="s">
        <v>266</v>
      </c>
      <c r="F65" s="26"/>
      <c r="G65" s="26" t="s">
        <v>963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751</v>
      </c>
      <c r="C66" s="13" t="s">
        <v>666</v>
      </c>
      <c r="D66" s="10" t="s">
        <v>752</v>
      </c>
      <c r="E66" s="25" t="s">
        <v>266</v>
      </c>
      <c r="F66" s="55"/>
      <c r="G66" s="26" t="s">
        <v>964</v>
      </c>
      <c r="H66" s="37"/>
      <c r="I66" s="26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754</v>
      </c>
      <c r="C67" s="13" t="s">
        <v>338</v>
      </c>
      <c r="D67" s="10" t="s">
        <v>755</v>
      </c>
      <c r="E67" s="25" t="s">
        <v>266</v>
      </c>
      <c r="F67" s="26"/>
      <c r="G67" s="26" t="s">
        <v>965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757</v>
      </c>
      <c r="C68" s="13" t="s">
        <v>338</v>
      </c>
      <c r="D68" s="10" t="s">
        <v>758</v>
      </c>
      <c r="E68" s="25" t="s">
        <v>266</v>
      </c>
      <c r="F68" s="26"/>
      <c r="G68" s="26" t="s">
        <v>966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760</v>
      </c>
      <c r="C69" s="13" t="s">
        <v>338</v>
      </c>
      <c r="D69" s="10" t="s">
        <v>761</v>
      </c>
      <c r="E69" s="25" t="s">
        <v>266</v>
      </c>
      <c r="F69" s="26"/>
      <c r="G69" s="26" t="s">
        <v>967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763</v>
      </c>
      <c r="C70" s="13" t="s">
        <v>338</v>
      </c>
      <c r="D70" s="10" t="s">
        <v>764</v>
      </c>
      <c r="E70" s="25" t="s">
        <v>266</v>
      </c>
      <c r="F70" s="26"/>
      <c r="G70" s="26" t="s">
        <v>968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766</v>
      </c>
      <c r="C71" s="13" t="s">
        <v>338</v>
      </c>
      <c r="D71" s="10" t="s">
        <v>767</v>
      </c>
      <c r="E71" s="25" t="s">
        <v>266</v>
      </c>
      <c r="F71" s="26"/>
      <c r="G71" s="26" t="s">
        <v>969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769</v>
      </c>
      <c r="C72" s="13" t="s">
        <v>666</v>
      </c>
      <c r="D72" s="10" t="s">
        <v>770</v>
      </c>
      <c r="E72" s="25" t="s">
        <v>266</v>
      </c>
      <c r="F72" s="26"/>
      <c r="G72" s="26" t="s">
        <v>970</v>
      </c>
      <c r="H72" s="3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772</v>
      </c>
      <c r="C73" s="13" t="s">
        <v>666</v>
      </c>
      <c r="D73" s="10" t="s">
        <v>773</v>
      </c>
      <c r="E73" s="25" t="s">
        <v>266</v>
      </c>
      <c r="F73" s="55"/>
      <c r="G73" s="26" t="s">
        <v>971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775</v>
      </c>
      <c r="C74" s="13" t="s">
        <v>338</v>
      </c>
      <c r="D74" s="10" t="s">
        <v>776</v>
      </c>
      <c r="E74" s="25" t="s">
        <v>266</v>
      </c>
      <c r="F74" s="26"/>
      <c r="G74" s="26" t="s">
        <v>972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778</v>
      </c>
      <c r="C75" s="13" t="s">
        <v>338</v>
      </c>
      <c r="D75" s="10" t="s">
        <v>779</v>
      </c>
      <c r="E75" s="25" t="s">
        <v>266</v>
      </c>
      <c r="F75" s="26"/>
      <c r="G75" s="26" t="s">
        <v>973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781</v>
      </c>
      <c r="C76" s="13" t="s">
        <v>338</v>
      </c>
      <c r="D76" s="10" t="s">
        <v>782</v>
      </c>
      <c r="E76" s="25" t="s">
        <v>266</v>
      </c>
      <c r="F76" s="26"/>
      <c r="G76" s="26" t="s">
        <v>974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784</v>
      </c>
      <c r="C77" s="13" t="s">
        <v>338</v>
      </c>
      <c r="D77" s="10" t="s">
        <v>785</v>
      </c>
      <c r="E77" s="25" t="s">
        <v>266</v>
      </c>
      <c r="F77" s="26"/>
      <c r="G77" s="26" t="s">
        <v>975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787</v>
      </c>
      <c r="C78" s="13" t="s">
        <v>338</v>
      </c>
      <c r="D78" s="10" t="s">
        <v>788</v>
      </c>
      <c r="E78" s="25" t="s">
        <v>266</v>
      </c>
      <c r="F78" s="26"/>
      <c r="G78" s="26" t="s">
        <v>976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413</v>
      </c>
      <c r="C79" s="13" t="s">
        <v>666</v>
      </c>
      <c r="D79" s="10" t="s">
        <v>790</v>
      </c>
      <c r="E79" s="25" t="s">
        <v>266</v>
      </c>
      <c r="F79" s="55"/>
      <c r="G79" s="26" t="s">
        <v>977</v>
      </c>
      <c r="H79" s="3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792</v>
      </c>
      <c r="C80" s="13" t="s">
        <v>338</v>
      </c>
      <c r="D80" s="10" t="s">
        <v>793</v>
      </c>
      <c r="E80" s="25" t="s">
        <v>266</v>
      </c>
      <c r="F80" s="26"/>
      <c r="G80" s="26" t="s">
        <v>978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418</v>
      </c>
      <c r="C81" s="13" t="s">
        <v>666</v>
      </c>
      <c r="D81" s="10" t="s">
        <v>795</v>
      </c>
      <c r="E81" s="25" t="s">
        <v>266</v>
      </c>
      <c r="F81" s="55"/>
      <c r="G81" s="26" t="s">
        <v>979</v>
      </c>
      <c r="H81" s="37"/>
      <c r="I81" s="26"/>
      <c r="J81" s="15" t="s">
        <v>632</v>
      </c>
      <c r="K81" s="15" t="s">
        <v>404</v>
      </c>
      <c r="L81" s="15" t="s">
        <v>633</v>
      </c>
    </row>
    <row r="82" s="1" customFormat="1" spans="1:12">
      <c r="A82" s="33"/>
      <c r="B82" s="13" t="s">
        <v>797</v>
      </c>
      <c r="C82" s="13" t="s">
        <v>338</v>
      </c>
      <c r="D82" s="10" t="s">
        <v>798</v>
      </c>
      <c r="E82" s="25" t="s">
        <v>266</v>
      </c>
      <c r="F82" s="26"/>
      <c r="G82" s="26" t="s">
        <v>980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32" t="s">
        <v>1860</v>
      </c>
      <c r="C83" s="32" t="s">
        <v>338</v>
      </c>
      <c r="D83" s="10" t="s">
        <v>1861</v>
      </c>
      <c r="E83" s="25" t="s">
        <v>266</v>
      </c>
      <c r="F83" s="26"/>
      <c r="G83" s="26" t="s">
        <v>1966</v>
      </c>
      <c r="H83" s="37"/>
      <c r="I83" s="26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32" t="s">
        <v>1903</v>
      </c>
      <c r="C84" s="32" t="s">
        <v>666</v>
      </c>
      <c r="D84" s="10" t="s">
        <v>1904</v>
      </c>
      <c r="E84" s="25" t="s">
        <v>266</v>
      </c>
      <c r="F84" s="26"/>
      <c r="G84" s="26" t="s">
        <v>1967</v>
      </c>
      <c r="H84" s="37"/>
      <c r="I84" s="26"/>
      <c r="J84" s="15" t="s">
        <v>632</v>
      </c>
      <c r="K84" s="15" t="s">
        <v>1898</v>
      </c>
      <c r="L84" s="15" t="s">
        <v>633</v>
      </c>
    </row>
    <row r="85" s="1" customFormat="1" spans="1:12">
      <c r="A85" s="33"/>
      <c r="B85" s="52" t="s">
        <v>1968</v>
      </c>
      <c r="C85" s="52" t="s">
        <v>666</v>
      </c>
      <c r="D85" s="54" t="s">
        <v>1969</v>
      </c>
      <c r="E85" s="25" t="s">
        <v>266</v>
      </c>
      <c r="F85" s="55"/>
      <c r="G85" s="26" t="s">
        <v>2147</v>
      </c>
      <c r="H85" s="27"/>
      <c r="I85" s="26"/>
      <c r="J85" s="15" t="s">
        <v>632</v>
      </c>
      <c r="K85" s="15" t="s">
        <v>1898</v>
      </c>
      <c r="L85" s="15" t="s">
        <v>633</v>
      </c>
    </row>
    <row r="86" s="1" customFormat="1" spans="2:12">
      <c r="B86" s="32" t="s">
        <v>1906</v>
      </c>
      <c r="C86" s="32" t="s">
        <v>666</v>
      </c>
      <c r="D86" s="10" t="s">
        <v>1907</v>
      </c>
      <c r="E86" s="25" t="s">
        <v>266</v>
      </c>
      <c r="F86" s="32"/>
      <c r="G86" s="26" t="s">
        <v>1971</v>
      </c>
      <c r="H86" s="37"/>
      <c r="I86" s="26"/>
      <c r="J86" s="15" t="s">
        <v>632</v>
      </c>
      <c r="K86" s="15" t="s">
        <v>1902</v>
      </c>
      <c r="L86" s="15" t="s">
        <v>633</v>
      </c>
    </row>
    <row r="87" s="1" customFormat="1" spans="1:12">
      <c r="A87" s="33"/>
      <c r="B87" s="32" t="s">
        <v>1892</v>
      </c>
      <c r="C87" s="32" t="s">
        <v>338</v>
      </c>
      <c r="D87" s="10" t="s">
        <v>1972</v>
      </c>
      <c r="E87" s="25" t="s">
        <v>266</v>
      </c>
      <c r="F87" s="26"/>
      <c r="G87" s="26" t="s">
        <v>1973</v>
      </c>
      <c r="H87" s="3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32" t="s">
        <v>1895</v>
      </c>
      <c r="C88" s="32" t="s">
        <v>666</v>
      </c>
      <c r="D88" s="10" t="s">
        <v>1896</v>
      </c>
      <c r="E88" s="25" t="s">
        <v>266</v>
      </c>
      <c r="F88" s="26"/>
      <c r="G88" s="26" t="s">
        <v>1974</v>
      </c>
      <c r="H88" s="37"/>
      <c r="I88" s="26"/>
      <c r="J88" s="15" t="s">
        <v>632</v>
      </c>
      <c r="K88" s="15" t="s">
        <v>1898</v>
      </c>
      <c r="L88" s="15" t="s">
        <v>633</v>
      </c>
    </row>
    <row r="89" s="1" customFormat="1" spans="2:12">
      <c r="B89" s="32" t="s">
        <v>1899</v>
      </c>
      <c r="C89" s="32" t="s">
        <v>666</v>
      </c>
      <c r="D89" s="10" t="s">
        <v>1900</v>
      </c>
      <c r="E89" s="25" t="s">
        <v>266</v>
      </c>
      <c r="F89" s="32"/>
      <c r="G89" s="26" t="s">
        <v>1975</v>
      </c>
      <c r="H89" s="37"/>
      <c r="I89" s="26"/>
      <c r="J89" s="15" t="s">
        <v>632</v>
      </c>
      <c r="K89" s="15" t="s">
        <v>1902</v>
      </c>
      <c r="L89" s="15" t="s">
        <v>633</v>
      </c>
    </row>
    <row r="90" s="1" customFormat="1" spans="2:12">
      <c r="B90" s="32" t="s">
        <v>1976</v>
      </c>
      <c r="C90" s="32" t="s">
        <v>666</v>
      </c>
      <c r="D90" s="10" t="s">
        <v>1977</v>
      </c>
      <c r="E90" s="25" t="s">
        <v>266</v>
      </c>
      <c r="F90" s="26"/>
      <c r="G90" s="26" t="s">
        <v>2148</v>
      </c>
      <c r="H90" s="37"/>
      <c r="I90" s="26"/>
      <c r="J90" s="15" t="s">
        <v>632</v>
      </c>
      <c r="K90" s="15" t="s">
        <v>669</v>
      </c>
      <c r="L90" s="15" t="s">
        <v>633</v>
      </c>
    </row>
    <row r="91" s="1" customFormat="1" spans="2:12">
      <c r="B91" s="32" t="s">
        <v>1979</v>
      </c>
      <c r="C91" s="32" t="s">
        <v>338</v>
      </c>
      <c r="D91" s="10" t="s">
        <v>1980</v>
      </c>
      <c r="E91" s="25" t="s">
        <v>266</v>
      </c>
      <c r="F91" s="26"/>
      <c r="G91" s="26" t="s">
        <v>2149</v>
      </c>
      <c r="H91" s="37"/>
      <c r="I91" s="26"/>
      <c r="J91" s="15" t="s">
        <v>632</v>
      </c>
      <c r="K91" s="15" t="s">
        <v>803</v>
      </c>
      <c r="L91" s="15" t="s">
        <v>633</v>
      </c>
    </row>
    <row r="92" s="1" customFormat="1" spans="2:12">
      <c r="B92" s="32" t="s">
        <v>1982</v>
      </c>
      <c r="C92" s="32" t="s">
        <v>338</v>
      </c>
      <c r="D92" s="10" t="s">
        <v>1983</v>
      </c>
      <c r="E92" s="25" t="s">
        <v>266</v>
      </c>
      <c r="F92" s="26"/>
      <c r="G92" s="26" t="s">
        <v>2150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2:12">
      <c r="B93" s="32" t="s">
        <v>1985</v>
      </c>
      <c r="C93" s="32" t="s">
        <v>338</v>
      </c>
      <c r="D93" s="10" t="s">
        <v>1986</v>
      </c>
      <c r="E93" s="25" t="s">
        <v>266</v>
      </c>
      <c r="F93" s="26"/>
      <c r="G93" s="26" t="s">
        <v>2151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2:12">
      <c r="B94" s="32" t="s">
        <v>1988</v>
      </c>
      <c r="C94" s="32" t="s">
        <v>666</v>
      </c>
      <c r="D94" s="10" t="s">
        <v>1989</v>
      </c>
      <c r="E94" s="25" t="s">
        <v>266</v>
      </c>
      <c r="F94" s="32"/>
      <c r="G94" s="26" t="s">
        <v>2152</v>
      </c>
      <c r="H94" s="37"/>
      <c r="I94" s="26"/>
      <c r="J94" s="15" t="s">
        <v>632</v>
      </c>
      <c r="K94" s="15" t="s">
        <v>294</v>
      </c>
      <c r="L94" s="15" t="s">
        <v>1264</v>
      </c>
    </row>
    <row r="95" s="1" customFormat="1" spans="2:12">
      <c r="B95" s="32" t="s">
        <v>1991</v>
      </c>
      <c r="C95" s="32" t="s">
        <v>666</v>
      </c>
      <c r="D95" s="10" t="s">
        <v>1992</v>
      </c>
      <c r="E95" s="25" t="s">
        <v>266</v>
      </c>
      <c r="F95" s="26"/>
      <c r="G95" s="26" t="s">
        <v>2153</v>
      </c>
      <c r="H95" s="37"/>
      <c r="I95" s="26"/>
      <c r="J95" s="15" t="s">
        <v>632</v>
      </c>
      <c r="K95" s="15" t="s">
        <v>669</v>
      </c>
      <c r="L95" s="15" t="s">
        <v>633</v>
      </c>
    </row>
    <row r="96" s="1" customFormat="1" spans="2:12">
      <c r="B96" s="32" t="s">
        <v>1994</v>
      </c>
      <c r="C96" s="32" t="s">
        <v>338</v>
      </c>
      <c r="D96" s="10" t="s">
        <v>1995</v>
      </c>
      <c r="E96" s="25" t="s">
        <v>266</v>
      </c>
      <c r="F96" s="26"/>
      <c r="G96" s="26" t="s">
        <v>2154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1997</v>
      </c>
      <c r="C97" s="32" t="s">
        <v>338</v>
      </c>
      <c r="D97" s="10" t="s">
        <v>1998</v>
      </c>
      <c r="E97" s="25" t="s">
        <v>266</v>
      </c>
      <c r="F97" s="26"/>
      <c r="G97" s="26" t="s">
        <v>2155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2000</v>
      </c>
      <c r="C98" s="32" t="s">
        <v>338</v>
      </c>
      <c r="D98" s="10" t="s">
        <v>2001</v>
      </c>
      <c r="E98" s="25" t="s">
        <v>266</v>
      </c>
      <c r="F98" s="26"/>
      <c r="G98" s="26" t="s">
        <v>2156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2002</v>
      </c>
      <c r="C99" s="32" t="s">
        <v>338</v>
      </c>
      <c r="D99" s="10" t="s">
        <v>1887</v>
      </c>
      <c r="E99" s="25" t="s">
        <v>266</v>
      </c>
      <c r="F99" s="26"/>
      <c r="G99" s="26" t="s">
        <v>2157</v>
      </c>
      <c r="H99" s="37"/>
      <c r="I99" s="26"/>
      <c r="J99" s="15" t="s">
        <v>632</v>
      </c>
      <c r="K99" s="15" t="s">
        <v>669</v>
      </c>
      <c r="L99" s="15" t="s">
        <v>633</v>
      </c>
    </row>
    <row r="100" s="1" customFormat="1" spans="2:12">
      <c r="B100" s="32" t="s">
        <v>2004</v>
      </c>
      <c r="C100" s="32" t="s">
        <v>338</v>
      </c>
      <c r="D100" s="10" t="s">
        <v>2005</v>
      </c>
      <c r="E100" s="25" t="s">
        <v>266</v>
      </c>
      <c r="F100" s="26"/>
      <c r="G100" s="26" t="s">
        <v>2158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2007</v>
      </c>
      <c r="C101" s="32" t="s">
        <v>338</v>
      </c>
      <c r="D101" s="10" t="s">
        <v>1890</v>
      </c>
      <c r="E101" s="25" t="s">
        <v>266</v>
      </c>
      <c r="F101" s="26"/>
      <c r="G101" s="26" t="s">
        <v>2159</v>
      </c>
      <c r="H101" s="37"/>
      <c r="I101" s="26"/>
      <c r="J101" s="15" t="s">
        <v>632</v>
      </c>
      <c r="K101" s="15" t="s">
        <v>669</v>
      </c>
      <c r="L101" s="15" t="s">
        <v>633</v>
      </c>
    </row>
    <row r="102" s="1" customFormat="1" spans="2:12">
      <c r="B102" s="32" t="s">
        <v>2009</v>
      </c>
      <c r="C102" s="32" t="s">
        <v>338</v>
      </c>
      <c r="D102" s="10" t="s">
        <v>2010</v>
      </c>
      <c r="E102" s="25" t="s">
        <v>266</v>
      </c>
      <c r="F102" s="26"/>
      <c r="G102" s="26" t="s">
        <v>2160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2:12">
      <c r="B103" s="32" t="s">
        <v>2012</v>
      </c>
      <c r="C103" s="32" t="s">
        <v>338</v>
      </c>
      <c r="D103" s="10" t="s">
        <v>2013</v>
      </c>
      <c r="E103" s="25" t="s">
        <v>266</v>
      </c>
      <c r="F103" s="26"/>
      <c r="G103" s="26" t="s">
        <v>2161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2015</v>
      </c>
      <c r="C104" s="32" t="s">
        <v>338</v>
      </c>
      <c r="D104" s="10" t="s">
        <v>2016</v>
      </c>
      <c r="E104" s="25" t="s">
        <v>266</v>
      </c>
      <c r="F104" s="26"/>
      <c r="G104" s="26" t="s">
        <v>2162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2018</v>
      </c>
      <c r="C105" s="32" t="s">
        <v>338</v>
      </c>
      <c r="D105" s="10" t="s">
        <v>2019</v>
      </c>
      <c r="E105" s="25" t="s">
        <v>266</v>
      </c>
      <c r="F105" s="26"/>
      <c r="G105" s="26" t="s">
        <v>2163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2021</v>
      </c>
      <c r="C106" s="32" t="s">
        <v>338</v>
      </c>
      <c r="D106" s="10" t="s">
        <v>2022</v>
      </c>
      <c r="E106" s="25" t="s">
        <v>266</v>
      </c>
      <c r="F106" s="26"/>
      <c r="G106" s="26" t="s">
        <v>2164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2024</v>
      </c>
      <c r="C107" s="32" t="s">
        <v>338</v>
      </c>
      <c r="D107" s="10" t="s">
        <v>2025</v>
      </c>
      <c r="E107" s="25" t="s">
        <v>266</v>
      </c>
      <c r="F107" s="26"/>
      <c r="G107" s="26" t="s">
        <v>2165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2027</v>
      </c>
      <c r="C108" s="32" t="s">
        <v>338</v>
      </c>
      <c r="D108" s="10" t="s">
        <v>2028</v>
      </c>
      <c r="E108" s="25" t="s">
        <v>266</v>
      </c>
      <c r="F108" s="26"/>
      <c r="G108" s="26" t="s">
        <v>2166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1:12">
      <c r="A109" s="33"/>
      <c r="B109" s="13" t="s">
        <v>2030</v>
      </c>
      <c r="C109" s="13" t="s">
        <v>666</v>
      </c>
      <c r="D109" s="10" t="s">
        <v>2031</v>
      </c>
      <c r="E109" s="25" t="s">
        <v>266</v>
      </c>
      <c r="F109" s="55"/>
      <c r="G109" s="26" t="s">
        <v>2167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52" t="s">
        <v>2033</v>
      </c>
      <c r="C110" s="52" t="s">
        <v>338</v>
      </c>
      <c r="D110" s="54" t="s">
        <v>2034</v>
      </c>
      <c r="E110" s="25" t="s">
        <v>266</v>
      </c>
      <c r="F110" s="26"/>
      <c r="G110" s="26" t="s">
        <v>2168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52" t="s">
        <v>2036</v>
      </c>
      <c r="C111" s="52" t="s">
        <v>338</v>
      </c>
      <c r="D111" s="54" t="s">
        <v>2037</v>
      </c>
      <c r="E111" s="25" t="s">
        <v>266</v>
      </c>
      <c r="F111" s="26"/>
      <c r="G111" s="26" t="s">
        <v>2169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52" t="s">
        <v>2039</v>
      </c>
      <c r="C112" s="52" t="s">
        <v>338</v>
      </c>
      <c r="D112" s="54" t="s">
        <v>2040</v>
      </c>
      <c r="E112" s="25" t="s">
        <v>266</v>
      </c>
      <c r="F112" s="26"/>
      <c r="G112" s="26" t="s">
        <v>2170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2042</v>
      </c>
      <c r="C113" s="52" t="s">
        <v>338</v>
      </c>
      <c r="D113" s="54" t="s">
        <v>2043</v>
      </c>
      <c r="E113" s="25" t="s">
        <v>266</v>
      </c>
      <c r="F113" s="26"/>
      <c r="G113" s="26" t="s">
        <v>2171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2045</v>
      </c>
      <c r="C114" s="52" t="s">
        <v>338</v>
      </c>
      <c r="D114" s="54" t="s">
        <v>2046</v>
      </c>
      <c r="E114" s="25" t="s">
        <v>266</v>
      </c>
      <c r="F114" s="26"/>
      <c r="G114" s="26" t="s">
        <v>2172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2048</v>
      </c>
      <c r="C115" s="52" t="s">
        <v>666</v>
      </c>
      <c r="D115" s="10" t="s">
        <v>2049</v>
      </c>
      <c r="E115" s="25" t="s">
        <v>266</v>
      </c>
      <c r="F115" s="55"/>
      <c r="G115" s="26" t="s">
        <v>2173</v>
      </c>
      <c r="H115" s="37"/>
      <c r="I115" s="26"/>
      <c r="J115" s="15" t="s">
        <v>632</v>
      </c>
      <c r="K115" s="15" t="s">
        <v>404</v>
      </c>
      <c r="L115" s="15" t="s">
        <v>633</v>
      </c>
    </row>
    <row r="116" s="1" customFormat="1" spans="1:12">
      <c r="A116" s="33"/>
      <c r="B116" s="13" t="s">
        <v>2051</v>
      </c>
      <c r="C116" s="13" t="s">
        <v>338</v>
      </c>
      <c r="D116" s="10" t="s">
        <v>2052</v>
      </c>
      <c r="E116" s="25" t="s">
        <v>266</v>
      </c>
      <c r="F116" s="26"/>
      <c r="G116" s="26" t="s">
        <v>2174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13" t="s">
        <v>2054</v>
      </c>
      <c r="C117" s="13" t="s">
        <v>338</v>
      </c>
      <c r="D117" s="10" t="s">
        <v>2055</v>
      </c>
      <c r="E117" s="25" t="s">
        <v>266</v>
      </c>
      <c r="F117" s="26"/>
      <c r="G117" s="26" t="s">
        <v>2175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2057</v>
      </c>
      <c r="C118" s="13" t="s">
        <v>338</v>
      </c>
      <c r="D118" s="10" t="s">
        <v>2058</v>
      </c>
      <c r="E118" s="25" t="s">
        <v>266</v>
      </c>
      <c r="F118" s="26"/>
      <c r="G118" s="26" t="s">
        <v>2176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2060</v>
      </c>
      <c r="C119" s="13" t="s">
        <v>338</v>
      </c>
      <c r="D119" s="10" t="s">
        <v>2061</v>
      </c>
      <c r="E119" s="25" t="s">
        <v>266</v>
      </c>
      <c r="F119" s="26"/>
      <c r="G119" s="26" t="s">
        <v>2177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2063</v>
      </c>
      <c r="C120" s="13" t="s">
        <v>338</v>
      </c>
      <c r="D120" s="10" t="s">
        <v>2064</v>
      </c>
      <c r="E120" s="25" t="s">
        <v>266</v>
      </c>
      <c r="F120" s="26"/>
      <c r="G120" s="26" t="s">
        <v>2178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2066</v>
      </c>
      <c r="C121" s="52" t="s">
        <v>666</v>
      </c>
      <c r="D121" s="10" t="s">
        <v>2067</v>
      </c>
      <c r="E121" s="25" t="s">
        <v>266</v>
      </c>
      <c r="F121" s="55"/>
      <c r="G121" s="26" t="s">
        <v>2179</v>
      </c>
      <c r="H121" s="37"/>
      <c r="I121" s="26"/>
      <c r="J121" s="15" t="s">
        <v>632</v>
      </c>
      <c r="K121" s="15" t="s">
        <v>404</v>
      </c>
      <c r="L121" s="15" t="s">
        <v>633</v>
      </c>
    </row>
    <row r="122" s="1" customFormat="1" spans="1:12">
      <c r="A122" s="33"/>
      <c r="B122" s="52" t="s">
        <v>2069</v>
      </c>
      <c r="C122" s="52" t="s">
        <v>338</v>
      </c>
      <c r="D122" s="54" t="s">
        <v>2070</v>
      </c>
      <c r="E122" s="25" t="s">
        <v>266</v>
      </c>
      <c r="F122" s="26"/>
      <c r="G122" s="26" t="s">
        <v>2180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52" t="s">
        <v>2072</v>
      </c>
      <c r="C123" s="52" t="s">
        <v>338</v>
      </c>
      <c r="D123" s="54" t="s">
        <v>2073</v>
      </c>
      <c r="E123" s="25" t="s">
        <v>266</v>
      </c>
      <c r="F123" s="26"/>
      <c r="G123" s="26" t="s">
        <v>2181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52" t="s">
        <v>2075</v>
      </c>
      <c r="C124" s="52" t="s">
        <v>338</v>
      </c>
      <c r="D124" s="54" t="s">
        <v>2076</v>
      </c>
      <c r="E124" s="25" t="s">
        <v>266</v>
      </c>
      <c r="F124" s="26"/>
      <c r="G124" s="26" t="s">
        <v>2182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52" t="s">
        <v>2078</v>
      </c>
      <c r="C125" s="52" t="s">
        <v>338</v>
      </c>
      <c r="D125" s="54" t="s">
        <v>2079</v>
      </c>
      <c r="E125" s="25" t="s">
        <v>266</v>
      </c>
      <c r="F125" s="26"/>
      <c r="G125" s="26" t="s">
        <v>2183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2081</v>
      </c>
      <c r="C126" s="52" t="s">
        <v>338</v>
      </c>
      <c r="D126" s="54" t="s">
        <v>2082</v>
      </c>
      <c r="E126" s="25" t="s">
        <v>266</v>
      </c>
      <c r="F126" s="26"/>
      <c r="G126" s="26" t="s">
        <v>2184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2:12">
      <c r="B127" s="32" t="s">
        <v>2084</v>
      </c>
      <c r="C127" s="32" t="s">
        <v>338</v>
      </c>
      <c r="D127" s="10" t="s">
        <v>2085</v>
      </c>
      <c r="E127" s="25" t="s">
        <v>266</v>
      </c>
      <c r="F127" s="26"/>
      <c r="G127" s="26" t="s">
        <v>2185</v>
      </c>
      <c r="H127" s="37"/>
      <c r="I127" s="26"/>
      <c r="J127" s="15" t="s">
        <v>632</v>
      </c>
      <c r="K127" s="15" t="s">
        <v>669</v>
      </c>
      <c r="L127" s="15" t="s">
        <v>670</v>
      </c>
    </row>
    <row r="128" s="1" customFormat="1" spans="2:12">
      <c r="B128" s="32" t="s">
        <v>1909</v>
      </c>
      <c r="C128" s="32" t="s">
        <v>338</v>
      </c>
      <c r="D128" s="10" t="s">
        <v>2087</v>
      </c>
      <c r="E128" s="25" t="s">
        <v>266</v>
      </c>
      <c r="F128" s="26"/>
      <c r="G128" s="26" t="s">
        <v>2088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2089</v>
      </c>
      <c r="C129" s="52" t="s">
        <v>666</v>
      </c>
      <c r="D129" s="54" t="s">
        <v>2090</v>
      </c>
      <c r="E129" s="25" t="s">
        <v>266</v>
      </c>
      <c r="F129" s="55"/>
      <c r="G129" s="26" t="s">
        <v>2186</v>
      </c>
      <c r="H129" s="37"/>
      <c r="I129" s="26"/>
      <c r="J129" s="15" t="s">
        <v>632</v>
      </c>
      <c r="K129" s="15" t="s">
        <v>669</v>
      </c>
      <c r="L129" s="15" t="s">
        <v>670</v>
      </c>
    </row>
    <row r="130" s="1" customFormat="1" spans="1:12">
      <c r="A130" s="33"/>
      <c r="B130" s="52" t="s">
        <v>2092</v>
      </c>
      <c r="C130" s="52" t="s">
        <v>338</v>
      </c>
      <c r="D130" s="54" t="s">
        <v>2093</v>
      </c>
      <c r="E130" s="25" t="s">
        <v>266</v>
      </c>
      <c r="F130" s="26"/>
      <c r="G130" s="26" t="s">
        <v>2187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52" t="s">
        <v>2095</v>
      </c>
      <c r="C131" s="52" t="s">
        <v>338</v>
      </c>
      <c r="D131" s="54" t="s">
        <v>2096</v>
      </c>
      <c r="E131" s="25" t="s">
        <v>266</v>
      </c>
      <c r="F131" s="26"/>
      <c r="G131" s="26" t="s">
        <v>2188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2098</v>
      </c>
      <c r="C132" s="52" t="s">
        <v>338</v>
      </c>
      <c r="D132" s="54" t="s">
        <v>2099</v>
      </c>
      <c r="E132" s="25" t="s">
        <v>266</v>
      </c>
      <c r="F132" s="26"/>
      <c r="G132" s="26" t="s">
        <v>2189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2101</v>
      </c>
      <c r="C133" s="52" t="s">
        <v>338</v>
      </c>
      <c r="D133" s="54" t="s">
        <v>2102</v>
      </c>
      <c r="E133" s="25" t="s">
        <v>266</v>
      </c>
      <c r="F133" s="26"/>
      <c r="G133" s="26" t="s">
        <v>2190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2104</v>
      </c>
      <c r="C134" s="52" t="s">
        <v>338</v>
      </c>
      <c r="D134" s="54" t="s">
        <v>2105</v>
      </c>
      <c r="E134" s="25" t="s">
        <v>266</v>
      </c>
      <c r="F134" s="26"/>
      <c r="G134" s="26" t="s">
        <v>2191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2107</v>
      </c>
      <c r="C135" s="52" t="s">
        <v>338</v>
      </c>
      <c r="D135" s="10" t="s">
        <v>2108</v>
      </c>
      <c r="E135" s="25" t="s">
        <v>266</v>
      </c>
      <c r="F135" s="26"/>
      <c r="G135" s="26" t="s">
        <v>2192</v>
      </c>
      <c r="H135" s="37"/>
      <c r="I135" s="26"/>
      <c r="J135" s="15" t="s">
        <v>632</v>
      </c>
      <c r="K135" s="15" t="s">
        <v>669</v>
      </c>
      <c r="L135" s="15" t="s">
        <v>670</v>
      </c>
    </row>
    <row r="136" s="1" customFormat="1" spans="1:12">
      <c r="A136" s="33"/>
      <c r="B136" s="52" t="s">
        <v>1912</v>
      </c>
      <c r="C136" s="52" t="s">
        <v>338</v>
      </c>
      <c r="D136" s="10" t="s">
        <v>2110</v>
      </c>
      <c r="E136" s="25" t="s">
        <v>266</v>
      </c>
      <c r="F136" s="26"/>
      <c r="G136" s="26" t="s">
        <v>2111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2112</v>
      </c>
      <c r="C137" s="52" t="s">
        <v>666</v>
      </c>
      <c r="D137" s="54" t="s">
        <v>2113</v>
      </c>
      <c r="E137" s="25" t="s">
        <v>266</v>
      </c>
      <c r="F137" s="55"/>
      <c r="G137" s="26" t="s">
        <v>2193</v>
      </c>
      <c r="H137" s="37"/>
      <c r="I137" s="26"/>
      <c r="J137" s="15" t="s">
        <v>632</v>
      </c>
      <c r="K137" s="15" t="s">
        <v>669</v>
      </c>
      <c r="L137" s="15" t="s">
        <v>670</v>
      </c>
    </row>
    <row r="138" s="1" customFormat="1" spans="1:12">
      <c r="A138" s="33"/>
      <c r="B138" s="52" t="s">
        <v>2115</v>
      </c>
      <c r="C138" s="52" t="s">
        <v>338</v>
      </c>
      <c r="D138" s="54" t="s">
        <v>2116</v>
      </c>
      <c r="E138" s="25" t="s">
        <v>266</v>
      </c>
      <c r="F138" s="26"/>
      <c r="G138" s="26" t="s">
        <v>2194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2118</v>
      </c>
      <c r="C139" s="52" t="s">
        <v>338</v>
      </c>
      <c r="D139" s="54" t="s">
        <v>2119</v>
      </c>
      <c r="E139" s="25" t="s">
        <v>266</v>
      </c>
      <c r="F139" s="26"/>
      <c r="G139" s="26" t="s">
        <v>2195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2121</v>
      </c>
      <c r="C140" s="52" t="s">
        <v>338</v>
      </c>
      <c r="D140" s="54" t="s">
        <v>2122</v>
      </c>
      <c r="E140" s="25" t="s">
        <v>266</v>
      </c>
      <c r="F140" s="26"/>
      <c r="G140" s="26" t="s">
        <v>2196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2124</v>
      </c>
      <c r="C141" s="52" t="s">
        <v>338</v>
      </c>
      <c r="D141" s="54" t="s">
        <v>2125</v>
      </c>
      <c r="E141" s="25" t="s">
        <v>266</v>
      </c>
      <c r="F141" s="26"/>
      <c r="G141" s="26" t="s">
        <v>2197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2127</v>
      </c>
      <c r="C142" s="52" t="s">
        <v>338</v>
      </c>
      <c r="D142" s="54" t="s">
        <v>2128</v>
      </c>
      <c r="E142" s="25" t="s">
        <v>266</v>
      </c>
      <c r="F142" s="26"/>
      <c r="G142" s="26" t="s">
        <v>2198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2130</v>
      </c>
      <c r="C143" s="52" t="s">
        <v>338</v>
      </c>
      <c r="D143" s="54" t="s">
        <v>2131</v>
      </c>
      <c r="E143" s="25" t="s">
        <v>266</v>
      </c>
      <c r="F143" s="55"/>
      <c r="G143" s="26" t="s">
        <v>2199</v>
      </c>
      <c r="H143" s="27"/>
      <c r="I143" s="26"/>
      <c r="J143" s="15" t="s">
        <v>632</v>
      </c>
      <c r="K143" s="15" t="s">
        <v>294</v>
      </c>
      <c r="L143" s="15" t="s">
        <v>633</v>
      </c>
    </row>
    <row r="144" s="1" customFormat="1" spans="1:12">
      <c r="A144" s="33"/>
      <c r="B144" s="52" t="s">
        <v>2133</v>
      </c>
      <c r="C144" s="52" t="s">
        <v>338</v>
      </c>
      <c r="D144" s="54" t="s">
        <v>2134</v>
      </c>
      <c r="E144" s="25" t="s">
        <v>266</v>
      </c>
      <c r="F144" s="55"/>
      <c r="G144" s="26" t="s">
        <v>2200</v>
      </c>
      <c r="H144" s="27"/>
      <c r="I144" s="26"/>
      <c r="J144" s="15" t="s">
        <v>632</v>
      </c>
      <c r="K144" s="15" t="s">
        <v>669</v>
      </c>
      <c r="L144" s="15" t="s">
        <v>633</v>
      </c>
    </row>
    <row r="145" s="1" customFormat="1" spans="1:12">
      <c r="A145" s="33"/>
      <c r="B145" s="13" t="s">
        <v>887</v>
      </c>
      <c r="C145" s="13" t="s">
        <v>338</v>
      </c>
      <c r="D145" s="10" t="s">
        <v>888</v>
      </c>
      <c r="E145" s="25" t="s">
        <v>266</v>
      </c>
      <c r="F145" s="26"/>
      <c r="G145" s="26" t="s">
        <v>1013</v>
      </c>
      <c r="H145" s="37"/>
      <c r="I145" s="26"/>
      <c r="J145" s="15" t="s">
        <v>632</v>
      </c>
      <c r="K145" s="15" t="s">
        <v>294</v>
      </c>
      <c r="L145" s="15" t="s">
        <v>633</v>
      </c>
    </row>
    <row r="146" s="2" customFormat="1" spans="2:14">
      <c r="B146" s="17" t="s">
        <v>594</v>
      </c>
      <c r="C146" s="18" t="s">
        <v>307</v>
      </c>
      <c r="D146" s="19" t="s">
        <v>595</v>
      </c>
      <c r="E146" s="28"/>
      <c r="F146" s="28"/>
      <c r="G146" s="28"/>
      <c r="H146" s="17"/>
      <c r="I146" s="17"/>
      <c r="J146" s="17"/>
      <c r="K146" s="17"/>
      <c r="L146" s="17"/>
      <c r="M146" s="17"/>
      <c r="N146" s="17"/>
    </row>
    <row r="147" s="2" customFormat="1" spans="2:14">
      <c r="B147" s="17" t="s">
        <v>596</v>
      </c>
      <c r="C147" s="18" t="s">
        <v>291</v>
      </c>
      <c r="D147" s="19" t="s">
        <v>597</v>
      </c>
      <c r="E147" s="28"/>
      <c r="F147" s="28"/>
      <c r="G147" s="28"/>
      <c r="H147" s="17"/>
      <c r="I147" s="17"/>
      <c r="J147" s="17"/>
      <c r="K147" s="17"/>
      <c r="L147" s="17"/>
      <c r="M147" s="17"/>
      <c r="N147" s="17"/>
    </row>
  </sheetData>
  <autoFilter xmlns:etc="http://www.wps.cn/officeDocument/2017/etCustomData" ref="A13:N14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zoomScale="85" zoomScaleNormal="85" workbookViewId="0">
      <pane ySplit="5" topLeftCell="A132" activePane="bottomLeft" state="frozen"/>
      <selection/>
      <selection pane="bottomLeft" activeCell="B27" sqref="B2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207</v>
      </c>
      <c r="D5" s="14" t="s">
        <v>208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203</v>
      </c>
      <c r="D9" s="14" t="s">
        <v>204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26" t="s">
        <v>514</v>
      </c>
      <c r="G24" s="26" t="s">
        <v>293</v>
      </c>
      <c r="H24" s="25"/>
      <c r="I24" s="53"/>
      <c r="J24" s="15" t="s">
        <v>604</v>
      </c>
      <c r="K24" s="15" t="s">
        <v>294</v>
      </c>
      <c r="L24" s="15" t="s">
        <v>294</v>
      </c>
    </row>
    <row r="25" s="1" customFormat="1" spans="2:12">
      <c r="B25" s="32" t="s">
        <v>331</v>
      </c>
      <c r="C25" s="13" t="s">
        <v>291</v>
      </c>
      <c r="D25" s="10" t="s">
        <v>623</v>
      </c>
      <c r="E25" s="25" t="s">
        <v>266</v>
      </c>
      <c r="F25" s="26" t="s">
        <v>331</v>
      </c>
      <c r="G25" s="26" t="s">
        <v>293</v>
      </c>
      <c r="H25" s="25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629</v>
      </c>
      <c r="C26" s="13" t="s">
        <v>338</v>
      </c>
      <c r="D26" s="10" t="s">
        <v>630</v>
      </c>
      <c r="E26" s="25" t="s">
        <v>266</v>
      </c>
      <c r="F26" s="26"/>
      <c r="G26" s="26" t="s">
        <v>933</v>
      </c>
      <c r="H26" s="3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337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3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342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3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340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3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3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656</v>
      </c>
      <c r="C33" s="13" t="s">
        <v>338</v>
      </c>
      <c r="D33" s="10" t="s">
        <v>657</v>
      </c>
      <c r="E33" s="25" t="s">
        <v>266</v>
      </c>
      <c r="F33" s="26"/>
      <c r="G33" s="26" t="s">
        <v>939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659</v>
      </c>
      <c r="C34" s="13" t="s">
        <v>338</v>
      </c>
      <c r="D34" s="10" t="s">
        <v>660</v>
      </c>
      <c r="E34" s="25" t="s">
        <v>266</v>
      </c>
      <c r="F34" s="26"/>
      <c r="G34" s="26" t="s">
        <v>940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346</v>
      </c>
      <c r="C35" s="13" t="s">
        <v>338</v>
      </c>
      <c r="D35" s="10" t="s">
        <v>693</v>
      </c>
      <c r="E35" s="25" t="s">
        <v>266</v>
      </c>
      <c r="F35" s="26"/>
      <c r="G35" s="26" t="s">
        <v>694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344</v>
      </c>
      <c r="C36" s="13" t="s">
        <v>338</v>
      </c>
      <c r="D36" s="10" t="s">
        <v>695</v>
      </c>
      <c r="E36" s="25" t="s">
        <v>266</v>
      </c>
      <c r="F36" s="26"/>
      <c r="G36" s="26" t="s">
        <v>696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392</v>
      </c>
      <c r="C37" s="13" t="s">
        <v>338</v>
      </c>
      <c r="D37" s="10" t="s">
        <v>697</v>
      </c>
      <c r="E37" s="25" t="s">
        <v>266</v>
      </c>
      <c r="F37" s="26"/>
      <c r="G37" s="26" t="s">
        <v>698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394</v>
      </c>
      <c r="C38" s="13" t="s">
        <v>338</v>
      </c>
      <c r="D38" s="10" t="s">
        <v>699</v>
      </c>
      <c r="E38" s="25" t="s">
        <v>266</v>
      </c>
      <c r="F38" s="26"/>
      <c r="G38" s="26" t="s">
        <v>700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701</v>
      </c>
      <c r="C39" s="13" t="s">
        <v>338</v>
      </c>
      <c r="D39" s="10" t="s">
        <v>702</v>
      </c>
      <c r="E39" s="25" t="s">
        <v>266</v>
      </c>
      <c r="F39" s="26"/>
      <c r="G39" s="26" t="s">
        <v>950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704</v>
      </c>
      <c r="C40" s="13" t="s">
        <v>338</v>
      </c>
      <c r="D40" s="10" t="s">
        <v>705</v>
      </c>
      <c r="E40" s="25" t="s">
        <v>266</v>
      </c>
      <c r="F40" s="26"/>
      <c r="G40" s="26" t="s">
        <v>951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707</v>
      </c>
      <c r="C41" s="13" t="s">
        <v>338</v>
      </c>
      <c r="D41" s="10" t="s">
        <v>708</v>
      </c>
      <c r="E41" s="25" t="s">
        <v>266</v>
      </c>
      <c r="F41" s="26"/>
      <c r="G41" s="26" t="s">
        <v>952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710</v>
      </c>
      <c r="C42" s="13" t="s">
        <v>338</v>
      </c>
      <c r="D42" s="10" t="s">
        <v>711</v>
      </c>
      <c r="E42" s="25" t="s">
        <v>266</v>
      </c>
      <c r="F42" s="26"/>
      <c r="G42" s="26" t="s">
        <v>953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713</v>
      </c>
      <c r="C43" s="13" t="s">
        <v>338</v>
      </c>
      <c r="D43" s="10" t="s">
        <v>714</v>
      </c>
      <c r="E43" s="25" t="s">
        <v>266</v>
      </c>
      <c r="F43" s="26"/>
      <c r="G43" s="26" t="s">
        <v>954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716</v>
      </c>
      <c r="C44" s="13" t="s">
        <v>338</v>
      </c>
      <c r="D44" s="10" t="s">
        <v>717</v>
      </c>
      <c r="E44" s="25" t="s">
        <v>266</v>
      </c>
      <c r="F44" s="26"/>
      <c r="G44" s="26" t="s">
        <v>955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410</v>
      </c>
      <c r="C45" s="13" t="s">
        <v>338</v>
      </c>
      <c r="D45" s="10" t="s">
        <v>719</v>
      </c>
      <c r="E45" s="25" t="s">
        <v>266</v>
      </c>
      <c r="F45" s="26"/>
      <c r="G45" s="26" t="s">
        <v>720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412</v>
      </c>
      <c r="C46" s="13" t="s">
        <v>338</v>
      </c>
      <c r="D46" s="10" t="s">
        <v>721</v>
      </c>
      <c r="E46" s="25" t="s">
        <v>266</v>
      </c>
      <c r="F46" s="26"/>
      <c r="G46" s="26" t="s">
        <v>722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1916</v>
      </c>
      <c r="C47" s="13" t="s">
        <v>338</v>
      </c>
      <c r="D47" s="10" t="s">
        <v>1917</v>
      </c>
      <c r="E47" s="25" t="s">
        <v>266</v>
      </c>
      <c r="F47" s="26"/>
      <c r="G47" s="26" t="s">
        <v>2136</v>
      </c>
      <c r="H47" s="37"/>
      <c r="I47" s="26"/>
      <c r="J47" s="15" t="s">
        <v>632</v>
      </c>
      <c r="K47" s="15" t="s">
        <v>803</v>
      </c>
      <c r="L47" s="15" t="s">
        <v>633</v>
      </c>
    </row>
    <row r="48" s="1" customFormat="1" spans="1:12">
      <c r="A48" s="33"/>
      <c r="B48" s="13" t="s">
        <v>1919</v>
      </c>
      <c r="C48" s="13" t="s">
        <v>338</v>
      </c>
      <c r="D48" s="10" t="s">
        <v>1920</v>
      </c>
      <c r="E48" s="25" t="s">
        <v>266</v>
      </c>
      <c r="F48" s="26"/>
      <c r="G48" s="26" t="s">
        <v>2137</v>
      </c>
      <c r="H48" s="37"/>
      <c r="I48" s="26"/>
      <c r="J48" s="15" t="s">
        <v>632</v>
      </c>
      <c r="K48" s="15" t="s">
        <v>803</v>
      </c>
      <c r="L48" s="15" t="s">
        <v>633</v>
      </c>
    </row>
    <row r="49" s="1" customFormat="1" spans="1:12">
      <c r="A49" s="33"/>
      <c r="B49" s="13" t="s">
        <v>1922</v>
      </c>
      <c r="C49" s="13" t="s">
        <v>338</v>
      </c>
      <c r="D49" s="10" t="s">
        <v>1923</v>
      </c>
      <c r="E49" s="25" t="s">
        <v>266</v>
      </c>
      <c r="F49" s="26"/>
      <c r="G49" s="26" t="s">
        <v>2138</v>
      </c>
      <c r="H49" s="37"/>
      <c r="I49" s="26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1925</v>
      </c>
      <c r="C50" s="13" t="s">
        <v>338</v>
      </c>
      <c r="D50" s="10" t="s">
        <v>1926</v>
      </c>
      <c r="E50" s="25" t="s">
        <v>266</v>
      </c>
      <c r="F50" s="26"/>
      <c r="G50" s="26" t="s">
        <v>2139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1928</v>
      </c>
      <c r="C51" s="13" t="s">
        <v>338</v>
      </c>
      <c r="D51" s="10" t="s">
        <v>1929</v>
      </c>
      <c r="E51" s="25" t="s">
        <v>266</v>
      </c>
      <c r="F51" s="26"/>
      <c r="G51" s="26" t="s">
        <v>2140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1931</v>
      </c>
      <c r="C52" s="13" t="s">
        <v>338</v>
      </c>
      <c r="D52" s="10" t="s">
        <v>1932</v>
      </c>
      <c r="E52" s="25" t="s">
        <v>266</v>
      </c>
      <c r="F52" s="26"/>
      <c r="G52" s="26" t="s">
        <v>2141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1934</v>
      </c>
      <c r="C53" s="13" t="s">
        <v>338</v>
      </c>
      <c r="D53" s="10" t="s">
        <v>1935</v>
      </c>
      <c r="E53" s="25" t="s">
        <v>266</v>
      </c>
      <c r="F53" s="26"/>
      <c r="G53" s="26" t="s">
        <v>2142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1937</v>
      </c>
      <c r="C54" s="13" t="s">
        <v>338</v>
      </c>
      <c r="D54" s="10" t="s">
        <v>1938</v>
      </c>
      <c r="E54" s="25" t="s">
        <v>266</v>
      </c>
      <c r="F54" s="26"/>
      <c r="G54" s="26" t="s">
        <v>2143</v>
      </c>
      <c r="H54" s="37"/>
      <c r="I54" s="26"/>
      <c r="J54" s="15" t="s">
        <v>632</v>
      </c>
      <c r="K54" s="15" t="s">
        <v>644</v>
      </c>
      <c r="L54" s="15" t="s">
        <v>633</v>
      </c>
    </row>
    <row r="55" s="1" customFormat="1" spans="1:12">
      <c r="A55" s="33"/>
      <c r="B55" s="13" t="s">
        <v>1940</v>
      </c>
      <c r="C55" s="13" t="s">
        <v>338</v>
      </c>
      <c r="D55" s="10" t="s">
        <v>1941</v>
      </c>
      <c r="E55" s="25" t="s">
        <v>266</v>
      </c>
      <c r="F55" s="26"/>
      <c r="G55" s="26" t="s">
        <v>2144</v>
      </c>
      <c r="H55" s="37"/>
      <c r="I55" s="26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1870</v>
      </c>
      <c r="C56" s="13" t="s">
        <v>338</v>
      </c>
      <c r="D56" s="10" t="s">
        <v>1943</v>
      </c>
      <c r="E56" s="25" t="s">
        <v>266</v>
      </c>
      <c r="F56" s="26"/>
      <c r="G56" s="26" t="s">
        <v>1944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1945</v>
      </c>
      <c r="C57" s="52" t="s">
        <v>666</v>
      </c>
      <c r="D57" s="10" t="s">
        <v>1946</v>
      </c>
      <c r="E57" s="25" t="s">
        <v>266</v>
      </c>
      <c r="F57" s="26"/>
      <c r="G57" s="26" t="s">
        <v>2145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1948</v>
      </c>
      <c r="C58" s="52" t="s">
        <v>666</v>
      </c>
      <c r="D58" s="10" t="s">
        <v>1949</v>
      </c>
      <c r="E58" s="25" t="s">
        <v>266</v>
      </c>
      <c r="F58" s="26"/>
      <c r="G58" s="26" t="s">
        <v>2146</v>
      </c>
      <c r="H58" s="3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728</v>
      </c>
      <c r="C59" s="13" t="s">
        <v>338</v>
      </c>
      <c r="D59" s="10" t="s">
        <v>729</v>
      </c>
      <c r="E59" s="25" t="s">
        <v>266</v>
      </c>
      <c r="F59" s="26"/>
      <c r="G59" s="26" t="s">
        <v>956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730</v>
      </c>
      <c r="C60" s="13" t="s">
        <v>666</v>
      </c>
      <c r="D60" s="10" t="s">
        <v>731</v>
      </c>
      <c r="E60" s="25" t="s">
        <v>266</v>
      </c>
      <c r="F60" s="55"/>
      <c r="G60" s="26" t="s">
        <v>957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733</v>
      </c>
      <c r="C61" s="13" t="s">
        <v>338</v>
      </c>
      <c r="D61" s="10" t="s">
        <v>734</v>
      </c>
      <c r="E61" s="25" t="s">
        <v>266</v>
      </c>
      <c r="F61" s="26"/>
      <c r="G61" s="26" t="s">
        <v>958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736</v>
      </c>
      <c r="C62" s="13" t="s">
        <v>338</v>
      </c>
      <c r="D62" s="10" t="s">
        <v>737</v>
      </c>
      <c r="E62" s="25" t="s">
        <v>266</v>
      </c>
      <c r="F62" s="26"/>
      <c r="G62" s="26" t="s">
        <v>959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739</v>
      </c>
      <c r="C63" s="13" t="s">
        <v>338</v>
      </c>
      <c r="D63" s="10" t="s">
        <v>740</v>
      </c>
      <c r="E63" s="25" t="s">
        <v>266</v>
      </c>
      <c r="F63" s="26"/>
      <c r="G63" s="26" t="s">
        <v>960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742</v>
      </c>
      <c r="C64" s="13" t="s">
        <v>338</v>
      </c>
      <c r="D64" s="10" t="s">
        <v>743</v>
      </c>
      <c r="E64" s="25" t="s">
        <v>266</v>
      </c>
      <c r="F64" s="26"/>
      <c r="G64" s="26" t="s">
        <v>961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745</v>
      </c>
      <c r="C65" s="13" t="s">
        <v>338</v>
      </c>
      <c r="D65" s="10" t="s">
        <v>746</v>
      </c>
      <c r="E65" s="25" t="s">
        <v>266</v>
      </c>
      <c r="F65" s="26"/>
      <c r="G65" s="26" t="s">
        <v>962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748</v>
      </c>
      <c r="C66" s="13" t="s">
        <v>338</v>
      </c>
      <c r="D66" s="10" t="s">
        <v>749</v>
      </c>
      <c r="E66" s="25" t="s">
        <v>266</v>
      </c>
      <c r="F66" s="26"/>
      <c r="G66" s="26" t="s">
        <v>963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751</v>
      </c>
      <c r="C67" s="13" t="s">
        <v>666</v>
      </c>
      <c r="D67" s="10" t="s">
        <v>752</v>
      </c>
      <c r="E67" s="25" t="s">
        <v>266</v>
      </c>
      <c r="F67" s="55"/>
      <c r="G67" s="26" t="s">
        <v>964</v>
      </c>
      <c r="H67" s="3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754</v>
      </c>
      <c r="C68" s="13" t="s">
        <v>338</v>
      </c>
      <c r="D68" s="10" t="s">
        <v>755</v>
      </c>
      <c r="E68" s="25" t="s">
        <v>266</v>
      </c>
      <c r="F68" s="26"/>
      <c r="G68" s="26" t="s">
        <v>965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757</v>
      </c>
      <c r="C69" s="13" t="s">
        <v>338</v>
      </c>
      <c r="D69" s="10" t="s">
        <v>758</v>
      </c>
      <c r="E69" s="25" t="s">
        <v>266</v>
      </c>
      <c r="F69" s="26"/>
      <c r="G69" s="26" t="s">
        <v>966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760</v>
      </c>
      <c r="C70" s="13" t="s">
        <v>338</v>
      </c>
      <c r="D70" s="10" t="s">
        <v>761</v>
      </c>
      <c r="E70" s="25" t="s">
        <v>266</v>
      </c>
      <c r="F70" s="26"/>
      <c r="G70" s="26" t="s">
        <v>967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763</v>
      </c>
      <c r="C71" s="13" t="s">
        <v>338</v>
      </c>
      <c r="D71" s="10" t="s">
        <v>764</v>
      </c>
      <c r="E71" s="25" t="s">
        <v>266</v>
      </c>
      <c r="F71" s="26"/>
      <c r="G71" s="26" t="s">
        <v>968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766</v>
      </c>
      <c r="C72" s="13" t="s">
        <v>338</v>
      </c>
      <c r="D72" s="10" t="s">
        <v>767</v>
      </c>
      <c r="E72" s="25" t="s">
        <v>266</v>
      </c>
      <c r="F72" s="26"/>
      <c r="G72" s="26" t="s">
        <v>969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769</v>
      </c>
      <c r="C73" s="13" t="s">
        <v>666</v>
      </c>
      <c r="D73" s="10" t="s">
        <v>770</v>
      </c>
      <c r="E73" s="25" t="s">
        <v>266</v>
      </c>
      <c r="F73" s="26"/>
      <c r="G73" s="26" t="s">
        <v>970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772</v>
      </c>
      <c r="C74" s="13" t="s">
        <v>666</v>
      </c>
      <c r="D74" s="10" t="s">
        <v>773</v>
      </c>
      <c r="E74" s="25" t="s">
        <v>266</v>
      </c>
      <c r="F74" s="55"/>
      <c r="G74" s="26" t="s">
        <v>971</v>
      </c>
      <c r="H74" s="3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775</v>
      </c>
      <c r="C75" s="13" t="s">
        <v>338</v>
      </c>
      <c r="D75" s="10" t="s">
        <v>776</v>
      </c>
      <c r="E75" s="25" t="s">
        <v>266</v>
      </c>
      <c r="F75" s="26"/>
      <c r="G75" s="26" t="s">
        <v>972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778</v>
      </c>
      <c r="C76" s="13" t="s">
        <v>338</v>
      </c>
      <c r="D76" s="10" t="s">
        <v>779</v>
      </c>
      <c r="E76" s="25" t="s">
        <v>266</v>
      </c>
      <c r="F76" s="26"/>
      <c r="G76" s="26" t="s">
        <v>973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781</v>
      </c>
      <c r="C77" s="13" t="s">
        <v>338</v>
      </c>
      <c r="D77" s="10" t="s">
        <v>782</v>
      </c>
      <c r="E77" s="25" t="s">
        <v>266</v>
      </c>
      <c r="F77" s="26"/>
      <c r="G77" s="26" t="s">
        <v>974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784</v>
      </c>
      <c r="C78" s="13" t="s">
        <v>338</v>
      </c>
      <c r="D78" s="10" t="s">
        <v>785</v>
      </c>
      <c r="E78" s="25" t="s">
        <v>266</v>
      </c>
      <c r="F78" s="26"/>
      <c r="G78" s="26" t="s">
        <v>975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787</v>
      </c>
      <c r="C79" s="13" t="s">
        <v>338</v>
      </c>
      <c r="D79" s="10" t="s">
        <v>788</v>
      </c>
      <c r="E79" s="25" t="s">
        <v>266</v>
      </c>
      <c r="F79" s="26"/>
      <c r="G79" s="26" t="s">
        <v>976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413</v>
      </c>
      <c r="C80" s="13" t="s">
        <v>666</v>
      </c>
      <c r="D80" s="10" t="s">
        <v>790</v>
      </c>
      <c r="E80" s="25" t="s">
        <v>266</v>
      </c>
      <c r="F80" s="55"/>
      <c r="G80" s="26" t="s">
        <v>977</v>
      </c>
      <c r="H80" s="3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792</v>
      </c>
      <c r="C81" s="13" t="s">
        <v>338</v>
      </c>
      <c r="D81" s="10" t="s">
        <v>793</v>
      </c>
      <c r="E81" s="25" t="s">
        <v>266</v>
      </c>
      <c r="F81" s="26"/>
      <c r="G81" s="26" t="s">
        <v>978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418</v>
      </c>
      <c r="C82" s="13" t="s">
        <v>666</v>
      </c>
      <c r="D82" s="10" t="s">
        <v>795</v>
      </c>
      <c r="E82" s="25" t="s">
        <v>266</v>
      </c>
      <c r="F82" s="55"/>
      <c r="G82" s="26" t="s">
        <v>979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797</v>
      </c>
      <c r="C83" s="13" t="s">
        <v>338</v>
      </c>
      <c r="D83" s="10" t="s">
        <v>798</v>
      </c>
      <c r="E83" s="25" t="s">
        <v>266</v>
      </c>
      <c r="F83" s="26"/>
      <c r="G83" s="26" t="s">
        <v>980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32" t="s">
        <v>1860</v>
      </c>
      <c r="C84" s="32" t="s">
        <v>338</v>
      </c>
      <c r="D84" s="10" t="s">
        <v>1861</v>
      </c>
      <c r="E84" s="25" t="s">
        <v>266</v>
      </c>
      <c r="F84" s="26"/>
      <c r="G84" s="26" t="s">
        <v>1966</v>
      </c>
      <c r="H84" s="3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32" t="s">
        <v>1903</v>
      </c>
      <c r="C85" s="32" t="s">
        <v>666</v>
      </c>
      <c r="D85" s="10" t="s">
        <v>1904</v>
      </c>
      <c r="E85" s="25" t="s">
        <v>266</v>
      </c>
      <c r="F85" s="26"/>
      <c r="G85" s="26" t="s">
        <v>1967</v>
      </c>
      <c r="H85" s="37"/>
      <c r="I85" s="26"/>
      <c r="J85" s="15" t="s">
        <v>632</v>
      </c>
      <c r="K85" s="15" t="s">
        <v>1898</v>
      </c>
      <c r="L85" s="15" t="s">
        <v>633</v>
      </c>
    </row>
    <row r="86" s="1" customFormat="1" spans="1:12">
      <c r="A86" s="33"/>
      <c r="B86" s="52" t="s">
        <v>1968</v>
      </c>
      <c r="C86" s="52" t="s">
        <v>666</v>
      </c>
      <c r="D86" s="54" t="s">
        <v>1969</v>
      </c>
      <c r="E86" s="25" t="s">
        <v>266</v>
      </c>
      <c r="F86" s="55"/>
      <c r="G86" s="26" t="s">
        <v>2147</v>
      </c>
      <c r="H86" s="27"/>
      <c r="I86" s="26"/>
      <c r="J86" s="15" t="s">
        <v>632</v>
      </c>
      <c r="K86" s="15" t="s">
        <v>1898</v>
      </c>
      <c r="L86" s="15" t="s">
        <v>633</v>
      </c>
    </row>
    <row r="87" s="1" customFormat="1" spans="2:12">
      <c r="B87" s="32" t="s">
        <v>1906</v>
      </c>
      <c r="C87" s="32" t="s">
        <v>666</v>
      </c>
      <c r="D87" s="10" t="s">
        <v>1907</v>
      </c>
      <c r="E87" s="25" t="s">
        <v>266</v>
      </c>
      <c r="F87" s="32"/>
      <c r="G87" s="26" t="s">
        <v>1971</v>
      </c>
      <c r="H87" s="37"/>
      <c r="I87" s="26"/>
      <c r="J87" s="15" t="s">
        <v>632</v>
      </c>
      <c r="K87" s="15" t="s">
        <v>1902</v>
      </c>
      <c r="L87" s="15" t="s">
        <v>633</v>
      </c>
    </row>
    <row r="88" s="1" customFormat="1" spans="1:12">
      <c r="A88" s="33"/>
      <c r="B88" s="32" t="s">
        <v>1892</v>
      </c>
      <c r="C88" s="32" t="s">
        <v>338</v>
      </c>
      <c r="D88" s="10" t="s">
        <v>1972</v>
      </c>
      <c r="E88" s="25" t="s">
        <v>266</v>
      </c>
      <c r="F88" s="26"/>
      <c r="G88" s="26" t="s">
        <v>1973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32" t="s">
        <v>1895</v>
      </c>
      <c r="C89" s="32" t="s">
        <v>666</v>
      </c>
      <c r="D89" s="10" t="s">
        <v>1896</v>
      </c>
      <c r="E89" s="25" t="s">
        <v>266</v>
      </c>
      <c r="F89" s="26"/>
      <c r="G89" s="26" t="s">
        <v>1974</v>
      </c>
      <c r="H89" s="37"/>
      <c r="I89" s="26"/>
      <c r="J89" s="15" t="s">
        <v>632</v>
      </c>
      <c r="K89" s="15" t="s">
        <v>1898</v>
      </c>
      <c r="L89" s="15" t="s">
        <v>633</v>
      </c>
    </row>
    <row r="90" s="1" customFormat="1" spans="2:12">
      <c r="B90" s="32" t="s">
        <v>1899</v>
      </c>
      <c r="C90" s="32" t="s">
        <v>666</v>
      </c>
      <c r="D90" s="10" t="s">
        <v>1900</v>
      </c>
      <c r="E90" s="25" t="s">
        <v>266</v>
      </c>
      <c r="F90" s="32"/>
      <c r="G90" s="26" t="s">
        <v>1975</v>
      </c>
      <c r="H90" s="37"/>
      <c r="I90" s="26"/>
      <c r="J90" s="15" t="s">
        <v>632</v>
      </c>
      <c r="K90" s="15" t="s">
        <v>1902</v>
      </c>
      <c r="L90" s="15" t="s">
        <v>633</v>
      </c>
    </row>
    <row r="91" s="1" customFormat="1" spans="2:12">
      <c r="B91" s="32" t="s">
        <v>1976</v>
      </c>
      <c r="C91" s="32" t="s">
        <v>666</v>
      </c>
      <c r="D91" s="10" t="s">
        <v>1977</v>
      </c>
      <c r="E91" s="25" t="s">
        <v>266</v>
      </c>
      <c r="F91" s="26"/>
      <c r="G91" s="26" t="s">
        <v>2148</v>
      </c>
      <c r="H91" s="37"/>
      <c r="I91" s="26"/>
      <c r="J91" s="15" t="s">
        <v>632</v>
      </c>
      <c r="K91" s="15" t="s">
        <v>669</v>
      </c>
      <c r="L91" s="15" t="s">
        <v>633</v>
      </c>
    </row>
    <row r="92" s="1" customFormat="1" spans="2:12">
      <c r="B92" s="32" t="s">
        <v>1979</v>
      </c>
      <c r="C92" s="32" t="s">
        <v>338</v>
      </c>
      <c r="D92" s="10" t="s">
        <v>1980</v>
      </c>
      <c r="E92" s="25" t="s">
        <v>266</v>
      </c>
      <c r="F92" s="26"/>
      <c r="G92" s="26" t="s">
        <v>2149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2:12">
      <c r="B93" s="32" t="s">
        <v>1982</v>
      </c>
      <c r="C93" s="32" t="s">
        <v>338</v>
      </c>
      <c r="D93" s="10" t="s">
        <v>1983</v>
      </c>
      <c r="E93" s="25" t="s">
        <v>266</v>
      </c>
      <c r="F93" s="26"/>
      <c r="G93" s="26" t="s">
        <v>2150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2:12">
      <c r="B94" s="32" t="s">
        <v>1985</v>
      </c>
      <c r="C94" s="32" t="s">
        <v>338</v>
      </c>
      <c r="D94" s="10" t="s">
        <v>1986</v>
      </c>
      <c r="E94" s="25" t="s">
        <v>266</v>
      </c>
      <c r="F94" s="26"/>
      <c r="G94" s="26" t="s">
        <v>2151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1988</v>
      </c>
      <c r="C95" s="32" t="s">
        <v>666</v>
      </c>
      <c r="D95" s="10" t="s">
        <v>1989</v>
      </c>
      <c r="E95" s="25" t="s">
        <v>266</v>
      </c>
      <c r="F95" s="32"/>
      <c r="G95" s="26" t="s">
        <v>2152</v>
      </c>
      <c r="H95" s="37"/>
      <c r="I95" s="26"/>
      <c r="J95" s="15" t="s">
        <v>632</v>
      </c>
      <c r="K95" s="15" t="s">
        <v>294</v>
      </c>
      <c r="L95" s="15" t="s">
        <v>1264</v>
      </c>
    </row>
    <row r="96" s="1" customFormat="1" spans="2:12">
      <c r="B96" s="32" t="s">
        <v>1991</v>
      </c>
      <c r="C96" s="32" t="s">
        <v>666</v>
      </c>
      <c r="D96" s="10" t="s">
        <v>1992</v>
      </c>
      <c r="E96" s="25" t="s">
        <v>266</v>
      </c>
      <c r="F96" s="26"/>
      <c r="G96" s="26" t="s">
        <v>2153</v>
      </c>
      <c r="H96" s="37"/>
      <c r="I96" s="26"/>
      <c r="J96" s="15" t="s">
        <v>632</v>
      </c>
      <c r="K96" s="15" t="s">
        <v>669</v>
      </c>
      <c r="L96" s="15" t="s">
        <v>633</v>
      </c>
    </row>
    <row r="97" s="1" customFormat="1" spans="2:12">
      <c r="B97" s="32" t="s">
        <v>1994</v>
      </c>
      <c r="C97" s="32" t="s">
        <v>338</v>
      </c>
      <c r="D97" s="10" t="s">
        <v>1995</v>
      </c>
      <c r="E97" s="25" t="s">
        <v>266</v>
      </c>
      <c r="F97" s="26"/>
      <c r="G97" s="26" t="s">
        <v>2154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1997</v>
      </c>
      <c r="C98" s="32" t="s">
        <v>338</v>
      </c>
      <c r="D98" s="10" t="s">
        <v>1998</v>
      </c>
      <c r="E98" s="25" t="s">
        <v>266</v>
      </c>
      <c r="F98" s="26"/>
      <c r="G98" s="26" t="s">
        <v>2155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2000</v>
      </c>
      <c r="C99" s="32" t="s">
        <v>338</v>
      </c>
      <c r="D99" s="10" t="s">
        <v>2001</v>
      </c>
      <c r="E99" s="25" t="s">
        <v>266</v>
      </c>
      <c r="F99" s="26"/>
      <c r="G99" s="26" t="s">
        <v>2156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2002</v>
      </c>
      <c r="C100" s="32" t="s">
        <v>338</v>
      </c>
      <c r="D100" s="10" t="s">
        <v>1887</v>
      </c>
      <c r="E100" s="25" t="s">
        <v>266</v>
      </c>
      <c r="F100" s="26"/>
      <c r="G100" s="26" t="s">
        <v>2157</v>
      </c>
      <c r="H100" s="37"/>
      <c r="I100" s="26"/>
      <c r="J100" s="15" t="s">
        <v>632</v>
      </c>
      <c r="K100" s="15" t="s">
        <v>669</v>
      </c>
      <c r="L100" s="15" t="s">
        <v>633</v>
      </c>
    </row>
    <row r="101" s="1" customFormat="1" spans="2:12">
      <c r="B101" s="32" t="s">
        <v>2004</v>
      </c>
      <c r="C101" s="32" t="s">
        <v>338</v>
      </c>
      <c r="D101" s="10" t="s">
        <v>2005</v>
      </c>
      <c r="E101" s="25" t="s">
        <v>266</v>
      </c>
      <c r="F101" s="26"/>
      <c r="G101" s="26" t="s">
        <v>2158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2007</v>
      </c>
      <c r="C102" s="32" t="s">
        <v>338</v>
      </c>
      <c r="D102" s="10" t="s">
        <v>1890</v>
      </c>
      <c r="E102" s="25" t="s">
        <v>266</v>
      </c>
      <c r="F102" s="26"/>
      <c r="G102" s="26" t="s">
        <v>2159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2009</v>
      </c>
      <c r="C103" s="32" t="s">
        <v>338</v>
      </c>
      <c r="D103" s="10" t="s">
        <v>2010</v>
      </c>
      <c r="E103" s="25" t="s">
        <v>266</v>
      </c>
      <c r="F103" s="26"/>
      <c r="G103" s="26" t="s">
        <v>2160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2012</v>
      </c>
      <c r="C104" s="32" t="s">
        <v>338</v>
      </c>
      <c r="D104" s="10" t="s">
        <v>2013</v>
      </c>
      <c r="E104" s="25" t="s">
        <v>266</v>
      </c>
      <c r="F104" s="26"/>
      <c r="G104" s="26" t="s">
        <v>2161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2015</v>
      </c>
      <c r="C105" s="32" t="s">
        <v>338</v>
      </c>
      <c r="D105" s="10" t="s">
        <v>2016</v>
      </c>
      <c r="E105" s="25" t="s">
        <v>266</v>
      </c>
      <c r="F105" s="26"/>
      <c r="G105" s="26" t="s">
        <v>2162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2018</v>
      </c>
      <c r="C106" s="32" t="s">
        <v>338</v>
      </c>
      <c r="D106" s="10" t="s">
        <v>2019</v>
      </c>
      <c r="E106" s="25" t="s">
        <v>266</v>
      </c>
      <c r="F106" s="26"/>
      <c r="G106" s="26" t="s">
        <v>2163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2021</v>
      </c>
      <c r="C107" s="32" t="s">
        <v>338</v>
      </c>
      <c r="D107" s="10" t="s">
        <v>2022</v>
      </c>
      <c r="E107" s="25" t="s">
        <v>266</v>
      </c>
      <c r="F107" s="26"/>
      <c r="G107" s="26" t="s">
        <v>2164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2024</v>
      </c>
      <c r="C108" s="32" t="s">
        <v>338</v>
      </c>
      <c r="D108" s="10" t="s">
        <v>2025</v>
      </c>
      <c r="E108" s="25" t="s">
        <v>266</v>
      </c>
      <c r="F108" s="26"/>
      <c r="G108" s="26" t="s">
        <v>2165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2027</v>
      </c>
      <c r="C109" s="32" t="s">
        <v>338</v>
      </c>
      <c r="D109" s="10" t="s">
        <v>2028</v>
      </c>
      <c r="E109" s="25" t="s">
        <v>266</v>
      </c>
      <c r="F109" s="26"/>
      <c r="G109" s="26" t="s">
        <v>2166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2030</v>
      </c>
      <c r="C110" s="13" t="s">
        <v>666</v>
      </c>
      <c r="D110" s="10" t="s">
        <v>2031</v>
      </c>
      <c r="E110" s="25" t="s">
        <v>266</v>
      </c>
      <c r="F110" s="55"/>
      <c r="G110" s="26" t="s">
        <v>2167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52" t="s">
        <v>2033</v>
      </c>
      <c r="C111" s="52" t="s">
        <v>338</v>
      </c>
      <c r="D111" s="54" t="s">
        <v>2034</v>
      </c>
      <c r="E111" s="25" t="s">
        <v>266</v>
      </c>
      <c r="F111" s="26"/>
      <c r="G111" s="26" t="s">
        <v>2168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52" t="s">
        <v>2036</v>
      </c>
      <c r="C112" s="52" t="s">
        <v>338</v>
      </c>
      <c r="D112" s="54" t="s">
        <v>2037</v>
      </c>
      <c r="E112" s="25" t="s">
        <v>266</v>
      </c>
      <c r="F112" s="26"/>
      <c r="G112" s="26" t="s">
        <v>2169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2039</v>
      </c>
      <c r="C113" s="52" t="s">
        <v>338</v>
      </c>
      <c r="D113" s="54" t="s">
        <v>2040</v>
      </c>
      <c r="E113" s="25" t="s">
        <v>266</v>
      </c>
      <c r="F113" s="26"/>
      <c r="G113" s="26" t="s">
        <v>2170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2042</v>
      </c>
      <c r="C114" s="52" t="s">
        <v>338</v>
      </c>
      <c r="D114" s="54" t="s">
        <v>2043</v>
      </c>
      <c r="E114" s="25" t="s">
        <v>266</v>
      </c>
      <c r="F114" s="26"/>
      <c r="G114" s="26" t="s">
        <v>2171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2045</v>
      </c>
      <c r="C115" s="52" t="s">
        <v>338</v>
      </c>
      <c r="D115" s="54" t="s">
        <v>2046</v>
      </c>
      <c r="E115" s="25" t="s">
        <v>266</v>
      </c>
      <c r="F115" s="26"/>
      <c r="G115" s="26" t="s">
        <v>2172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2048</v>
      </c>
      <c r="C116" s="52" t="s">
        <v>666</v>
      </c>
      <c r="D116" s="10" t="s">
        <v>2049</v>
      </c>
      <c r="E116" s="25" t="s">
        <v>266</v>
      </c>
      <c r="F116" s="55"/>
      <c r="G116" s="26" t="s">
        <v>2173</v>
      </c>
      <c r="H116" s="37"/>
      <c r="I116" s="26"/>
      <c r="J116" s="15" t="s">
        <v>632</v>
      </c>
      <c r="K116" s="15" t="s">
        <v>404</v>
      </c>
      <c r="L116" s="15" t="s">
        <v>633</v>
      </c>
    </row>
    <row r="117" s="1" customFormat="1" spans="1:12">
      <c r="A117" s="33"/>
      <c r="B117" s="13" t="s">
        <v>2051</v>
      </c>
      <c r="C117" s="13" t="s">
        <v>338</v>
      </c>
      <c r="D117" s="10" t="s">
        <v>2052</v>
      </c>
      <c r="E117" s="25" t="s">
        <v>266</v>
      </c>
      <c r="F117" s="26"/>
      <c r="G117" s="26" t="s">
        <v>2174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2054</v>
      </c>
      <c r="C118" s="13" t="s">
        <v>338</v>
      </c>
      <c r="D118" s="10" t="s">
        <v>2055</v>
      </c>
      <c r="E118" s="25" t="s">
        <v>266</v>
      </c>
      <c r="F118" s="26"/>
      <c r="G118" s="26" t="s">
        <v>2175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2057</v>
      </c>
      <c r="C119" s="13" t="s">
        <v>338</v>
      </c>
      <c r="D119" s="10" t="s">
        <v>2058</v>
      </c>
      <c r="E119" s="25" t="s">
        <v>266</v>
      </c>
      <c r="F119" s="26"/>
      <c r="G119" s="26" t="s">
        <v>2176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2060</v>
      </c>
      <c r="C120" s="13" t="s">
        <v>338</v>
      </c>
      <c r="D120" s="10" t="s">
        <v>2061</v>
      </c>
      <c r="E120" s="25" t="s">
        <v>266</v>
      </c>
      <c r="F120" s="26"/>
      <c r="G120" s="26" t="s">
        <v>2177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2063</v>
      </c>
      <c r="C121" s="13" t="s">
        <v>338</v>
      </c>
      <c r="D121" s="10" t="s">
        <v>2064</v>
      </c>
      <c r="E121" s="25" t="s">
        <v>266</v>
      </c>
      <c r="F121" s="26"/>
      <c r="G121" s="26" t="s">
        <v>2178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2066</v>
      </c>
      <c r="C122" s="52" t="s">
        <v>666</v>
      </c>
      <c r="D122" s="10" t="s">
        <v>2067</v>
      </c>
      <c r="E122" s="25" t="s">
        <v>266</v>
      </c>
      <c r="F122" s="55"/>
      <c r="G122" s="26" t="s">
        <v>2179</v>
      </c>
      <c r="H122" s="3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52" t="s">
        <v>2069</v>
      </c>
      <c r="C123" s="52" t="s">
        <v>338</v>
      </c>
      <c r="D123" s="54" t="s">
        <v>2070</v>
      </c>
      <c r="E123" s="25" t="s">
        <v>266</v>
      </c>
      <c r="F123" s="26"/>
      <c r="G123" s="26" t="s">
        <v>2180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52" t="s">
        <v>2072</v>
      </c>
      <c r="C124" s="52" t="s">
        <v>338</v>
      </c>
      <c r="D124" s="54" t="s">
        <v>2073</v>
      </c>
      <c r="E124" s="25" t="s">
        <v>266</v>
      </c>
      <c r="F124" s="26"/>
      <c r="G124" s="26" t="s">
        <v>2181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52" t="s">
        <v>2075</v>
      </c>
      <c r="C125" s="52" t="s">
        <v>338</v>
      </c>
      <c r="D125" s="54" t="s">
        <v>2076</v>
      </c>
      <c r="E125" s="25" t="s">
        <v>266</v>
      </c>
      <c r="F125" s="26"/>
      <c r="G125" s="26" t="s">
        <v>2182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2078</v>
      </c>
      <c r="C126" s="52" t="s">
        <v>338</v>
      </c>
      <c r="D126" s="54" t="s">
        <v>2079</v>
      </c>
      <c r="E126" s="25" t="s">
        <v>266</v>
      </c>
      <c r="F126" s="26"/>
      <c r="G126" s="26" t="s">
        <v>2183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2081</v>
      </c>
      <c r="C127" s="52" t="s">
        <v>338</v>
      </c>
      <c r="D127" s="54" t="s">
        <v>2082</v>
      </c>
      <c r="E127" s="25" t="s">
        <v>266</v>
      </c>
      <c r="F127" s="26"/>
      <c r="G127" s="26" t="s">
        <v>2184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2:12">
      <c r="B128" s="32" t="s">
        <v>2084</v>
      </c>
      <c r="C128" s="32" t="s">
        <v>338</v>
      </c>
      <c r="D128" s="10" t="s">
        <v>2085</v>
      </c>
      <c r="E128" s="25" t="s">
        <v>266</v>
      </c>
      <c r="F128" s="26"/>
      <c r="G128" s="26" t="s">
        <v>2185</v>
      </c>
      <c r="H128" s="37"/>
      <c r="I128" s="26"/>
      <c r="J128" s="15" t="s">
        <v>632</v>
      </c>
      <c r="K128" s="15" t="s">
        <v>669</v>
      </c>
      <c r="L128" s="15" t="s">
        <v>670</v>
      </c>
    </row>
    <row r="129" s="1" customFormat="1" spans="2:12">
      <c r="B129" s="32" t="s">
        <v>1909</v>
      </c>
      <c r="C129" s="32" t="s">
        <v>338</v>
      </c>
      <c r="D129" s="10" t="s">
        <v>2087</v>
      </c>
      <c r="E129" s="25" t="s">
        <v>266</v>
      </c>
      <c r="F129" s="26"/>
      <c r="G129" s="26" t="s">
        <v>2088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2089</v>
      </c>
      <c r="C130" s="52" t="s">
        <v>666</v>
      </c>
      <c r="D130" s="54" t="s">
        <v>2090</v>
      </c>
      <c r="E130" s="25" t="s">
        <v>266</v>
      </c>
      <c r="F130" s="55"/>
      <c r="G130" s="26" t="s">
        <v>2186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1:12">
      <c r="A131" s="33"/>
      <c r="B131" s="52" t="s">
        <v>2092</v>
      </c>
      <c r="C131" s="52" t="s">
        <v>338</v>
      </c>
      <c r="D131" s="54" t="s">
        <v>2093</v>
      </c>
      <c r="E131" s="25" t="s">
        <v>266</v>
      </c>
      <c r="F131" s="26"/>
      <c r="G131" s="26" t="s">
        <v>2187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2095</v>
      </c>
      <c r="C132" s="52" t="s">
        <v>338</v>
      </c>
      <c r="D132" s="54" t="s">
        <v>2096</v>
      </c>
      <c r="E132" s="25" t="s">
        <v>266</v>
      </c>
      <c r="F132" s="26"/>
      <c r="G132" s="26" t="s">
        <v>2188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2098</v>
      </c>
      <c r="C133" s="52" t="s">
        <v>338</v>
      </c>
      <c r="D133" s="54" t="s">
        <v>2099</v>
      </c>
      <c r="E133" s="25" t="s">
        <v>266</v>
      </c>
      <c r="F133" s="26"/>
      <c r="G133" s="26" t="s">
        <v>2189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2101</v>
      </c>
      <c r="C134" s="52" t="s">
        <v>338</v>
      </c>
      <c r="D134" s="54" t="s">
        <v>2102</v>
      </c>
      <c r="E134" s="25" t="s">
        <v>266</v>
      </c>
      <c r="F134" s="26"/>
      <c r="G134" s="26" t="s">
        <v>2190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2104</v>
      </c>
      <c r="C135" s="52" t="s">
        <v>338</v>
      </c>
      <c r="D135" s="54" t="s">
        <v>2105</v>
      </c>
      <c r="E135" s="25" t="s">
        <v>266</v>
      </c>
      <c r="F135" s="26"/>
      <c r="G135" s="26" t="s">
        <v>2191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2107</v>
      </c>
      <c r="C136" s="52" t="s">
        <v>338</v>
      </c>
      <c r="D136" s="10" t="s">
        <v>2108</v>
      </c>
      <c r="E136" s="25" t="s">
        <v>266</v>
      </c>
      <c r="F136" s="26"/>
      <c r="G136" s="26" t="s">
        <v>2192</v>
      </c>
      <c r="H136" s="37"/>
      <c r="I136" s="26"/>
      <c r="J136" s="15" t="s">
        <v>632</v>
      </c>
      <c r="K136" s="15" t="s">
        <v>669</v>
      </c>
      <c r="L136" s="15" t="s">
        <v>670</v>
      </c>
    </row>
    <row r="137" s="1" customFormat="1" spans="1:12">
      <c r="A137" s="33"/>
      <c r="B137" s="52" t="s">
        <v>1912</v>
      </c>
      <c r="C137" s="52" t="s">
        <v>338</v>
      </c>
      <c r="D137" s="10" t="s">
        <v>2110</v>
      </c>
      <c r="E137" s="25" t="s">
        <v>266</v>
      </c>
      <c r="F137" s="26"/>
      <c r="G137" s="26" t="s">
        <v>2111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2112</v>
      </c>
      <c r="C138" s="52" t="s">
        <v>666</v>
      </c>
      <c r="D138" s="54" t="s">
        <v>2113</v>
      </c>
      <c r="E138" s="25" t="s">
        <v>266</v>
      </c>
      <c r="F138" s="55"/>
      <c r="G138" s="26" t="s">
        <v>2193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2115</v>
      </c>
      <c r="C139" s="52" t="s">
        <v>338</v>
      </c>
      <c r="D139" s="54" t="s">
        <v>2116</v>
      </c>
      <c r="E139" s="25" t="s">
        <v>266</v>
      </c>
      <c r="F139" s="26"/>
      <c r="G139" s="26" t="s">
        <v>2194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2118</v>
      </c>
      <c r="C140" s="52" t="s">
        <v>338</v>
      </c>
      <c r="D140" s="54" t="s">
        <v>2119</v>
      </c>
      <c r="E140" s="25" t="s">
        <v>266</v>
      </c>
      <c r="F140" s="26"/>
      <c r="G140" s="26" t="s">
        <v>2195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2121</v>
      </c>
      <c r="C141" s="52" t="s">
        <v>338</v>
      </c>
      <c r="D141" s="54" t="s">
        <v>2122</v>
      </c>
      <c r="E141" s="25" t="s">
        <v>266</v>
      </c>
      <c r="F141" s="26"/>
      <c r="G141" s="26" t="s">
        <v>2196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2124</v>
      </c>
      <c r="C142" s="52" t="s">
        <v>338</v>
      </c>
      <c r="D142" s="54" t="s">
        <v>2125</v>
      </c>
      <c r="E142" s="25" t="s">
        <v>266</v>
      </c>
      <c r="F142" s="26"/>
      <c r="G142" s="26" t="s">
        <v>2197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2127</v>
      </c>
      <c r="C143" s="52" t="s">
        <v>338</v>
      </c>
      <c r="D143" s="54" t="s">
        <v>2128</v>
      </c>
      <c r="E143" s="25" t="s">
        <v>266</v>
      </c>
      <c r="F143" s="26"/>
      <c r="G143" s="26" t="s">
        <v>2198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2130</v>
      </c>
      <c r="C144" s="52" t="s">
        <v>338</v>
      </c>
      <c r="D144" s="54" t="s">
        <v>2131</v>
      </c>
      <c r="E144" s="25" t="s">
        <v>266</v>
      </c>
      <c r="F144" s="55"/>
      <c r="G144" s="26" t="s">
        <v>2199</v>
      </c>
      <c r="H144" s="27"/>
      <c r="I144" s="26"/>
      <c r="J144" s="15" t="s">
        <v>632</v>
      </c>
      <c r="K144" s="15" t="s">
        <v>294</v>
      </c>
      <c r="L144" s="15" t="s">
        <v>633</v>
      </c>
    </row>
    <row r="145" s="1" customFormat="1" spans="1:12">
      <c r="A145" s="33"/>
      <c r="B145" s="52" t="s">
        <v>2133</v>
      </c>
      <c r="C145" s="52" t="s">
        <v>338</v>
      </c>
      <c r="D145" s="54" t="s">
        <v>2134</v>
      </c>
      <c r="E145" s="25" t="s">
        <v>266</v>
      </c>
      <c r="F145" s="55"/>
      <c r="G145" s="26" t="s">
        <v>2200</v>
      </c>
      <c r="H145" s="27"/>
      <c r="I145" s="26"/>
      <c r="J145" s="15" t="s">
        <v>632</v>
      </c>
      <c r="K145" s="15" t="s">
        <v>669</v>
      </c>
      <c r="L145" s="15" t="s">
        <v>633</v>
      </c>
    </row>
    <row r="146" s="1" customFormat="1" spans="1:12">
      <c r="A146" s="33"/>
      <c r="B146" s="13" t="s">
        <v>887</v>
      </c>
      <c r="C146" s="13" t="s">
        <v>338</v>
      </c>
      <c r="D146" s="10" t="s">
        <v>888</v>
      </c>
      <c r="E146" s="25" t="s">
        <v>266</v>
      </c>
      <c r="F146" s="26"/>
      <c r="G146" s="26" t="s">
        <v>1013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13" t="s">
        <v>926</v>
      </c>
      <c r="C147" s="13" t="s">
        <v>291</v>
      </c>
      <c r="D147" s="10" t="s">
        <v>927</v>
      </c>
      <c r="E147" s="25" t="s">
        <v>266</v>
      </c>
      <c r="F147" s="35"/>
      <c r="G147" s="35" t="s">
        <v>1026</v>
      </c>
      <c r="H147" s="37"/>
      <c r="I147" s="56">
        <v>20250415101139</v>
      </c>
      <c r="J147" s="15" t="s">
        <v>632</v>
      </c>
      <c r="K147" s="15" t="s">
        <v>294</v>
      </c>
      <c r="L147" s="15" t="s">
        <v>670</v>
      </c>
    </row>
    <row r="148" s="1" customFormat="1" spans="1:12">
      <c r="A148" s="33"/>
      <c r="B148" s="13" t="s">
        <v>929</v>
      </c>
      <c r="C148" s="13" t="s">
        <v>291</v>
      </c>
      <c r="D148" s="10" t="s">
        <v>930</v>
      </c>
      <c r="E148" s="25" t="s">
        <v>266</v>
      </c>
      <c r="F148" s="35"/>
      <c r="G148" s="35" t="s">
        <v>1027</v>
      </c>
      <c r="H148" s="37"/>
      <c r="I148" s="56">
        <v>20250415101024</v>
      </c>
      <c r="J148" s="15" t="s">
        <v>632</v>
      </c>
      <c r="K148" s="15" t="s">
        <v>294</v>
      </c>
      <c r="L148" s="15" t="s">
        <v>670</v>
      </c>
    </row>
    <row r="149" s="2" customFormat="1" spans="2:14">
      <c r="B149" s="17" t="s">
        <v>594</v>
      </c>
      <c r="C149" s="18" t="s">
        <v>307</v>
      </c>
      <c r="D149" s="19" t="s">
        <v>595</v>
      </c>
      <c r="E149" s="28"/>
      <c r="F149" s="28"/>
      <c r="G149" s="28"/>
      <c r="H149" s="17"/>
      <c r="I149" s="17"/>
      <c r="J149" s="17"/>
      <c r="K149" s="17"/>
      <c r="L149" s="17"/>
      <c r="M149" s="17"/>
      <c r="N149" s="17"/>
    </row>
    <row r="150" s="2" customFormat="1" spans="2:14">
      <c r="B150" s="17" t="s">
        <v>596</v>
      </c>
      <c r="C150" s="18" t="s">
        <v>291</v>
      </c>
      <c r="D150" s="19" t="s">
        <v>597</v>
      </c>
      <c r="E150" s="28"/>
      <c r="F150" s="28"/>
      <c r="G150" s="28"/>
      <c r="H150" s="17"/>
      <c r="I150" s="17"/>
      <c r="J150" s="17"/>
      <c r="K150" s="17"/>
      <c r="L150" s="17"/>
      <c r="M150" s="17"/>
      <c r="N150" s="17"/>
    </row>
    <row r="151" s="2" customFormat="1" spans="2:14">
      <c r="B151" s="17" t="s">
        <v>598</v>
      </c>
      <c r="C151" s="18" t="s">
        <v>307</v>
      </c>
      <c r="D151" s="19" t="s">
        <v>599</v>
      </c>
      <c r="E151" s="28"/>
      <c r="F151" s="28"/>
      <c r="G151" s="28"/>
      <c r="H151" s="17"/>
      <c r="I151" s="17"/>
      <c r="J151" s="17"/>
      <c r="K151" s="17"/>
      <c r="L151" s="17"/>
      <c r="M151" s="17"/>
      <c r="N151" s="17"/>
    </row>
  </sheetData>
  <autoFilter xmlns:etc="http://www.wps.cn/officeDocument/2017/etCustomData" ref="A13:N151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"/>
  <sheetViews>
    <sheetView zoomScale="85" zoomScaleNormal="85" workbookViewId="0">
      <pane ySplit="5" topLeftCell="A126" activePane="bottomLeft" state="frozen"/>
      <selection/>
      <selection pane="bottomLeft" activeCell="B137" sqref="B137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209</v>
      </c>
      <c r="D5" s="14" t="s">
        <v>210</v>
      </c>
      <c r="E5" s="13" t="s">
        <v>602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207</v>
      </c>
      <c r="D9" s="14" t="s">
        <v>208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25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26" t="s">
        <v>517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26" t="s">
        <v>520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26" t="s">
        <v>522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26" t="s">
        <v>524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26" t="s">
        <v>514</v>
      </c>
      <c r="G23" s="26" t="s">
        <v>293</v>
      </c>
      <c r="H23" s="25"/>
      <c r="I23" s="53"/>
      <c r="J23" s="15" t="s">
        <v>604</v>
      </c>
      <c r="K23" s="15" t="s">
        <v>294</v>
      </c>
      <c r="L23" s="15" t="s">
        <v>294</v>
      </c>
    </row>
    <row r="24" s="1" customFormat="1" spans="2:12">
      <c r="B24" s="32" t="s">
        <v>331</v>
      </c>
      <c r="C24" s="13" t="s">
        <v>291</v>
      </c>
      <c r="D24" s="10" t="s">
        <v>623</v>
      </c>
      <c r="E24" s="25" t="s">
        <v>266</v>
      </c>
      <c r="F24" s="26" t="s">
        <v>331</v>
      </c>
      <c r="G24" s="26" t="s">
        <v>293</v>
      </c>
      <c r="H24" s="25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629</v>
      </c>
      <c r="C25" s="13" t="s">
        <v>338</v>
      </c>
      <c r="D25" s="10" t="s">
        <v>630</v>
      </c>
      <c r="E25" s="25" t="s">
        <v>266</v>
      </c>
      <c r="F25" s="26"/>
      <c r="G25" s="26" t="s">
        <v>933</v>
      </c>
      <c r="H25" s="37"/>
      <c r="I25" s="26"/>
      <c r="J25" s="15" t="s">
        <v>632</v>
      </c>
      <c r="K25" s="15" t="s">
        <v>294</v>
      </c>
      <c r="L25" s="15" t="s">
        <v>633</v>
      </c>
    </row>
    <row r="26" s="1" customFormat="1" spans="1:12">
      <c r="A26" s="33"/>
      <c r="B26" s="13" t="s">
        <v>1270</v>
      </c>
      <c r="C26" s="13" t="s">
        <v>338</v>
      </c>
      <c r="D26" s="10" t="s">
        <v>1271</v>
      </c>
      <c r="E26" s="25" t="s">
        <v>266</v>
      </c>
      <c r="F26" s="26"/>
      <c r="G26" s="26" t="s">
        <v>1272</v>
      </c>
      <c r="H26" s="37"/>
      <c r="I26" s="26"/>
      <c r="J26" s="15" t="s">
        <v>632</v>
      </c>
      <c r="K26" s="15" t="s">
        <v>294</v>
      </c>
      <c r="L26" s="15" t="s">
        <v>633</v>
      </c>
    </row>
    <row r="27" s="1" customFormat="1" spans="1:12">
      <c r="A27" s="33"/>
      <c r="B27" s="13" t="s">
        <v>637</v>
      </c>
      <c r="C27" s="13" t="s">
        <v>338</v>
      </c>
      <c r="D27" s="10" t="s">
        <v>638</v>
      </c>
      <c r="E27" s="25" t="s">
        <v>266</v>
      </c>
      <c r="F27" s="26"/>
      <c r="G27" s="26" t="s">
        <v>935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32" t="s">
        <v>1273</v>
      </c>
      <c r="C28" s="32" t="s">
        <v>338</v>
      </c>
      <c r="D28" s="10" t="s">
        <v>640</v>
      </c>
      <c r="E28" s="25" t="s">
        <v>266</v>
      </c>
      <c r="F28" s="26"/>
      <c r="G28" s="26" t="s">
        <v>641</v>
      </c>
      <c r="H28" s="37"/>
      <c r="I28" s="26"/>
      <c r="J28" s="15" t="s">
        <v>632</v>
      </c>
      <c r="K28" s="15" t="s">
        <v>404</v>
      </c>
      <c r="L28" s="15" t="s">
        <v>633</v>
      </c>
    </row>
    <row r="29" s="1" customFormat="1" spans="1:12">
      <c r="A29" s="33"/>
      <c r="B29" s="13" t="s">
        <v>1044</v>
      </c>
      <c r="C29" s="13" t="s">
        <v>338</v>
      </c>
      <c r="D29" s="10" t="s">
        <v>642</v>
      </c>
      <c r="E29" s="25" t="s">
        <v>266</v>
      </c>
      <c r="F29" s="26"/>
      <c r="G29" s="26" t="s">
        <v>643</v>
      </c>
      <c r="H29" s="37"/>
      <c r="I29" s="26"/>
      <c r="J29" s="15" t="s">
        <v>632</v>
      </c>
      <c r="K29" s="15" t="s">
        <v>644</v>
      </c>
      <c r="L29" s="15" t="s">
        <v>633</v>
      </c>
    </row>
    <row r="30" s="1" customFormat="1" spans="1:12">
      <c r="A30" s="33"/>
      <c r="B30" s="13" t="s">
        <v>1045</v>
      </c>
      <c r="C30" s="13" t="s">
        <v>338</v>
      </c>
      <c r="D30" s="10" t="s">
        <v>645</v>
      </c>
      <c r="E30" s="25" t="s">
        <v>266</v>
      </c>
      <c r="F30" s="26"/>
      <c r="G30" s="26" t="s">
        <v>646</v>
      </c>
      <c r="H30" s="37"/>
      <c r="I30" s="26"/>
      <c r="J30" s="15" t="s">
        <v>632</v>
      </c>
      <c r="K30" s="15" t="s">
        <v>644</v>
      </c>
      <c r="L30" s="15" t="s">
        <v>633</v>
      </c>
    </row>
    <row r="31" s="1" customFormat="1" spans="1:12">
      <c r="A31" s="33"/>
      <c r="B31" s="13" t="s">
        <v>647</v>
      </c>
      <c r="C31" s="13" t="s">
        <v>338</v>
      </c>
      <c r="D31" s="10" t="s">
        <v>648</v>
      </c>
      <c r="E31" s="25" t="s">
        <v>266</v>
      </c>
      <c r="F31" s="26"/>
      <c r="G31" s="26" t="s">
        <v>936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650</v>
      </c>
      <c r="C32" s="13" t="s">
        <v>338</v>
      </c>
      <c r="D32" s="10" t="s">
        <v>651</v>
      </c>
      <c r="E32" s="25" t="s">
        <v>266</v>
      </c>
      <c r="F32" s="26"/>
      <c r="G32" s="26" t="s">
        <v>937</v>
      </c>
      <c r="H32" s="3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13" t="s">
        <v>656</v>
      </c>
      <c r="C33" s="13" t="s">
        <v>338</v>
      </c>
      <c r="D33" s="10" t="s">
        <v>657</v>
      </c>
      <c r="E33" s="25" t="s">
        <v>266</v>
      </c>
      <c r="F33" s="26"/>
      <c r="G33" s="26" t="s">
        <v>939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659</v>
      </c>
      <c r="C34" s="13" t="s">
        <v>338</v>
      </c>
      <c r="D34" s="10" t="s">
        <v>660</v>
      </c>
      <c r="E34" s="25" t="s">
        <v>266</v>
      </c>
      <c r="F34" s="26"/>
      <c r="G34" s="26" t="s">
        <v>940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1055</v>
      </c>
      <c r="C35" s="13" t="s">
        <v>338</v>
      </c>
      <c r="D35" s="10" t="s">
        <v>693</v>
      </c>
      <c r="E35" s="25" t="s">
        <v>266</v>
      </c>
      <c r="F35" s="26"/>
      <c r="G35" s="26" t="s">
        <v>694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1054</v>
      </c>
      <c r="C36" s="13" t="s">
        <v>338</v>
      </c>
      <c r="D36" s="10" t="s">
        <v>695</v>
      </c>
      <c r="E36" s="25" t="s">
        <v>266</v>
      </c>
      <c r="F36" s="26"/>
      <c r="G36" s="26" t="s">
        <v>696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1056</v>
      </c>
      <c r="C37" s="13" t="s">
        <v>338</v>
      </c>
      <c r="D37" s="10" t="s">
        <v>697</v>
      </c>
      <c r="E37" s="25" t="s">
        <v>266</v>
      </c>
      <c r="F37" s="26"/>
      <c r="G37" s="26" t="s">
        <v>698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1057</v>
      </c>
      <c r="C38" s="13" t="s">
        <v>338</v>
      </c>
      <c r="D38" s="10" t="s">
        <v>699</v>
      </c>
      <c r="E38" s="25" t="s">
        <v>266</v>
      </c>
      <c r="F38" s="26"/>
      <c r="G38" s="26" t="s">
        <v>700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1274</v>
      </c>
      <c r="C39" s="13" t="s">
        <v>338</v>
      </c>
      <c r="D39" s="10" t="s">
        <v>702</v>
      </c>
      <c r="E39" s="25" t="s">
        <v>266</v>
      </c>
      <c r="F39" s="26"/>
      <c r="G39" s="26" t="s">
        <v>950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1275</v>
      </c>
      <c r="C40" s="13" t="s">
        <v>338</v>
      </c>
      <c r="D40" s="10" t="s">
        <v>705</v>
      </c>
      <c r="E40" s="25" t="s">
        <v>266</v>
      </c>
      <c r="F40" s="26"/>
      <c r="G40" s="26" t="s">
        <v>951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707</v>
      </c>
      <c r="C41" s="13" t="s">
        <v>338</v>
      </c>
      <c r="D41" s="10" t="s">
        <v>708</v>
      </c>
      <c r="E41" s="25" t="s">
        <v>266</v>
      </c>
      <c r="F41" s="26"/>
      <c r="G41" s="26" t="s">
        <v>952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710</v>
      </c>
      <c r="C42" s="13" t="s">
        <v>338</v>
      </c>
      <c r="D42" s="10" t="s">
        <v>711</v>
      </c>
      <c r="E42" s="25" t="s">
        <v>266</v>
      </c>
      <c r="F42" s="26"/>
      <c r="G42" s="26" t="s">
        <v>953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713</v>
      </c>
      <c r="C43" s="13" t="s">
        <v>338</v>
      </c>
      <c r="D43" s="10" t="s">
        <v>714</v>
      </c>
      <c r="E43" s="25" t="s">
        <v>266</v>
      </c>
      <c r="F43" s="26"/>
      <c r="G43" s="26" t="s">
        <v>954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716</v>
      </c>
      <c r="C44" s="13" t="s">
        <v>338</v>
      </c>
      <c r="D44" s="10" t="s">
        <v>717</v>
      </c>
      <c r="E44" s="25" t="s">
        <v>266</v>
      </c>
      <c r="F44" s="26"/>
      <c r="G44" s="26" t="s">
        <v>955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1064</v>
      </c>
      <c r="C45" s="13" t="s">
        <v>338</v>
      </c>
      <c r="D45" s="10" t="s">
        <v>719</v>
      </c>
      <c r="E45" s="25" t="s">
        <v>266</v>
      </c>
      <c r="F45" s="26"/>
      <c r="G45" s="26" t="s">
        <v>720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1066</v>
      </c>
      <c r="C46" s="13" t="s">
        <v>338</v>
      </c>
      <c r="D46" s="10" t="s">
        <v>721</v>
      </c>
      <c r="E46" s="25" t="s">
        <v>266</v>
      </c>
      <c r="F46" s="26"/>
      <c r="G46" s="26" t="s">
        <v>722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2203</v>
      </c>
      <c r="C47" s="13" t="s">
        <v>338</v>
      </c>
      <c r="D47" s="10" t="s">
        <v>1917</v>
      </c>
      <c r="E47" s="25" t="s">
        <v>266</v>
      </c>
      <c r="F47" s="26"/>
      <c r="G47" s="26" t="s">
        <v>2136</v>
      </c>
      <c r="H47" s="37"/>
      <c r="I47" s="26"/>
      <c r="J47" s="15" t="s">
        <v>632</v>
      </c>
      <c r="K47" s="15" t="s">
        <v>803</v>
      </c>
      <c r="L47" s="15" t="s">
        <v>633</v>
      </c>
    </row>
    <row r="48" s="1" customFormat="1" spans="1:12">
      <c r="A48" s="33"/>
      <c r="B48" s="13" t="s">
        <v>2204</v>
      </c>
      <c r="C48" s="13" t="s">
        <v>338</v>
      </c>
      <c r="D48" s="10" t="s">
        <v>1920</v>
      </c>
      <c r="E48" s="25" t="s">
        <v>266</v>
      </c>
      <c r="F48" s="26"/>
      <c r="G48" s="26" t="s">
        <v>2137</v>
      </c>
      <c r="H48" s="37"/>
      <c r="I48" s="26"/>
      <c r="J48" s="15" t="s">
        <v>632</v>
      </c>
      <c r="K48" s="15" t="s">
        <v>803</v>
      </c>
      <c r="L48" s="15" t="s">
        <v>633</v>
      </c>
    </row>
    <row r="49" s="1" customFormat="1" spans="1:12">
      <c r="A49" s="33"/>
      <c r="B49" s="13" t="s">
        <v>1922</v>
      </c>
      <c r="C49" s="13" t="s">
        <v>338</v>
      </c>
      <c r="D49" s="10" t="s">
        <v>1923</v>
      </c>
      <c r="E49" s="25" t="s">
        <v>266</v>
      </c>
      <c r="F49" s="26"/>
      <c r="G49" s="26" t="s">
        <v>2138</v>
      </c>
      <c r="H49" s="37"/>
      <c r="I49" s="26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1925</v>
      </c>
      <c r="C50" s="13" t="s">
        <v>338</v>
      </c>
      <c r="D50" s="10" t="s">
        <v>1926</v>
      </c>
      <c r="E50" s="25" t="s">
        <v>266</v>
      </c>
      <c r="F50" s="26"/>
      <c r="G50" s="26" t="s">
        <v>2139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1928</v>
      </c>
      <c r="C51" s="13" t="s">
        <v>338</v>
      </c>
      <c r="D51" s="10" t="s">
        <v>1929</v>
      </c>
      <c r="E51" s="25" t="s">
        <v>266</v>
      </c>
      <c r="F51" s="26"/>
      <c r="G51" s="26" t="s">
        <v>2140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1931</v>
      </c>
      <c r="C52" s="13" t="s">
        <v>338</v>
      </c>
      <c r="D52" s="10" t="s">
        <v>1932</v>
      </c>
      <c r="E52" s="25" t="s">
        <v>266</v>
      </c>
      <c r="F52" s="26"/>
      <c r="G52" s="26" t="s">
        <v>2141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1934</v>
      </c>
      <c r="C53" s="13" t="s">
        <v>338</v>
      </c>
      <c r="D53" s="10" t="s">
        <v>1935</v>
      </c>
      <c r="E53" s="25" t="s">
        <v>266</v>
      </c>
      <c r="F53" s="26"/>
      <c r="G53" s="26" t="s">
        <v>2142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1937</v>
      </c>
      <c r="C54" s="13" t="s">
        <v>338</v>
      </c>
      <c r="D54" s="10" t="s">
        <v>1938</v>
      </c>
      <c r="E54" s="25" t="s">
        <v>266</v>
      </c>
      <c r="F54" s="26"/>
      <c r="G54" s="26" t="s">
        <v>2143</v>
      </c>
      <c r="H54" s="37"/>
      <c r="I54" s="26"/>
      <c r="J54" s="15" t="s">
        <v>632</v>
      </c>
      <c r="K54" s="15" t="s">
        <v>644</v>
      </c>
      <c r="L54" s="15" t="s">
        <v>633</v>
      </c>
    </row>
    <row r="55" s="1" customFormat="1" spans="1:12">
      <c r="A55" s="33"/>
      <c r="B55" s="13" t="s">
        <v>1940</v>
      </c>
      <c r="C55" s="13" t="s">
        <v>338</v>
      </c>
      <c r="D55" s="10" t="s">
        <v>1941</v>
      </c>
      <c r="E55" s="25" t="s">
        <v>266</v>
      </c>
      <c r="F55" s="26"/>
      <c r="G55" s="26" t="s">
        <v>2144</v>
      </c>
      <c r="H55" s="37"/>
      <c r="I55" s="26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1870</v>
      </c>
      <c r="C56" s="13" t="s">
        <v>338</v>
      </c>
      <c r="D56" s="10" t="s">
        <v>1943</v>
      </c>
      <c r="E56" s="25" t="s">
        <v>266</v>
      </c>
      <c r="F56" s="26"/>
      <c r="G56" s="26" t="s">
        <v>1944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1945</v>
      </c>
      <c r="C57" s="52" t="s">
        <v>666</v>
      </c>
      <c r="D57" s="10" t="s">
        <v>1946</v>
      </c>
      <c r="E57" s="25" t="s">
        <v>266</v>
      </c>
      <c r="F57" s="26"/>
      <c r="G57" s="26" t="s">
        <v>2145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1948</v>
      </c>
      <c r="C58" s="52" t="s">
        <v>666</v>
      </c>
      <c r="D58" s="10" t="s">
        <v>1949</v>
      </c>
      <c r="E58" s="25" t="s">
        <v>266</v>
      </c>
      <c r="F58" s="26"/>
      <c r="G58" s="26" t="s">
        <v>2146</v>
      </c>
      <c r="H58" s="3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728</v>
      </c>
      <c r="C59" s="13" t="s">
        <v>338</v>
      </c>
      <c r="D59" s="10" t="s">
        <v>729</v>
      </c>
      <c r="E59" s="25" t="s">
        <v>266</v>
      </c>
      <c r="F59" s="26"/>
      <c r="G59" s="26" t="s">
        <v>956</v>
      </c>
      <c r="H59" s="37"/>
      <c r="I59" s="26"/>
      <c r="J59" s="15" t="s">
        <v>632</v>
      </c>
      <c r="K59" s="15" t="s">
        <v>294</v>
      </c>
      <c r="L59" s="15" t="s">
        <v>633</v>
      </c>
    </row>
    <row r="60" s="1" customFormat="1" spans="1:12">
      <c r="A60" s="33"/>
      <c r="B60" s="13" t="s">
        <v>730</v>
      </c>
      <c r="C60" s="13" t="s">
        <v>666</v>
      </c>
      <c r="D60" s="10" t="s">
        <v>731</v>
      </c>
      <c r="E60" s="25" t="s">
        <v>266</v>
      </c>
      <c r="F60" s="55"/>
      <c r="G60" s="26" t="s">
        <v>957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1091</v>
      </c>
      <c r="C61" s="13" t="s">
        <v>338</v>
      </c>
      <c r="D61" s="10" t="s">
        <v>734</v>
      </c>
      <c r="E61" s="25" t="s">
        <v>266</v>
      </c>
      <c r="F61" s="26"/>
      <c r="G61" s="26" t="s">
        <v>958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1093</v>
      </c>
      <c r="C62" s="13" t="s">
        <v>338</v>
      </c>
      <c r="D62" s="10" t="s">
        <v>737</v>
      </c>
      <c r="E62" s="25" t="s">
        <v>266</v>
      </c>
      <c r="F62" s="26"/>
      <c r="G62" s="26" t="s">
        <v>959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1095</v>
      </c>
      <c r="C63" s="13" t="s">
        <v>338</v>
      </c>
      <c r="D63" s="10" t="s">
        <v>740</v>
      </c>
      <c r="E63" s="25" t="s">
        <v>266</v>
      </c>
      <c r="F63" s="26"/>
      <c r="G63" s="26" t="s">
        <v>960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1097</v>
      </c>
      <c r="C64" s="13" t="s">
        <v>338</v>
      </c>
      <c r="D64" s="10" t="s">
        <v>743</v>
      </c>
      <c r="E64" s="25" t="s">
        <v>266</v>
      </c>
      <c r="F64" s="26"/>
      <c r="G64" s="26" t="s">
        <v>961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1099</v>
      </c>
      <c r="C65" s="13" t="s">
        <v>338</v>
      </c>
      <c r="D65" s="10" t="s">
        <v>746</v>
      </c>
      <c r="E65" s="25" t="s">
        <v>266</v>
      </c>
      <c r="F65" s="26"/>
      <c r="G65" s="26" t="s">
        <v>962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748</v>
      </c>
      <c r="C66" s="13" t="s">
        <v>338</v>
      </c>
      <c r="D66" s="10" t="s">
        <v>749</v>
      </c>
      <c r="E66" s="25" t="s">
        <v>266</v>
      </c>
      <c r="F66" s="26"/>
      <c r="G66" s="26" t="s">
        <v>963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751</v>
      </c>
      <c r="C67" s="13" t="s">
        <v>666</v>
      </c>
      <c r="D67" s="10" t="s">
        <v>752</v>
      </c>
      <c r="E67" s="25" t="s">
        <v>266</v>
      </c>
      <c r="F67" s="55"/>
      <c r="G67" s="26" t="s">
        <v>964</v>
      </c>
      <c r="H67" s="37"/>
      <c r="I67" s="26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1104</v>
      </c>
      <c r="C68" s="13" t="s">
        <v>338</v>
      </c>
      <c r="D68" s="10" t="s">
        <v>755</v>
      </c>
      <c r="E68" s="25" t="s">
        <v>266</v>
      </c>
      <c r="F68" s="26"/>
      <c r="G68" s="26" t="s">
        <v>965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1106</v>
      </c>
      <c r="C69" s="13" t="s">
        <v>338</v>
      </c>
      <c r="D69" s="10" t="s">
        <v>758</v>
      </c>
      <c r="E69" s="25" t="s">
        <v>266</v>
      </c>
      <c r="F69" s="26"/>
      <c r="G69" s="26" t="s">
        <v>966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1108</v>
      </c>
      <c r="C70" s="13" t="s">
        <v>338</v>
      </c>
      <c r="D70" s="10" t="s">
        <v>761</v>
      </c>
      <c r="E70" s="25" t="s">
        <v>266</v>
      </c>
      <c r="F70" s="26"/>
      <c r="G70" s="26" t="s">
        <v>967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1110</v>
      </c>
      <c r="C71" s="13" t="s">
        <v>338</v>
      </c>
      <c r="D71" s="10" t="s">
        <v>764</v>
      </c>
      <c r="E71" s="25" t="s">
        <v>266</v>
      </c>
      <c r="F71" s="26"/>
      <c r="G71" s="26" t="s">
        <v>968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1112</v>
      </c>
      <c r="C72" s="13" t="s">
        <v>338</v>
      </c>
      <c r="D72" s="10" t="s">
        <v>767</v>
      </c>
      <c r="E72" s="25" t="s">
        <v>266</v>
      </c>
      <c r="F72" s="26"/>
      <c r="G72" s="26" t="s">
        <v>969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769</v>
      </c>
      <c r="C73" s="13" t="s">
        <v>666</v>
      </c>
      <c r="D73" s="10" t="s">
        <v>770</v>
      </c>
      <c r="E73" s="25" t="s">
        <v>266</v>
      </c>
      <c r="F73" s="26"/>
      <c r="G73" s="26" t="s">
        <v>970</v>
      </c>
      <c r="H73" s="37"/>
      <c r="I73" s="26"/>
      <c r="J73" s="15" t="s">
        <v>632</v>
      </c>
      <c r="K73" s="15" t="s">
        <v>404</v>
      </c>
      <c r="L73" s="15" t="s">
        <v>633</v>
      </c>
    </row>
    <row r="74" s="1" customFormat="1" spans="1:12">
      <c r="A74" s="33"/>
      <c r="B74" s="13" t="s">
        <v>772</v>
      </c>
      <c r="C74" s="13" t="s">
        <v>666</v>
      </c>
      <c r="D74" s="10" t="s">
        <v>773</v>
      </c>
      <c r="E74" s="25" t="s">
        <v>266</v>
      </c>
      <c r="F74" s="55"/>
      <c r="G74" s="26" t="s">
        <v>971</v>
      </c>
      <c r="H74" s="37"/>
      <c r="I74" s="26"/>
      <c r="J74" s="15" t="s">
        <v>632</v>
      </c>
      <c r="K74" s="15" t="s">
        <v>404</v>
      </c>
      <c r="L74" s="15" t="s">
        <v>633</v>
      </c>
    </row>
    <row r="75" s="1" customFormat="1" spans="1:12">
      <c r="A75" s="33"/>
      <c r="B75" s="13" t="s">
        <v>1279</v>
      </c>
      <c r="C75" s="13" t="s">
        <v>338</v>
      </c>
      <c r="D75" s="10" t="s">
        <v>776</v>
      </c>
      <c r="E75" s="25" t="s">
        <v>266</v>
      </c>
      <c r="F75" s="26"/>
      <c r="G75" s="26" t="s">
        <v>972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1280</v>
      </c>
      <c r="C76" s="13" t="s">
        <v>338</v>
      </c>
      <c r="D76" s="10" t="s">
        <v>779</v>
      </c>
      <c r="E76" s="25" t="s">
        <v>266</v>
      </c>
      <c r="F76" s="26"/>
      <c r="G76" s="26" t="s">
        <v>973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1281</v>
      </c>
      <c r="C77" s="13" t="s">
        <v>338</v>
      </c>
      <c r="D77" s="10" t="s">
        <v>782</v>
      </c>
      <c r="E77" s="25" t="s">
        <v>266</v>
      </c>
      <c r="F77" s="26"/>
      <c r="G77" s="26" t="s">
        <v>974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1282</v>
      </c>
      <c r="C78" s="13" t="s">
        <v>338</v>
      </c>
      <c r="D78" s="10" t="s">
        <v>785</v>
      </c>
      <c r="E78" s="25" t="s">
        <v>266</v>
      </c>
      <c r="F78" s="26"/>
      <c r="G78" s="26" t="s">
        <v>975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1283</v>
      </c>
      <c r="C79" s="13" t="s">
        <v>338</v>
      </c>
      <c r="D79" s="10" t="s">
        <v>788</v>
      </c>
      <c r="E79" s="25" t="s">
        <v>266</v>
      </c>
      <c r="F79" s="26"/>
      <c r="G79" s="26" t="s">
        <v>976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1284</v>
      </c>
      <c r="C80" s="13" t="s">
        <v>666</v>
      </c>
      <c r="D80" s="10" t="s">
        <v>790</v>
      </c>
      <c r="E80" s="25" t="s">
        <v>266</v>
      </c>
      <c r="F80" s="55"/>
      <c r="G80" s="26" t="s">
        <v>977</v>
      </c>
      <c r="H80" s="37"/>
      <c r="I80" s="26"/>
      <c r="J80" s="15" t="s">
        <v>632</v>
      </c>
      <c r="K80" s="15" t="s">
        <v>404</v>
      </c>
      <c r="L80" s="15" t="s">
        <v>633</v>
      </c>
    </row>
    <row r="81" s="1" customFormat="1" spans="1:12">
      <c r="A81" s="33"/>
      <c r="B81" s="13" t="s">
        <v>792</v>
      </c>
      <c r="C81" s="13" t="s">
        <v>338</v>
      </c>
      <c r="D81" s="10" t="s">
        <v>793</v>
      </c>
      <c r="E81" s="25" t="s">
        <v>266</v>
      </c>
      <c r="F81" s="26"/>
      <c r="G81" s="26" t="s">
        <v>978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1285</v>
      </c>
      <c r="C82" s="13" t="s">
        <v>666</v>
      </c>
      <c r="D82" s="10" t="s">
        <v>795</v>
      </c>
      <c r="E82" s="25" t="s">
        <v>266</v>
      </c>
      <c r="F82" s="55"/>
      <c r="G82" s="26" t="s">
        <v>979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797</v>
      </c>
      <c r="C83" s="13" t="s">
        <v>338</v>
      </c>
      <c r="D83" s="10" t="s">
        <v>798</v>
      </c>
      <c r="E83" s="25" t="s">
        <v>266</v>
      </c>
      <c r="F83" s="26"/>
      <c r="G83" s="26" t="s">
        <v>980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32" t="s">
        <v>1860</v>
      </c>
      <c r="C84" s="32" t="s">
        <v>338</v>
      </c>
      <c r="D84" s="10" t="s">
        <v>1861</v>
      </c>
      <c r="E84" s="25" t="s">
        <v>266</v>
      </c>
      <c r="F84" s="26"/>
      <c r="G84" s="26" t="s">
        <v>1966</v>
      </c>
      <c r="H84" s="37"/>
      <c r="I84" s="26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32" t="s">
        <v>1903</v>
      </c>
      <c r="C85" s="32" t="s">
        <v>666</v>
      </c>
      <c r="D85" s="10" t="s">
        <v>1904</v>
      </c>
      <c r="E85" s="25" t="s">
        <v>266</v>
      </c>
      <c r="F85" s="26"/>
      <c r="G85" s="26" t="s">
        <v>1967</v>
      </c>
      <c r="H85" s="37"/>
      <c r="I85" s="26"/>
      <c r="J85" s="15" t="s">
        <v>632</v>
      </c>
      <c r="K85" s="15" t="s">
        <v>1898</v>
      </c>
      <c r="L85" s="15" t="s">
        <v>633</v>
      </c>
    </row>
    <row r="86" s="1" customFormat="1" spans="1:12">
      <c r="A86" s="33"/>
      <c r="B86" s="52" t="s">
        <v>1968</v>
      </c>
      <c r="C86" s="52" t="s">
        <v>666</v>
      </c>
      <c r="D86" s="54" t="s">
        <v>1969</v>
      </c>
      <c r="E86" s="25" t="s">
        <v>266</v>
      </c>
      <c r="F86" s="55"/>
      <c r="G86" s="26" t="s">
        <v>2147</v>
      </c>
      <c r="H86" s="37"/>
      <c r="I86" s="26"/>
      <c r="J86" s="15" t="s">
        <v>632</v>
      </c>
      <c r="K86" s="15" t="s">
        <v>1898</v>
      </c>
      <c r="L86" s="15" t="s">
        <v>633</v>
      </c>
    </row>
    <row r="87" s="1" customFormat="1" spans="2:12">
      <c r="B87" s="32" t="s">
        <v>1906</v>
      </c>
      <c r="C87" s="32" t="s">
        <v>666</v>
      </c>
      <c r="D87" s="10" t="s">
        <v>1907</v>
      </c>
      <c r="E87" s="25" t="s">
        <v>266</v>
      </c>
      <c r="F87" s="32"/>
      <c r="G87" s="26" t="s">
        <v>1971</v>
      </c>
      <c r="H87" s="37"/>
      <c r="I87" s="26"/>
      <c r="J87" s="15" t="s">
        <v>632</v>
      </c>
      <c r="K87" s="15" t="s">
        <v>1902</v>
      </c>
      <c r="L87" s="15" t="s">
        <v>633</v>
      </c>
    </row>
    <row r="88" s="1" customFormat="1" spans="1:12">
      <c r="A88" s="33"/>
      <c r="B88" s="32" t="s">
        <v>1892</v>
      </c>
      <c r="C88" s="32" t="s">
        <v>338</v>
      </c>
      <c r="D88" s="10" t="s">
        <v>1972</v>
      </c>
      <c r="E88" s="25" t="s">
        <v>266</v>
      </c>
      <c r="F88" s="26"/>
      <c r="G88" s="26" t="s">
        <v>1973</v>
      </c>
      <c r="H88" s="37"/>
      <c r="I88" s="26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32" t="s">
        <v>1895</v>
      </c>
      <c r="C89" s="32" t="s">
        <v>666</v>
      </c>
      <c r="D89" s="10" t="s">
        <v>1896</v>
      </c>
      <c r="E89" s="25" t="s">
        <v>266</v>
      </c>
      <c r="F89" s="26"/>
      <c r="G89" s="26" t="s">
        <v>1974</v>
      </c>
      <c r="H89" s="37"/>
      <c r="I89" s="26"/>
      <c r="J89" s="15" t="s">
        <v>632</v>
      </c>
      <c r="K89" s="15" t="s">
        <v>1898</v>
      </c>
      <c r="L89" s="15" t="s">
        <v>633</v>
      </c>
    </row>
    <row r="90" s="1" customFormat="1" spans="2:12">
      <c r="B90" s="32" t="s">
        <v>1899</v>
      </c>
      <c r="C90" s="32" t="s">
        <v>666</v>
      </c>
      <c r="D90" s="10" t="s">
        <v>1900</v>
      </c>
      <c r="E90" s="25" t="s">
        <v>266</v>
      </c>
      <c r="F90" s="32"/>
      <c r="G90" s="26" t="s">
        <v>1975</v>
      </c>
      <c r="H90" s="37"/>
      <c r="I90" s="26"/>
      <c r="J90" s="15" t="s">
        <v>632</v>
      </c>
      <c r="K90" s="15" t="s">
        <v>1902</v>
      </c>
      <c r="L90" s="15" t="s">
        <v>633</v>
      </c>
    </row>
    <row r="91" s="1" customFormat="1" spans="2:12">
      <c r="B91" s="32" t="s">
        <v>1976</v>
      </c>
      <c r="C91" s="32" t="s">
        <v>666</v>
      </c>
      <c r="D91" s="10" t="s">
        <v>1977</v>
      </c>
      <c r="E91" s="25" t="s">
        <v>266</v>
      </c>
      <c r="F91" s="26"/>
      <c r="G91" s="26" t="s">
        <v>2148</v>
      </c>
      <c r="H91" s="37"/>
      <c r="I91" s="26"/>
      <c r="J91" s="15" t="s">
        <v>632</v>
      </c>
      <c r="K91" s="15" t="s">
        <v>669</v>
      </c>
      <c r="L91" s="15" t="s">
        <v>633</v>
      </c>
    </row>
    <row r="92" s="1" customFormat="1" spans="2:12">
      <c r="B92" s="32" t="s">
        <v>1979</v>
      </c>
      <c r="C92" s="32" t="s">
        <v>338</v>
      </c>
      <c r="D92" s="10" t="s">
        <v>1980</v>
      </c>
      <c r="E92" s="25" t="s">
        <v>266</v>
      </c>
      <c r="F92" s="26"/>
      <c r="G92" s="26" t="s">
        <v>2149</v>
      </c>
      <c r="H92" s="37"/>
      <c r="I92" s="26"/>
      <c r="J92" s="15" t="s">
        <v>632</v>
      </c>
      <c r="K92" s="15" t="s">
        <v>803</v>
      </c>
      <c r="L92" s="15" t="s">
        <v>633</v>
      </c>
    </row>
    <row r="93" s="1" customFormat="1" spans="2:12">
      <c r="B93" s="32" t="s">
        <v>1982</v>
      </c>
      <c r="C93" s="32" t="s">
        <v>338</v>
      </c>
      <c r="D93" s="10" t="s">
        <v>1983</v>
      </c>
      <c r="E93" s="25" t="s">
        <v>266</v>
      </c>
      <c r="F93" s="26"/>
      <c r="G93" s="26" t="s">
        <v>2150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2:12">
      <c r="B94" s="32" t="s">
        <v>1985</v>
      </c>
      <c r="C94" s="32" t="s">
        <v>338</v>
      </c>
      <c r="D94" s="10" t="s">
        <v>1986</v>
      </c>
      <c r="E94" s="25" t="s">
        <v>266</v>
      </c>
      <c r="F94" s="26"/>
      <c r="G94" s="26" t="s">
        <v>2151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1988</v>
      </c>
      <c r="C95" s="32" t="s">
        <v>666</v>
      </c>
      <c r="D95" s="10" t="s">
        <v>1989</v>
      </c>
      <c r="E95" s="25" t="s">
        <v>266</v>
      </c>
      <c r="F95" s="32"/>
      <c r="G95" s="26" t="s">
        <v>2152</v>
      </c>
      <c r="H95" s="37"/>
      <c r="I95" s="26"/>
      <c r="J95" s="15" t="s">
        <v>632</v>
      </c>
      <c r="K95" s="15" t="s">
        <v>294</v>
      </c>
      <c r="L95" s="15" t="s">
        <v>1264</v>
      </c>
    </row>
    <row r="96" s="1" customFormat="1" spans="2:12">
      <c r="B96" s="32" t="s">
        <v>1991</v>
      </c>
      <c r="C96" s="32" t="s">
        <v>666</v>
      </c>
      <c r="D96" s="10" t="s">
        <v>1992</v>
      </c>
      <c r="E96" s="25" t="s">
        <v>266</v>
      </c>
      <c r="F96" s="26"/>
      <c r="G96" s="26" t="s">
        <v>2153</v>
      </c>
      <c r="H96" s="37"/>
      <c r="I96" s="26"/>
      <c r="J96" s="15" t="s">
        <v>632</v>
      </c>
      <c r="K96" s="15" t="s">
        <v>669</v>
      </c>
      <c r="L96" s="15" t="s">
        <v>633</v>
      </c>
    </row>
    <row r="97" s="1" customFormat="1" spans="2:12">
      <c r="B97" s="32" t="s">
        <v>1994</v>
      </c>
      <c r="C97" s="32" t="s">
        <v>338</v>
      </c>
      <c r="D97" s="10" t="s">
        <v>1995</v>
      </c>
      <c r="E97" s="25" t="s">
        <v>266</v>
      </c>
      <c r="F97" s="26"/>
      <c r="G97" s="26" t="s">
        <v>2154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1997</v>
      </c>
      <c r="C98" s="32" t="s">
        <v>338</v>
      </c>
      <c r="D98" s="10" t="s">
        <v>1998</v>
      </c>
      <c r="E98" s="25" t="s">
        <v>266</v>
      </c>
      <c r="F98" s="26"/>
      <c r="G98" s="26" t="s">
        <v>2155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2000</v>
      </c>
      <c r="C99" s="32" t="s">
        <v>338</v>
      </c>
      <c r="D99" s="10" t="s">
        <v>2001</v>
      </c>
      <c r="E99" s="25" t="s">
        <v>266</v>
      </c>
      <c r="F99" s="26"/>
      <c r="G99" s="26" t="s">
        <v>2156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2002</v>
      </c>
      <c r="C100" s="32" t="s">
        <v>338</v>
      </c>
      <c r="D100" s="10" t="s">
        <v>1887</v>
      </c>
      <c r="E100" s="25" t="s">
        <v>266</v>
      </c>
      <c r="F100" s="26"/>
      <c r="G100" s="26" t="s">
        <v>2157</v>
      </c>
      <c r="H100" s="37"/>
      <c r="I100" s="26"/>
      <c r="J100" s="15" t="s">
        <v>632</v>
      </c>
      <c r="K100" s="15" t="s">
        <v>669</v>
      </c>
      <c r="L100" s="15" t="s">
        <v>633</v>
      </c>
    </row>
    <row r="101" s="1" customFormat="1" spans="2:12">
      <c r="B101" s="32" t="s">
        <v>2004</v>
      </c>
      <c r="C101" s="32" t="s">
        <v>338</v>
      </c>
      <c r="D101" s="10" t="s">
        <v>2005</v>
      </c>
      <c r="E101" s="25" t="s">
        <v>266</v>
      </c>
      <c r="F101" s="26"/>
      <c r="G101" s="26" t="s">
        <v>2158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2007</v>
      </c>
      <c r="C102" s="32" t="s">
        <v>338</v>
      </c>
      <c r="D102" s="10" t="s">
        <v>1890</v>
      </c>
      <c r="E102" s="25" t="s">
        <v>266</v>
      </c>
      <c r="F102" s="26"/>
      <c r="G102" s="26" t="s">
        <v>2159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2009</v>
      </c>
      <c r="C103" s="32" t="s">
        <v>338</v>
      </c>
      <c r="D103" s="10" t="s">
        <v>2010</v>
      </c>
      <c r="E103" s="25" t="s">
        <v>266</v>
      </c>
      <c r="F103" s="26"/>
      <c r="G103" s="26" t="s">
        <v>2160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2012</v>
      </c>
      <c r="C104" s="32" t="s">
        <v>338</v>
      </c>
      <c r="D104" s="10" t="s">
        <v>2013</v>
      </c>
      <c r="E104" s="25" t="s">
        <v>266</v>
      </c>
      <c r="F104" s="26"/>
      <c r="G104" s="26" t="s">
        <v>2161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2015</v>
      </c>
      <c r="C105" s="32" t="s">
        <v>338</v>
      </c>
      <c r="D105" s="10" t="s">
        <v>2016</v>
      </c>
      <c r="E105" s="25" t="s">
        <v>266</v>
      </c>
      <c r="F105" s="26"/>
      <c r="G105" s="26" t="s">
        <v>2162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2018</v>
      </c>
      <c r="C106" s="32" t="s">
        <v>338</v>
      </c>
      <c r="D106" s="10" t="s">
        <v>2019</v>
      </c>
      <c r="E106" s="25" t="s">
        <v>266</v>
      </c>
      <c r="F106" s="26"/>
      <c r="G106" s="26" t="s">
        <v>2163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2021</v>
      </c>
      <c r="C107" s="32" t="s">
        <v>338</v>
      </c>
      <c r="D107" s="10" t="s">
        <v>2022</v>
      </c>
      <c r="E107" s="25" t="s">
        <v>266</v>
      </c>
      <c r="F107" s="26"/>
      <c r="G107" s="26" t="s">
        <v>2164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2024</v>
      </c>
      <c r="C108" s="32" t="s">
        <v>338</v>
      </c>
      <c r="D108" s="10" t="s">
        <v>2025</v>
      </c>
      <c r="E108" s="25" t="s">
        <v>266</v>
      </c>
      <c r="F108" s="26"/>
      <c r="G108" s="26" t="s">
        <v>2165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2027</v>
      </c>
      <c r="C109" s="32" t="s">
        <v>338</v>
      </c>
      <c r="D109" s="10" t="s">
        <v>2028</v>
      </c>
      <c r="E109" s="25" t="s">
        <v>266</v>
      </c>
      <c r="F109" s="26"/>
      <c r="G109" s="26" t="s">
        <v>2166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1:12">
      <c r="A110" s="33"/>
      <c r="B110" s="13" t="s">
        <v>2030</v>
      </c>
      <c r="C110" s="13" t="s">
        <v>666</v>
      </c>
      <c r="D110" s="10" t="s">
        <v>2031</v>
      </c>
      <c r="E110" s="25" t="s">
        <v>266</v>
      </c>
      <c r="F110" s="55"/>
      <c r="G110" s="26" t="s">
        <v>2167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1:12">
      <c r="A111" s="33"/>
      <c r="B111" s="52" t="s">
        <v>2033</v>
      </c>
      <c r="C111" s="52" t="s">
        <v>338</v>
      </c>
      <c r="D111" s="54" t="s">
        <v>2034</v>
      </c>
      <c r="E111" s="25" t="s">
        <v>266</v>
      </c>
      <c r="F111" s="26"/>
      <c r="G111" s="26" t="s">
        <v>2168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52" t="s">
        <v>2036</v>
      </c>
      <c r="C112" s="52" t="s">
        <v>338</v>
      </c>
      <c r="D112" s="54" t="s">
        <v>2037</v>
      </c>
      <c r="E112" s="25" t="s">
        <v>266</v>
      </c>
      <c r="F112" s="26"/>
      <c r="G112" s="26" t="s">
        <v>2169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2039</v>
      </c>
      <c r="C113" s="52" t="s">
        <v>338</v>
      </c>
      <c r="D113" s="54" t="s">
        <v>2040</v>
      </c>
      <c r="E113" s="25" t="s">
        <v>266</v>
      </c>
      <c r="F113" s="26"/>
      <c r="G113" s="26" t="s">
        <v>2170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2042</v>
      </c>
      <c r="C114" s="52" t="s">
        <v>338</v>
      </c>
      <c r="D114" s="54" t="s">
        <v>2043</v>
      </c>
      <c r="E114" s="25" t="s">
        <v>266</v>
      </c>
      <c r="F114" s="26"/>
      <c r="G114" s="26" t="s">
        <v>2171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2045</v>
      </c>
      <c r="C115" s="52" t="s">
        <v>338</v>
      </c>
      <c r="D115" s="54" t="s">
        <v>2046</v>
      </c>
      <c r="E115" s="25" t="s">
        <v>266</v>
      </c>
      <c r="F115" s="26"/>
      <c r="G115" s="26" t="s">
        <v>2172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13" t="s">
        <v>2048</v>
      </c>
      <c r="C116" s="52" t="s">
        <v>666</v>
      </c>
      <c r="D116" s="10" t="s">
        <v>2049</v>
      </c>
      <c r="E116" s="25" t="s">
        <v>266</v>
      </c>
      <c r="F116" s="55"/>
      <c r="G116" s="26" t="s">
        <v>2173</v>
      </c>
      <c r="H116" s="37"/>
      <c r="I116" s="26"/>
      <c r="J116" s="15" t="s">
        <v>632</v>
      </c>
      <c r="K116" s="15" t="s">
        <v>404</v>
      </c>
      <c r="L116" s="15" t="s">
        <v>633</v>
      </c>
    </row>
    <row r="117" s="1" customFormat="1" spans="1:12">
      <c r="A117" s="33"/>
      <c r="B117" s="13" t="s">
        <v>2051</v>
      </c>
      <c r="C117" s="13" t="s">
        <v>338</v>
      </c>
      <c r="D117" s="10" t="s">
        <v>2052</v>
      </c>
      <c r="E117" s="25" t="s">
        <v>266</v>
      </c>
      <c r="F117" s="26"/>
      <c r="G117" s="26" t="s">
        <v>2174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2054</v>
      </c>
      <c r="C118" s="13" t="s">
        <v>338</v>
      </c>
      <c r="D118" s="10" t="s">
        <v>2055</v>
      </c>
      <c r="E118" s="25" t="s">
        <v>266</v>
      </c>
      <c r="F118" s="26"/>
      <c r="G118" s="26" t="s">
        <v>2175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2057</v>
      </c>
      <c r="C119" s="13" t="s">
        <v>338</v>
      </c>
      <c r="D119" s="10" t="s">
        <v>2058</v>
      </c>
      <c r="E119" s="25" t="s">
        <v>266</v>
      </c>
      <c r="F119" s="26"/>
      <c r="G119" s="26" t="s">
        <v>2176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2060</v>
      </c>
      <c r="C120" s="13" t="s">
        <v>338</v>
      </c>
      <c r="D120" s="10" t="s">
        <v>2061</v>
      </c>
      <c r="E120" s="25" t="s">
        <v>266</v>
      </c>
      <c r="F120" s="26"/>
      <c r="G120" s="26" t="s">
        <v>2177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2063</v>
      </c>
      <c r="C121" s="13" t="s">
        <v>338</v>
      </c>
      <c r="D121" s="10" t="s">
        <v>2064</v>
      </c>
      <c r="E121" s="25" t="s">
        <v>266</v>
      </c>
      <c r="F121" s="26"/>
      <c r="G121" s="26" t="s">
        <v>2178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2066</v>
      </c>
      <c r="C122" s="52" t="s">
        <v>666</v>
      </c>
      <c r="D122" s="10" t="s">
        <v>2067</v>
      </c>
      <c r="E122" s="25" t="s">
        <v>266</v>
      </c>
      <c r="F122" s="55"/>
      <c r="G122" s="26" t="s">
        <v>2179</v>
      </c>
      <c r="H122" s="37"/>
      <c r="I122" s="26"/>
      <c r="J122" s="15" t="s">
        <v>632</v>
      </c>
      <c r="K122" s="15" t="s">
        <v>404</v>
      </c>
      <c r="L122" s="15" t="s">
        <v>633</v>
      </c>
    </row>
    <row r="123" s="1" customFormat="1" spans="1:12">
      <c r="A123" s="33"/>
      <c r="B123" s="52" t="s">
        <v>2069</v>
      </c>
      <c r="C123" s="52" t="s">
        <v>338</v>
      </c>
      <c r="D123" s="54" t="s">
        <v>2070</v>
      </c>
      <c r="E123" s="25" t="s">
        <v>266</v>
      </c>
      <c r="F123" s="26"/>
      <c r="G123" s="26" t="s">
        <v>2180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52" t="s">
        <v>2072</v>
      </c>
      <c r="C124" s="52" t="s">
        <v>338</v>
      </c>
      <c r="D124" s="54" t="s">
        <v>2073</v>
      </c>
      <c r="E124" s="25" t="s">
        <v>266</v>
      </c>
      <c r="F124" s="26"/>
      <c r="G124" s="26" t="s">
        <v>2181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52" t="s">
        <v>2075</v>
      </c>
      <c r="C125" s="52" t="s">
        <v>338</v>
      </c>
      <c r="D125" s="54" t="s">
        <v>2076</v>
      </c>
      <c r="E125" s="25" t="s">
        <v>266</v>
      </c>
      <c r="F125" s="26"/>
      <c r="G125" s="26" t="s">
        <v>2182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2078</v>
      </c>
      <c r="C126" s="52" t="s">
        <v>338</v>
      </c>
      <c r="D126" s="54" t="s">
        <v>2079</v>
      </c>
      <c r="E126" s="25" t="s">
        <v>266</v>
      </c>
      <c r="F126" s="26"/>
      <c r="G126" s="26" t="s">
        <v>2183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2081</v>
      </c>
      <c r="C127" s="52" t="s">
        <v>338</v>
      </c>
      <c r="D127" s="54" t="s">
        <v>2082</v>
      </c>
      <c r="E127" s="25" t="s">
        <v>266</v>
      </c>
      <c r="F127" s="26"/>
      <c r="G127" s="26" t="s">
        <v>2184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2:12">
      <c r="B128" s="32" t="s">
        <v>2084</v>
      </c>
      <c r="C128" s="32" t="s">
        <v>338</v>
      </c>
      <c r="D128" s="10" t="s">
        <v>2085</v>
      </c>
      <c r="E128" s="25" t="s">
        <v>266</v>
      </c>
      <c r="F128" s="26"/>
      <c r="G128" s="26" t="s">
        <v>2185</v>
      </c>
      <c r="H128" s="37"/>
      <c r="I128" s="26"/>
      <c r="J128" s="15" t="s">
        <v>632</v>
      </c>
      <c r="K128" s="15" t="s">
        <v>669</v>
      </c>
      <c r="L128" s="15" t="s">
        <v>670</v>
      </c>
    </row>
    <row r="129" s="1" customFormat="1" spans="2:12">
      <c r="B129" s="32" t="s">
        <v>1909</v>
      </c>
      <c r="C129" s="32" t="s">
        <v>338</v>
      </c>
      <c r="D129" s="10" t="s">
        <v>2087</v>
      </c>
      <c r="E129" s="25" t="s">
        <v>266</v>
      </c>
      <c r="F129" s="26"/>
      <c r="G129" s="26" t="s">
        <v>2088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2089</v>
      </c>
      <c r="C130" s="52" t="s">
        <v>666</v>
      </c>
      <c r="D130" s="54" t="s">
        <v>2090</v>
      </c>
      <c r="E130" s="25" t="s">
        <v>266</v>
      </c>
      <c r="F130" s="55"/>
      <c r="G130" s="26" t="s">
        <v>2186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1:12">
      <c r="A131" s="33"/>
      <c r="B131" s="52" t="s">
        <v>2092</v>
      </c>
      <c r="C131" s="52" t="s">
        <v>338</v>
      </c>
      <c r="D131" s="54" t="s">
        <v>2093</v>
      </c>
      <c r="E131" s="25" t="s">
        <v>266</v>
      </c>
      <c r="F131" s="26"/>
      <c r="G131" s="26" t="s">
        <v>2187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2095</v>
      </c>
      <c r="C132" s="52" t="s">
        <v>338</v>
      </c>
      <c r="D132" s="54" t="s">
        <v>2096</v>
      </c>
      <c r="E132" s="25" t="s">
        <v>266</v>
      </c>
      <c r="F132" s="26"/>
      <c r="G132" s="26" t="s">
        <v>2188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2098</v>
      </c>
      <c r="C133" s="52" t="s">
        <v>338</v>
      </c>
      <c r="D133" s="54" t="s">
        <v>2099</v>
      </c>
      <c r="E133" s="25" t="s">
        <v>266</v>
      </c>
      <c r="F133" s="26"/>
      <c r="G133" s="26" t="s">
        <v>2189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2101</v>
      </c>
      <c r="C134" s="52" t="s">
        <v>338</v>
      </c>
      <c r="D134" s="54" t="s">
        <v>2102</v>
      </c>
      <c r="E134" s="25" t="s">
        <v>266</v>
      </c>
      <c r="F134" s="26"/>
      <c r="G134" s="26" t="s">
        <v>2190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2104</v>
      </c>
      <c r="C135" s="52" t="s">
        <v>338</v>
      </c>
      <c r="D135" s="54" t="s">
        <v>2105</v>
      </c>
      <c r="E135" s="25" t="s">
        <v>266</v>
      </c>
      <c r="F135" s="26"/>
      <c r="G135" s="26" t="s">
        <v>2191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2107</v>
      </c>
      <c r="C136" s="52" t="s">
        <v>338</v>
      </c>
      <c r="D136" s="10" t="s">
        <v>2108</v>
      </c>
      <c r="E136" s="25" t="s">
        <v>266</v>
      </c>
      <c r="F136" s="26"/>
      <c r="G136" s="26" t="s">
        <v>2192</v>
      </c>
      <c r="H136" s="37"/>
      <c r="I136" s="26"/>
      <c r="J136" s="15" t="s">
        <v>632</v>
      </c>
      <c r="K136" s="15" t="s">
        <v>669</v>
      </c>
      <c r="L136" s="15" t="s">
        <v>670</v>
      </c>
    </row>
    <row r="137" s="1" customFormat="1" spans="1:12">
      <c r="A137" s="33"/>
      <c r="B137" s="52" t="s">
        <v>1912</v>
      </c>
      <c r="C137" s="52" t="s">
        <v>338</v>
      </c>
      <c r="D137" s="10" t="s">
        <v>2110</v>
      </c>
      <c r="E137" s="25" t="s">
        <v>266</v>
      </c>
      <c r="F137" s="26"/>
      <c r="G137" s="26" t="s">
        <v>2111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2112</v>
      </c>
      <c r="C138" s="52" t="s">
        <v>666</v>
      </c>
      <c r="D138" s="54" t="s">
        <v>2113</v>
      </c>
      <c r="E138" s="25" t="s">
        <v>266</v>
      </c>
      <c r="F138" s="55"/>
      <c r="G138" s="26" t="s">
        <v>2193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2115</v>
      </c>
      <c r="C139" s="52" t="s">
        <v>338</v>
      </c>
      <c r="D139" s="54" t="s">
        <v>2116</v>
      </c>
      <c r="E139" s="25" t="s">
        <v>266</v>
      </c>
      <c r="F139" s="26"/>
      <c r="G139" s="26" t="s">
        <v>2194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2118</v>
      </c>
      <c r="C140" s="52" t="s">
        <v>338</v>
      </c>
      <c r="D140" s="54" t="s">
        <v>2119</v>
      </c>
      <c r="E140" s="25" t="s">
        <v>266</v>
      </c>
      <c r="F140" s="26"/>
      <c r="G140" s="26" t="s">
        <v>2195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2121</v>
      </c>
      <c r="C141" s="52" t="s">
        <v>338</v>
      </c>
      <c r="D141" s="54" t="s">
        <v>2122</v>
      </c>
      <c r="E141" s="25" t="s">
        <v>266</v>
      </c>
      <c r="F141" s="26"/>
      <c r="G141" s="26" t="s">
        <v>2196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2124</v>
      </c>
      <c r="C142" s="52" t="s">
        <v>338</v>
      </c>
      <c r="D142" s="54" t="s">
        <v>2125</v>
      </c>
      <c r="E142" s="25" t="s">
        <v>266</v>
      </c>
      <c r="F142" s="26"/>
      <c r="G142" s="26" t="s">
        <v>2197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2127</v>
      </c>
      <c r="C143" s="52" t="s">
        <v>338</v>
      </c>
      <c r="D143" s="54" t="s">
        <v>2128</v>
      </c>
      <c r="E143" s="25" t="s">
        <v>266</v>
      </c>
      <c r="F143" s="26"/>
      <c r="G143" s="26" t="s">
        <v>2198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2130</v>
      </c>
      <c r="C144" s="52" t="s">
        <v>338</v>
      </c>
      <c r="D144" s="54" t="s">
        <v>2131</v>
      </c>
      <c r="E144" s="25" t="s">
        <v>266</v>
      </c>
      <c r="F144" s="55"/>
      <c r="G144" s="26" t="s">
        <v>2199</v>
      </c>
      <c r="H144" s="37"/>
      <c r="I144" s="26"/>
      <c r="J144" s="15" t="s">
        <v>632</v>
      </c>
      <c r="K144" s="15" t="s">
        <v>294</v>
      </c>
      <c r="L144" s="15" t="s">
        <v>633</v>
      </c>
    </row>
    <row r="145" s="1" customFormat="1" spans="1:12">
      <c r="A145" s="33"/>
      <c r="B145" s="52" t="s">
        <v>2133</v>
      </c>
      <c r="C145" s="52" t="s">
        <v>338</v>
      </c>
      <c r="D145" s="54" t="s">
        <v>2134</v>
      </c>
      <c r="E145" s="25" t="s">
        <v>266</v>
      </c>
      <c r="F145" s="55"/>
      <c r="G145" s="26" t="s">
        <v>2200</v>
      </c>
      <c r="H145" s="37"/>
      <c r="I145" s="26"/>
      <c r="J145" s="15" t="s">
        <v>632</v>
      </c>
      <c r="K145" s="15" t="s">
        <v>669</v>
      </c>
      <c r="L145" s="15" t="s">
        <v>633</v>
      </c>
    </row>
    <row r="146" s="1" customFormat="1" spans="1:12">
      <c r="A146" s="33"/>
      <c r="B146" s="13" t="s">
        <v>887</v>
      </c>
      <c r="C146" s="13" t="s">
        <v>338</v>
      </c>
      <c r="D146" s="10" t="s">
        <v>888</v>
      </c>
      <c r="E146" s="25" t="s">
        <v>266</v>
      </c>
      <c r="F146" s="26"/>
      <c r="G146" s="26" t="s">
        <v>1013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2" customFormat="1" spans="2:14">
      <c r="B147" s="17" t="s">
        <v>594</v>
      </c>
      <c r="C147" s="18" t="s">
        <v>307</v>
      </c>
      <c r="D147" s="19" t="s">
        <v>595</v>
      </c>
      <c r="E147" s="28"/>
      <c r="F147" s="28"/>
      <c r="G147" s="28"/>
      <c r="H147" s="17"/>
      <c r="I147" s="17"/>
      <c r="J147" s="17"/>
      <c r="K147" s="17"/>
      <c r="L147" s="17"/>
      <c r="M147" s="17"/>
      <c r="N147" s="17"/>
    </row>
    <row r="148" s="2" customFormat="1" spans="2:14">
      <c r="B148" s="17" t="s">
        <v>596</v>
      </c>
      <c r="C148" s="18" t="s">
        <v>291</v>
      </c>
      <c r="D148" s="19" t="s">
        <v>597</v>
      </c>
      <c r="E148" s="28"/>
      <c r="F148" s="28"/>
      <c r="G148" s="28"/>
      <c r="H148" s="17"/>
      <c r="I148" s="17"/>
      <c r="J148" s="17"/>
      <c r="K148" s="17"/>
      <c r="L148" s="17"/>
      <c r="M148" s="17"/>
      <c r="N148" s="17"/>
    </row>
  </sheetData>
  <autoFilter xmlns:etc="http://www.wps.cn/officeDocument/2017/etCustomData" ref="A13:N148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zoomScale="85" zoomScaleNormal="85" workbookViewId="0">
      <pane ySplit="5" topLeftCell="A30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212</v>
      </c>
      <c r="D5" s="14" t="s">
        <v>213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190</v>
      </c>
      <c r="D9" s="10" t="s">
        <v>191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514</v>
      </c>
      <c r="C24" s="13" t="s">
        <v>291</v>
      </c>
      <c r="D24" s="10" t="s">
        <v>515</v>
      </c>
      <c r="E24" s="25" t="s">
        <v>266</v>
      </c>
      <c r="F24" s="26" t="s">
        <v>514</v>
      </c>
      <c r="G24" s="26" t="s">
        <v>293</v>
      </c>
      <c r="H24" s="25"/>
      <c r="I24" s="53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295</v>
      </c>
      <c r="C25" s="13" t="s">
        <v>291</v>
      </c>
      <c r="D25" s="10" t="s">
        <v>618</v>
      </c>
      <c r="E25" s="25" t="s">
        <v>266</v>
      </c>
      <c r="F25" s="26" t="s">
        <v>295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297</v>
      </c>
      <c r="C26" s="13" t="s">
        <v>291</v>
      </c>
      <c r="D26" s="10" t="s">
        <v>298</v>
      </c>
      <c r="E26" s="25" t="s">
        <v>266</v>
      </c>
      <c r="F26" s="26" t="s">
        <v>297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300</v>
      </c>
      <c r="C27" s="13" t="s">
        <v>291</v>
      </c>
      <c r="D27" s="10" t="s">
        <v>619</v>
      </c>
      <c r="E27" s="25" t="s">
        <v>266</v>
      </c>
      <c r="F27" s="26" t="s">
        <v>300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33" customFormat="1" spans="2:12">
      <c r="B28" s="32" t="s">
        <v>378</v>
      </c>
      <c r="C28" s="13" t="s">
        <v>291</v>
      </c>
      <c r="D28" s="10" t="s">
        <v>624</v>
      </c>
      <c r="E28" s="25" t="s">
        <v>266</v>
      </c>
      <c r="F28" s="26" t="s">
        <v>378</v>
      </c>
      <c r="G28" s="26" t="s">
        <v>293</v>
      </c>
      <c r="H28" s="25"/>
      <c r="I28" s="30"/>
      <c r="J28" s="15" t="s">
        <v>604</v>
      </c>
      <c r="K28" s="15" t="s">
        <v>294</v>
      </c>
      <c r="L28" s="15" t="s">
        <v>615</v>
      </c>
    </row>
    <row r="29" s="1" customFormat="1" spans="1:12">
      <c r="A29" s="33"/>
      <c r="B29" s="13" t="s">
        <v>629</v>
      </c>
      <c r="C29" s="13" t="s">
        <v>338</v>
      </c>
      <c r="D29" s="10" t="s">
        <v>630</v>
      </c>
      <c r="E29" s="25" t="s">
        <v>266</v>
      </c>
      <c r="F29" s="26"/>
      <c r="G29" s="26" t="s">
        <v>933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13" t="s">
        <v>637</v>
      </c>
      <c r="C30" s="13" t="s">
        <v>338</v>
      </c>
      <c r="D30" s="10" t="s">
        <v>638</v>
      </c>
      <c r="E30" s="25" t="s">
        <v>266</v>
      </c>
      <c r="F30" s="26"/>
      <c r="G30" s="26" t="s">
        <v>935</v>
      </c>
      <c r="H30" s="37"/>
      <c r="I30" s="26"/>
      <c r="J30" s="15" t="s">
        <v>632</v>
      </c>
      <c r="K30" s="15" t="s">
        <v>294</v>
      </c>
      <c r="L30" s="15" t="s">
        <v>633</v>
      </c>
    </row>
    <row r="31" s="1" customFormat="1" spans="1:12">
      <c r="A31" s="33"/>
      <c r="B31" s="32" t="s">
        <v>337</v>
      </c>
      <c r="C31" s="32" t="s">
        <v>338</v>
      </c>
      <c r="D31" s="10" t="s">
        <v>640</v>
      </c>
      <c r="E31" s="25" t="s">
        <v>266</v>
      </c>
      <c r="F31" s="26"/>
      <c r="G31" s="26" t="s">
        <v>641</v>
      </c>
      <c r="H31" s="3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342</v>
      </c>
      <c r="C32" s="13" t="s">
        <v>338</v>
      </c>
      <c r="D32" s="10" t="s">
        <v>642</v>
      </c>
      <c r="E32" s="25" t="s">
        <v>266</v>
      </c>
      <c r="F32" s="26"/>
      <c r="G32" s="26" t="s">
        <v>643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340</v>
      </c>
      <c r="C33" s="13" t="s">
        <v>338</v>
      </c>
      <c r="D33" s="10" t="s">
        <v>645</v>
      </c>
      <c r="E33" s="25" t="s">
        <v>266</v>
      </c>
      <c r="F33" s="26"/>
      <c r="G33" s="26" t="s">
        <v>646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647</v>
      </c>
      <c r="C34" s="13" t="s">
        <v>338</v>
      </c>
      <c r="D34" s="10" t="s">
        <v>648</v>
      </c>
      <c r="E34" s="25" t="s">
        <v>266</v>
      </c>
      <c r="F34" s="26"/>
      <c r="G34" s="26" t="s">
        <v>936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650</v>
      </c>
      <c r="C35" s="13" t="s">
        <v>338</v>
      </c>
      <c r="D35" s="10" t="s">
        <v>651</v>
      </c>
      <c r="E35" s="25" t="s">
        <v>266</v>
      </c>
      <c r="F35" s="26"/>
      <c r="G35" s="26" t="s">
        <v>937</v>
      </c>
      <c r="H35" s="37"/>
      <c r="I35" s="26"/>
      <c r="J35" s="15" t="s">
        <v>632</v>
      </c>
      <c r="K35" s="15" t="s">
        <v>294</v>
      </c>
      <c r="L35" s="15" t="s">
        <v>633</v>
      </c>
    </row>
    <row r="36" s="1" customFormat="1" spans="1:12">
      <c r="A36" s="33"/>
      <c r="B36" s="13" t="s">
        <v>656</v>
      </c>
      <c r="C36" s="13" t="s">
        <v>338</v>
      </c>
      <c r="D36" s="10" t="s">
        <v>657</v>
      </c>
      <c r="E36" s="25" t="s">
        <v>266</v>
      </c>
      <c r="F36" s="26"/>
      <c r="G36" s="26" t="s">
        <v>939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659</v>
      </c>
      <c r="C37" s="13" t="s">
        <v>338</v>
      </c>
      <c r="D37" s="10" t="s">
        <v>660</v>
      </c>
      <c r="E37" s="25" t="s">
        <v>266</v>
      </c>
      <c r="F37" s="26"/>
      <c r="G37" s="26" t="s">
        <v>940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346</v>
      </c>
      <c r="C38" s="13" t="s">
        <v>338</v>
      </c>
      <c r="D38" s="10" t="s">
        <v>693</v>
      </c>
      <c r="E38" s="25" t="s">
        <v>266</v>
      </c>
      <c r="F38" s="26"/>
      <c r="G38" s="26" t="s">
        <v>694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344</v>
      </c>
      <c r="C39" s="13" t="s">
        <v>338</v>
      </c>
      <c r="D39" s="10" t="s">
        <v>695</v>
      </c>
      <c r="E39" s="25" t="s">
        <v>266</v>
      </c>
      <c r="F39" s="26"/>
      <c r="G39" s="26" t="s">
        <v>696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392</v>
      </c>
      <c r="C40" s="13" t="s">
        <v>338</v>
      </c>
      <c r="D40" s="10" t="s">
        <v>697</v>
      </c>
      <c r="E40" s="25" t="s">
        <v>266</v>
      </c>
      <c r="F40" s="26"/>
      <c r="G40" s="26" t="s">
        <v>698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394</v>
      </c>
      <c r="C41" s="13" t="s">
        <v>338</v>
      </c>
      <c r="D41" s="10" t="s">
        <v>699</v>
      </c>
      <c r="E41" s="25" t="s">
        <v>266</v>
      </c>
      <c r="F41" s="26"/>
      <c r="G41" s="26" t="s">
        <v>700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701</v>
      </c>
      <c r="C42" s="13" t="s">
        <v>338</v>
      </c>
      <c r="D42" s="10" t="s">
        <v>702</v>
      </c>
      <c r="E42" s="25" t="s">
        <v>266</v>
      </c>
      <c r="F42" s="26"/>
      <c r="G42" s="26" t="s">
        <v>950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704</v>
      </c>
      <c r="C43" s="13" t="s">
        <v>338</v>
      </c>
      <c r="D43" s="10" t="s">
        <v>705</v>
      </c>
      <c r="E43" s="25" t="s">
        <v>266</v>
      </c>
      <c r="F43" s="26"/>
      <c r="G43" s="26" t="s">
        <v>951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707</v>
      </c>
      <c r="C44" s="13" t="s">
        <v>338</v>
      </c>
      <c r="D44" s="10" t="s">
        <v>708</v>
      </c>
      <c r="E44" s="25" t="s">
        <v>266</v>
      </c>
      <c r="F44" s="26"/>
      <c r="G44" s="26" t="s">
        <v>952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710</v>
      </c>
      <c r="C45" s="13" t="s">
        <v>338</v>
      </c>
      <c r="D45" s="10" t="s">
        <v>711</v>
      </c>
      <c r="E45" s="25" t="s">
        <v>266</v>
      </c>
      <c r="F45" s="26"/>
      <c r="G45" s="26" t="s">
        <v>953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713</v>
      </c>
      <c r="C46" s="13" t="s">
        <v>338</v>
      </c>
      <c r="D46" s="10" t="s">
        <v>714</v>
      </c>
      <c r="E46" s="25" t="s">
        <v>266</v>
      </c>
      <c r="F46" s="26"/>
      <c r="G46" s="26" t="s">
        <v>954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716</v>
      </c>
      <c r="C47" s="13" t="s">
        <v>338</v>
      </c>
      <c r="D47" s="10" t="s">
        <v>717</v>
      </c>
      <c r="E47" s="25" t="s">
        <v>266</v>
      </c>
      <c r="F47" s="26"/>
      <c r="G47" s="26" t="s">
        <v>955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410</v>
      </c>
      <c r="C48" s="13" t="s">
        <v>338</v>
      </c>
      <c r="D48" s="10" t="s">
        <v>719</v>
      </c>
      <c r="E48" s="25" t="s">
        <v>266</v>
      </c>
      <c r="F48" s="26"/>
      <c r="G48" s="26" t="s">
        <v>720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412</v>
      </c>
      <c r="C49" s="13" t="s">
        <v>338</v>
      </c>
      <c r="D49" s="10" t="s">
        <v>721</v>
      </c>
      <c r="E49" s="25" t="s">
        <v>266</v>
      </c>
      <c r="F49" s="26"/>
      <c r="G49" s="26" t="s">
        <v>722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1916</v>
      </c>
      <c r="C50" s="13" t="s">
        <v>338</v>
      </c>
      <c r="D50" s="10" t="s">
        <v>1917</v>
      </c>
      <c r="E50" s="25" t="s">
        <v>266</v>
      </c>
      <c r="F50" s="26"/>
      <c r="G50" s="26" t="s">
        <v>2136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1919</v>
      </c>
      <c r="C51" s="13" t="s">
        <v>338</v>
      </c>
      <c r="D51" s="10" t="s">
        <v>1920</v>
      </c>
      <c r="E51" s="25" t="s">
        <v>266</v>
      </c>
      <c r="F51" s="26"/>
      <c r="G51" s="26" t="s">
        <v>2137</v>
      </c>
      <c r="H51" s="37"/>
      <c r="I51" s="26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1922</v>
      </c>
      <c r="C52" s="13" t="s">
        <v>338</v>
      </c>
      <c r="D52" s="10" t="s">
        <v>1923</v>
      </c>
      <c r="E52" s="25" t="s">
        <v>266</v>
      </c>
      <c r="F52" s="26"/>
      <c r="G52" s="26" t="s">
        <v>2138</v>
      </c>
      <c r="H52" s="37"/>
      <c r="I52" s="26"/>
      <c r="J52" s="15" t="s">
        <v>632</v>
      </c>
      <c r="K52" s="15" t="s">
        <v>404</v>
      </c>
      <c r="L52" s="15" t="s">
        <v>633</v>
      </c>
    </row>
    <row r="53" s="1" customFormat="1" spans="1:12">
      <c r="A53" s="33"/>
      <c r="B53" s="13" t="s">
        <v>1925</v>
      </c>
      <c r="C53" s="13" t="s">
        <v>338</v>
      </c>
      <c r="D53" s="10" t="s">
        <v>1926</v>
      </c>
      <c r="E53" s="25" t="s">
        <v>266</v>
      </c>
      <c r="F53" s="26"/>
      <c r="G53" s="26" t="s">
        <v>2139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1928</v>
      </c>
      <c r="C54" s="13" t="s">
        <v>338</v>
      </c>
      <c r="D54" s="10" t="s">
        <v>1929</v>
      </c>
      <c r="E54" s="25" t="s">
        <v>266</v>
      </c>
      <c r="F54" s="26"/>
      <c r="G54" s="26" t="s">
        <v>2140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1931</v>
      </c>
      <c r="C55" s="13" t="s">
        <v>338</v>
      </c>
      <c r="D55" s="10" t="s">
        <v>1932</v>
      </c>
      <c r="E55" s="25" t="s">
        <v>266</v>
      </c>
      <c r="F55" s="26"/>
      <c r="G55" s="26" t="s">
        <v>2141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1934</v>
      </c>
      <c r="C56" s="13" t="s">
        <v>338</v>
      </c>
      <c r="D56" s="10" t="s">
        <v>1935</v>
      </c>
      <c r="E56" s="25" t="s">
        <v>266</v>
      </c>
      <c r="F56" s="26"/>
      <c r="G56" s="26" t="s">
        <v>2142</v>
      </c>
      <c r="H56" s="37"/>
      <c r="I56" s="26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1937</v>
      </c>
      <c r="C57" s="13" t="s">
        <v>338</v>
      </c>
      <c r="D57" s="10" t="s">
        <v>1938</v>
      </c>
      <c r="E57" s="25" t="s">
        <v>266</v>
      </c>
      <c r="F57" s="26"/>
      <c r="G57" s="26" t="s">
        <v>2143</v>
      </c>
      <c r="H57" s="37"/>
      <c r="I57" s="26"/>
      <c r="J57" s="15" t="s">
        <v>632</v>
      </c>
      <c r="K57" s="15" t="s">
        <v>644</v>
      </c>
      <c r="L57" s="15" t="s">
        <v>633</v>
      </c>
    </row>
    <row r="58" s="1" customFormat="1" spans="1:12">
      <c r="A58" s="33"/>
      <c r="B58" s="13" t="s">
        <v>1940</v>
      </c>
      <c r="C58" s="13" t="s">
        <v>338</v>
      </c>
      <c r="D58" s="10" t="s">
        <v>1941</v>
      </c>
      <c r="E58" s="25" t="s">
        <v>266</v>
      </c>
      <c r="F58" s="26"/>
      <c r="G58" s="26" t="s">
        <v>2144</v>
      </c>
      <c r="H58" s="37"/>
      <c r="I58" s="26"/>
      <c r="J58" s="15" t="s">
        <v>632</v>
      </c>
      <c r="K58" s="15" t="s">
        <v>404</v>
      </c>
      <c r="L58" s="15" t="s">
        <v>633</v>
      </c>
    </row>
    <row r="59" s="1" customFormat="1" spans="1:12">
      <c r="A59" s="33"/>
      <c r="B59" s="13" t="s">
        <v>1870</v>
      </c>
      <c r="C59" s="13" t="s">
        <v>338</v>
      </c>
      <c r="D59" s="10" t="s">
        <v>1943</v>
      </c>
      <c r="E59" s="25" t="s">
        <v>266</v>
      </c>
      <c r="F59" s="26"/>
      <c r="G59" s="26" t="s">
        <v>1944</v>
      </c>
      <c r="H59" s="37"/>
      <c r="I59" s="26"/>
      <c r="J59" s="15" t="s">
        <v>632</v>
      </c>
      <c r="K59" s="15" t="s">
        <v>644</v>
      </c>
      <c r="L59" s="15" t="s">
        <v>633</v>
      </c>
    </row>
    <row r="60" s="1" customFormat="1" spans="1:12">
      <c r="A60" s="33"/>
      <c r="B60" s="13" t="s">
        <v>1945</v>
      </c>
      <c r="C60" s="52" t="s">
        <v>666</v>
      </c>
      <c r="D60" s="10" t="s">
        <v>1946</v>
      </c>
      <c r="E60" s="25" t="s">
        <v>266</v>
      </c>
      <c r="F60" s="26"/>
      <c r="G60" s="26" t="s">
        <v>2145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1948</v>
      </c>
      <c r="C61" s="52" t="s">
        <v>666</v>
      </c>
      <c r="D61" s="10" t="s">
        <v>1949</v>
      </c>
      <c r="E61" s="25" t="s">
        <v>266</v>
      </c>
      <c r="F61" s="26"/>
      <c r="G61" s="26" t="s">
        <v>2146</v>
      </c>
      <c r="H61" s="37"/>
      <c r="I61" s="26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728</v>
      </c>
      <c r="C62" s="13" t="s">
        <v>338</v>
      </c>
      <c r="D62" s="10" t="s">
        <v>729</v>
      </c>
      <c r="E62" s="25" t="s">
        <v>266</v>
      </c>
      <c r="F62" s="26"/>
      <c r="G62" s="26" t="s">
        <v>956</v>
      </c>
      <c r="H62" s="37"/>
      <c r="I62" s="26"/>
      <c r="J62" s="15" t="s">
        <v>632</v>
      </c>
      <c r="K62" s="15" t="s">
        <v>294</v>
      </c>
      <c r="L62" s="15" t="s">
        <v>633</v>
      </c>
    </row>
    <row r="63" s="1" customFormat="1" spans="1:12">
      <c r="A63" s="33"/>
      <c r="B63" s="13" t="s">
        <v>730</v>
      </c>
      <c r="C63" s="13" t="s">
        <v>666</v>
      </c>
      <c r="D63" s="10" t="s">
        <v>731</v>
      </c>
      <c r="E63" s="25" t="s">
        <v>266</v>
      </c>
      <c r="F63" s="55"/>
      <c r="G63" s="26" t="s">
        <v>957</v>
      </c>
      <c r="H63" s="3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733</v>
      </c>
      <c r="C64" s="13" t="s">
        <v>338</v>
      </c>
      <c r="D64" s="10" t="s">
        <v>734</v>
      </c>
      <c r="E64" s="25" t="s">
        <v>266</v>
      </c>
      <c r="F64" s="26"/>
      <c r="G64" s="26" t="s">
        <v>958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736</v>
      </c>
      <c r="C65" s="13" t="s">
        <v>338</v>
      </c>
      <c r="D65" s="10" t="s">
        <v>737</v>
      </c>
      <c r="E65" s="25" t="s">
        <v>266</v>
      </c>
      <c r="F65" s="26"/>
      <c r="G65" s="26" t="s">
        <v>959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739</v>
      </c>
      <c r="C66" s="13" t="s">
        <v>338</v>
      </c>
      <c r="D66" s="10" t="s">
        <v>740</v>
      </c>
      <c r="E66" s="25" t="s">
        <v>266</v>
      </c>
      <c r="F66" s="26"/>
      <c r="G66" s="26" t="s">
        <v>960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742</v>
      </c>
      <c r="C67" s="13" t="s">
        <v>338</v>
      </c>
      <c r="D67" s="10" t="s">
        <v>743</v>
      </c>
      <c r="E67" s="25" t="s">
        <v>266</v>
      </c>
      <c r="F67" s="26"/>
      <c r="G67" s="26" t="s">
        <v>961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745</v>
      </c>
      <c r="C68" s="13" t="s">
        <v>338</v>
      </c>
      <c r="D68" s="10" t="s">
        <v>746</v>
      </c>
      <c r="E68" s="25" t="s">
        <v>266</v>
      </c>
      <c r="F68" s="26"/>
      <c r="G68" s="26" t="s">
        <v>962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748</v>
      </c>
      <c r="C69" s="13" t="s">
        <v>338</v>
      </c>
      <c r="D69" s="10" t="s">
        <v>749</v>
      </c>
      <c r="E69" s="25" t="s">
        <v>266</v>
      </c>
      <c r="F69" s="26"/>
      <c r="G69" s="26" t="s">
        <v>963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751</v>
      </c>
      <c r="C70" s="13" t="s">
        <v>666</v>
      </c>
      <c r="D70" s="10" t="s">
        <v>752</v>
      </c>
      <c r="E70" s="25" t="s">
        <v>266</v>
      </c>
      <c r="F70" s="55"/>
      <c r="G70" s="26" t="s">
        <v>964</v>
      </c>
      <c r="H70" s="37"/>
      <c r="I70" s="26"/>
      <c r="J70" s="15" t="s">
        <v>632</v>
      </c>
      <c r="K70" s="15" t="s">
        <v>404</v>
      </c>
      <c r="L70" s="15" t="s">
        <v>633</v>
      </c>
    </row>
    <row r="71" s="1" customFormat="1" spans="1:12">
      <c r="A71" s="33"/>
      <c r="B71" s="13" t="s">
        <v>754</v>
      </c>
      <c r="C71" s="13" t="s">
        <v>338</v>
      </c>
      <c r="D71" s="10" t="s">
        <v>755</v>
      </c>
      <c r="E71" s="25" t="s">
        <v>266</v>
      </c>
      <c r="F71" s="26"/>
      <c r="G71" s="26" t="s">
        <v>965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757</v>
      </c>
      <c r="C72" s="13" t="s">
        <v>338</v>
      </c>
      <c r="D72" s="10" t="s">
        <v>758</v>
      </c>
      <c r="E72" s="25" t="s">
        <v>266</v>
      </c>
      <c r="F72" s="26"/>
      <c r="G72" s="26" t="s">
        <v>966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760</v>
      </c>
      <c r="C73" s="13" t="s">
        <v>338</v>
      </c>
      <c r="D73" s="10" t="s">
        <v>761</v>
      </c>
      <c r="E73" s="25" t="s">
        <v>266</v>
      </c>
      <c r="F73" s="26"/>
      <c r="G73" s="26" t="s">
        <v>967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763</v>
      </c>
      <c r="C74" s="13" t="s">
        <v>338</v>
      </c>
      <c r="D74" s="10" t="s">
        <v>764</v>
      </c>
      <c r="E74" s="25" t="s">
        <v>266</v>
      </c>
      <c r="F74" s="26"/>
      <c r="G74" s="26" t="s">
        <v>968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766</v>
      </c>
      <c r="C75" s="13" t="s">
        <v>338</v>
      </c>
      <c r="D75" s="10" t="s">
        <v>767</v>
      </c>
      <c r="E75" s="25" t="s">
        <v>266</v>
      </c>
      <c r="F75" s="26"/>
      <c r="G75" s="26" t="s">
        <v>969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769</v>
      </c>
      <c r="C76" s="13" t="s">
        <v>666</v>
      </c>
      <c r="D76" s="10" t="s">
        <v>770</v>
      </c>
      <c r="E76" s="25" t="s">
        <v>266</v>
      </c>
      <c r="F76" s="26"/>
      <c r="G76" s="26" t="s">
        <v>970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772</v>
      </c>
      <c r="C77" s="13" t="s">
        <v>666</v>
      </c>
      <c r="D77" s="10" t="s">
        <v>773</v>
      </c>
      <c r="E77" s="25" t="s">
        <v>266</v>
      </c>
      <c r="F77" s="55"/>
      <c r="G77" s="26" t="s">
        <v>971</v>
      </c>
      <c r="H77" s="37"/>
      <c r="I77" s="26"/>
      <c r="J77" s="15" t="s">
        <v>632</v>
      </c>
      <c r="K77" s="15" t="s">
        <v>404</v>
      </c>
      <c r="L77" s="15" t="s">
        <v>633</v>
      </c>
    </row>
    <row r="78" s="1" customFormat="1" spans="1:12">
      <c r="A78" s="33"/>
      <c r="B78" s="13" t="s">
        <v>775</v>
      </c>
      <c r="C78" s="13" t="s">
        <v>338</v>
      </c>
      <c r="D78" s="10" t="s">
        <v>776</v>
      </c>
      <c r="E78" s="25" t="s">
        <v>266</v>
      </c>
      <c r="F78" s="26"/>
      <c r="G78" s="26" t="s">
        <v>972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778</v>
      </c>
      <c r="C79" s="13" t="s">
        <v>338</v>
      </c>
      <c r="D79" s="10" t="s">
        <v>779</v>
      </c>
      <c r="E79" s="25" t="s">
        <v>266</v>
      </c>
      <c r="F79" s="26"/>
      <c r="G79" s="26" t="s">
        <v>973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781</v>
      </c>
      <c r="C80" s="13" t="s">
        <v>338</v>
      </c>
      <c r="D80" s="10" t="s">
        <v>782</v>
      </c>
      <c r="E80" s="25" t="s">
        <v>266</v>
      </c>
      <c r="F80" s="26"/>
      <c r="G80" s="26" t="s">
        <v>974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784</v>
      </c>
      <c r="C81" s="13" t="s">
        <v>338</v>
      </c>
      <c r="D81" s="10" t="s">
        <v>785</v>
      </c>
      <c r="E81" s="25" t="s">
        <v>266</v>
      </c>
      <c r="F81" s="26"/>
      <c r="G81" s="26" t="s">
        <v>975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787</v>
      </c>
      <c r="C82" s="13" t="s">
        <v>338</v>
      </c>
      <c r="D82" s="10" t="s">
        <v>788</v>
      </c>
      <c r="E82" s="25" t="s">
        <v>266</v>
      </c>
      <c r="F82" s="26"/>
      <c r="G82" s="26" t="s">
        <v>976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413</v>
      </c>
      <c r="C83" s="13" t="s">
        <v>666</v>
      </c>
      <c r="D83" s="10" t="s">
        <v>790</v>
      </c>
      <c r="E83" s="25" t="s">
        <v>266</v>
      </c>
      <c r="F83" s="55"/>
      <c r="G83" s="26" t="s">
        <v>977</v>
      </c>
      <c r="H83" s="37"/>
      <c r="I83" s="26"/>
      <c r="J83" s="15" t="s">
        <v>632</v>
      </c>
      <c r="K83" s="15" t="s">
        <v>404</v>
      </c>
      <c r="L83" s="15" t="s">
        <v>633</v>
      </c>
    </row>
    <row r="84" s="1" customFormat="1" spans="1:12">
      <c r="A84" s="33"/>
      <c r="B84" s="13" t="s">
        <v>792</v>
      </c>
      <c r="C84" s="13" t="s">
        <v>338</v>
      </c>
      <c r="D84" s="10" t="s">
        <v>793</v>
      </c>
      <c r="E84" s="25" t="s">
        <v>266</v>
      </c>
      <c r="F84" s="26"/>
      <c r="G84" s="26" t="s">
        <v>978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418</v>
      </c>
      <c r="C85" s="13" t="s">
        <v>666</v>
      </c>
      <c r="D85" s="10" t="s">
        <v>795</v>
      </c>
      <c r="E85" s="25" t="s">
        <v>266</v>
      </c>
      <c r="F85" s="55"/>
      <c r="G85" s="26" t="s">
        <v>979</v>
      </c>
      <c r="H85" s="3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797</v>
      </c>
      <c r="C86" s="13" t="s">
        <v>338</v>
      </c>
      <c r="D86" s="10" t="s">
        <v>798</v>
      </c>
      <c r="E86" s="25" t="s">
        <v>266</v>
      </c>
      <c r="F86" s="26"/>
      <c r="G86" s="26" t="s">
        <v>980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32" t="s">
        <v>1860</v>
      </c>
      <c r="C87" s="32" t="s">
        <v>338</v>
      </c>
      <c r="D87" s="10" t="s">
        <v>1861</v>
      </c>
      <c r="E87" s="25" t="s">
        <v>266</v>
      </c>
      <c r="F87" s="26"/>
      <c r="G87" s="26" t="s">
        <v>1966</v>
      </c>
      <c r="H87" s="37"/>
      <c r="I87" s="26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32" t="s">
        <v>1903</v>
      </c>
      <c r="C88" s="32" t="s">
        <v>666</v>
      </c>
      <c r="D88" s="10" t="s">
        <v>1904</v>
      </c>
      <c r="E88" s="25" t="s">
        <v>266</v>
      </c>
      <c r="F88" s="26"/>
      <c r="G88" s="26" t="s">
        <v>1967</v>
      </c>
      <c r="H88" s="37"/>
      <c r="I88" s="26"/>
      <c r="J88" s="15" t="s">
        <v>632</v>
      </c>
      <c r="K88" s="15" t="s">
        <v>1898</v>
      </c>
      <c r="L88" s="15" t="s">
        <v>633</v>
      </c>
    </row>
    <row r="89" s="1" customFormat="1" spans="1:12">
      <c r="A89" s="33"/>
      <c r="B89" s="52" t="s">
        <v>1968</v>
      </c>
      <c r="C89" s="52" t="s">
        <v>666</v>
      </c>
      <c r="D89" s="54" t="s">
        <v>1969</v>
      </c>
      <c r="E89" s="25" t="s">
        <v>266</v>
      </c>
      <c r="F89" s="55"/>
      <c r="G89" s="26" t="s">
        <v>2147</v>
      </c>
      <c r="H89" s="27"/>
      <c r="I89" s="26"/>
      <c r="J89" s="15" t="s">
        <v>632</v>
      </c>
      <c r="K89" s="15" t="s">
        <v>1898</v>
      </c>
      <c r="L89" s="15" t="s">
        <v>633</v>
      </c>
    </row>
    <row r="90" s="1" customFormat="1" spans="2:12">
      <c r="B90" s="32" t="s">
        <v>1906</v>
      </c>
      <c r="C90" s="32" t="s">
        <v>666</v>
      </c>
      <c r="D90" s="10" t="s">
        <v>1907</v>
      </c>
      <c r="E90" s="25" t="s">
        <v>266</v>
      </c>
      <c r="F90" s="32"/>
      <c r="G90" s="26" t="s">
        <v>1971</v>
      </c>
      <c r="H90" s="37"/>
      <c r="I90" s="26"/>
      <c r="J90" s="15" t="s">
        <v>632</v>
      </c>
      <c r="K90" s="15" t="s">
        <v>1902</v>
      </c>
      <c r="L90" s="15" t="s">
        <v>633</v>
      </c>
    </row>
    <row r="91" s="1" customFormat="1" spans="1:12">
      <c r="A91" s="33"/>
      <c r="B91" s="32" t="s">
        <v>1892</v>
      </c>
      <c r="C91" s="32" t="s">
        <v>338</v>
      </c>
      <c r="D91" s="10" t="s">
        <v>1972</v>
      </c>
      <c r="E91" s="25" t="s">
        <v>266</v>
      </c>
      <c r="F91" s="26"/>
      <c r="G91" s="26" t="s">
        <v>1973</v>
      </c>
      <c r="H91" s="37"/>
      <c r="I91" s="26"/>
      <c r="J91" s="15" t="s">
        <v>632</v>
      </c>
      <c r="K91" s="15" t="s">
        <v>803</v>
      </c>
      <c r="L91" s="15" t="s">
        <v>633</v>
      </c>
    </row>
    <row r="92" s="1" customFormat="1" spans="1:12">
      <c r="A92" s="33"/>
      <c r="B92" s="32" t="s">
        <v>1895</v>
      </c>
      <c r="C92" s="32" t="s">
        <v>666</v>
      </c>
      <c r="D92" s="10" t="s">
        <v>1896</v>
      </c>
      <c r="E92" s="25" t="s">
        <v>266</v>
      </c>
      <c r="F92" s="26"/>
      <c r="G92" s="26" t="s">
        <v>1974</v>
      </c>
      <c r="H92" s="37"/>
      <c r="I92" s="26"/>
      <c r="J92" s="15" t="s">
        <v>632</v>
      </c>
      <c r="K92" s="15" t="s">
        <v>1898</v>
      </c>
      <c r="L92" s="15" t="s">
        <v>633</v>
      </c>
    </row>
    <row r="93" s="1" customFormat="1" spans="2:12">
      <c r="B93" s="32" t="s">
        <v>1899</v>
      </c>
      <c r="C93" s="32" t="s">
        <v>666</v>
      </c>
      <c r="D93" s="10" t="s">
        <v>1900</v>
      </c>
      <c r="E93" s="25" t="s">
        <v>266</v>
      </c>
      <c r="F93" s="32"/>
      <c r="G93" s="26" t="s">
        <v>1975</v>
      </c>
      <c r="H93" s="37"/>
      <c r="I93" s="26"/>
      <c r="J93" s="15" t="s">
        <v>632</v>
      </c>
      <c r="K93" s="15" t="s">
        <v>1902</v>
      </c>
      <c r="L93" s="15" t="s">
        <v>633</v>
      </c>
    </row>
    <row r="94" s="1" customFormat="1" spans="2:12">
      <c r="B94" s="32" t="s">
        <v>1976</v>
      </c>
      <c r="C94" s="32" t="s">
        <v>666</v>
      </c>
      <c r="D94" s="10" t="s">
        <v>1977</v>
      </c>
      <c r="E94" s="25" t="s">
        <v>266</v>
      </c>
      <c r="F94" s="26"/>
      <c r="G94" s="26" t="s">
        <v>2148</v>
      </c>
      <c r="H94" s="37"/>
      <c r="I94" s="26"/>
      <c r="J94" s="15" t="s">
        <v>632</v>
      </c>
      <c r="K94" s="15" t="s">
        <v>669</v>
      </c>
      <c r="L94" s="15" t="s">
        <v>633</v>
      </c>
    </row>
    <row r="95" s="1" customFormat="1" spans="2:12">
      <c r="B95" s="32" t="s">
        <v>1979</v>
      </c>
      <c r="C95" s="32" t="s">
        <v>338</v>
      </c>
      <c r="D95" s="10" t="s">
        <v>1980</v>
      </c>
      <c r="E95" s="25" t="s">
        <v>266</v>
      </c>
      <c r="F95" s="26"/>
      <c r="G95" s="26" t="s">
        <v>2149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1982</v>
      </c>
      <c r="C96" s="32" t="s">
        <v>338</v>
      </c>
      <c r="D96" s="10" t="s">
        <v>1983</v>
      </c>
      <c r="E96" s="25" t="s">
        <v>266</v>
      </c>
      <c r="F96" s="26"/>
      <c r="G96" s="26" t="s">
        <v>2150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1985</v>
      </c>
      <c r="C97" s="32" t="s">
        <v>338</v>
      </c>
      <c r="D97" s="10" t="s">
        <v>1986</v>
      </c>
      <c r="E97" s="25" t="s">
        <v>266</v>
      </c>
      <c r="F97" s="26"/>
      <c r="G97" s="26" t="s">
        <v>2151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1988</v>
      </c>
      <c r="C98" s="32" t="s">
        <v>666</v>
      </c>
      <c r="D98" s="10" t="s">
        <v>1989</v>
      </c>
      <c r="E98" s="25" t="s">
        <v>266</v>
      </c>
      <c r="F98" s="32"/>
      <c r="G98" s="26" t="s">
        <v>2152</v>
      </c>
      <c r="H98" s="37"/>
      <c r="I98" s="26"/>
      <c r="J98" s="15" t="s">
        <v>632</v>
      </c>
      <c r="K98" s="15" t="s">
        <v>294</v>
      </c>
      <c r="L98" s="15" t="s">
        <v>1264</v>
      </c>
    </row>
    <row r="99" s="1" customFormat="1" spans="2:12">
      <c r="B99" s="32" t="s">
        <v>1991</v>
      </c>
      <c r="C99" s="32" t="s">
        <v>666</v>
      </c>
      <c r="D99" s="10" t="s">
        <v>1992</v>
      </c>
      <c r="E99" s="25" t="s">
        <v>266</v>
      </c>
      <c r="F99" s="26"/>
      <c r="G99" s="26" t="s">
        <v>2153</v>
      </c>
      <c r="H99" s="37"/>
      <c r="I99" s="26"/>
      <c r="J99" s="15" t="s">
        <v>632</v>
      </c>
      <c r="K99" s="15" t="s">
        <v>669</v>
      </c>
      <c r="L99" s="15" t="s">
        <v>633</v>
      </c>
    </row>
    <row r="100" s="1" customFormat="1" spans="2:12">
      <c r="B100" s="32" t="s">
        <v>1994</v>
      </c>
      <c r="C100" s="32" t="s">
        <v>338</v>
      </c>
      <c r="D100" s="10" t="s">
        <v>1995</v>
      </c>
      <c r="E100" s="25" t="s">
        <v>266</v>
      </c>
      <c r="F100" s="26"/>
      <c r="G100" s="26" t="s">
        <v>2154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1997</v>
      </c>
      <c r="C101" s="32" t="s">
        <v>338</v>
      </c>
      <c r="D101" s="10" t="s">
        <v>1998</v>
      </c>
      <c r="E101" s="25" t="s">
        <v>266</v>
      </c>
      <c r="F101" s="26"/>
      <c r="G101" s="26" t="s">
        <v>2155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2000</v>
      </c>
      <c r="C102" s="32" t="s">
        <v>338</v>
      </c>
      <c r="D102" s="10" t="s">
        <v>2001</v>
      </c>
      <c r="E102" s="25" t="s">
        <v>266</v>
      </c>
      <c r="F102" s="26"/>
      <c r="G102" s="26" t="s">
        <v>2156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2:12">
      <c r="B103" s="32" t="s">
        <v>2002</v>
      </c>
      <c r="C103" s="32" t="s">
        <v>338</v>
      </c>
      <c r="D103" s="10" t="s">
        <v>1887</v>
      </c>
      <c r="E103" s="25" t="s">
        <v>266</v>
      </c>
      <c r="F103" s="26"/>
      <c r="G103" s="26" t="s">
        <v>2157</v>
      </c>
      <c r="H103" s="37"/>
      <c r="I103" s="26"/>
      <c r="J103" s="15" t="s">
        <v>632</v>
      </c>
      <c r="K103" s="15" t="s">
        <v>669</v>
      </c>
      <c r="L103" s="15" t="s">
        <v>633</v>
      </c>
    </row>
    <row r="104" s="1" customFormat="1" spans="2:12">
      <c r="B104" s="32" t="s">
        <v>2004</v>
      </c>
      <c r="C104" s="32" t="s">
        <v>338</v>
      </c>
      <c r="D104" s="10" t="s">
        <v>2005</v>
      </c>
      <c r="E104" s="25" t="s">
        <v>266</v>
      </c>
      <c r="F104" s="26"/>
      <c r="G104" s="26" t="s">
        <v>2158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2007</v>
      </c>
      <c r="C105" s="32" t="s">
        <v>338</v>
      </c>
      <c r="D105" s="10" t="s">
        <v>1890</v>
      </c>
      <c r="E105" s="25" t="s">
        <v>266</v>
      </c>
      <c r="F105" s="26"/>
      <c r="G105" s="26" t="s">
        <v>2159</v>
      </c>
      <c r="H105" s="37"/>
      <c r="I105" s="26"/>
      <c r="J105" s="15" t="s">
        <v>632</v>
      </c>
      <c r="K105" s="15" t="s">
        <v>669</v>
      </c>
      <c r="L105" s="15" t="s">
        <v>633</v>
      </c>
    </row>
    <row r="106" s="1" customFormat="1" spans="2:12">
      <c r="B106" s="32" t="s">
        <v>2009</v>
      </c>
      <c r="C106" s="32" t="s">
        <v>338</v>
      </c>
      <c r="D106" s="10" t="s">
        <v>2010</v>
      </c>
      <c r="E106" s="25" t="s">
        <v>266</v>
      </c>
      <c r="F106" s="26"/>
      <c r="G106" s="26" t="s">
        <v>2160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2012</v>
      </c>
      <c r="C107" s="32" t="s">
        <v>338</v>
      </c>
      <c r="D107" s="10" t="s">
        <v>2013</v>
      </c>
      <c r="E107" s="25" t="s">
        <v>266</v>
      </c>
      <c r="F107" s="26"/>
      <c r="G107" s="26" t="s">
        <v>2161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2015</v>
      </c>
      <c r="C108" s="32" t="s">
        <v>338</v>
      </c>
      <c r="D108" s="10" t="s">
        <v>2016</v>
      </c>
      <c r="E108" s="25" t="s">
        <v>266</v>
      </c>
      <c r="F108" s="26"/>
      <c r="G108" s="26" t="s">
        <v>2162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2018</v>
      </c>
      <c r="C109" s="32" t="s">
        <v>338</v>
      </c>
      <c r="D109" s="10" t="s">
        <v>2019</v>
      </c>
      <c r="E109" s="25" t="s">
        <v>266</v>
      </c>
      <c r="F109" s="26"/>
      <c r="G109" s="26" t="s">
        <v>2163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2021</v>
      </c>
      <c r="C110" s="32" t="s">
        <v>338</v>
      </c>
      <c r="D110" s="10" t="s">
        <v>2022</v>
      </c>
      <c r="E110" s="25" t="s">
        <v>266</v>
      </c>
      <c r="F110" s="26"/>
      <c r="G110" s="26" t="s">
        <v>2164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2024</v>
      </c>
      <c r="C111" s="32" t="s">
        <v>338</v>
      </c>
      <c r="D111" s="10" t="s">
        <v>2025</v>
      </c>
      <c r="E111" s="25" t="s">
        <v>266</v>
      </c>
      <c r="F111" s="26"/>
      <c r="G111" s="26" t="s">
        <v>2165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2:12">
      <c r="B112" s="32" t="s">
        <v>2027</v>
      </c>
      <c r="C112" s="32" t="s">
        <v>338</v>
      </c>
      <c r="D112" s="10" t="s">
        <v>2028</v>
      </c>
      <c r="E112" s="25" t="s">
        <v>266</v>
      </c>
      <c r="F112" s="26"/>
      <c r="G112" s="26" t="s">
        <v>2166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13" t="s">
        <v>2030</v>
      </c>
      <c r="C113" s="13" t="s">
        <v>666</v>
      </c>
      <c r="D113" s="10" t="s">
        <v>2031</v>
      </c>
      <c r="E113" s="25" t="s">
        <v>266</v>
      </c>
      <c r="F113" s="55"/>
      <c r="G113" s="26" t="s">
        <v>2167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2033</v>
      </c>
      <c r="C114" s="52" t="s">
        <v>338</v>
      </c>
      <c r="D114" s="54" t="s">
        <v>2034</v>
      </c>
      <c r="E114" s="25" t="s">
        <v>266</v>
      </c>
      <c r="F114" s="26"/>
      <c r="G114" s="26" t="s">
        <v>2168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2036</v>
      </c>
      <c r="C115" s="52" t="s">
        <v>338</v>
      </c>
      <c r="D115" s="54" t="s">
        <v>2037</v>
      </c>
      <c r="E115" s="25" t="s">
        <v>266</v>
      </c>
      <c r="F115" s="26"/>
      <c r="G115" s="26" t="s">
        <v>2169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2039</v>
      </c>
      <c r="C116" s="52" t="s">
        <v>338</v>
      </c>
      <c r="D116" s="54" t="s">
        <v>2040</v>
      </c>
      <c r="E116" s="25" t="s">
        <v>266</v>
      </c>
      <c r="F116" s="26"/>
      <c r="G116" s="26" t="s">
        <v>2170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2042</v>
      </c>
      <c r="C117" s="52" t="s">
        <v>338</v>
      </c>
      <c r="D117" s="54" t="s">
        <v>2043</v>
      </c>
      <c r="E117" s="25" t="s">
        <v>266</v>
      </c>
      <c r="F117" s="26"/>
      <c r="G117" s="26" t="s">
        <v>2171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52" t="s">
        <v>2045</v>
      </c>
      <c r="C118" s="52" t="s">
        <v>338</v>
      </c>
      <c r="D118" s="54" t="s">
        <v>2046</v>
      </c>
      <c r="E118" s="25" t="s">
        <v>266</v>
      </c>
      <c r="F118" s="26"/>
      <c r="G118" s="26" t="s">
        <v>2172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13" t="s">
        <v>2048</v>
      </c>
      <c r="C119" s="52" t="s">
        <v>666</v>
      </c>
      <c r="D119" s="10" t="s">
        <v>2049</v>
      </c>
      <c r="E119" s="25" t="s">
        <v>266</v>
      </c>
      <c r="F119" s="55"/>
      <c r="G119" s="26" t="s">
        <v>2173</v>
      </c>
      <c r="H119" s="37"/>
      <c r="I119" s="26"/>
      <c r="J119" s="15" t="s">
        <v>632</v>
      </c>
      <c r="K119" s="15" t="s">
        <v>404</v>
      </c>
      <c r="L119" s="15" t="s">
        <v>633</v>
      </c>
    </row>
    <row r="120" s="1" customFormat="1" spans="1:12">
      <c r="A120" s="33"/>
      <c r="B120" s="13" t="s">
        <v>2051</v>
      </c>
      <c r="C120" s="13" t="s">
        <v>338</v>
      </c>
      <c r="D120" s="10" t="s">
        <v>2052</v>
      </c>
      <c r="E120" s="25" t="s">
        <v>266</v>
      </c>
      <c r="F120" s="26"/>
      <c r="G120" s="26" t="s">
        <v>2174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2054</v>
      </c>
      <c r="C121" s="13" t="s">
        <v>338</v>
      </c>
      <c r="D121" s="10" t="s">
        <v>2055</v>
      </c>
      <c r="E121" s="25" t="s">
        <v>266</v>
      </c>
      <c r="F121" s="26"/>
      <c r="G121" s="26" t="s">
        <v>2175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2057</v>
      </c>
      <c r="C122" s="13" t="s">
        <v>338</v>
      </c>
      <c r="D122" s="10" t="s">
        <v>2058</v>
      </c>
      <c r="E122" s="25" t="s">
        <v>266</v>
      </c>
      <c r="F122" s="26"/>
      <c r="G122" s="26" t="s">
        <v>2176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2060</v>
      </c>
      <c r="C123" s="13" t="s">
        <v>338</v>
      </c>
      <c r="D123" s="10" t="s">
        <v>2061</v>
      </c>
      <c r="E123" s="25" t="s">
        <v>266</v>
      </c>
      <c r="F123" s="26"/>
      <c r="G123" s="26" t="s">
        <v>2177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2063</v>
      </c>
      <c r="C124" s="13" t="s">
        <v>338</v>
      </c>
      <c r="D124" s="10" t="s">
        <v>2064</v>
      </c>
      <c r="E124" s="25" t="s">
        <v>266</v>
      </c>
      <c r="F124" s="26"/>
      <c r="G124" s="26" t="s">
        <v>2178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13" t="s">
        <v>2066</v>
      </c>
      <c r="C125" s="52" t="s">
        <v>666</v>
      </c>
      <c r="D125" s="10" t="s">
        <v>2067</v>
      </c>
      <c r="E125" s="25" t="s">
        <v>266</v>
      </c>
      <c r="F125" s="55"/>
      <c r="G125" s="26" t="s">
        <v>2179</v>
      </c>
      <c r="H125" s="37"/>
      <c r="I125" s="26"/>
      <c r="J125" s="15" t="s">
        <v>632</v>
      </c>
      <c r="K125" s="15" t="s">
        <v>404</v>
      </c>
      <c r="L125" s="15" t="s">
        <v>633</v>
      </c>
    </row>
    <row r="126" s="1" customFormat="1" spans="1:12">
      <c r="A126" s="33"/>
      <c r="B126" s="52" t="s">
        <v>2069</v>
      </c>
      <c r="C126" s="52" t="s">
        <v>338</v>
      </c>
      <c r="D126" s="54" t="s">
        <v>2070</v>
      </c>
      <c r="E126" s="25" t="s">
        <v>266</v>
      </c>
      <c r="F126" s="26"/>
      <c r="G126" s="26" t="s">
        <v>2180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2072</v>
      </c>
      <c r="C127" s="52" t="s">
        <v>338</v>
      </c>
      <c r="D127" s="54" t="s">
        <v>2073</v>
      </c>
      <c r="E127" s="25" t="s">
        <v>266</v>
      </c>
      <c r="F127" s="26"/>
      <c r="G127" s="26" t="s">
        <v>2181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2075</v>
      </c>
      <c r="C128" s="52" t="s">
        <v>338</v>
      </c>
      <c r="D128" s="54" t="s">
        <v>2076</v>
      </c>
      <c r="E128" s="25" t="s">
        <v>266</v>
      </c>
      <c r="F128" s="26"/>
      <c r="G128" s="26" t="s">
        <v>2182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2078</v>
      </c>
      <c r="C129" s="52" t="s">
        <v>338</v>
      </c>
      <c r="D129" s="54" t="s">
        <v>2079</v>
      </c>
      <c r="E129" s="25" t="s">
        <v>266</v>
      </c>
      <c r="F129" s="26"/>
      <c r="G129" s="26" t="s">
        <v>2183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2081</v>
      </c>
      <c r="C130" s="52" t="s">
        <v>338</v>
      </c>
      <c r="D130" s="54" t="s">
        <v>2082</v>
      </c>
      <c r="E130" s="25" t="s">
        <v>266</v>
      </c>
      <c r="F130" s="26"/>
      <c r="G130" s="26" t="s">
        <v>2184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2:12">
      <c r="B131" s="32" t="s">
        <v>2084</v>
      </c>
      <c r="C131" s="32" t="s">
        <v>338</v>
      </c>
      <c r="D131" s="10" t="s">
        <v>2085</v>
      </c>
      <c r="E131" s="25" t="s">
        <v>266</v>
      </c>
      <c r="F131" s="26"/>
      <c r="G131" s="26" t="s">
        <v>2185</v>
      </c>
      <c r="H131" s="37"/>
      <c r="I131" s="26"/>
      <c r="J131" s="15" t="s">
        <v>632</v>
      </c>
      <c r="K131" s="15" t="s">
        <v>669</v>
      </c>
      <c r="L131" s="15" t="s">
        <v>670</v>
      </c>
    </row>
    <row r="132" s="1" customFormat="1" spans="2:12">
      <c r="B132" s="32" t="s">
        <v>1909</v>
      </c>
      <c r="C132" s="32" t="s">
        <v>338</v>
      </c>
      <c r="D132" s="10" t="s">
        <v>2087</v>
      </c>
      <c r="E132" s="25" t="s">
        <v>266</v>
      </c>
      <c r="F132" s="26"/>
      <c r="G132" s="26" t="s">
        <v>2088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1:12">
      <c r="A133" s="33"/>
      <c r="B133" s="52" t="s">
        <v>2089</v>
      </c>
      <c r="C133" s="52" t="s">
        <v>666</v>
      </c>
      <c r="D133" s="54" t="s">
        <v>2090</v>
      </c>
      <c r="E133" s="25" t="s">
        <v>266</v>
      </c>
      <c r="F133" s="55"/>
      <c r="G133" s="26" t="s">
        <v>2186</v>
      </c>
      <c r="H133" s="37"/>
      <c r="I133" s="26"/>
      <c r="J133" s="15" t="s">
        <v>632</v>
      </c>
      <c r="K133" s="15" t="s">
        <v>669</v>
      </c>
      <c r="L133" s="15" t="s">
        <v>670</v>
      </c>
    </row>
    <row r="134" s="1" customFormat="1" spans="1:12">
      <c r="A134" s="33"/>
      <c r="B134" s="52" t="s">
        <v>2092</v>
      </c>
      <c r="C134" s="52" t="s">
        <v>338</v>
      </c>
      <c r="D134" s="54" t="s">
        <v>2093</v>
      </c>
      <c r="E134" s="25" t="s">
        <v>266</v>
      </c>
      <c r="F134" s="26"/>
      <c r="G134" s="26" t="s">
        <v>2187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2095</v>
      </c>
      <c r="C135" s="52" t="s">
        <v>338</v>
      </c>
      <c r="D135" s="54" t="s">
        <v>2096</v>
      </c>
      <c r="E135" s="25" t="s">
        <v>266</v>
      </c>
      <c r="F135" s="26"/>
      <c r="G135" s="26" t="s">
        <v>2188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2098</v>
      </c>
      <c r="C136" s="52" t="s">
        <v>338</v>
      </c>
      <c r="D136" s="54" t="s">
        <v>2099</v>
      </c>
      <c r="E136" s="25" t="s">
        <v>266</v>
      </c>
      <c r="F136" s="26"/>
      <c r="G136" s="26" t="s">
        <v>2189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2101</v>
      </c>
      <c r="C137" s="52" t="s">
        <v>338</v>
      </c>
      <c r="D137" s="54" t="s">
        <v>2102</v>
      </c>
      <c r="E137" s="25" t="s">
        <v>266</v>
      </c>
      <c r="F137" s="26"/>
      <c r="G137" s="26" t="s">
        <v>2190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2104</v>
      </c>
      <c r="C138" s="52" t="s">
        <v>338</v>
      </c>
      <c r="D138" s="54" t="s">
        <v>2105</v>
      </c>
      <c r="E138" s="25" t="s">
        <v>266</v>
      </c>
      <c r="F138" s="26"/>
      <c r="G138" s="26" t="s">
        <v>2191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2107</v>
      </c>
      <c r="C139" s="52" t="s">
        <v>338</v>
      </c>
      <c r="D139" s="10" t="s">
        <v>2108</v>
      </c>
      <c r="E139" s="25" t="s">
        <v>266</v>
      </c>
      <c r="F139" s="26"/>
      <c r="G139" s="26" t="s">
        <v>2192</v>
      </c>
      <c r="H139" s="37"/>
      <c r="I139" s="26"/>
      <c r="J139" s="15" t="s">
        <v>632</v>
      </c>
      <c r="K139" s="15" t="s">
        <v>669</v>
      </c>
      <c r="L139" s="15" t="s">
        <v>670</v>
      </c>
    </row>
    <row r="140" s="1" customFormat="1" spans="1:12">
      <c r="A140" s="33"/>
      <c r="B140" s="52" t="s">
        <v>1912</v>
      </c>
      <c r="C140" s="52" t="s">
        <v>338</v>
      </c>
      <c r="D140" s="10" t="s">
        <v>2110</v>
      </c>
      <c r="E140" s="25" t="s">
        <v>266</v>
      </c>
      <c r="F140" s="26"/>
      <c r="G140" s="26" t="s">
        <v>2111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2112</v>
      </c>
      <c r="C141" s="52" t="s">
        <v>666</v>
      </c>
      <c r="D141" s="54" t="s">
        <v>2113</v>
      </c>
      <c r="E141" s="25" t="s">
        <v>266</v>
      </c>
      <c r="F141" s="55"/>
      <c r="G141" s="26" t="s">
        <v>2193</v>
      </c>
      <c r="H141" s="37"/>
      <c r="I141" s="26"/>
      <c r="J141" s="15" t="s">
        <v>632</v>
      </c>
      <c r="K141" s="15" t="s">
        <v>669</v>
      </c>
      <c r="L141" s="15" t="s">
        <v>670</v>
      </c>
    </row>
    <row r="142" s="1" customFormat="1" spans="1:12">
      <c r="A142" s="33"/>
      <c r="B142" s="52" t="s">
        <v>2115</v>
      </c>
      <c r="C142" s="52" t="s">
        <v>338</v>
      </c>
      <c r="D142" s="54" t="s">
        <v>2116</v>
      </c>
      <c r="E142" s="25" t="s">
        <v>266</v>
      </c>
      <c r="F142" s="26"/>
      <c r="G142" s="26" t="s">
        <v>2194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2118</v>
      </c>
      <c r="C143" s="52" t="s">
        <v>338</v>
      </c>
      <c r="D143" s="54" t="s">
        <v>2119</v>
      </c>
      <c r="E143" s="25" t="s">
        <v>266</v>
      </c>
      <c r="F143" s="26"/>
      <c r="G143" s="26" t="s">
        <v>2195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2121</v>
      </c>
      <c r="C144" s="52" t="s">
        <v>338</v>
      </c>
      <c r="D144" s="54" t="s">
        <v>2122</v>
      </c>
      <c r="E144" s="25" t="s">
        <v>266</v>
      </c>
      <c r="F144" s="26"/>
      <c r="G144" s="26" t="s">
        <v>2196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2124</v>
      </c>
      <c r="C145" s="52" t="s">
        <v>338</v>
      </c>
      <c r="D145" s="54" t="s">
        <v>2125</v>
      </c>
      <c r="E145" s="25" t="s">
        <v>266</v>
      </c>
      <c r="F145" s="26"/>
      <c r="G145" s="26" t="s">
        <v>2197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2127</v>
      </c>
      <c r="C146" s="52" t="s">
        <v>338</v>
      </c>
      <c r="D146" s="54" t="s">
        <v>2128</v>
      </c>
      <c r="E146" s="25" t="s">
        <v>266</v>
      </c>
      <c r="F146" s="26"/>
      <c r="G146" s="26" t="s">
        <v>2198</v>
      </c>
      <c r="H146" s="37"/>
      <c r="I146" s="26"/>
      <c r="J146" s="15" t="s">
        <v>632</v>
      </c>
      <c r="K146" s="15" t="s">
        <v>803</v>
      </c>
      <c r="L146" s="15" t="s">
        <v>633</v>
      </c>
    </row>
    <row r="147" s="1" customFormat="1" spans="1:12">
      <c r="A147" s="33"/>
      <c r="B147" s="52" t="s">
        <v>2130</v>
      </c>
      <c r="C147" s="52" t="s">
        <v>338</v>
      </c>
      <c r="D147" s="54" t="s">
        <v>2131</v>
      </c>
      <c r="E147" s="25" t="s">
        <v>266</v>
      </c>
      <c r="F147" s="55"/>
      <c r="G147" s="26" t="s">
        <v>2199</v>
      </c>
      <c r="H147" s="27"/>
      <c r="I147" s="26"/>
      <c r="J147" s="15" t="s">
        <v>632</v>
      </c>
      <c r="K147" s="15" t="s">
        <v>294</v>
      </c>
      <c r="L147" s="15" t="s">
        <v>633</v>
      </c>
    </row>
    <row r="148" s="1" customFormat="1" spans="1:12">
      <c r="A148" s="33"/>
      <c r="B148" s="52" t="s">
        <v>2133</v>
      </c>
      <c r="C148" s="52" t="s">
        <v>338</v>
      </c>
      <c r="D148" s="54" t="s">
        <v>2134</v>
      </c>
      <c r="E148" s="25" t="s">
        <v>266</v>
      </c>
      <c r="F148" s="55"/>
      <c r="G148" s="26" t="s">
        <v>2200</v>
      </c>
      <c r="H148" s="27"/>
      <c r="I148" s="26"/>
      <c r="J148" s="15" t="s">
        <v>632</v>
      </c>
      <c r="K148" s="15" t="s">
        <v>669</v>
      </c>
      <c r="L148" s="15" t="s">
        <v>633</v>
      </c>
    </row>
    <row r="149" s="1" customFormat="1" spans="1:12">
      <c r="A149" s="33"/>
      <c r="B149" s="13" t="s">
        <v>887</v>
      </c>
      <c r="C149" s="13" t="s">
        <v>338</v>
      </c>
      <c r="D149" s="10" t="s">
        <v>888</v>
      </c>
      <c r="E149" s="25" t="s">
        <v>266</v>
      </c>
      <c r="F149" s="26"/>
      <c r="G149" s="26" t="s">
        <v>1013</v>
      </c>
      <c r="H149" s="37"/>
      <c r="I149" s="26"/>
      <c r="J149" s="15" t="s">
        <v>632</v>
      </c>
      <c r="K149" s="15" t="s">
        <v>294</v>
      </c>
      <c r="L149" s="15" t="s">
        <v>633</v>
      </c>
    </row>
    <row r="150" s="1" customFormat="1" spans="1:12">
      <c r="A150" s="33"/>
      <c r="B150" s="13" t="s">
        <v>926</v>
      </c>
      <c r="C150" s="13" t="s">
        <v>291</v>
      </c>
      <c r="D150" s="10" t="s">
        <v>927</v>
      </c>
      <c r="E150" s="25" t="s">
        <v>266</v>
      </c>
      <c r="F150" s="35"/>
      <c r="G150" s="35" t="s">
        <v>1026</v>
      </c>
      <c r="H150" s="37"/>
      <c r="I150" s="56">
        <v>20250415101139</v>
      </c>
      <c r="J150" s="15" t="s">
        <v>632</v>
      </c>
      <c r="K150" s="15" t="s">
        <v>294</v>
      </c>
      <c r="L150" s="15" t="s">
        <v>670</v>
      </c>
    </row>
    <row r="151" s="1" customFormat="1" spans="1:12">
      <c r="A151" s="33"/>
      <c r="B151" s="13" t="s">
        <v>929</v>
      </c>
      <c r="C151" s="13" t="s">
        <v>291</v>
      </c>
      <c r="D151" s="10" t="s">
        <v>930</v>
      </c>
      <c r="E151" s="25" t="s">
        <v>266</v>
      </c>
      <c r="F151" s="35"/>
      <c r="G151" s="35" t="s">
        <v>1027</v>
      </c>
      <c r="H151" s="37"/>
      <c r="I151" s="56">
        <v>20250415101024</v>
      </c>
      <c r="J151" s="15" t="s">
        <v>632</v>
      </c>
      <c r="K151" s="15" t="s">
        <v>294</v>
      </c>
      <c r="L151" s="15" t="s">
        <v>670</v>
      </c>
    </row>
    <row r="152" s="2" customFormat="1" spans="2:14">
      <c r="B152" s="17" t="s">
        <v>594</v>
      </c>
      <c r="C152" s="18" t="s">
        <v>307</v>
      </c>
      <c r="D152" s="19" t="s">
        <v>595</v>
      </c>
      <c r="E152" s="28"/>
      <c r="F152" s="28"/>
      <c r="G152" s="28"/>
      <c r="H152" s="17"/>
      <c r="I152" s="17"/>
      <c r="J152" s="17"/>
      <c r="K152" s="17"/>
      <c r="L152" s="17"/>
      <c r="M152" s="17"/>
      <c r="N152" s="17"/>
    </row>
    <row r="153" s="2" customFormat="1" spans="2:14">
      <c r="B153" s="17" t="s">
        <v>596</v>
      </c>
      <c r="C153" s="18" t="s">
        <v>291</v>
      </c>
      <c r="D153" s="19" t="s">
        <v>597</v>
      </c>
      <c r="E153" s="28"/>
      <c r="F153" s="28"/>
      <c r="G153" s="28"/>
      <c r="H153" s="17"/>
      <c r="I153" s="17"/>
      <c r="J153" s="17"/>
      <c r="K153" s="17"/>
      <c r="L153" s="17"/>
      <c r="M153" s="17"/>
      <c r="N153" s="17"/>
    </row>
    <row r="154" s="2" customFormat="1" spans="2:14">
      <c r="B154" s="17" t="s">
        <v>598</v>
      </c>
      <c r="C154" s="18" t="s">
        <v>307</v>
      </c>
      <c r="D154" s="19" t="s">
        <v>599</v>
      </c>
      <c r="E154" s="28"/>
      <c r="F154" s="28"/>
      <c r="G154" s="28"/>
      <c r="H154" s="17"/>
      <c r="I154" s="17"/>
      <c r="J154" s="17"/>
      <c r="K154" s="17"/>
      <c r="L154" s="17"/>
      <c r="M154" s="17"/>
      <c r="N154" s="17"/>
    </row>
  </sheetData>
  <autoFilter xmlns:etc="http://www.wps.cn/officeDocument/2017/etCustomData" ref="A13:N154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zoomScale="85" zoomScaleNormal="85" workbookViewId="0">
      <pane ySplit="5" topLeftCell="A51" activePane="bottomLeft" state="frozen"/>
      <selection/>
      <selection pane="bottomLeft" activeCell="B140" sqref="B140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214</v>
      </c>
      <c r="D5" s="14" t="s">
        <v>215</v>
      </c>
      <c r="E5" s="13" t="s">
        <v>602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212</v>
      </c>
      <c r="D9" s="14" t="s">
        <v>213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25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26" t="s">
        <v>517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26" t="s">
        <v>520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26" t="s">
        <v>522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26" t="s">
        <v>524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514</v>
      </c>
      <c r="C23" s="13" t="s">
        <v>291</v>
      </c>
      <c r="D23" s="10" t="s">
        <v>515</v>
      </c>
      <c r="E23" s="25" t="s">
        <v>266</v>
      </c>
      <c r="F23" s="26" t="s">
        <v>514</v>
      </c>
      <c r="G23" s="26" t="s">
        <v>293</v>
      </c>
      <c r="H23" s="25"/>
      <c r="I23" s="53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295</v>
      </c>
      <c r="C24" s="13" t="s">
        <v>291</v>
      </c>
      <c r="D24" s="10" t="s">
        <v>618</v>
      </c>
      <c r="E24" s="25" t="s">
        <v>266</v>
      </c>
      <c r="F24" s="26" t="s">
        <v>295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26" t="s">
        <v>297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26" t="s">
        <v>300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33" customFormat="1" spans="2:12"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1273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1044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1055</v>
      </c>
      <c r="C37" s="13" t="s">
        <v>338</v>
      </c>
      <c r="D37" s="10" t="s">
        <v>693</v>
      </c>
      <c r="E37" s="25" t="s">
        <v>266</v>
      </c>
      <c r="F37" s="26"/>
      <c r="G37" s="26" t="s">
        <v>694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1054</v>
      </c>
      <c r="C38" s="13" t="s">
        <v>338</v>
      </c>
      <c r="D38" s="10" t="s">
        <v>695</v>
      </c>
      <c r="E38" s="25" t="s">
        <v>266</v>
      </c>
      <c r="F38" s="26"/>
      <c r="G38" s="26" t="s">
        <v>696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1056</v>
      </c>
      <c r="C39" s="13" t="s">
        <v>338</v>
      </c>
      <c r="D39" s="10" t="s">
        <v>697</v>
      </c>
      <c r="E39" s="25" t="s">
        <v>266</v>
      </c>
      <c r="F39" s="26"/>
      <c r="G39" s="26" t="s">
        <v>698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1057</v>
      </c>
      <c r="C40" s="13" t="s">
        <v>338</v>
      </c>
      <c r="D40" s="10" t="s">
        <v>699</v>
      </c>
      <c r="E40" s="25" t="s">
        <v>266</v>
      </c>
      <c r="F40" s="26"/>
      <c r="G40" s="26" t="s">
        <v>700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1274</v>
      </c>
      <c r="C41" s="13" t="s">
        <v>338</v>
      </c>
      <c r="D41" s="10" t="s">
        <v>702</v>
      </c>
      <c r="E41" s="25" t="s">
        <v>266</v>
      </c>
      <c r="F41" s="26"/>
      <c r="G41" s="26" t="s">
        <v>950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1275</v>
      </c>
      <c r="C42" s="13" t="s">
        <v>338</v>
      </c>
      <c r="D42" s="10" t="s">
        <v>705</v>
      </c>
      <c r="E42" s="25" t="s">
        <v>266</v>
      </c>
      <c r="F42" s="26"/>
      <c r="G42" s="26" t="s">
        <v>951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707</v>
      </c>
      <c r="C43" s="13" t="s">
        <v>338</v>
      </c>
      <c r="D43" s="10" t="s">
        <v>708</v>
      </c>
      <c r="E43" s="25" t="s">
        <v>266</v>
      </c>
      <c r="F43" s="26"/>
      <c r="G43" s="26" t="s">
        <v>952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710</v>
      </c>
      <c r="C44" s="13" t="s">
        <v>338</v>
      </c>
      <c r="D44" s="10" t="s">
        <v>711</v>
      </c>
      <c r="E44" s="25" t="s">
        <v>266</v>
      </c>
      <c r="F44" s="26"/>
      <c r="G44" s="26" t="s">
        <v>953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713</v>
      </c>
      <c r="C45" s="13" t="s">
        <v>338</v>
      </c>
      <c r="D45" s="10" t="s">
        <v>714</v>
      </c>
      <c r="E45" s="25" t="s">
        <v>266</v>
      </c>
      <c r="F45" s="26"/>
      <c r="G45" s="26" t="s">
        <v>954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716</v>
      </c>
      <c r="C46" s="13" t="s">
        <v>338</v>
      </c>
      <c r="D46" s="10" t="s">
        <v>717</v>
      </c>
      <c r="E46" s="25" t="s">
        <v>266</v>
      </c>
      <c r="F46" s="26"/>
      <c r="G46" s="26" t="s">
        <v>955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1064</v>
      </c>
      <c r="C47" s="13" t="s">
        <v>338</v>
      </c>
      <c r="D47" s="10" t="s">
        <v>719</v>
      </c>
      <c r="E47" s="25" t="s">
        <v>266</v>
      </c>
      <c r="F47" s="26"/>
      <c r="G47" s="26" t="s">
        <v>720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1066</v>
      </c>
      <c r="C48" s="13" t="s">
        <v>338</v>
      </c>
      <c r="D48" s="10" t="s">
        <v>721</v>
      </c>
      <c r="E48" s="25" t="s">
        <v>266</v>
      </c>
      <c r="F48" s="26"/>
      <c r="G48" s="26" t="s">
        <v>722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2203</v>
      </c>
      <c r="C49" s="13" t="s">
        <v>338</v>
      </c>
      <c r="D49" s="10" t="s">
        <v>1917</v>
      </c>
      <c r="E49" s="25" t="s">
        <v>266</v>
      </c>
      <c r="F49" s="26"/>
      <c r="G49" s="26" t="s">
        <v>2136</v>
      </c>
      <c r="H49" s="37"/>
      <c r="I49" s="26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2204</v>
      </c>
      <c r="C50" s="13" t="s">
        <v>338</v>
      </c>
      <c r="D50" s="10" t="s">
        <v>1920</v>
      </c>
      <c r="E50" s="25" t="s">
        <v>266</v>
      </c>
      <c r="F50" s="26"/>
      <c r="G50" s="26" t="s">
        <v>2137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1922</v>
      </c>
      <c r="C51" s="13" t="s">
        <v>338</v>
      </c>
      <c r="D51" s="10" t="s">
        <v>1923</v>
      </c>
      <c r="E51" s="25" t="s">
        <v>266</v>
      </c>
      <c r="F51" s="26"/>
      <c r="G51" s="26" t="s">
        <v>2138</v>
      </c>
      <c r="H51" s="37"/>
      <c r="I51" s="26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1925</v>
      </c>
      <c r="C52" s="13" t="s">
        <v>338</v>
      </c>
      <c r="D52" s="10" t="s">
        <v>1926</v>
      </c>
      <c r="E52" s="25" t="s">
        <v>266</v>
      </c>
      <c r="F52" s="26"/>
      <c r="G52" s="26" t="s">
        <v>2139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1928</v>
      </c>
      <c r="C53" s="13" t="s">
        <v>338</v>
      </c>
      <c r="D53" s="10" t="s">
        <v>1929</v>
      </c>
      <c r="E53" s="25" t="s">
        <v>266</v>
      </c>
      <c r="F53" s="26"/>
      <c r="G53" s="26" t="s">
        <v>2140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1931</v>
      </c>
      <c r="C54" s="13" t="s">
        <v>338</v>
      </c>
      <c r="D54" s="10" t="s">
        <v>1932</v>
      </c>
      <c r="E54" s="25" t="s">
        <v>266</v>
      </c>
      <c r="F54" s="26"/>
      <c r="G54" s="26" t="s">
        <v>2141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1934</v>
      </c>
      <c r="C55" s="13" t="s">
        <v>338</v>
      </c>
      <c r="D55" s="10" t="s">
        <v>1935</v>
      </c>
      <c r="E55" s="25" t="s">
        <v>266</v>
      </c>
      <c r="F55" s="26"/>
      <c r="G55" s="26" t="s">
        <v>2142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1937</v>
      </c>
      <c r="C56" s="13" t="s">
        <v>338</v>
      </c>
      <c r="D56" s="10" t="s">
        <v>1938</v>
      </c>
      <c r="E56" s="25" t="s">
        <v>266</v>
      </c>
      <c r="F56" s="26"/>
      <c r="G56" s="26" t="s">
        <v>2143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1940</v>
      </c>
      <c r="C57" s="13" t="s">
        <v>338</v>
      </c>
      <c r="D57" s="10" t="s">
        <v>1941</v>
      </c>
      <c r="E57" s="25" t="s">
        <v>266</v>
      </c>
      <c r="F57" s="26"/>
      <c r="G57" s="26" t="s">
        <v>2144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1870</v>
      </c>
      <c r="C58" s="13" t="s">
        <v>338</v>
      </c>
      <c r="D58" s="10" t="s">
        <v>1943</v>
      </c>
      <c r="E58" s="25" t="s">
        <v>266</v>
      </c>
      <c r="F58" s="26"/>
      <c r="G58" s="26" t="s">
        <v>1944</v>
      </c>
      <c r="H58" s="37"/>
      <c r="I58" s="26"/>
      <c r="J58" s="15" t="s">
        <v>632</v>
      </c>
      <c r="K58" s="15" t="s">
        <v>644</v>
      </c>
      <c r="L58" s="15" t="s">
        <v>633</v>
      </c>
    </row>
    <row r="59" s="1" customFormat="1" spans="1:12">
      <c r="A59" s="33"/>
      <c r="B59" s="13" t="s">
        <v>1945</v>
      </c>
      <c r="C59" s="52" t="s">
        <v>666</v>
      </c>
      <c r="D59" s="10" t="s">
        <v>1946</v>
      </c>
      <c r="E59" s="25" t="s">
        <v>266</v>
      </c>
      <c r="F59" s="26"/>
      <c r="G59" s="26" t="s">
        <v>2145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1948</v>
      </c>
      <c r="C60" s="52" t="s">
        <v>666</v>
      </c>
      <c r="D60" s="10" t="s">
        <v>1949</v>
      </c>
      <c r="E60" s="25" t="s">
        <v>266</v>
      </c>
      <c r="F60" s="26"/>
      <c r="G60" s="26" t="s">
        <v>2146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55"/>
      <c r="G62" s="26" t="s">
        <v>957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1091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1093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1095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1097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1099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55"/>
      <c r="G69" s="26" t="s">
        <v>964</v>
      </c>
      <c r="H69" s="3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1104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1106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1108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1110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1112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3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55"/>
      <c r="G76" s="26" t="s">
        <v>971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1279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1280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1282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1283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1284</v>
      </c>
      <c r="C82" s="13" t="s">
        <v>666</v>
      </c>
      <c r="D82" s="10" t="s">
        <v>790</v>
      </c>
      <c r="E82" s="25" t="s">
        <v>266</v>
      </c>
      <c r="F82" s="55"/>
      <c r="G82" s="26" t="s">
        <v>977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1285</v>
      </c>
      <c r="C84" s="13" t="s">
        <v>666</v>
      </c>
      <c r="D84" s="10" t="s">
        <v>795</v>
      </c>
      <c r="E84" s="25" t="s">
        <v>266</v>
      </c>
      <c r="F84" s="55"/>
      <c r="G84" s="26" t="s">
        <v>979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32" t="s">
        <v>1860</v>
      </c>
      <c r="C86" s="32" t="s">
        <v>338</v>
      </c>
      <c r="D86" s="10" t="s">
        <v>1861</v>
      </c>
      <c r="E86" s="25" t="s">
        <v>266</v>
      </c>
      <c r="F86" s="26"/>
      <c r="G86" s="26" t="s">
        <v>1966</v>
      </c>
      <c r="H86" s="3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32" t="s">
        <v>1903</v>
      </c>
      <c r="C87" s="32" t="s">
        <v>666</v>
      </c>
      <c r="D87" s="10" t="s">
        <v>1904</v>
      </c>
      <c r="E87" s="25" t="s">
        <v>266</v>
      </c>
      <c r="F87" s="26"/>
      <c r="G87" s="26" t="s">
        <v>1967</v>
      </c>
      <c r="H87" s="37"/>
      <c r="I87" s="26"/>
      <c r="J87" s="15" t="s">
        <v>632</v>
      </c>
      <c r="K87" s="15" t="s">
        <v>1898</v>
      </c>
      <c r="L87" s="15" t="s">
        <v>633</v>
      </c>
    </row>
    <row r="88" s="1" customFormat="1" spans="1:12">
      <c r="A88" s="33"/>
      <c r="B88" s="52" t="s">
        <v>1968</v>
      </c>
      <c r="C88" s="52" t="s">
        <v>666</v>
      </c>
      <c r="D88" s="54" t="s">
        <v>1969</v>
      </c>
      <c r="E88" s="25" t="s">
        <v>266</v>
      </c>
      <c r="F88" s="55"/>
      <c r="G88" s="26" t="s">
        <v>2147</v>
      </c>
      <c r="H88" s="37"/>
      <c r="I88" s="26"/>
      <c r="J88" s="15" t="s">
        <v>632</v>
      </c>
      <c r="K88" s="15" t="s">
        <v>1898</v>
      </c>
      <c r="L88" s="15" t="s">
        <v>633</v>
      </c>
    </row>
    <row r="89" s="1" customFormat="1" spans="2:12">
      <c r="B89" s="32" t="s">
        <v>1906</v>
      </c>
      <c r="C89" s="32" t="s">
        <v>666</v>
      </c>
      <c r="D89" s="10" t="s">
        <v>1907</v>
      </c>
      <c r="E89" s="25" t="s">
        <v>266</v>
      </c>
      <c r="F89" s="32"/>
      <c r="G89" s="26" t="s">
        <v>1971</v>
      </c>
      <c r="H89" s="37"/>
      <c r="I89" s="26"/>
      <c r="J89" s="15" t="s">
        <v>632</v>
      </c>
      <c r="K89" s="15" t="s">
        <v>1902</v>
      </c>
      <c r="L89" s="15" t="s">
        <v>633</v>
      </c>
    </row>
    <row r="90" s="1" customFormat="1" spans="1:12">
      <c r="A90" s="33"/>
      <c r="B90" s="32" t="s">
        <v>1892</v>
      </c>
      <c r="C90" s="32" t="s">
        <v>338</v>
      </c>
      <c r="D90" s="10" t="s">
        <v>1972</v>
      </c>
      <c r="E90" s="25" t="s">
        <v>266</v>
      </c>
      <c r="F90" s="26"/>
      <c r="G90" s="26" t="s">
        <v>1973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32" t="s">
        <v>1895</v>
      </c>
      <c r="C91" s="32" t="s">
        <v>666</v>
      </c>
      <c r="D91" s="10" t="s">
        <v>1896</v>
      </c>
      <c r="E91" s="25" t="s">
        <v>266</v>
      </c>
      <c r="F91" s="26"/>
      <c r="G91" s="26" t="s">
        <v>1974</v>
      </c>
      <c r="H91" s="37"/>
      <c r="I91" s="26"/>
      <c r="J91" s="15" t="s">
        <v>632</v>
      </c>
      <c r="K91" s="15" t="s">
        <v>1898</v>
      </c>
      <c r="L91" s="15" t="s">
        <v>633</v>
      </c>
    </row>
    <row r="92" s="1" customFormat="1" spans="2:12">
      <c r="B92" s="32" t="s">
        <v>1899</v>
      </c>
      <c r="C92" s="32" t="s">
        <v>666</v>
      </c>
      <c r="D92" s="10" t="s">
        <v>1900</v>
      </c>
      <c r="E92" s="25" t="s">
        <v>266</v>
      </c>
      <c r="F92" s="32"/>
      <c r="G92" s="26" t="s">
        <v>1975</v>
      </c>
      <c r="H92" s="37"/>
      <c r="I92" s="26"/>
      <c r="J92" s="15" t="s">
        <v>632</v>
      </c>
      <c r="K92" s="15" t="s">
        <v>1902</v>
      </c>
      <c r="L92" s="15" t="s">
        <v>633</v>
      </c>
    </row>
    <row r="93" s="1" customFormat="1" spans="2:12">
      <c r="B93" s="32" t="s">
        <v>1976</v>
      </c>
      <c r="C93" s="32" t="s">
        <v>666</v>
      </c>
      <c r="D93" s="10" t="s">
        <v>1977</v>
      </c>
      <c r="E93" s="25" t="s">
        <v>266</v>
      </c>
      <c r="F93" s="26"/>
      <c r="G93" s="26" t="s">
        <v>2148</v>
      </c>
      <c r="H93" s="37"/>
      <c r="I93" s="26"/>
      <c r="J93" s="15" t="s">
        <v>632</v>
      </c>
      <c r="K93" s="15" t="s">
        <v>669</v>
      </c>
      <c r="L93" s="15" t="s">
        <v>633</v>
      </c>
    </row>
    <row r="94" s="1" customFormat="1" spans="2:12">
      <c r="B94" s="32" t="s">
        <v>1979</v>
      </c>
      <c r="C94" s="32" t="s">
        <v>338</v>
      </c>
      <c r="D94" s="10" t="s">
        <v>1980</v>
      </c>
      <c r="E94" s="25" t="s">
        <v>266</v>
      </c>
      <c r="F94" s="26"/>
      <c r="G94" s="26" t="s">
        <v>2149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1982</v>
      </c>
      <c r="C95" s="32" t="s">
        <v>338</v>
      </c>
      <c r="D95" s="10" t="s">
        <v>1983</v>
      </c>
      <c r="E95" s="25" t="s">
        <v>266</v>
      </c>
      <c r="F95" s="26"/>
      <c r="G95" s="26" t="s">
        <v>2150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1985</v>
      </c>
      <c r="C96" s="32" t="s">
        <v>338</v>
      </c>
      <c r="D96" s="10" t="s">
        <v>1986</v>
      </c>
      <c r="E96" s="25" t="s">
        <v>266</v>
      </c>
      <c r="F96" s="26"/>
      <c r="G96" s="26" t="s">
        <v>2151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1988</v>
      </c>
      <c r="C97" s="32" t="s">
        <v>666</v>
      </c>
      <c r="D97" s="10" t="s">
        <v>1989</v>
      </c>
      <c r="E97" s="25" t="s">
        <v>266</v>
      </c>
      <c r="F97" s="32"/>
      <c r="G97" s="26" t="s">
        <v>2152</v>
      </c>
      <c r="H97" s="37"/>
      <c r="I97" s="26"/>
      <c r="J97" s="15" t="s">
        <v>632</v>
      </c>
      <c r="K97" s="15" t="s">
        <v>294</v>
      </c>
      <c r="L97" s="15" t="s">
        <v>1264</v>
      </c>
    </row>
    <row r="98" s="1" customFormat="1" spans="2:12">
      <c r="B98" s="32" t="s">
        <v>1991</v>
      </c>
      <c r="C98" s="32" t="s">
        <v>666</v>
      </c>
      <c r="D98" s="10" t="s">
        <v>1992</v>
      </c>
      <c r="E98" s="25" t="s">
        <v>266</v>
      </c>
      <c r="F98" s="26"/>
      <c r="G98" s="26" t="s">
        <v>2153</v>
      </c>
      <c r="H98" s="37"/>
      <c r="I98" s="26"/>
      <c r="J98" s="15" t="s">
        <v>632</v>
      </c>
      <c r="K98" s="15" t="s">
        <v>669</v>
      </c>
      <c r="L98" s="15" t="s">
        <v>633</v>
      </c>
    </row>
    <row r="99" s="1" customFormat="1" spans="2:12">
      <c r="B99" s="32" t="s">
        <v>1994</v>
      </c>
      <c r="C99" s="32" t="s">
        <v>338</v>
      </c>
      <c r="D99" s="10" t="s">
        <v>1995</v>
      </c>
      <c r="E99" s="25" t="s">
        <v>266</v>
      </c>
      <c r="F99" s="26"/>
      <c r="G99" s="26" t="s">
        <v>2154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1997</v>
      </c>
      <c r="C100" s="32" t="s">
        <v>338</v>
      </c>
      <c r="D100" s="10" t="s">
        <v>1998</v>
      </c>
      <c r="E100" s="25" t="s">
        <v>266</v>
      </c>
      <c r="F100" s="26"/>
      <c r="G100" s="26" t="s">
        <v>2155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2000</v>
      </c>
      <c r="C101" s="32" t="s">
        <v>338</v>
      </c>
      <c r="D101" s="10" t="s">
        <v>2001</v>
      </c>
      <c r="E101" s="25" t="s">
        <v>266</v>
      </c>
      <c r="F101" s="26"/>
      <c r="G101" s="26" t="s">
        <v>2156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2002</v>
      </c>
      <c r="C102" s="32" t="s">
        <v>338</v>
      </c>
      <c r="D102" s="10" t="s">
        <v>1887</v>
      </c>
      <c r="E102" s="25" t="s">
        <v>266</v>
      </c>
      <c r="F102" s="26"/>
      <c r="G102" s="26" t="s">
        <v>2157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2004</v>
      </c>
      <c r="C103" s="32" t="s">
        <v>338</v>
      </c>
      <c r="D103" s="10" t="s">
        <v>2005</v>
      </c>
      <c r="E103" s="25" t="s">
        <v>266</v>
      </c>
      <c r="F103" s="26"/>
      <c r="G103" s="26" t="s">
        <v>2158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2007</v>
      </c>
      <c r="C104" s="32" t="s">
        <v>338</v>
      </c>
      <c r="D104" s="10" t="s">
        <v>1890</v>
      </c>
      <c r="E104" s="25" t="s">
        <v>266</v>
      </c>
      <c r="F104" s="26"/>
      <c r="G104" s="26" t="s">
        <v>2159</v>
      </c>
      <c r="H104" s="37"/>
      <c r="I104" s="26"/>
      <c r="J104" s="15" t="s">
        <v>632</v>
      </c>
      <c r="K104" s="15" t="s">
        <v>669</v>
      </c>
      <c r="L104" s="15" t="s">
        <v>633</v>
      </c>
    </row>
    <row r="105" s="1" customFormat="1" spans="2:12">
      <c r="B105" s="32" t="s">
        <v>2009</v>
      </c>
      <c r="C105" s="32" t="s">
        <v>338</v>
      </c>
      <c r="D105" s="10" t="s">
        <v>2010</v>
      </c>
      <c r="E105" s="25" t="s">
        <v>266</v>
      </c>
      <c r="F105" s="26"/>
      <c r="G105" s="26" t="s">
        <v>2160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2012</v>
      </c>
      <c r="C106" s="32" t="s">
        <v>338</v>
      </c>
      <c r="D106" s="10" t="s">
        <v>2013</v>
      </c>
      <c r="E106" s="25" t="s">
        <v>266</v>
      </c>
      <c r="F106" s="26"/>
      <c r="G106" s="26" t="s">
        <v>2161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2015</v>
      </c>
      <c r="C107" s="32" t="s">
        <v>338</v>
      </c>
      <c r="D107" s="10" t="s">
        <v>2016</v>
      </c>
      <c r="E107" s="25" t="s">
        <v>266</v>
      </c>
      <c r="F107" s="26"/>
      <c r="G107" s="26" t="s">
        <v>2162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2018</v>
      </c>
      <c r="C108" s="32" t="s">
        <v>338</v>
      </c>
      <c r="D108" s="10" t="s">
        <v>2019</v>
      </c>
      <c r="E108" s="25" t="s">
        <v>266</v>
      </c>
      <c r="F108" s="26"/>
      <c r="G108" s="26" t="s">
        <v>2163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2021</v>
      </c>
      <c r="C109" s="32" t="s">
        <v>338</v>
      </c>
      <c r="D109" s="10" t="s">
        <v>2022</v>
      </c>
      <c r="E109" s="25" t="s">
        <v>266</v>
      </c>
      <c r="F109" s="26"/>
      <c r="G109" s="26" t="s">
        <v>2164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2024</v>
      </c>
      <c r="C110" s="32" t="s">
        <v>338</v>
      </c>
      <c r="D110" s="10" t="s">
        <v>2025</v>
      </c>
      <c r="E110" s="25" t="s">
        <v>266</v>
      </c>
      <c r="F110" s="26"/>
      <c r="G110" s="26" t="s">
        <v>2165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2027</v>
      </c>
      <c r="C111" s="32" t="s">
        <v>338</v>
      </c>
      <c r="D111" s="10" t="s">
        <v>2028</v>
      </c>
      <c r="E111" s="25" t="s">
        <v>266</v>
      </c>
      <c r="F111" s="26"/>
      <c r="G111" s="26" t="s">
        <v>2166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2030</v>
      </c>
      <c r="C112" s="13" t="s">
        <v>666</v>
      </c>
      <c r="D112" s="10" t="s">
        <v>2031</v>
      </c>
      <c r="E112" s="25" t="s">
        <v>266</v>
      </c>
      <c r="F112" s="55"/>
      <c r="G112" s="26" t="s">
        <v>2167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2033</v>
      </c>
      <c r="C113" s="52" t="s">
        <v>338</v>
      </c>
      <c r="D113" s="54" t="s">
        <v>2034</v>
      </c>
      <c r="E113" s="25" t="s">
        <v>266</v>
      </c>
      <c r="F113" s="26"/>
      <c r="G113" s="26" t="s">
        <v>2168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2036</v>
      </c>
      <c r="C114" s="52" t="s">
        <v>338</v>
      </c>
      <c r="D114" s="54" t="s">
        <v>2037</v>
      </c>
      <c r="E114" s="25" t="s">
        <v>266</v>
      </c>
      <c r="F114" s="26"/>
      <c r="G114" s="26" t="s">
        <v>2169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2039</v>
      </c>
      <c r="C115" s="52" t="s">
        <v>338</v>
      </c>
      <c r="D115" s="54" t="s">
        <v>2040</v>
      </c>
      <c r="E115" s="25" t="s">
        <v>266</v>
      </c>
      <c r="F115" s="26"/>
      <c r="G115" s="26" t="s">
        <v>2170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2042</v>
      </c>
      <c r="C116" s="52" t="s">
        <v>338</v>
      </c>
      <c r="D116" s="54" t="s">
        <v>2043</v>
      </c>
      <c r="E116" s="25" t="s">
        <v>266</v>
      </c>
      <c r="F116" s="26"/>
      <c r="G116" s="26" t="s">
        <v>2171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2045</v>
      </c>
      <c r="C117" s="52" t="s">
        <v>338</v>
      </c>
      <c r="D117" s="54" t="s">
        <v>2046</v>
      </c>
      <c r="E117" s="25" t="s">
        <v>266</v>
      </c>
      <c r="F117" s="26"/>
      <c r="G117" s="26" t="s">
        <v>2172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2048</v>
      </c>
      <c r="C118" s="52" t="s">
        <v>666</v>
      </c>
      <c r="D118" s="10" t="s">
        <v>2049</v>
      </c>
      <c r="E118" s="25" t="s">
        <v>266</v>
      </c>
      <c r="F118" s="55"/>
      <c r="G118" s="26" t="s">
        <v>2173</v>
      </c>
      <c r="H118" s="3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2051</v>
      </c>
      <c r="C119" s="13" t="s">
        <v>338</v>
      </c>
      <c r="D119" s="10" t="s">
        <v>2052</v>
      </c>
      <c r="E119" s="25" t="s">
        <v>266</v>
      </c>
      <c r="F119" s="26"/>
      <c r="G119" s="26" t="s">
        <v>2174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2054</v>
      </c>
      <c r="C120" s="13" t="s">
        <v>338</v>
      </c>
      <c r="D120" s="10" t="s">
        <v>2055</v>
      </c>
      <c r="E120" s="25" t="s">
        <v>266</v>
      </c>
      <c r="F120" s="26"/>
      <c r="G120" s="26" t="s">
        <v>2175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2057</v>
      </c>
      <c r="C121" s="13" t="s">
        <v>338</v>
      </c>
      <c r="D121" s="10" t="s">
        <v>2058</v>
      </c>
      <c r="E121" s="25" t="s">
        <v>266</v>
      </c>
      <c r="F121" s="26"/>
      <c r="G121" s="26" t="s">
        <v>2176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2060</v>
      </c>
      <c r="C122" s="13" t="s">
        <v>338</v>
      </c>
      <c r="D122" s="10" t="s">
        <v>2061</v>
      </c>
      <c r="E122" s="25" t="s">
        <v>266</v>
      </c>
      <c r="F122" s="26"/>
      <c r="G122" s="26" t="s">
        <v>2177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2063</v>
      </c>
      <c r="C123" s="13" t="s">
        <v>338</v>
      </c>
      <c r="D123" s="10" t="s">
        <v>2064</v>
      </c>
      <c r="E123" s="25" t="s">
        <v>266</v>
      </c>
      <c r="F123" s="26"/>
      <c r="G123" s="26" t="s">
        <v>2178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2066</v>
      </c>
      <c r="C124" s="52" t="s">
        <v>666</v>
      </c>
      <c r="D124" s="10" t="s">
        <v>2067</v>
      </c>
      <c r="E124" s="25" t="s">
        <v>266</v>
      </c>
      <c r="F124" s="55"/>
      <c r="G124" s="26" t="s">
        <v>2179</v>
      </c>
      <c r="H124" s="37"/>
      <c r="I124" s="26"/>
      <c r="J124" s="15" t="s">
        <v>632</v>
      </c>
      <c r="K124" s="15" t="s">
        <v>404</v>
      </c>
      <c r="L124" s="15" t="s">
        <v>633</v>
      </c>
    </row>
    <row r="125" s="1" customFormat="1" spans="1:12">
      <c r="A125" s="33"/>
      <c r="B125" s="52" t="s">
        <v>2069</v>
      </c>
      <c r="C125" s="52" t="s">
        <v>338</v>
      </c>
      <c r="D125" s="54" t="s">
        <v>2070</v>
      </c>
      <c r="E125" s="25" t="s">
        <v>266</v>
      </c>
      <c r="F125" s="26"/>
      <c r="G125" s="26" t="s">
        <v>2180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2072</v>
      </c>
      <c r="C126" s="52" t="s">
        <v>338</v>
      </c>
      <c r="D126" s="54" t="s">
        <v>2073</v>
      </c>
      <c r="E126" s="25" t="s">
        <v>266</v>
      </c>
      <c r="F126" s="26"/>
      <c r="G126" s="26" t="s">
        <v>2181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2075</v>
      </c>
      <c r="C127" s="52" t="s">
        <v>338</v>
      </c>
      <c r="D127" s="54" t="s">
        <v>2076</v>
      </c>
      <c r="E127" s="25" t="s">
        <v>266</v>
      </c>
      <c r="F127" s="26"/>
      <c r="G127" s="26" t="s">
        <v>2182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2078</v>
      </c>
      <c r="C128" s="52" t="s">
        <v>338</v>
      </c>
      <c r="D128" s="54" t="s">
        <v>2079</v>
      </c>
      <c r="E128" s="25" t="s">
        <v>266</v>
      </c>
      <c r="F128" s="26"/>
      <c r="G128" s="26" t="s">
        <v>2183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2081</v>
      </c>
      <c r="C129" s="52" t="s">
        <v>338</v>
      </c>
      <c r="D129" s="54" t="s">
        <v>2082</v>
      </c>
      <c r="E129" s="25" t="s">
        <v>266</v>
      </c>
      <c r="F129" s="26"/>
      <c r="G129" s="26" t="s">
        <v>2184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2:12">
      <c r="B130" s="32" t="s">
        <v>2084</v>
      </c>
      <c r="C130" s="32" t="s">
        <v>338</v>
      </c>
      <c r="D130" s="10" t="s">
        <v>2085</v>
      </c>
      <c r="E130" s="25" t="s">
        <v>266</v>
      </c>
      <c r="F130" s="26"/>
      <c r="G130" s="26" t="s">
        <v>2185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2:12">
      <c r="B131" s="32" t="s">
        <v>1909</v>
      </c>
      <c r="C131" s="32" t="s">
        <v>338</v>
      </c>
      <c r="D131" s="10" t="s">
        <v>2087</v>
      </c>
      <c r="E131" s="25" t="s">
        <v>266</v>
      </c>
      <c r="F131" s="26"/>
      <c r="G131" s="26" t="s">
        <v>2088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2089</v>
      </c>
      <c r="C132" s="52" t="s">
        <v>666</v>
      </c>
      <c r="D132" s="54" t="s">
        <v>2090</v>
      </c>
      <c r="E132" s="25" t="s">
        <v>266</v>
      </c>
      <c r="F132" s="55"/>
      <c r="G132" s="26" t="s">
        <v>2186</v>
      </c>
      <c r="H132" s="37"/>
      <c r="I132" s="26"/>
      <c r="J132" s="15" t="s">
        <v>632</v>
      </c>
      <c r="K132" s="15" t="s">
        <v>669</v>
      </c>
      <c r="L132" s="15" t="s">
        <v>670</v>
      </c>
    </row>
    <row r="133" s="1" customFormat="1" spans="1:12">
      <c r="A133" s="33"/>
      <c r="B133" s="52" t="s">
        <v>2092</v>
      </c>
      <c r="C133" s="52" t="s">
        <v>338</v>
      </c>
      <c r="D133" s="54" t="s">
        <v>2093</v>
      </c>
      <c r="E133" s="25" t="s">
        <v>266</v>
      </c>
      <c r="F133" s="26"/>
      <c r="G133" s="26" t="s">
        <v>2187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2095</v>
      </c>
      <c r="C134" s="52" t="s">
        <v>338</v>
      </c>
      <c r="D134" s="54" t="s">
        <v>2096</v>
      </c>
      <c r="E134" s="25" t="s">
        <v>266</v>
      </c>
      <c r="F134" s="26"/>
      <c r="G134" s="26" t="s">
        <v>2188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2098</v>
      </c>
      <c r="C135" s="52" t="s">
        <v>338</v>
      </c>
      <c r="D135" s="54" t="s">
        <v>2099</v>
      </c>
      <c r="E135" s="25" t="s">
        <v>266</v>
      </c>
      <c r="F135" s="26"/>
      <c r="G135" s="26" t="s">
        <v>2189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2101</v>
      </c>
      <c r="C136" s="52" t="s">
        <v>338</v>
      </c>
      <c r="D136" s="54" t="s">
        <v>2102</v>
      </c>
      <c r="E136" s="25" t="s">
        <v>266</v>
      </c>
      <c r="F136" s="26"/>
      <c r="G136" s="26" t="s">
        <v>2190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2104</v>
      </c>
      <c r="C137" s="52" t="s">
        <v>338</v>
      </c>
      <c r="D137" s="54" t="s">
        <v>2105</v>
      </c>
      <c r="E137" s="25" t="s">
        <v>266</v>
      </c>
      <c r="F137" s="26"/>
      <c r="G137" s="26" t="s">
        <v>2191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2107</v>
      </c>
      <c r="C138" s="52" t="s">
        <v>338</v>
      </c>
      <c r="D138" s="10" t="s">
        <v>2108</v>
      </c>
      <c r="E138" s="25" t="s">
        <v>266</v>
      </c>
      <c r="F138" s="26"/>
      <c r="G138" s="26" t="s">
        <v>2192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1912</v>
      </c>
      <c r="C139" s="52" t="s">
        <v>338</v>
      </c>
      <c r="D139" s="10" t="s">
        <v>2110</v>
      </c>
      <c r="E139" s="25" t="s">
        <v>266</v>
      </c>
      <c r="F139" s="26"/>
      <c r="G139" s="26" t="s">
        <v>2111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2112</v>
      </c>
      <c r="C140" s="52" t="s">
        <v>666</v>
      </c>
      <c r="D140" s="54" t="s">
        <v>2113</v>
      </c>
      <c r="E140" s="25" t="s">
        <v>266</v>
      </c>
      <c r="F140" s="55"/>
      <c r="G140" s="26" t="s">
        <v>2193</v>
      </c>
      <c r="H140" s="37"/>
      <c r="I140" s="26"/>
      <c r="J140" s="15" t="s">
        <v>632</v>
      </c>
      <c r="K140" s="15" t="s">
        <v>669</v>
      </c>
      <c r="L140" s="15" t="s">
        <v>670</v>
      </c>
    </row>
    <row r="141" s="1" customFormat="1" spans="1:12">
      <c r="A141" s="33"/>
      <c r="B141" s="52" t="s">
        <v>2115</v>
      </c>
      <c r="C141" s="52" t="s">
        <v>338</v>
      </c>
      <c r="D141" s="54" t="s">
        <v>2116</v>
      </c>
      <c r="E141" s="25" t="s">
        <v>266</v>
      </c>
      <c r="F141" s="26"/>
      <c r="G141" s="26" t="s">
        <v>2194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2118</v>
      </c>
      <c r="C142" s="52" t="s">
        <v>338</v>
      </c>
      <c r="D142" s="54" t="s">
        <v>2119</v>
      </c>
      <c r="E142" s="25" t="s">
        <v>266</v>
      </c>
      <c r="F142" s="26"/>
      <c r="G142" s="26" t="s">
        <v>2195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2121</v>
      </c>
      <c r="C143" s="52" t="s">
        <v>338</v>
      </c>
      <c r="D143" s="54" t="s">
        <v>2122</v>
      </c>
      <c r="E143" s="25" t="s">
        <v>266</v>
      </c>
      <c r="F143" s="26"/>
      <c r="G143" s="26" t="s">
        <v>2196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2124</v>
      </c>
      <c r="C144" s="52" t="s">
        <v>338</v>
      </c>
      <c r="D144" s="54" t="s">
        <v>2125</v>
      </c>
      <c r="E144" s="25" t="s">
        <v>266</v>
      </c>
      <c r="F144" s="26"/>
      <c r="G144" s="26" t="s">
        <v>2197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2127</v>
      </c>
      <c r="C145" s="52" t="s">
        <v>338</v>
      </c>
      <c r="D145" s="54" t="s">
        <v>2128</v>
      </c>
      <c r="E145" s="25" t="s">
        <v>266</v>
      </c>
      <c r="F145" s="26"/>
      <c r="G145" s="26" t="s">
        <v>2198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2130</v>
      </c>
      <c r="C146" s="52" t="s">
        <v>338</v>
      </c>
      <c r="D146" s="54" t="s">
        <v>2131</v>
      </c>
      <c r="E146" s="25" t="s">
        <v>266</v>
      </c>
      <c r="F146" s="55"/>
      <c r="G146" s="26" t="s">
        <v>2199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52" t="s">
        <v>2133</v>
      </c>
      <c r="C147" s="52" t="s">
        <v>338</v>
      </c>
      <c r="D147" s="54" t="s">
        <v>2134</v>
      </c>
      <c r="E147" s="25" t="s">
        <v>266</v>
      </c>
      <c r="F147" s="55"/>
      <c r="G147" s="26" t="s">
        <v>2200</v>
      </c>
      <c r="H147" s="37"/>
      <c r="I147" s="26"/>
      <c r="J147" s="15" t="s">
        <v>632</v>
      </c>
      <c r="K147" s="15" t="s">
        <v>669</v>
      </c>
      <c r="L147" s="15" t="s">
        <v>633</v>
      </c>
    </row>
    <row r="148" s="1" customFormat="1" spans="1:12">
      <c r="A148" s="33"/>
      <c r="B148" s="13" t="s">
        <v>887</v>
      </c>
      <c r="C148" s="13" t="s">
        <v>338</v>
      </c>
      <c r="D148" s="10" t="s">
        <v>888</v>
      </c>
      <c r="E148" s="25" t="s">
        <v>266</v>
      </c>
      <c r="F148" s="26"/>
      <c r="G148" s="26" t="s">
        <v>1013</v>
      </c>
      <c r="H148" s="37"/>
      <c r="I148" s="26"/>
      <c r="J148" s="15" t="s">
        <v>632</v>
      </c>
      <c r="K148" s="15" t="s">
        <v>294</v>
      </c>
      <c r="L148" s="15" t="s">
        <v>633</v>
      </c>
    </row>
    <row r="149" s="2" customFormat="1" spans="2:14">
      <c r="B149" s="17" t="s">
        <v>594</v>
      </c>
      <c r="C149" s="18" t="s">
        <v>307</v>
      </c>
      <c r="D149" s="19" t="s">
        <v>595</v>
      </c>
      <c r="E149" s="28"/>
      <c r="F149" s="28"/>
      <c r="G149" s="28"/>
      <c r="H149" s="17"/>
      <c r="I149" s="17"/>
      <c r="J149" s="17"/>
      <c r="K149" s="17"/>
      <c r="L149" s="17"/>
      <c r="M149" s="17"/>
      <c r="N149" s="17"/>
    </row>
    <row r="150" s="2" customFormat="1" spans="2:14">
      <c r="B150" s="17" t="s">
        <v>596</v>
      </c>
      <c r="C150" s="18" t="s">
        <v>291</v>
      </c>
      <c r="D150" s="19" t="s">
        <v>597</v>
      </c>
      <c r="E150" s="28"/>
      <c r="F150" s="28"/>
      <c r="G150" s="28"/>
      <c r="H150" s="17"/>
      <c r="I150" s="17"/>
      <c r="J150" s="17"/>
      <c r="K150" s="17"/>
      <c r="L150" s="17"/>
      <c r="M150" s="17"/>
      <c r="N150" s="17"/>
    </row>
  </sheetData>
  <autoFilter xmlns:etc="http://www.wps.cn/officeDocument/2017/etCustomData" ref="A13:N15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zoomScale="85" zoomScaleNormal="85" workbookViewId="0">
      <pane ySplit="5" topLeftCell="A120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216</v>
      </c>
      <c r="D5" s="14" t="s">
        <v>217</v>
      </c>
      <c r="E5" s="13" t="s">
        <v>606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212</v>
      </c>
      <c r="D9" s="14" t="s">
        <v>213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1:12">
      <c r="A16" s="33"/>
      <c r="B16" s="32" t="s">
        <v>290</v>
      </c>
      <c r="C16" s="32" t="s">
        <v>307</v>
      </c>
      <c r="D16" s="10" t="s">
        <v>609</v>
      </c>
      <c r="E16" s="25" t="s">
        <v>266</v>
      </c>
      <c r="F16" s="26" t="s">
        <v>290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610</v>
      </c>
    </row>
    <row r="17" s="1" customFormat="1" spans="1:12">
      <c r="A17" s="33"/>
      <c r="B17" s="32" t="s">
        <v>327</v>
      </c>
      <c r="C17" s="32" t="s">
        <v>307</v>
      </c>
      <c r="D17" s="10" t="s">
        <v>611</v>
      </c>
      <c r="E17" s="25" t="s">
        <v>266</v>
      </c>
      <c r="F17" s="26" t="s">
        <v>327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613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32" t="s">
        <v>517</v>
      </c>
      <c r="C19" s="32" t="s">
        <v>307</v>
      </c>
      <c r="D19" s="10" t="s">
        <v>616</v>
      </c>
      <c r="E19" s="25" t="s">
        <v>266</v>
      </c>
      <c r="F19" s="26" t="s">
        <v>517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520</v>
      </c>
      <c r="C20" s="32" t="s">
        <v>307</v>
      </c>
      <c r="D20" s="10" t="s">
        <v>617</v>
      </c>
      <c r="E20" s="25" t="s">
        <v>266</v>
      </c>
      <c r="F20" s="26" t="s">
        <v>520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522</v>
      </c>
      <c r="C21" s="32" t="s">
        <v>291</v>
      </c>
      <c r="D21" s="10" t="s">
        <v>523</v>
      </c>
      <c r="E21" s="25" t="s">
        <v>266</v>
      </c>
      <c r="F21" s="26" t="s">
        <v>522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524</v>
      </c>
      <c r="C22" s="32" t="s">
        <v>291</v>
      </c>
      <c r="D22" s="10" t="s">
        <v>525</v>
      </c>
      <c r="E22" s="25" t="s">
        <v>266</v>
      </c>
      <c r="F22" s="26" t="s">
        <v>524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526</v>
      </c>
      <c r="C23" s="32" t="s">
        <v>291</v>
      </c>
      <c r="D23" s="10" t="s">
        <v>527</v>
      </c>
      <c r="E23" s="25" t="s">
        <v>266</v>
      </c>
      <c r="F23" s="26" t="s">
        <v>526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295</v>
      </c>
      <c r="C24" s="13" t="s">
        <v>291</v>
      </c>
      <c r="D24" s="10" t="s">
        <v>618</v>
      </c>
      <c r="E24" s="25" t="s">
        <v>266</v>
      </c>
      <c r="F24" s="26" t="s">
        <v>295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297</v>
      </c>
      <c r="C25" s="13" t="s">
        <v>291</v>
      </c>
      <c r="D25" s="10" t="s">
        <v>298</v>
      </c>
      <c r="E25" s="25" t="s">
        <v>266</v>
      </c>
      <c r="F25" s="26" t="s">
        <v>297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300</v>
      </c>
      <c r="C26" s="13" t="s">
        <v>291</v>
      </c>
      <c r="D26" s="10" t="s">
        <v>619</v>
      </c>
      <c r="E26" s="25" t="s">
        <v>266</v>
      </c>
      <c r="F26" s="26" t="s">
        <v>300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33" customFormat="1" spans="2:12">
      <c r="B27" s="32" t="s">
        <v>378</v>
      </c>
      <c r="C27" s="13" t="s">
        <v>291</v>
      </c>
      <c r="D27" s="10" t="s">
        <v>624</v>
      </c>
      <c r="E27" s="25" t="s">
        <v>266</v>
      </c>
      <c r="F27" s="26" t="s">
        <v>378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615</v>
      </c>
    </row>
    <row r="28" s="1" customFormat="1" spans="1:12">
      <c r="A28" s="33"/>
      <c r="B28" s="13" t="s">
        <v>629</v>
      </c>
      <c r="C28" s="13" t="s">
        <v>338</v>
      </c>
      <c r="D28" s="10" t="s">
        <v>630</v>
      </c>
      <c r="E28" s="25" t="s">
        <v>266</v>
      </c>
      <c r="F28" s="26"/>
      <c r="G28" s="26" t="s">
        <v>933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337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342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340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346</v>
      </c>
      <c r="C37" s="13" t="s">
        <v>338</v>
      </c>
      <c r="D37" s="10" t="s">
        <v>693</v>
      </c>
      <c r="E37" s="25" t="s">
        <v>266</v>
      </c>
      <c r="F37" s="26"/>
      <c r="G37" s="26" t="s">
        <v>694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344</v>
      </c>
      <c r="C38" s="13" t="s">
        <v>338</v>
      </c>
      <c r="D38" s="10" t="s">
        <v>695</v>
      </c>
      <c r="E38" s="25" t="s">
        <v>266</v>
      </c>
      <c r="F38" s="26"/>
      <c r="G38" s="26" t="s">
        <v>696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392</v>
      </c>
      <c r="C39" s="13" t="s">
        <v>338</v>
      </c>
      <c r="D39" s="10" t="s">
        <v>697</v>
      </c>
      <c r="E39" s="25" t="s">
        <v>266</v>
      </c>
      <c r="F39" s="26"/>
      <c r="G39" s="26" t="s">
        <v>698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394</v>
      </c>
      <c r="C40" s="13" t="s">
        <v>338</v>
      </c>
      <c r="D40" s="10" t="s">
        <v>699</v>
      </c>
      <c r="E40" s="25" t="s">
        <v>266</v>
      </c>
      <c r="F40" s="26"/>
      <c r="G40" s="26" t="s">
        <v>700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701</v>
      </c>
      <c r="C41" s="13" t="s">
        <v>338</v>
      </c>
      <c r="D41" s="10" t="s">
        <v>702</v>
      </c>
      <c r="E41" s="25" t="s">
        <v>266</v>
      </c>
      <c r="F41" s="26"/>
      <c r="G41" s="26" t="s">
        <v>950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704</v>
      </c>
      <c r="C42" s="13" t="s">
        <v>338</v>
      </c>
      <c r="D42" s="10" t="s">
        <v>705</v>
      </c>
      <c r="E42" s="25" t="s">
        <v>266</v>
      </c>
      <c r="F42" s="26"/>
      <c r="G42" s="26" t="s">
        <v>951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707</v>
      </c>
      <c r="C43" s="13" t="s">
        <v>338</v>
      </c>
      <c r="D43" s="10" t="s">
        <v>708</v>
      </c>
      <c r="E43" s="25" t="s">
        <v>266</v>
      </c>
      <c r="F43" s="26"/>
      <c r="G43" s="26" t="s">
        <v>952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710</v>
      </c>
      <c r="C44" s="13" t="s">
        <v>338</v>
      </c>
      <c r="D44" s="10" t="s">
        <v>711</v>
      </c>
      <c r="E44" s="25" t="s">
        <v>266</v>
      </c>
      <c r="F44" s="26"/>
      <c r="G44" s="26" t="s">
        <v>953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713</v>
      </c>
      <c r="C45" s="13" t="s">
        <v>338</v>
      </c>
      <c r="D45" s="10" t="s">
        <v>714</v>
      </c>
      <c r="E45" s="25" t="s">
        <v>266</v>
      </c>
      <c r="F45" s="26"/>
      <c r="G45" s="26" t="s">
        <v>954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716</v>
      </c>
      <c r="C46" s="13" t="s">
        <v>338</v>
      </c>
      <c r="D46" s="10" t="s">
        <v>717</v>
      </c>
      <c r="E46" s="25" t="s">
        <v>266</v>
      </c>
      <c r="F46" s="26"/>
      <c r="G46" s="26" t="s">
        <v>955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410</v>
      </c>
      <c r="C47" s="13" t="s">
        <v>338</v>
      </c>
      <c r="D47" s="10" t="s">
        <v>719</v>
      </c>
      <c r="E47" s="25" t="s">
        <v>266</v>
      </c>
      <c r="F47" s="26"/>
      <c r="G47" s="26" t="s">
        <v>720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412</v>
      </c>
      <c r="C48" s="13" t="s">
        <v>338</v>
      </c>
      <c r="D48" s="10" t="s">
        <v>721</v>
      </c>
      <c r="E48" s="25" t="s">
        <v>266</v>
      </c>
      <c r="F48" s="26"/>
      <c r="G48" s="26" t="s">
        <v>722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1916</v>
      </c>
      <c r="C49" s="13" t="s">
        <v>338</v>
      </c>
      <c r="D49" s="10" t="s">
        <v>1917</v>
      </c>
      <c r="E49" s="25" t="s">
        <v>266</v>
      </c>
      <c r="F49" s="26"/>
      <c r="G49" s="26" t="s">
        <v>2136</v>
      </c>
      <c r="H49" s="37"/>
      <c r="I49" s="26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1919</v>
      </c>
      <c r="C50" s="13" t="s">
        <v>338</v>
      </c>
      <c r="D50" s="10" t="s">
        <v>1920</v>
      </c>
      <c r="E50" s="25" t="s">
        <v>266</v>
      </c>
      <c r="F50" s="26"/>
      <c r="G50" s="26" t="s">
        <v>2137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1922</v>
      </c>
      <c r="C51" s="13" t="s">
        <v>338</v>
      </c>
      <c r="D51" s="10" t="s">
        <v>1923</v>
      </c>
      <c r="E51" s="25" t="s">
        <v>266</v>
      </c>
      <c r="F51" s="26"/>
      <c r="G51" s="26" t="s">
        <v>2138</v>
      </c>
      <c r="H51" s="37"/>
      <c r="I51" s="26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1925</v>
      </c>
      <c r="C52" s="13" t="s">
        <v>338</v>
      </c>
      <c r="D52" s="10" t="s">
        <v>1926</v>
      </c>
      <c r="E52" s="25" t="s">
        <v>266</v>
      </c>
      <c r="F52" s="26"/>
      <c r="G52" s="26" t="s">
        <v>2139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1928</v>
      </c>
      <c r="C53" s="13" t="s">
        <v>338</v>
      </c>
      <c r="D53" s="10" t="s">
        <v>1929</v>
      </c>
      <c r="E53" s="25" t="s">
        <v>266</v>
      </c>
      <c r="F53" s="26"/>
      <c r="G53" s="26" t="s">
        <v>2140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1931</v>
      </c>
      <c r="C54" s="13" t="s">
        <v>338</v>
      </c>
      <c r="D54" s="10" t="s">
        <v>1932</v>
      </c>
      <c r="E54" s="25" t="s">
        <v>266</v>
      </c>
      <c r="F54" s="26"/>
      <c r="G54" s="26" t="s">
        <v>2141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1934</v>
      </c>
      <c r="C55" s="13" t="s">
        <v>338</v>
      </c>
      <c r="D55" s="10" t="s">
        <v>1935</v>
      </c>
      <c r="E55" s="25" t="s">
        <v>266</v>
      </c>
      <c r="F55" s="26"/>
      <c r="G55" s="26" t="s">
        <v>2142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1937</v>
      </c>
      <c r="C56" s="13" t="s">
        <v>338</v>
      </c>
      <c r="D56" s="10" t="s">
        <v>1938</v>
      </c>
      <c r="E56" s="25" t="s">
        <v>266</v>
      </c>
      <c r="F56" s="26"/>
      <c r="G56" s="26" t="s">
        <v>2143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1940</v>
      </c>
      <c r="C57" s="13" t="s">
        <v>338</v>
      </c>
      <c r="D57" s="10" t="s">
        <v>1941</v>
      </c>
      <c r="E57" s="25" t="s">
        <v>266</v>
      </c>
      <c r="F57" s="26"/>
      <c r="G57" s="26" t="s">
        <v>2144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1870</v>
      </c>
      <c r="C58" s="13" t="s">
        <v>338</v>
      </c>
      <c r="D58" s="10" t="s">
        <v>1943</v>
      </c>
      <c r="E58" s="25" t="s">
        <v>266</v>
      </c>
      <c r="F58" s="26"/>
      <c r="G58" s="26" t="s">
        <v>1944</v>
      </c>
      <c r="H58" s="37"/>
      <c r="I58" s="26"/>
      <c r="J58" s="15" t="s">
        <v>632</v>
      </c>
      <c r="K58" s="15" t="s">
        <v>644</v>
      </c>
      <c r="L58" s="15" t="s">
        <v>633</v>
      </c>
    </row>
    <row r="59" s="1" customFormat="1" spans="1:12">
      <c r="A59" s="33"/>
      <c r="B59" s="13" t="s">
        <v>1945</v>
      </c>
      <c r="C59" s="52" t="s">
        <v>666</v>
      </c>
      <c r="D59" s="10" t="s">
        <v>1946</v>
      </c>
      <c r="E59" s="25" t="s">
        <v>266</v>
      </c>
      <c r="F59" s="26"/>
      <c r="G59" s="26" t="s">
        <v>2145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1948</v>
      </c>
      <c r="C60" s="52" t="s">
        <v>666</v>
      </c>
      <c r="D60" s="10" t="s">
        <v>1949</v>
      </c>
      <c r="E60" s="25" t="s">
        <v>266</v>
      </c>
      <c r="F60" s="26"/>
      <c r="G60" s="26" t="s">
        <v>2146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55"/>
      <c r="G62" s="26" t="s">
        <v>957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733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736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739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742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745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55"/>
      <c r="G69" s="26" t="s">
        <v>964</v>
      </c>
      <c r="H69" s="3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754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757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760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763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766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3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55"/>
      <c r="G76" s="26" t="s">
        <v>971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775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778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781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784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787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413</v>
      </c>
      <c r="C82" s="13" t="s">
        <v>666</v>
      </c>
      <c r="D82" s="10" t="s">
        <v>790</v>
      </c>
      <c r="E82" s="25" t="s">
        <v>266</v>
      </c>
      <c r="F82" s="55"/>
      <c r="G82" s="26" t="s">
        <v>977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418</v>
      </c>
      <c r="C84" s="13" t="s">
        <v>666</v>
      </c>
      <c r="D84" s="10" t="s">
        <v>795</v>
      </c>
      <c r="E84" s="25" t="s">
        <v>266</v>
      </c>
      <c r="F84" s="55"/>
      <c r="G84" s="26" t="s">
        <v>979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32" t="s">
        <v>1860</v>
      </c>
      <c r="C86" s="32" t="s">
        <v>338</v>
      </c>
      <c r="D86" s="10" t="s">
        <v>1861</v>
      </c>
      <c r="E86" s="25" t="s">
        <v>266</v>
      </c>
      <c r="F86" s="26"/>
      <c r="G86" s="26" t="s">
        <v>1966</v>
      </c>
      <c r="H86" s="3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32" t="s">
        <v>1903</v>
      </c>
      <c r="C87" s="32" t="s">
        <v>666</v>
      </c>
      <c r="D87" s="10" t="s">
        <v>1904</v>
      </c>
      <c r="E87" s="25" t="s">
        <v>266</v>
      </c>
      <c r="F87" s="26"/>
      <c r="G87" s="26" t="s">
        <v>1967</v>
      </c>
      <c r="H87" s="37"/>
      <c r="I87" s="26"/>
      <c r="J87" s="15" t="s">
        <v>632</v>
      </c>
      <c r="K87" s="15" t="s">
        <v>1898</v>
      </c>
      <c r="L87" s="15" t="s">
        <v>633</v>
      </c>
    </row>
    <row r="88" s="1" customFormat="1" spans="1:12">
      <c r="A88" s="33"/>
      <c r="B88" s="52" t="s">
        <v>1968</v>
      </c>
      <c r="C88" s="52" t="s">
        <v>666</v>
      </c>
      <c r="D88" s="54" t="s">
        <v>1969</v>
      </c>
      <c r="E88" s="25" t="s">
        <v>266</v>
      </c>
      <c r="F88" s="55"/>
      <c r="G88" s="26" t="s">
        <v>2147</v>
      </c>
      <c r="H88" s="27"/>
      <c r="I88" s="26"/>
      <c r="J88" s="15" t="s">
        <v>632</v>
      </c>
      <c r="K88" s="15" t="s">
        <v>1898</v>
      </c>
      <c r="L88" s="15" t="s">
        <v>633</v>
      </c>
    </row>
    <row r="89" s="1" customFormat="1" spans="2:12">
      <c r="B89" s="32" t="s">
        <v>1906</v>
      </c>
      <c r="C89" s="32" t="s">
        <v>666</v>
      </c>
      <c r="D89" s="10" t="s">
        <v>1907</v>
      </c>
      <c r="E89" s="25" t="s">
        <v>266</v>
      </c>
      <c r="F89" s="32"/>
      <c r="G89" s="26" t="s">
        <v>1971</v>
      </c>
      <c r="H89" s="37"/>
      <c r="I89" s="26"/>
      <c r="J89" s="15" t="s">
        <v>632</v>
      </c>
      <c r="K89" s="15" t="s">
        <v>1902</v>
      </c>
      <c r="L89" s="15" t="s">
        <v>633</v>
      </c>
    </row>
    <row r="90" s="1" customFormat="1" spans="1:12">
      <c r="A90" s="33"/>
      <c r="B90" s="32" t="s">
        <v>1892</v>
      </c>
      <c r="C90" s="32" t="s">
        <v>338</v>
      </c>
      <c r="D90" s="10" t="s">
        <v>1972</v>
      </c>
      <c r="E90" s="25" t="s">
        <v>266</v>
      </c>
      <c r="F90" s="26"/>
      <c r="G90" s="26" t="s">
        <v>1973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32" t="s">
        <v>1895</v>
      </c>
      <c r="C91" s="32" t="s">
        <v>666</v>
      </c>
      <c r="D91" s="10" t="s">
        <v>1896</v>
      </c>
      <c r="E91" s="25" t="s">
        <v>266</v>
      </c>
      <c r="F91" s="26"/>
      <c r="G91" s="26" t="s">
        <v>1974</v>
      </c>
      <c r="H91" s="37"/>
      <c r="I91" s="26"/>
      <c r="J91" s="15" t="s">
        <v>632</v>
      </c>
      <c r="K91" s="15" t="s">
        <v>1898</v>
      </c>
      <c r="L91" s="15" t="s">
        <v>633</v>
      </c>
    </row>
    <row r="92" s="1" customFormat="1" spans="2:12">
      <c r="B92" s="32" t="s">
        <v>1899</v>
      </c>
      <c r="C92" s="32" t="s">
        <v>666</v>
      </c>
      <c r="D92" s="10" t="s">
        <v>1900</v>
      </c>
      <c r="E92" s="25" t="s">
        <v>266</v>
      </c>
      <c r="F92" s="32"/>
      <c r="G92" s="26" t="s">
        <v>1975</v>
      </c>
      <c r="H92" s="37"/>
      <c r="I92" s="26"/>
      <c r="J92" s="15" t="s">
        <v>632</v>
      </c>
      <c r="K92" s="15" t="s">
        <v>1902</v>
      </c>
      <c r="L92" s="15" t="s">
        <v>633</v>
      </c>
    </row>
    <row r="93" s="1" customFormat="1" spans="2:12">
      <c r="B93" s="32" t="s">
        <v>1976</v>
      </c>
      <c r="C93" s="32" t="s">
        <v>666</v>
      </c>
      <c r="D93" s="10" t="s">
        <v>1977</v>
      </c>
      <c r="E93" s="25" t="s">
        <v>266</v>
      </c>
      <c r="F93" s="26"/>
      <c r="G93" s="26" t="s">
        <v>2148</v>
      </c>
      <c r="H93" s="37"/>
      <c r="I93" s="26"/>
      <c r="J93" s="15" t="s">
        <v>632</v>
      </c>
      <c r="K93" s="15" t="s">
        <v>669</v>
      </c>
      <c r="L93" s="15" t="s">
        <v>633</v>
      </c>
    </row>
    <row r="94" s="1" customFormat="1" spans="2:12">
      <c r="B94" s="32" t="s">
        <v>1979</v>
      </c>
      <c r="C94" s="32" t="s">
        <v>338</v>
      </c>
      <c r="D94" s="10" t="s">
        <v>1980</v>
      </c>
      <c r="E94" s="25" t="s">
        <v>266</v>
      </c>
      <c r="F94" s="26"/>
      <c r="G94" s="26" t="s">
        <v>2149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1982</v>
      </c>
      <c r="C95" s="32" t="s">
        <v>338</v>
      </c>
      <c r="D95" s="10" t="s">
        <v>1983</v>
      </c>
      <c r="E95" s="25" t="s">
        <v>266</v>
      </c>
      <c r="F95" s="26"/>
      <c r="G95" s="26" t="s">
        <v>2150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1985</v>
      </c>
      <c r="C96" s="32" t="s">
        <v>338</v>
      </c>
      <c r="D96" s="10" t="s">
        <v>1986</v>
      </c>
      <c r="E96" s="25" t="s">
        <v>266</v>
      </c>
      <c r="F96" s="26"/>
      <c r="G96" s="26" t="s">
        <v>2151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1988</v>
      </c>
      <c r="C97" s="32" t="s">
        <v>666</v>
      </c>
      <c r="D97" s="10" t="s">
        <v>1989</v>
      </c>
      <c r="E97" s="25" t="s">
        <v>266</v>
      </c>
      <c r="F97" s="32"/>
      <c r="G97" s="26" t="s">
        <v>2152</v>
      </c>
      <c r="H97" s="37"/>
      <c r="I97" s="26"/>
      <c r="J97" s="15" t="s">
        <v>632</v>
      </c>
      <c r="K97" s="15" t="s">
        <v>294</v>
      </c>
      <c r="L97" s="15" t="s">
        <v>1264</v>
      </c>
    </row>
    <row r="98" s="1" customFormat="1" spans="2:12">
      <c r="B98" s="32" t="s">
        <v>1991</v>
      </c>
      <c r="C98" s="32" t="s">
        <v>666</v>
      </c>
      <c r="D98" s="10" t="s">
        <v>1992</v>
      </c>
      <c r="E98" s="25" t="s">
        <v>266</v>
      </c>
      <c r="F98" s="26"/>
      <c r="G98" s="26" t="s">
        <v>2153</v>
      </c>
      <c r="H98" s="37"/>
      <c r="I98" s="26"/>
      <c r="J98" s="15" t="s">
        <v>632</v>
      </c>
      <c r="K98" s="15" t="s">
        <v>669</v>
      </c>
      <c r="L98" s="15" t="s">
        <v>633</v>
      </c>
    </row>
    <row r="99" s="1" customFormat="1" spans="2:12">
      <c r="B99" s="32" t="s">
        <v>1994</v>
      </c>
      <c r="C99" s="32" t="s">
        <v>338</v>
      </c>
      <c r="D99" s="10" t="s">
        <v>1995</v>
      </c>
      <c r="E99" s="25" t="s">
        <v>266</v>
      </c>
      <c r="F99" s="26"/>
      <c r="G99" s="26" t="s">
        <v>2154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1997</v>
      </c>
      <c r="C100" s="32" t="s">
        <v>338</v>
      </c>
      <c r="D100" s="10" t="s">
        <v>1998</v>
      </c>
      <c r="E100" s="25" t="s">
        <v>266</v>
      </c>
      <c r="F100" s="26"/>
      <c r="G100" s="26" t="s">
        <v>2155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2000</v>
      </c>
      <c r="C101" s="32" t="s">
        <v>338</v>
      </c>
      <c r="D101" s="10" t="s">
        <v>2001</v>
      </c>
      <c r="E101" s="25" t="s">
        <v>266</v>
      </c>
      <c r="F101" s="26"/>
      <c r="G101" s="26" t="s">
        <v>2156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2002</v>
      </c>
      <c r="C102" s="32" t="s">
        <v>338</v>
      </c>
      <c r="D102" s="10" t="s">
        <v>1887</v>
      </c>
      <c r="E102" s="25" t="s">
        <v>266</v>
      </c>
      <c r="F102" s="26"/>
      <c r="G102" s="26" t="s">
        <v>2157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2004</v>
      </c>
      <c r="C103" s="32" t="s">
        <v>338</v>
      </c>
      <c r="D103" s="10" t="s">
        <v>2005</v>
      </c>
      <c r="E103" s="25" t="s">
        <v>266</v>
      </c>
      <c r="F103" s="26"/>
      <c r="G103" s="26" t="s">
        <v>2158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2007</v>
      </c>
      <c r="C104" s="32" t="s">
        <v>338</v>
      </c>
      <c r="D104" s="10" t="s">
        <v>1890</v>
      </c>
      <c r="E104" s="25" t="s">
        <v>266</v>
      </c>
      <c r="F104" s="26"/>
      <c r="G104" s="26" t="s">
        <v>2159</v>
      </c>
      <c r="H104" s="37"/>
      <c r="I104" s="26"/>
      <c r="J104" s="15" t="s">
        <v>632</v>
      </c>
      <c r="K104" s="15" t="s">
        <v>669</v>
      </c>
      <c r="L104" s="15" t="s">
        <v>633</v>
      </c>
    </row>
    <row r="105" s="1" customFormat="1" spans="2:12">
      <c r="B105" s="32" t="s">
        <v>2009</v>
      </c>
      <c r="C105" s="32" t="s">
        <v>338</v>
      </c>
      <c r="D105" s="10" t="s">
        <v>2010</v>
      </c>
      <c r="E105" s="25" t="s">
        <v>266</v>
      </c>
      <c r="F105" s="26"/>
      <c r="G105" s="26" t="s">
        <v>2160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2012</v>
      </c>
      <c r="C106" s="32" t="s">
        <v>338</v>
      </c>
      <c r="D106" s="10" t="s">
        <v>2013</v>
      </c>
      <c r="E106" s="25" t="s">
        <v>266</v>
      </c>
      <c r="F106" s="26"/>
      <c r="G106" s="26" t="s">
        <v>2161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2015</v>
      </c>
      <c r="C107" s="32" t="s">
        <v>338</v>
      </c>
      <c r="D107" s="10" t="s">
        <v>2016</v>
      </c>
      <c r="E107" s="25" t="s">
        <v>266</v>
      </c>
      <c r="F107" s="26"/>
      <c r="G107" s="26" t="s">
        <v>2162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2018</v>
      </c>
      <c r="C108" s="32" t="s">
        <v>338</v>
      </c>
      <c r="D108" s="10" t="s">
        <v>2019</v>
      </c>
      <c r="E108" s="25" t="s">
        <v>266</v>
      </c>
      <c r="F108" s="26"/>
      <c r="G108" s="26" t="s">
        <v>2163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2021</v>
      </c>
      <c r="C109" s="32" t="s">
        <v>338</v>
      </c>
      <c r="D109" s="10" t="s">
        <v>2022</v>
      </c>
      <c r="E109" s="25" t="s">
        <v>266</v>
      </c>
      <c r="F109" s="26"/>
      <c r="G109" s="26" t="s">
        <v>2164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2024</v>
      </c>
      <c r="C110" s="32" t="s">
        <v>338</v>
      </c>
      <c r="D110" s="10" t="s">
        <v>2025</v>
      </c>
      <c r="E110" s="25" t="s">
        <v>266</v>
      </c>
      <c r="F110" s="26"/>
      <c r="G110" s="26" t="s">
        <v>2165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2027</v>
      </c>
      <c r="C111" s="32" t="s">
        <v>338</v>
      </c>
      <c r="D111" s="10" t="s">
        <v>2028</v>
      </c>
      <c r="E111" s="25" t="s">
        <v>266</v>
      </c>
      <c r="F111" s="26"/>
      <c r="G111" s="26" t="s">
        <v>2166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2030</v>
      </c>
      <c r="C112" s="13" t="s">
        <v>666</v>
      </c>
      <c r="D112" s="10" t="s">
        <v>2031</v>
      </c>
      <c r="E112" s="25" t="s">
        <v>266</v>
      </c>
      <c r="F112" s="55"/>
      <c r="G112" s="26" t="s">
        <v>2167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2033</v>
      </c>
      <c r="C113" s="52" t="s">
        <v>338</v>
      </c>
      <c r="D113" s="54" t="s">
        <v>2034</v>
      </c>
      <c r="E113" s="25" t="s">
        <v>266</v>
      </c>
      <c r="F113" s="26"/>
      <c r="G113" s="26" t="s">
        <v>2168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2036</v>
      </c>
      <c r="C114" s="52" t="s">
        <v>338</v>
      </c>
      <c r="D114" s="54" t="s">
        <v>2037</v>
      </c>
      <c r="E114" s="25" t="s">
        <v>266</v>
      </c>
      <c r="F114" s="26"/>
      <c r="G114" s="26" t="s">
        <v>2169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2039</v>
      </c>
      <c r="C115" s="52" t="s">
        <v>338</v>
      </c>
      <c r="D115" s="54" t="s">
        <v>2040</v>
      </c>
      <c r="E115" s="25" t="s">
        <v>266</v>
      </c>
      <c r="F115" s="26"/>
      <c r="G115" s="26" t="s">
        <v>2170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2042</v>
      </c>
      <c r="C116" s="52" t="s">
        <v>338</v>
      </c>
      <c r="D116" s="54" t="s">
        <v>2043</v>
      </c>
      <c r="E116" s="25" t="s">
        <v>266</v>
      </c>
      <c r="F116" s="26"/>
      <c r="G116" s="26" t="s">
        <v>2171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2045</v>
      </c>
      <c r="C117" s="52" t="s">
        <v>338</v>
      </c>
      <c r="D117" s="54" t="s">
        <v>2046</v>
      </c>
      <c r="E117" s="25" t="s">
        <v>266</v>
      </c>
      <c r="F117" s="26"/>
      <c r="G117" s="26" t="s">
        <v>2172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2048</v>
      </c>
      <c r="C118" s="52" t="s">
        <v>666</v>
      </c>
      <c r="D118" s="10" t="s">
        <v>2049</v>
      </c>
      <c r="E118" s="25" t="s">
        <v>266</v>
      </c>
      <c r="F118" s="55"/>
      <c r="G118" s="26" t="s">
        <v>2173</v>
      </c>
      <c r="H118" s="3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2051</v>
      </c>
      <c r="C119" s="13" t="s">
        <v>338</v>
      </c>
      <c r="D119" s="10" t="s">
        <v>2052</v>
      </c>
      <c r="E119" s="25" t="s">
        <v>266</v>
      </c>
      <c r="F119" s="26"/>
      <c r="G119" s="26" t="s">
        <v>2174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2054</v>
      </c>
      <c r="C120" s="13" t="s">
        <v>338</v>
      </c>
      <c r="D120" s="10" t="s">
        <v>2055</v>
      </c>
      <c r="E120" s="25" t="s">
        <v>266</v>
      </c>
      <c r="F120" s="26"/>
      <c r="G120" s="26" t="s">
        <v>2175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2057</v>
      </c>
      <c r="C121" s="13" t="s">
        <v>338</v>
      </c>
      <c r="D121" s="10" t="s">
        <v>2058</v>
      </c>
      <c r="E121" s="25" t="s">
        <v>266</v>
      </c>
      <c r="F121" s="26"/>
      <c r="G121" s="26" t="s">
        <v>2176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2060</v>
      </c>
      <c r="C122" s="13" t="s">
        <v>338</v>
      </c>
      <c r="D122" s="10" t="s">
        <v>2061</v>
      </c>
      <c r="E122" s="25" t="s">
        <v>266</v>
      </c>
      <c r="F122" s="26"/>
      <c r="G122" s="26" t="s">
        <v>2177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2063</v>
      </c>
      <c r="C123" s="13" t="s">
        <v>338</v>
      </c>
      <c r="D123" s="10" t="s">
        <v>2064</v>
      </c>
      <c r="E123" s="25" t="s">
        <v>266</v>
      </c>
      <c r="F123" s="26"/>
      <c r="G123" s="26" t="s">
        <v>2178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2066</v>
      </c>
      <c r="C124" s="52" t="s">
        <v>666</v>
      </c>
      <c r="D124" s="10" t="s">
        <v>2067</v>
      </c>
      <c r="E124" s="25" t="s">
        <v>266</v>
      </c>
      <c r="F124" s="55"/>
      <c r="G124" s="26" t="s">
        <v>2179</v>
      </c>
      <c r="H124" s="37"/>
      <c r="I124" s="26"/>
      <c r="J124" s="15" t="s">
        <v>632</v>
      </c>
      <c r="K124" s="15" t="s">
        <v>404</v>
      </c>
      <c r="L124" s="15" t="s">
        <v>633</v>
      </c>
    </row>
    <row r="125" s="1" customFormat="1" spans="1:12">
      <c r="A125" s="33"/>
      <c r="B125" s="52" t="s">
        <v>2069</v>
      </c>
      <c r="C125" s="52" t="s">
        <v>338</v>
      </c>
      <c r="D125" s="54" t="s">
        <v>2070</v>
      </c>
      <c r="E125" s="25" t="s">
        <v>266</v>
      </c>
      <c r="F125" s="26"/>
      <c r="G125" s="26" t="s">
        <v>2180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2072</v>
      </c>
      <c r="C126" s="52" t="s">
        <v>338</v>
      </c>
      <c r="D126" s="54" t="s">
        <v>2073</v>
      </c>
      <c r="E126" s="25" t="s">
        <v>266</v>
      </c>
      <c r="F126" s="26"/>
      <c r="G126" s="26" t="s">
        <v>2181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2075</v>
      </c>
      <c r="C127" s="52" t="s">
        <v>338</v>
      </c>
      <c r="D127" s="54" t="s">
        <v>2076</v>
      </c>
      <c r="E127" s="25" t="s">
        <v>266</v>
      </c>
      <c r="F127" s="26"/>
      <c r="G127" s="26" t="s">
        <v>2182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2078</v>
      </c>
      <c r="C128" s="52" t="s">
        <v>338</v>
      </c>
      <c r="D128" s="54" t="s">
        <v>2079</v>
      </c>
      <c r="E128" s="25" t="s">
        <v>266</v>
      </c>
      <c r="F128" s="26"/>
      <c r="G128" s="26" t="s">
        <v>2183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2081</v>
      </c>
      <c r="C129" s="52" t="s">
        <v>338</v>
      </c>
      <c r="D129" s="54" t="s">
        <v>2082</v>
      </c>
      <c r="E129" s="25" t="s">
        <v>266</v>
      </c>
      <c r="F129" s="26"/>
      <c r="G129" s="26" t="s">
        <v>2184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2:12">
      <c r="B130" s="32" t="s">
        <v>2084</v>
      </c>
      <c r="C130" s="32" t="s">
        <v>338</v>
      </c>
      <c r="D130" s="10" t="s">
        <v>2085</v>
      </c>
      <c r="E130" s="25" t="s">
        <v>266</v>
      </c>
      <c r="F130" s="26"/>
      <c r="G130" s="26" t="s">
        <v>2185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2:12">
      <c r="B131" s="32" t="s">
        <v>1909</v>
      </c>
      <c r="C131" s="32" t="s">
        <v>338</v>
      </c>
      <c r="D131" s="10" t="s">
        <v>2087</v>
      </c>
      <c r="E131" s="25" t="s">
        <v>266</v>
      </c>
      <c r="F131" s="26"/>
      <c r="G131" s="26" t="s">
        <v>2088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2089</v>
      </c>
      <c r="C132" s="52" t="s">
        <v>666</v>
      </c>
      <c r="D132" s="54" t="s">
        <v>2090</v>
      </c>
      <c r="E132" s="25" t="s">
        <v>266</v>
      </c>
      <c r="F132" s="55"/>
      <c r="G132" s="26" t="s">
        <v>2186</v>
      </c>
      <c r="H132" s="37"/>
      <c r="I132" s="26"/>
      <c r="J132" s="15" t="s">
        <v>632</v>
      </c>
      <c r="K132" s="15" t="s">
        <v>669</v>
      </c>
      <c r="L132" s="15" t="s">
        <v>670</v>
      </c>
    </row>
    <row r="133" s="1" customFormat="1" spans="1:12">
      <c r="A133" s="33"/>
      <c r="B133" s="52" t="s">
        <v>2092</v>
      </c>
      <c r="C133" s="52" t="s">
        <v>338</v>
      </c>
      <c r="D133" s="54" t="s">
        <v>2093</v>
      </c>
      <c r="E133" s="25" t="s">
        <v>266</v>
      </c>
      <c r="F133" s="26"/>
      <c r="G133" s="26" t="s">
        <v>2187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2095</v>
      </c>
      <c r="C134" s="52" t="s">
        <v>338</v>
      </c>
      <c r="D134" s="54" t="s">
        <v>2096</v>
      </c>
      <c r="E134" s="25" t="s">
        <v>266</v>
      </c>
      <c r="F134" s="26"/>
      <c r="G134" s="26" t="s">
        <v>2188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2098</v>
      </c>
      <c r="C135" s="52" t="s">
        <v>338</v>
      </c>
      <c r="D135" s="54" t="s">
        <v>2099</v>
      </c>
      <c r="E135" s="25" t="s">
        <v>266</v>
      </c>
      <c r="F135" s="26"/>
      <c r="G135" s="26" t="s">
        <v>2189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2101</v>
      </c>
      <c r="C136" s="52" t="s">
        <v>338</v>
      </c>
      <c r="D136" s="54" t="s">
        <v>2102</v>
      </c>
      <c r="E136" s="25" t="s">
        <v>266</v>
      </c>
      <c r="F136" s="26"/>
      <c r="G136" s="26" t="s">
        <v>2190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2104</v>
      </c>
      <c r="C137" s="52" t="s">
        <v>338</v>
      </c>
      <c r="D137" s="54" t="s">
        <v>2105</v>
      </c>
      <c r="E137" s="25" t="s">
        <v>266</v>
      </c>
      <c r="F137" s="26"/>
      <c r="G137" s="26" t="s">
        <v>2191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2107</v>
      </c>
      <c r="C138" s="52" t="s">
        <v>338</v>
      </c>
      <c r="D138" s="10" t="s">
        <v>2108</v>
      </c>
      <c r="E138" s="25" t="s">
        <v>266</v>
      </c>
      <c r="F138" s="26"/>
      <c r="G138" s="26" t="s">
        <v>2192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1912</v>
      </c>
      <c r="C139" s="52" t="s">
        <v>338</v>
      </c>
      <c r="D139" s="10" t="s">
        <v>2110</v>
      </c>
      <c r="E139" s="25" t="s">
        <v>266</v>
      </c>
      <c r="F139" s="26"/>
      <c r="G139" s="26" t="s">
        <v>2111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2112</v>
      </c>
      <c r="C140" s="52" t="s">
        <v>666</v>
      </c>
      <c r="D140" s="54" t="s">
        <v>2113</v>
      </c>
      <c r="E140" s="25" t="s">
        <v>266</v>
      </c>
      <c r="F140" s="55"/>
      <c r="G140" s="26" t="s">
        <v>2193</v>
      </c>
      <c r="H140" s="37"/>
      <c r="I140" s="26"/>
      <c r="J140" s="15" t="s">
        <v>632</v>
      </c>
      <c r="K140" s="15" t="s">
        <v>669</v>
      </c>
      <c r="L140" s="15" t="s">
        <v>670</v>
      </c>
    </row>
    <row r="141" s="1" customFormat="1" spans="1:12">
      <c r="A141" s="33"/>
      <c r="B141" s="52" t="s">
        <v>2115</v>
      </c>
      <c r="C141" s="52" t="s">
        <v>338</v>
      </c>
      <c r="D141" s="54" t="s">
        <v>2116</v>
      </c>
      <c r="E141" s="25" t="s">
        <v>266</v>
      </c>
      <c r="F141" s="26"/>
      <c r="G141" s="26" t="s">
        <v>2194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2118</v>
      </c>
      <c r="C142" s="52" t="s">
        <v>338</v>
      </c>
      <c r="D142" s="54" t="s">
        <v>2119</v>
      </c>
      <c r="E142" s="25" t="s">
        <v>266</v>
      </c>
      <c r="F142" s="26"/>
      <c r="G142" s="26" t="s">
        <v>2195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2121</v>
      </c>
      <c r="C143" s="52" t="s">
        <v>338</v>
      </c>
      <c r="D143" s="54" t="s">
        <v>2122</v>
      </c>
      <c r="E143" s="25" t="s">
        <v>266</v>
      </c>
      <c r="F143" s="26"/>
      <c r="G143" s="26" t="s">
        <v>2196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2124</v>
      </c>
      <c r="C144" s="52" t="s">
        <v>338</v>
      </c>
      <c r="D144" s="54" t="s">
        <v>2125</v>
      </c>
      <c r="E144" s="25" t="s">
        <v>266</v>
      </c>
      <c r="F144" s="26"/>
      <c r="G144" s="26" t="s">
        <v>2197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2127</v>
      </c>
      <c r="C145" s="52" t="s">
        <v>338</v>
      </c>
      <c r="D145" s="54" t="s">
        <v>2128</v>
      </c>
      <c r="E145" s="25" t="s">
        <v>266</v>
      </c>
      <c r="F145" s="26"/>
      <c r="G145" s="26" t="s">
        <v>2198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2130</v>
      </c>
      <c r="C146" s="52" t="s">
        <v>338</v>
      </c>
      <c r="D146" s="54" t="s">
        <v>2131</v>
      </c>
      <c r="E146" s="25" t="s">
        <v>266</v>
      </c>
      <c r="F146" s="55"/>
      <c r="G146" s="26" t="s">
        <v>2199</v>
      </c>
      <c r="H146" s="2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52" t="s">
        <v>2133</v>
      </c>
      <c r="C147" s="52" t="s">
        <v>338</v>
      </c>
      <c r="D147" s="54" t="s">
        <v>2134</v>
      </c>
      <c r="E147" s="25" t="s">
        <v>266</v>
      </c>
      <c r="F147" s="55"/>
      <c r="G147" s="26" t="s">
        <v>2200</v>
      </c>
      <c r="H147" s="27"/>
      <c r="I147" s="26"/>
      <c r="J147" s="15" t="s">
        <v>632</v>
      </c>
      <c r="K147" s="15" t="s">
        <v>669</v>
      </c>
      <c r="L147" s="15" t="s">
        <v>633</v>
      </c>
    </row>
    <row r="148" s="1" customFormat="1" spans="1:12">
      <c r="A148" s="33"/>
      <c r="B148" s="13" t="s">
        <v>887</v>
      </c>
      <c r="C148" s="13" t="s">
        <v>338</v>
      </c>
      <c r="D148" s="10" t="s">
        <v>888</v>
      </c>
      <c r="E148" s="25" t="s">
        <v>266</v>
      </c>
      <c r="F148" s="26"/>
      <c r="G148" s="26" t="s">
        <v>1013</v>
      </c>
      <c r="H148" s="37"/>
      <c r="I148" s="26"/>
      <c r="J148" s="15" t="s">
        <v>632</v>
      </c>
      <c r="K148" s="15" t="s">
        <v>294</v>
      </c>
      <c r="L148" s="15" t="s">
        <v>633</v>
      </c>
    </row>
    <row r="149" s="1" customFormat="1" spans="1:12">
      <c r="A149" s="33"/>
      <c r="B149" s="13" t="s">
        <v>926</v>
      </c>
      <c r="C149" s="13" t="s">
        <v>291</v>
      </c>
      <c r="D149" s="10" t="s">
        <v>927</v>
      </c>
      <c r="E149" s="25" t="s">
        <v>266</v>
      </c>
      <c r="F149" s="35"/>
      <c r="G149" s="35" t="s">
        <v>1026</v>
      </c>
      <c r="H149" s="37"/>
      <c r="I149" s="56">
        <v>20250415101139</v>
      </c>
      <c r="J149" s="15" t="s">
        <v>632</v>
      </c>
      <c r="K149" s="15" t="s">
        <v>294</v>
      </c>
      <c r="L149" s="15" t="s">
        <v>670</v>
      </c>
    </row>
    <row r="150" s="1" customFormat="1" spans="1:12">
      <c r="A150" s="33"/>
      <c r="B150" s="13" t="s">
        <v>929</v>
      </c>
      <c r="C150" s="13" t="s">
        <v>291</v>
      </c>
      <c r="D150" s="10" t="s">
        <v>930</v>
      </c>
      <c r="E150" s="25" t="s">
        <v>266</v>
      </c>
      <c r="F150" s="35"/>
      <c r="G150" s="35" t="s">
        <v>1027</v>
      </c>
      <c r="H150" s="37"/>
      <c r="I150" s="56">
        <v>20250415101024</v>
      </c>
      <c r="J150" s="15" t="s">
        <v>632</v>
      </c>
      <c r="K150" s="15" t="s">
        <v>294</v>
      </c>
      <c r="L150" s="15" t="s">
        <v>670</v>
      </c>
    </row>
    <row r="151" s="2" customFormat="1" spans="2:14">
      <c r="B151" s="17" t="s">
        <v>594</v>
      </c>
      <c r="C151" s="18" t="s">
        <v>307</v>
      </c>
      <c r="D151" s="19" t="s">
        <v>595</v>
      </c>
      <c r="E151" s="28"/>
      <c r="F151" s="28"/>
      <c r="G151" s="28"/>
      <c r="H151" s="17"/>
      <c r="I151" s="17"/>
      <c r="J151" s="17"/>
      <c r="K151" s="17"/>
      <c r="L151" s="17"/>
      <c r="M151" s="17"/>
      <c r="N151" s="17"/>
    </row>
    <row r="152" s="2" customFormat="1" spans="2:14">
      <c r="B152" s="17" t="s">
        <v>596</v>
      </c>
      <c r="C152" s="18" t="s">
        <v>291</v>
      </c>
      <c r="D152" s="19" t="s">
        <v>597</v>
      </c>
      <c r="E152" s="28"/>
      <c r="F152" s="28"/>
      <c r="G152" s="28"/>
      <c r="H152" s="17"/>
      <c r="I152" s="17"/>
      <c r="J152" s="17"/>
      <c r="K152" s="17"/>
      <c r="L152" s="17"/>
      <c r="M152" s="17"/>
      <c r="N152" s="17"/>
    </row>
    <row r="153" s="2" customFormat="1" spans="2:14">
      <c r="B153" s="17" t="s">
        <v>598</v>
      </c>
      <c r="C153" s="18" t="s">
        <v>307</v>
      </c>
      <c r="D153" s="19" t="s">
        <v>599</v>
      </c>
      <c r="E153" s="28"/>
      <c r="F153" s="28"/>
      <c r="G153" s="28"/>
      <c r="H153" s="17"/>
      <c r="I153" s="17"/>
      <c r="J153" s="17"/>
      <c r="K153" s="17"/>
      <c r="L153" s="17"/>
      <c r="M153" s="17"/>
      <c r="N153" s="17"/>
    </row>
  </sheetData>
  <autoFilter xmlns:etc="http://www.wps.cn/officeDocument/2017/etCustomData" ref="A13:N153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zoomScale="85" zoomScaleNormal="85" workbookViewId="0">
      <pane ySplit="5" topLeftCell="A6" activePane="bottomLeft" state="frozen"/>
      <selection/>
      <selection pane="bottomLeft" activeCell="D19" sqref="D19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218</v>
      </c>
      <c r="D5" s="14" t="s">
        <v>219</v>
      </c>
      <c r="E5" s="13" t="s">
        <v>602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216</v>
      </c>
      <c r="D9" s="14" t="s">
        <v>217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290</v>
      </c>
      <c r="C15" s="32" t="s">
        <v>307</v>
      </c>
      <c r="D15" s="10" t="s">
        <v>609</v>
      </c>
      <c r="E15" s="25" t="s">
        <v>266</v>
      </c>
      <c r="F15" s="26" t="s">
        <v>290</v>
      </c>
      <c r="G15" s="26" t="s">
        <v>293</v>
      </c>
      <c r="H15" s="25"/>
      <c r="I15" s="30"/>
      <c r="J15" s="15" t="s">
        <v>604</v>
      </c>
      <c r="K15" s="15" t="s">
        <v>294</v>
      </c>
      <c r="L15" s="15" t="s">
        <v>610</v>
      </c>
    </row>
    <row r="16" s="1" customFormat="1" spans="1:12">
      <c r="A16" s="33"/>
      <c r="B16" s="32" t="s">
        <v>327</v>
      </c>
      <c r="C16" s="32" t="s">
        <v>307</v>
      </c>
      <c r="D16" s="10" t="s">
        <v>611</v>
      </c>
      <c r="E16" s="25" t="s">
        <v>266</v>
      </c>
      <c r="F16" s="26" t="s">
        <v>327</v>
      </c>
      <c r="G16" s="26" t="s">
        <v>293</v>
      </c>
      <c r="H16" s="25"/>
      <c r="I16" s="30"/>
      <c r="J16" s="15" t="s">
        <v>604</v>
      </c>
      <c r="K16" s="15" t="s">
        <v>294</v>
      </c>
      <c r="L16" s="15" t="s">
        <v>612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32" t="s">
        <v>517</v>
      </c>
      <c r="C18" s="32" t="s">
        <v>307</v>
      </c>
      <c r="D18" s="10" t="s">
        <v>616</v>
      </c>
      <c r="E18" s="25" t="s">
        <v>266</v>
      </c>
      <c r="F18" s="26" t="s">
        <v>517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520</v>
      </c>
      <c r="C19" s="32" t="s">
        <v>307</v>
      </c>
      <c r="D19" s="10" t="s">
        <v>617</v>
      </c>
      <c r="E19" s="25" t="s">
        <v>266</v>
      </c>
      <c r="F19" s="26" t="s">
        <v>520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266</v>
      </c>
      <c r="F20" s="26" t="s">
        <v>522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524</v>
      </c>
      <c r="C21" s="32" t="s">
        <v>291</v>
      </c>
      <c r="D21" s="10" t="s">
        <v>525</v>
      </c>
      <c r="E21" s="25" t="s">
        <v>266</v>
      </c>
      <c r="F21" s="26" t="s">
        <v>524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526</v>
      </c>
      <c r="C22" s="32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295</v>
      </c>
      <c r="C23" s="13" t="s">
        <v>291</v>
      </c>
      <c r="D23" s="10" t="s">
        <v>618</v>
      </c>
      <c r="E23" s="25" t="s">
        <v>266</v>
      </c>
      <c r="F23" s="26" t="s">
        <v>295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297</v>
      </c>
      <c r="C24" s="13" t="s">
        <v>291</v>
      </c>
      <c r="D24" s="10" t="s">
        <v>298</v>
      </c>
      <c r="E24" s="25" t="s">
        <v>266</v>
      </c>
      <c r="F24" s="26" t="s">
        <v>297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300</v>
      </c>
      <c r="C25" s="13" t="s">
        <v>291</v>
      </c>
      <c r="D25" s="10" t="s">
        <v>619</v>
      </c>
      <c r="E25" s="25" t="s">
        <v>266</v>
      </c>
      <c r="F25" s="26" t="s">
        <v>300</v>
      </c>
      <c r="G25" s="26" t="s">
        <v>293</v>
      </c>
      <c r="H25" s="25"/>
      <c r="I25" s="30"/>
      <c r="J25" s="15" t="s">
        <v>604</v>
      </c>
      <c r="K25" s="15" t="s">
        <v>294</v>
      </c>
      <c r="L25" s="15" t="s">
        <v>294</v>
      </c>
    </row>
    <row r="26" s="33" customFormat="1" spans="2:12">
      <c r="B26" s="32" t="s">
        <v>378</v>
      </c>
      <c r="C26" s="13" t="s">
        <v>291</v>
      </c>
      <c r="D26" s="10" t="s">
        <v>624</v>
      </c>
      <c r="E26" s="25" t="s">
        <v>266</v>
      </c>
      <c r="F26" s="26" t="s">
        <v>378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615</v>
      </c>
    </row>
    <row r="27" s="1" customFormat="1" spans="1:12">
      <c r="A27" s="33"/>
      <c r="B27" s="13" t="s">
        <v>629</v>
      </c>
      <c r="C27" s="13" t="s">
        <v>338</v>
      </c>
      <c r="D27" s="10" t="s">
        <v>630</v>
      </c>
      <c r="E27" s="25" t="s">
        <v>266</v>
      </c>
      <c r="F27" s="26"/>
      <c r="G27" s="26" t="s">
        <v>933</v>
      </c>
      <c r="H27" s="37"/>
      <c r="I27" s="26"/>
      <c r="J27" s="15" t="s">
        <v>632</v>
      </c>
      <c r="K27" s="15" t="s">
        <v>294</v>
      </c>
      <c r="L27" s="15" t="s">
        <v>633</v>
      </c>
    </row>
    <row r="28" s="1" customFormat="1" spans="1:12">
      <c r="A28" s="33"/>
      <c r="B28" s="13" t="s">
        <v>1270</v>
      </c>
      <c r="C28" s="13" t="s">
        <v>338</v>
      </c>
      <c r="D28" s="10" t="s">
        <v>1271</v>
      </c>
      <c r="E28" s="25" t="s">
        <v>266</v>
      </c>
      <c r="F28" s="26"/>
      <c r="G28" s="26" t="s">
        <v>1272</v>
      </c>
      <c r="H28" s="37"/>
      <c r="I28" s="26"/>
      <c r="J28" s="15" t="s">
        <v>632</v>
      </c>
      <c r="K28" s="15" t="s">
        <v>294</v>
      </c>
      <c r="L28" s="15" t="s">
        <v>633</v>
      </c>
    </row>
    <row r="29" s="1" customFormat="1" spans="1:12">
      <c r="A29" s="33"/>
      <c r="B29" s="13" t="s">
        <v>637</v>
      </c>
      <c r="C29" s="13" t="s">
        <v>338</v>
      </c>
      <c r="D29" s="10" t="s">
        <v>638</v>
      </c>
      <c r="E29" s="25" t="s">
        <v>266</v>
      </c>
      <c r="F29" s="26"/>
      <c r="G29" s="26" t="s">
        <v>935</v>
      </c>
      <c r="H29" s="37"/>
      <c r="I29" s="26"/>
      <c r="J29" s="15" t="s">
        <v>632</v>
      </c>
      <c r="K29" s="15" t="s">
        <v>294</v>
      </c>
      <c r="L29" s="15" t="s">
        <v>633</v>
      </c>
    </row>
    <row r="30" s="1" customFormat="1" spans="1:12">
      <c r="A30" s="33"/>
      <c r="B30" s="32" t="s">
        <v>1273</v>
      </c>
      <c r="C30" s="32" t="s">
        <v>338</v>
      </c>
      <c r="D30" s="10" t="s">
        <v>640</v>
      </c>
      <c r="E30" s="25" t="s">
        <v>266</v>
      </c>
      <c r="F30" s="26"/>
      <c r="G30" s="26" t="s">
        <v>641</v>
      </c>
      <c r="H30" s="3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1044</v>
      </c>
      <c r="C31" s="13" t="s">
        <v>338</v>
      </c>
      <c r="D31" s="10" t="s">
        <v>642</v>
      </c>
      <c r="E31" s="25" t="s">
        <v>266</v>
      </c>
      <c r="F31" s="26"/>
      <c r="G31" s="26" t="s">
        <v>643</v>
      </c>
      <c r="H31" s="37"/>
      <c r="I31" s="26"/>
      <c r="J31" s="15" t="s">
        <v>632</v>
      </c>
      <c r="K31" s="15" t="s">
        <v>644</v>
      </c>
      <c r="L31" s="15" t="s">
        <v>633</v>
      </c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266</v>
      </c>
      <c r="F32" s="26"/>
      <c r="G32" s="26" t="s">
        <v>646</v>
      </c>
      <c r="H32" s="37"/>
      <c r="I32" s="26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647</v>
      </c>
      <c r="C33" s="13" t="s">
        <v>338</v>
      </c>
      <c r="D33" s="10" t="s">
        <v>648</v>
      </c>
      <c r="E33" s="25" t="s">
        <v>266</v>
      </c>
      <c r="F33" s="26"/>
      <c r="G33" s="26" t="s">
        <v>936</v>
      </c>
      <c r="H33" s="37"/>
      <c r="I33" s="26"/>
      <c r="J33" s="15" t="s">
        <v>632</v>
      </c>
      <c r="K33" s="15" t="s">
        <v>644</v>
      </c>
      <c r="L33" s="15" t="s">
        <v>633</v>
      </c>
    </row>
    <row r="34" s="1" customFormat="1" spans="1:12">
      <c r="A34" s="33"/>
      <c r="B34" s="13" t="s">
        <v>650</v>
      </c>
      <c r="C34" s="13" t="s">
        <v>338</v>
      </c>
      <c r="D34" s="10" t="s">
        <v>651</v>
      </c>
      <c r="E34" s="25" t="s">
        <v>266</v>
      </c>
      <c r="F34" s="26"/>
      <c r="G34" s="26" t="s">
        <v>937</v>
      </c>
      <c r="H34" s="37"/>
      <c r="I34" s="26"/>
      <c r="J34" s="15" t="s">
        <v>632</v>
      </c>
      <c r="K34" s="15" t="s">
        <v>294</v>
      </c>
      <c r="L34" s="15" t="s">
        <v>633</v>
      </c>
    </row>
    <row r="35" s="1" customFormat="1" spans="1:12">
      <c r="A35" s="33"/>
      <c r="B35" s="13" t="s">
        <v>656</v>
      </c>
      <c r="C35" s="13" t="s">
        <v>338</v>
      </c>
      <c r="D35" s="10" t="s">
        <v>657</v>
      </c>
      <c r="E35" s="25" t="s">
        <v>266</v>
      </c>
      <c r="F35" s="26"/>
      <c r="G35" s="26" t="s">
        <v>939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659</v>
      </c>
      <c r="C36" s="13" t="s">
        <v>338</v>
      </c>
      <c r="D36" s="10" t="s">
        <v>660</v>
      </c>
      <c r="E36" s="25" t="s">
        <v>266</v>
      </c>
      <c r="F36" s="26"/>
      <c r="G36" s="26" t="s">
        <v>940</v>
      </c>
      <c r="H36" s="37"/>
      <c r="I36" s="26"/>
      <c r="J36" s="15" t="s">
        <v>632</v>
      </c>
      <c r="K36" s="15" t="s">
        <v>294</v>
      </c>
      <c r="L36" s="15" t="s">
        <v>633</v>
      </c>
    </row>
    <row r="37" s="1" customFormat="1" spans="1:12">
      <c r="A37" s="33"/>
      <c r="B37" s="13" t="s">
        <v>1055</v>
      </c>
      <c r="C37" s="13" t="s">
        <v>338</v>
      </c>
      <c r="D37" s="10" t="s">
        <v>693</v>
      </c>
      <c r="E37" s="25" t="s">
        <v>266</v>
      </c>
      <c r="F37" s="26"/>
      <c r="G37" s="26" t="s">
        <v>694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1054</v>
      </c>
      <c r="C38" s="13" t="s">
        <v>338</v>
      </c>
      <c r="D38" s="10" t="s">
        <v>695</v>
      </c>
      <c r="E38" s="25" t="s">
        <v>266</v>
      </c>
      <c r="F38" s="26"/>
      <c r="G38" s="26" t="s">
        <v>696</v>
      </c>
      <c r="H38" s="37"/>
      <c r="I38" s="26"/>
      <c r="J38" s="15" t="s">
        <v>632</v>
      </c>
      <c r="K38" s="15" t="s">
        <v>294</v>
      </c>
      <c r="L38" s="15" t="s">
        <v>633</v>
      </c>
    </row>
    <row r="39" s="1" customFormat="1" spans="1:12">
      <c r="A39" s="33"/>
      <c r="B39" s="13" t="s">
        <v>1056</v>
      </c>
      <c r="C39" s="13" t="s">
        <v>338</v>
      </c>
      <c r="D39" s="10" t="s">
        <v>697</v>
      </c>
      <c r="E39" s="25" t="s">
        <v>266</v>
      </c>
      <c r="F39" s="26"/>
      <c r="G39" s="26" t="s">
        <v>698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1057</v>
      </c>
      <c r="C40" s="13" t="s">
        <v>338</v>
      </c>
      <c r="D40" s="10" t="s">
        <v>699</v>
      </c>
      <c r="E40" s="25" t="s">
        <v>266</v>
      </c>
      <c r="F40" s="26"/>
      <c r="G40" s="26" t="s">
        <v>700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1274</v>
      </c>
      <c r="C41" s="13" t="s">
        <v>338</v>
      </c>
      <c r="D41" s="10" t="s">
        <v>702</v>
      </c>
      <c r="E41" s="25" t="s">
        <v>266</v>
      </c>
      <c r="F41" s="26"/>
      <c r="G41" s="26" t="s">
        <v>950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1275</v>
      </c>
      <c r="C42" s="13" t="s">
        <v>338</v>
      </c>
      <c r="D42" s="10" t="s">
        <v>705</v>
      </c>
      <c r="E42" s="25" t="s">
        <v>266</v>
      </c>
      <c r="F42" s="26"/>
      <c r="G42" s="26" t="s">
        <v>951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707</v>
      </c>
      <c r="C43" s="13" t="s">
        <v>338</v>
      </c>
      <c r="D43" s="10" t="s">
        <v>708</v>
      </c>
      <c r="E43" s="25" t="s">
        <v>266</v>
      </c>
      <c r="F43" s="26"/>
      <c r="G43" s="26" t="s">
        <v>952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710</v>
      </c>
      <c r="C44" s="13" t="s">
        <v>338</v>
      </c>
      <c r="D44" s="10" t="s">
        <v>711</v>
      </c>
      <c r="E44" s="25" t="s">
        <v>266</v>
      </c>
      <c r="F44" s="26"/>
      <c r="G44" s="26" t="s">
        <v>953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713</v>
      </c>
      <c r="C45" s="13" t="s">
        <v>338</v>
      </c>
      <c r="D45" s="10" t="s">
        <v>714</v>
      </c>
      <c r="E45" s="25" t="s">
        <v>266</v>
      </c>
      <c r="F45" s="26"/>
      <c r="G45" s="26" t="s">
        <v>954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716</v>
      </c>
      <c r="C46" s="13" t="s">
        <v>338</v>
      </c>
      <c r="D46" s="10" t="s">
        <v>717</v>
      </c>
      <c r="E46" s="25" t="s">
        <v>266</v>
      </c>
      <c r="F46" s="26"/>
      <c r="G46" s="26" t="s">
        <v>955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1064</v>
      </c>
      <c r="C47" s="13" t="s">
        <v>338</v>
      </c>
      <c r="D47" s="10" t="s">
        <v>719</v>
      </c>
      <c r="E47" s="25" t="s">
        <v>266</v>
      </c>
      <c r="F47" s="26"/>
      <c r="G47" s="26" t="s">
        <v>720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1066</v>
      </c>
      <c r="C48" s="13" t="s">
        <v>338</v>
      </c>
      <c r="D48" s="10" t="s">
        <v>721</v>
      </c>
      <c r="E48" s="25" t="s">
        <v>266</v>
      </c>
      <c r="F48" s="26"/>
      <c r="G48" s="26" t="s">
        <v>722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2203</v>
      </c>
      <c r="C49" s="13" t="s">
        <v>338</v>
      </c>
      <c r="D49" s="10" t="s">
        <v>1917</v>
      </c>
      <c r="E49" s="25" t="s">
        <v>266</v>
      </c>
      <c r="F49" s="26"/>
      <c r="G49" s="26" t="s">
        <v>2136</v>
      </c>
      <c r="H49" s="37"/>
      <c r="I49" s="26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2204</v>
      </c>
      <c r="C50" s="13" t="s">
        <v>338</v>
      </c>
      <c r="D50" s="10" t="s">
        <v>1920</v>
      </c>
      <c r="E50" s="25" t="s">
        <v>266</v>
      </c>
      <c r="F50" s="26"/>
      <c r="G50" s="26" t="s">
        <v>2137</v>
      </c>
      <c r="H50" s="37"/>
      <c r="I50" s="26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1922</v>
      </c>
      <c r="C51" s="13" t="s">
        <v>338</v>
      </c>
      <c r="D51" s="10" t="s">
        <v>1923</v>
      </c>
      <c r="E51" s="25" t="s">
        <v>266</v>
      </c>
      <c r="F51" s="26"/>
      <c r="G51" s="26" t="s">
        <v>2138</v>
      </c>
      <c r="H51" s="37"/>
      <c r="I51" s="26"/>
      <c r="J51" s="15" t="s">
        <v>632</v>
      </c>
      <c r="K51" s="15" t="s">
        <v>404</v>
      </c>
      <c r="L51" s="15" t="s">
        <v>633</v>
      </c>
    </row>
    <row r="52" s="1" customFormat="1" spans="1:12">
      <c r="A52" s="33"/>
      <c r="B52" s="13" t="s">
        <v>1925</v>
      </c>
      <c r="C52" s="13" t="s">
        <v>338</v>
      </c>
      <c r="D52" s="10" t="s">
        <v>1926</v>
      </c>
      <c r="E52" s="25" t="s">
        <v>266</v>
      </c>
      <c r="F52" s="26"/>
      <c r="G52" s="26" t="s">
        <v>2139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1928</v>
      </c>
      <c r="C53" s="13" t="s">
        <v>338</v>
      </c>
      <c r="D53" s="10" t="s">
        <v>1929</v>
      </c>
      <c r="E53" s="25" t="s">
        <v>266</v>
      </c>
      <c r="F53" s="26"/>
      <c r="G53" s="26" t="s">
        <v>2140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1931</v>
      </c>
      <c r="C54" s="13" t="s">
        <v>338</v>
      </c>
      <c r="D54" s="10" t="s">
        <v>1932</v>
      </c>
      <c r="E54" s="25" t="s">
        <v>266</v>
      </c>
      <c r="F54" s="26"/>
      <c r="G54" s="26" t="s">
        <v>2141</v>
      </c>
      <c r="H54" s="37"/>
      <c r="I54" s="26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1934</v>
      </c>
      <c r="C55" s="13" t="s">
        <v>338</v>
      </c>
      <c r="D55" s="10" t="s">
        <v>1935</v>
      </c>
      <c r="E55" s="25" t="s">
        <v>266</v>
      </c>
      <c r="F55" s="26"/>
      <c r="G55" s="26" t="s">
        <v>2142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1937</v>
      </c>
      <c r="C56" s="13" t="s">
        <v>338</v>
      </c>
      <c r="D56" s="10" t="s">
        <v>1938</v>
      </c>
      <c r="E56" s="25" t="s">
        <v>266</v>
      </c>
      <c r="F56" s="26"/>
      <c r="G56" s="26" t="s">
        <v>2143</v>
      </c>
      <c r="H56" s="37"/>
      <c r="I56" s="26"/>
      <c r="J56" s="15" t="s">
        <v>632</v>
      </c>
      <c r="K56" s="15" t="s">
        <v>644</v>
      </c>
      <c r="L56" s="15" t="s">
        <v>633</v>
      </c>
    </row>
    <row r="57" s="1" customFormat="1" spans="1:12">
      <c r="A57" s="33"/>
      <c r="B57" s="13" t="s">
        <v>1940</v>
      </c>
      <c r="C57" s="13" t="s">
        <v>338</v>
      </c>
      <c r="D57" s="10" t="s">
        <v>1941</v>
      </c>
      <c r="E57" s="25" t="s">
        <v>266</v>
      </c>
      <c r="F57" s="26"/>
      <c r="G57" s="26" t="s">
        <v>2144</v>
      </c>
      <c r="H57" s="37"/>
      <c r="I57" s="26"/>
      <c r="J57" s="15" t="s">
        <v>632</v>
      </c>
      <c r="K57" s="15" t="s">
        <v>404</v>
      </c>
      <c r="L57" s="15" t="s">
        <v>633</v>
      </c>
    </row>
    <row r="58" s="1" customFormat="1" spans="1:12">
      <c r="A58" s="33"/>
      <c r="B58" s="13" t="s">
        <v>1870</v>
      </c>
      <c r="C58" s="13" t="s">
        <v>338</v>
      </c>
      <c r="D58" s="10" t="s">
        <v>1943</v>
      </c>
      <c r="E58" s="25" t="s">
        <v>266</v>
      </c>
      <c r="F58" s="26"/>
      <c r="G58" s="26" t="s">
        <v>1944</v>
      </c>
      <c r="H58" s="37"/>
      <c r="I58" s="26"/>
      <c r="J58" s="15" t="s">
        <v>632</v>
      </c>
      <c r="K58" s="15" t="s">
        <v>644</v>
      </c>
      <c r="L58" s="15" t="s">
        <v>633</v>
      </c>
    </row>
    <row r="59" s="1" customFormat="1" spans="1:12">
      <c r="A59" s="33"/>
      <c r="B59" s="13" t="s">
        <v>1945</v>
      </c>
      <c r="C59" s="52" t="s">
        <v>666</v>
      </c>
      <c r="D59" s="10" t="s">
        <v>1946</v>
      </c>
      <c r="E59" s="25" t="s">
        <v>266</v>
      </c>
      <c r="F59" s="26"/>
      <c r="G59" s="26" t="s">
        <v>2145</v>
      </c>
      <c r="H59" s="37"/>
      <c r="I59" s="26"/>
      <c r="J59" s="15" t="s">
        <v>632</v>
      </c>
      <c r="K59" s="15" t="s">
        <v>404</v>
      </c>
      <c r="L59" s="15" t="s">
        <v>633</v>
      </c>
    </row>
    <row r="60" s="1" customFormat="1" spans="1:12">
      <c r="A60" s="33"/>
      <c r="B60" s="13" t="s">
        <v>1948</v>
      </c>
      <c r="C60" s="52" t="s">
        <v>666</v>
      </c>
      <c r="D60" s="10" t="s">
        <v>1949</v>
      </c>
      <c r="E60" s="25" t="s">
        <v>266</v>
      </c>
      <c r="F60" s="26"/>
      <c r="G60" s="26" t="s">
        <v>2146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728</v>
      </c>
      <c r="C61" s="13" t="s">
        <v>338</v>
      </c>
      <c r="D61" s="10" t="s">
        <v>729</v>
      </c>
      <c r="E61" s="25" t="s">
        <v>266</v>
      </c>
      <c r="F61" s="26"/>
      <c r="G61" s="26" t="s">
        <v>956</v>
      </c>
      <c r="H61" s="37"/>
      <c r="I61" s="26"/>
      <c r="J61" s="15" t="s">
        <v>632</v>
      </c>
      <c r="K61" s="15" t="s">
        <v>294</v>
      </c>
      <c r="L61" s="15" t="s">
        <v>633</v>
      </c>
    </row>
    <row r="62" s="1" customFormat="1" spans="1:12">
      <c r="A62" s="33"/>
      <c r="B62" s="13" t="s">
        <v>730</v>
      </c>
      <c r="C62" s="13" t="s">
        <v>666</v>
      </c>
      <c r="D62" s="10" t="s">
        <v>731</v>
      </c>
      <c r="E62" s="25" t="s">
        <v>266</v>
      </c>
      <c r="F62" s="55"/>
      <c r="G62" s="26" t="s">
        <v>957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1091</v>
      </c>
      <c r="C63" s="13" t="s">
        <v>338</v>
      </c>
      <c r="D63" s="10" t="s">
        <v>734</v>
      </c>
      <c r="E63" s="25" t="s">
        <v>266</v>
      </c>
      <c r="F63" s="26"/>
      <c r="G63" s="26" t="s">
        <v>958</v>
      </c>
      <c r="H63" s="37"/>
      <c r="I63" s="26"/>
      <c r="J63" s="15" t="s">
        <v>632</v>
      </c>
      <c r="K63" s="15" t="s">
        <v>294</v>
      </c>
      <c r="L63" s="15" t="s">
        <v>633</v>
      </c>
    </row>
    <row r="64" s="1" customFormat="1" spans="1:12">
      <c r="A64" s="33"/>
      <c r="B64" s="13" t="s">
        <v>1093</v>
      </c>
      <c r="C64" s="13" t="s">
        <v>338</v>
      </c>
      <c r="D64" s="10" t="s">
        <v>737</v>
      </c>
      <c r="E64" s="25" t="s">
        <v>266</v>
      </c>
      <c r="F64" s="26"/>
      <c r="G64" s="26" t="s">
        <v>959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1095</v>
      </c>
      <c r="C65" s="13" t="s">
        <v>338</v>
      </c>
      <c r="D65" s="10" t="s">
        <v>740</v>
      </c>
      <c r="E65" s="25" t="s">
        <v>266</v>
      </c>
      <c r="F65" s="26"/>
      <c r="G65" s="26" t="s">
        <v>960</v>
      </c>
      <c r="H65" s="37"/>
      <c r="I65" s="26"/>
      <c r="J65" s="15" t="s">
        <v>632</v>
      </c>
      <c r="K65" s="15" t="s">
        <v>294</v>
      </c>
      <c r="L65" s="15" t="s">
        <v>633</v>
      </c>
    </row>
    <row r="66" s="1" customFormat="1" spans="1:12">
      <c r="A66" s="33"/>
      <c r="B66" s="13" t="s">
        <v>1097</v>
      </c>
      <c r="C66" s="13" t="s">
        <v>338</v>
      </c>
      <c r="D66" s="10" t="s">
        <v>743</v>
      </c>
      <c r="E66" s="25" t="s">
        <v>266</v>
      </c>
      <c r="F66" s="26"/>
      <c r="G66" s="26" t="s">
        <v>961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1099</v>
      </c>
      <c r="C67" s="13" t="s">
        <v>338</v>
      </c>
      <c r="D67" s="10" t="s">
        <v>746</v>
      </c>
      <c r="E67" s="25" t="s">
        <v>266</v>
      </c>
      <c r="F67" s="26"/>
      <c r="G67" s="26" t="s">
        <v>962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748</v>
      </c>
      <c r="C68" s="13" t="s">
        <v>338</v>
      </c>
      <c r="D68" s="10" t="s">
        <v>749</v>
      </c>
      <c r="E68" s="25" t="s">
        <v>266</v>
      </c>
      <c r="F68" s="26"/>
      <c r="G68" s="26" t="s">
        <v>963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751</v>
      </c>
      <c r="C69" s="13" t="s">
        <v>666</v>
      </c>
      <c r="D69" s="10" t="s">
        <v>752</v>
      </c>
      <c r="E69" s="25" t="s">
        <v>266</v>
      </c>
      <c r="F69" s="55"/>
      <c r="G69" s="26" t="s">
        <v>964</v>
      </c>
      <c r="H69" s="37"/>
      <c r="I69" s="26"/>
      <c r="J69" s="15" t="s">
        <v>632</v>
      </c>
      <c r="K69" s="15" t="s">
        <v>404</v>
      </c>
      <c r="L69" s="15" t="s">
        <v>633</v>
      </c>
    </row>
    <row r="70" s="1" customFormat="1" spans="1:12">
      <c r="A70" s="33"/>
      <c r="B70" s="13" t="s">
        <v>1104</v>
      </c>
      <c r="C70" s="13" t="s">
        <v>338</v>
      </c>
      <c r="D70" s="10" t="s">
        <v>755</v>
      </c>
      <c r="E70" s="25" t="s">
        <v>266</v>
      </c>
      <c r="F70" s="26"/>
      <c r="G70" s="26" t="s">
        <v>965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1106</v>
      </c>
      <c r="C71" s="13" t="s">
        <v>338</v>
      </c>
      <c r="D71" s="10" t="s">
        <v>758</v>
      </c>
      <c r="E71" s="25" t="s">
        <v>266</v>
      </c>
      <c r="F71" s="26"/>
      <c r="G71" s="26" t="s">
        <v>966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1108</v>
      </c>
      <c r="C72" s="13" t="s">
        <v>338</v>
      </c>
      <c r="D72" s="10" t="s">
        <v>761</v>
      </c>
      <c r="E72" s="25" t="s">
        <v>266</v>
      </c>
      <c r="F72" s="26"/>
      <c r="G72" s="26" t="s">
        <v>967</v>
      </c>
      <c r="H72" s="37"/>
      <c r="I72" s="26"/>
      <c r="J72" s="15" t="s">
        <v>632</v>
      </c>
      <c r="K72" s="15" t="s">
        <v>294</v>
      </c>
      <c r="L72" s="15" t="s">
        <v>633</v>
      </c>
    </row>
    <row r="73" s="1" customFormat="1" spans="1:12">
      <c r="A73" s="33"/>
      <c r="B73" s="13" t="s">
        <v>1110</v>
      </c>
      <c r="C73" s="13" t="s">
        <v>338</v>
      </c>
      <c r="D73" s="10" t="s">
        <v>764</v>
      </c>
      <c r="E73" s="25" t="s">
        <v>266</v>
      </c>
      <c r="F73" s="26"/>
      <c r="G73" s="26" t="s">
        <v>968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1112</v>
      </c>
      <c r="C74" s="13" t="s">
        <v>338</v>
      </c>
      <c r="D74" s="10" t="s">
        <v>767</v>
      </c>
      <c r="E74" s="25" t="s">
        <v>266</v>
      </c>
      <c r="F74" s="26"/>
      <c r="G74" s="26" t="s">
        <v>969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769</v>
      </c>
      <c r="C75" s="13" t="s">
        <v>666</v>
      </c>
      <c r="D75" s="10" t="s">
        <v>770</v>
      </c>
      <c r="E75" s="25" t="s">
        <v>266</v>
      </c>
      <c r="F75" s="26"/>
      <c r="G75" s="26" t="s">
        <v>970</v>
      </c>
      <c r="H75" s="37"/>
      <c r="I75" s="26"/>
      <c r="J75" s="15" t="s">
        <v>632</v>
      </c>
      <c r="K75" s="15" t="s">
        <v>404</v>
      </c>
      <c r="L75" s="15" t="s">
        <v>633</v>
      </c>
    </row>
    <row r="76" s="1" customFormat="1" spans="1:12">
      <c r="A76" s="33"/>
      <c r="B76" s="13" t="s">
        <v>772</v>
      </c>
      <c r="C76" s="13" t="s">
        <v>666</v>
      </c>
      <c r="D76" s="10" t="s">
        <v>773</v>
      </c>
      <c r="E76" s="25" t="s">
        <v>266</v>
      </c>
      <c r="F76" s="55"/>
      <c r="G76" s="26" t="s">
        <v>971</v>
      </c>
      <c r="H76" s="37"/>
      <c r="I76" s="26"/>
      <c r="J76" s="15" t="s">
        <v>632</v>
      </c>
      <c r="K76" s="15" t="s">
        <v>404</v>
      </c>
      <c r="L76" s="15" t="s">
        <v>633</v>
      </c>
    </row>
    <row r="77" s="1" customFormat="1" spans="1:12">
      <c r="A77" s="33"/>
      <c r="B77" s="13" t="s">
        <v>1279</v>
      </c>
      <c r="C77" s="13" t="s">
        <v>338</v>
      </c>
      <c r="D77" s="10" t="s">
        <v>776</v>
      </c>
      <c r="E77" s="25" t="s">
        <v>266</v>
      </c>
      <c r="F77" s="26"/>
      <c r="G77" s="26" t="s">
        <v>972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1280</v>
      </c>
      <c r="C78" s="13" t="s">
        <v>338</v>
      </c>
      <c r="D78" s="10" t="s">
        <v>779</v>
      </c>
      <c r="E78" s="25" t="s">
        <v>266</v>
      </c>
      <c r="F78" s="26"/>
      <c r="G78" s="26" t="s">
        <v>973</v>
      </c>
      <c r="H78" s="37"/>
      <c r="I78" s="26"/>
      <c r="J78" s="15" t="s">
        <v>632</v>
      </c>
      <c r="K78" s="15" t="s">
        <v>294</v>
      </c>
      <c r="L78" s="15" t="s">
        <v>633</v>
      </c>
    </row>
    <row r="79" s="1" customFormat="1" spans="1:12">
      <c r="A79" s="33"/>
      <c r="B79" s="13" t="s">
        <v>1281</v>
      </c>
      <c r="C79" s="13" t="s">
        <v>338</v>
      </c>
      <c r="D79" s="10" t="s">
        <v>782</v>
      </c>
      <c r="E79" s="25" t="s">
        <v>266</v>
      </c>
      <c r="F79" s="26"/>
      <c r="G79" s="26" t="s">
        <v>974</v>
      </c>
      <c r="H79" s="37"/>
      <c r="I79" s="26"/>
      <c r="J79" s="15" t="s">
        <v>632</v>
      </c>
      <c r="K79" s="15" t="s">
        <v>294</v>
      </c>
      <c r="L79" s="15" t="s">
        <v>633</v>
      </c>
    </row>
    <row r="80" s="1" customFormat="1" spans="1:12">
      <c r="A80" s="33"/>
      <c r="B80" s="13" t="s">
        <v>1282</v>
      </c>
      <c r="C80" s="13" t="s">
        <v>338</v>
      </c>
      <c r="D80" s="10" t="s">
        <v>785</v>
      </c>
      <c r="E80" s="25" t="s">
        <v>266</v>
      </c>
      <c r="F80" s="26"/>
      <c r="G80" s="26" t="s">
        <v>975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1283</v>
      </c>
      <c r="C81" s="13" t="s">
        <v>338</v>
      </c>
      <c r="D81" s="10" t="s">
        <v>788</v>
      </c>
      <c r="E81" s="25" t="s">
        <v>266</v>
      </c>
      <c r="F81" s="26"/>
      <c r="G81" s="26" t="s">
        <v>976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1284</v>
      </c>
      <c r="C82" s="13" t="s">
        <v>666</v>
      </c>
      <c r="D82" s="10" t="s">
        <v>790</v>
      </c>
      <c r="E82" s="25" t="s">
        <v>266</v>
      </c>
      <c r="F82" s="55"/>
      <c r="G82" s="26" t="s">
        <v>977</v>
      </c>
      <c r="H82" s="37"/>
      <c r="I82" s="26"/>
      <c r="J82" s="15" t="s">
        <v>632</v>
      </c>
      <c r="K82" s="15" t="s">
        <v>404</v>
      </c>
      <c r="L82" s="15" t="s">
        <v>633</v>
      </c>
    </row>
    <row r="83" s="1" customFormat="1" spans="1:12">
      <c r="A83" s="33"/>
      <c r="B83" s="13" t="s">
        <v>792</v>
      </c>
      <c r="C83" s="13" t="s">
        <v>338</v>
      </c>
      <c r="D83" s="10" t="s">
        <v>793</v>
      </c>
      <c r="E83" s="25" t="s">
        <v>266</v>
      </c>
      <c r="F83" s="26"/>
      <c r="G83" s="26" t="s">
        <v>978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1285</v>
      </c>
      <c r="C84" s="13" t="s">
        <v>666</v>
      </c>
      <c r="D84" s="10" t="s">
        <v>795</v>
      </c>
      <c r="E84" s="25" t="s">
        <v>266</v>
      </c>
      <c r="F84" s="55"/>
      <c r="G84" s="26" t="s">
        <v>979</v>
      </c>
      <c r="H84" s="37"/>
      <c r="I84" s="26"/>
      <c r="J84" s="15" t="s">
        <v>632</v>
      </c>
      <c r="K84" s="15" t="s">
        <v>404</v>
      </c>
      <c r="L84" s="15" t="s">
        <v>633</v>
      </c>
    </row>
    <row r="85" s="1" customFormat="1" spans="1:12">
      <c r="A85" s="33"/>
      <c r="B85" s="13" t="s">
        <v>797</v>
      </c>
      <c r="C85" s="13" t="s">
        <v>338</v>
      </c>
      <c r="D85" s="10" t="s">
        <v>798</v>
      </c>
      <c r="E85" s="25" t="s">
        <v>266</v>
      </c>
      <c r="F85" s="26"/>
      <c r="G85" s="26" t="s">
        <v>980</v>
      </c>
      <c r="H85" s="37"/>
      <c r="I85" s="26"/>
      <c r="J85" s="15" t="s">
        <v>632</v>
      </c>
      <c r="K85" s="15" t="s">
        <v>294</v>
      </c>
      <c r="L85" s="15" t="s">
        <v>633</v>
      </c>
    </row>
    <row r="86" s="1" customFormat="1" spans="1:12">
      <c r="A86" s="33"/>
      <c r="B86" s="32" t="s">
        <v>1860</v>
      </c>
      <c r="C86" s="32" t="s">
        <v>338</v>
      </c>
      <c r="D86" s="10" t="s">
        <v>1861</v>
      </c>
      <c r="E86" s="25" t="s">
        <v>266</v>
      </c>
      <c r="F86" s="26"/>
      <c r="G86" s="26" t="s">
        <v>1966</v>
      </c>
      <c r="H86" s="37"/>
      <c r="I86" s="26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32" t="s">
        <v>1903</v>
      </c>
      <c r="C87" s="32" t="s">
        <v>666</v>
      </c>
      <c r="D87" s="10" t="s">
        <v>1904</v>
      </c>
      <c r="E87" s="25" t="s">
        <v>266</v>
      </c>
      <c r="F87" s="26"/>
      <c r="G87" s="26" t="s">
        <v>1967</v>
      </c>
      <c r="H87" s="37"/>
      <c r="I87" s="26"/>
      <c r="J87" s="15" t="s">
        <v>632</v>
      </c>
      <c r="K87" s="15" t="s">
        <v>1898</v>
      </c>
      <c r="L87" s="15" t="s">
        <v>633</v>
      </c>
    </row>
    <row r="88" s="1" customFormat="1" spans="1:12">
      <c r="A88" s="33"/>
      <c r="B88" s="52" t="s">
        <v>1968</v>
      </c>
      <c r="C88" s="52" t="s">
        <v>666</v>
      </c>
      <c r="D88" s="54" t="s">
        <v>1969</v>
      </c>
      <c r="E88" s="25" t="s">
        <v>266</v>
      </c>
      <c r="F88" s="55"/>
      <c r="G88" s="26" t="s">
        <v>2147</v>
      </c>
      <c r="H88" s="37"/>
      <c r="I88" s="26"/>
      <c r="J88" s="15" t="s">
        <v>632</v>
      </c>
      <c r="K88" s="15" t="s">
        <v>1898</v>
      </c>
      <c r="L88" s="15" t="s">
        <v>633</v>
      </c>
    </row>
    <row r="89" s="1" customFormat="1" spans="2:12">
      <c r="B89" s="32" t="s">
        <v>1906</v>
      </c>
      <c r="C89" s="32" t="s">
        <v>666</v>
      </c>
      <c r="D89" s="10" t="s">
        <v>1907</v>
      </c>
      <c r="E89" s="25" t="s">
        <v>266</v>
      </c>
      <c r="F89" s="32"/>
      <c r="G89" s="26" t="s">
        <v>1971</v>
      </c>
      <c r="H89" s="37"/>
      <c r="I89" s="26"/>
      <c r="J89" s="15" t="s">
        <v>632</v>
      </c>
      <c r="K89" s="15" t="s">
        <v>1902</v>
      </c>
      <c r="L89" s="15" t="s">
        <v>633</v>
      </c>
    </row>
    <row r="90" s="1" customFormat="1" spans="1:12">
      <c r="A90" s="33"/>
      <c r="B90" s="32" t="s">
        <v>1892</v>
      </c>
      <c r="C90" s="32" t="s">
        <v>338</v>
      </c>
      <c r="D90" s="10" t="s">
        <v>1972</v>
      </c>
      <c r="E90" s="25" t="s">
        <v>266</v>
      </c>
      <c r="F90" s="26"/>
      <c r="G90" s="26" t="s">
        <v>1973</v>
      </c>
      <c r="H90" s="37"/>
      <c r="I90" s="26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32" t="s">
        <v>1895</v>
      </c>
      <c r="C91" s="32" t="s">
        <v>666</v>
      </c>
      <c r="D91" s="10" t="s">
        <v>1896</v>
      </c>
      <c r="E91" s="25" t="s">
        <v>266</v>
      </c>
      <c r="F91" s="26"/>
      <c r="G91" s="26" t="s">
        <v>1974</v>
      </c>
      <c r="H91" s="37"/>
      <c r="I91" s="26"/>
      <c r="J91" s="15" t="s">
        <v>632</v>
      </c>
      <c r="K91" s="15" t="s">
        <v>1898</v>
      </c>
      <c r="L91" s="15" t="s">
        <v>633</v>
      </c>
    </row>
    <row r="92" s="1" customFormat="1" spans="2:12">
      <c r="B92" s="32" t="s">
        <v>1899</v>
      </c>
      <c r="C92" s="32" t="s">
        <v>666</v>
      </c>
      <c r="D92" s="10" t="s">
        <v>1900</v>
      </c>
      <c r="E92" s="25" t="s">
        <v>266</v>
      </c>
      <c r="F92" s="32"/>
      <c r="G92" s="26" t="s">
        <v>1975</v>
      </c>
      <c r="H92" s="37"/>
      <c r="I92" s="26"/>
      <c r="J92" s="15" t="s">
        <v>632</v>
      </c>
      <c r="K92" s="15" t="s">
        <v>1902</v>
      </c>
      <c r="L92" s="15" t="s">
        <v>633</v>
      </c>
    </row>
    <row r="93" s="1" customFormat="1" spans="2:12">
      <c r="B93" s="32" t="s">
        <v>1976</v>
      </c>
      <c r="C93" s="32" t="s">
        <v>666</v>
      </c>
      <c r="D93" s="10" t="s">
        <v>1977</v>
      </c>
      <c r="E93" s="25" t="s">
        <v>266</v>
      </c>
      <c r="F93" s="26"/>
      <c r="G93" s="26" t="s">
        <v>2148</v>
      </c>
      <c r="H93" s="37"/>
      <c r="I93" s="26"/>
      <c r="J93" s="15" t="s">
        <v>632</v>
      </c>
      <c r="K93" s="15" t="s">
        <v>669</v>
      </c>
      <c r="L93" s="15" t="s">
        <v>633</v>
      </c>
    </row>
    <row r="94" s="1" customFormat="1" spans="2:12">
      <c r="B94" s="32" t="s">
        <v>1979</v>
      </c>
      <c r="C94" s="32" t="s">
        <v>338</v>
      </c>
      <c r="D94" s="10" t="s">
        <v>1980</v>
      </c>
      <c r="E94" s="25" t="s">
        <v>266</v>
      </c>
      <c r="F94" s="26"/>
      <c r="G94" s="26" t="s">
        <v>2149</v>
      </c>
      <c r="H94" s="37"/>
      <c r="I94" s="26"/>
      <c r="J94" s="15" t="s">
        <v>632</v>
      </c>
      <c r="K94" s="15" t="s">
        <v>803</v>
      </c>
      <c r="L94" s="15" t="s">
        <v>633</v>
      </c>
    </row>
    <row r="95" s="1" customFormat="1" spans="2:12">
      <c r="B95" s="32" t="s">
        <v>1982</v>
      </c>
      <c r="C95" s="32" t="s">
        <v>338</v>
      </c>
      <c r="D95" s="10" t="s">
        <v>1983</v>
      </c>
      <c r="E95" s="25" t="s">
        <v>266</v>
      </c>
      <c r="F95" s="26"/>
      <c r="G95" s="26" t="s">
        <v>2150</v>
      </c>
      <c r="H95" s="37"/>
      <c r="I95" s="26"/>
      <c r="J95" s="15" t="s">
        <v>632</v>
      </c>
      <c r="K95" s="15" t="s">
        <v>803</v>
      </c>
      <c r="L95" s="15" t="s">
        <v>633</v>
      </c>
    </row>
    <row r="96" s="1" customFormat="1" spans="2:12">
      <c r="B96" s="32" t="s">
        <v>1985</v>
      </c>
      <c r="C96" s="32" t="s">
        <v>338</v>
      </c>
      <c r="D96" s="10" t="s">
        <v>1986</v>
      </c>
      <c r="E96" s="25" t="s">
        <v>266</v>
      </c>
      <c r="F96" s="26"/>
      <c r="G96" s="26" t="s">
        <v>2151</v>
      </c>
      <c r="H96" s="37"/>
      <c r="I96" s="26"/>
      <c r="J96" s="15" t="s">
        <v>632</v>
      </c>
      <c r="K96" s="15" t="s">
        <v>803</v>
      </c>
      <c r="L96" s="15" t="s">
        <v>633</v>
      </c>
    </row>
    <row r="97" s="1" customFormat="1" spans="2:12">
      <c r="B97" s="32" t="s">
        <v>1988</v>
      </c>
      <c r="C97" s="32" t="s">
        <v>666</v>
      </c>
      <c r="D97" s="10" t="s">
        <v>1989</v>
      </c>
      <c r="E97" s="25" t="s">
        <v>266</v>
      </c>
      <c r="F97" s="32"/>
      <c r="G97" s="26" t="s">
        <v>2152</v>
      </c>
      <c r="H97" s="37"/>
      <c r="I97" s="26"/>
      <c r="J97" s="15" t="s">
        <v>632</v>
      </c>
      <c r="K97" s="15" t="s">
        <v>294</v>
      </c>
      <c r="L97" s="15" t="s">
        <v>1264</v>
      </c>
    </row>
    <row r="98" s="1" customFormat="1" spans="2:12">
      <c r="B98" s="32" t="s">
        <v>1991</v>
      </c>
      <c r="C98" s="32" t="s">
        <v>666</v>
      </c>
      <c r="D98" s="10" t="s">
        <v>1992</v>
      </c>
      <c r="E98" s="25" t="s">
        <v>266</v>
      </c>
      <c r="F98" s="26"/>
      <c r="G98" s="26" t="s">
        <v>2153</v>
      </c>
      <c r="H98" s="37"/>
      <c r="I98" s="26"/>
      <c r="J98" s="15" t="s">
        <v>632</v>
      </c>
      <c r="K98" s="15" t="s">
        <v>669</v>
      </c>
      <c r="L98" s="15" t="s">
        <v>633</v>
      </c>
    </row>
    <row r="99" s="1" customFormat="1" spans="2:12">
      <c r="B99" s="32" t="s">
        <v>1994</v>
      </c>
      <c r="C99" s="32" t="s">
        <v>338</v>
      </c>
      <c r="D99" s="10" t="s">
        <v>1995</v>
      </c>
      <c r="E99" s="25" t="s">
        <v>266</v>
      </c>
      <c r="F99" s="26"/>
      <c r="G99" s="26" t="s">
        <v>2154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1997</v>
      </c>
      <c r="C100" s="32" t="s">
        <v>338</v>
      </c>
      <c r="D100" s="10" t="s">
        <v>1998</v>
      </c>
      <c r="E100" s="25" t="s">
        <v>266</v>
      </c>
      <c r="F100" s="26"/>
      <c r="G100" s="26" t="s">
        <v>2155</v>
      </c>
      <c r="H100" s="37"/>
      <c r="I100" s="26"/>
      <c r="J100" s="15" t="s">
        <v>632</v>
      </c>
      <c r="K100" s="15" t="s">
        <v>803</v>
      </c>
      <c r="L100" s="15" t="s">
        <v>633</v>
      </c>
    </row>
    <row r="101" s="1" customFormat="1" spans="2:12">
      <c r="B101" s="32" t="s">
        <v>2000</v>
      </c>
      <c r="C101" s="32" t="s">
        <v>338</v>
      </c>
      <c r="D101" s="10" t="s">
        <v>2001</v>
      </c>
      <c r="E101" s="25" t="s">
        <v>266</v>
      </c>
      <c r="F101" s="26"/>
      <c r="G101" s="26" t="s">
        <v>2156</v>
      </c>
      <c r="H101" s="37"/>
      <c r="I101" s="26"/>
      <c r="J101" s="15" t="s">
        <v>632</v>
      </c>
      <c r="K101" s="15" t="s">
        <v>803</v>
      </c>
      <c r="L101" s="15" t="s">
        <v>633</v>
      </c>
    </row>
    <row r="102" s="1" customFormat="1" spans="2:12">
      <c r="B102" s="32" t="s">
        <v>2002</v>
      </c>
      <c r="C102" s="32" t="s">
        <v>338</v>
      </c>
      <c r="D102" s="10" t="s">
        <v>1887</v>
      </c>
      <c r="E102" s="25" t="s">
        <v>266</v>
      </c>
      <c r="F102" s="26"/>
      <c r="G102" s="26" t="s">
        <v>2157</v>
      </c>
      <c r="H102" s="37"/>
      <c r="I102" s="26"/>
      <c r="J102" s="15" t="s">
        <v>632</v>
      </c>
      <c r="K102" s="15" t="s">
        <v>669</v>
      </c>
      <c r="L102" s="15" t="s">
        <v>633</v>
      </c>
    </row>
    <row r="103" s="1" customFormat="1" spans="2:12">
      <c r="B103" s="32" t="s">
        <v>2004</v>
      </c>
      <c r="C103" s="32" t="s">
        <v>338</v>
      </c>
      <c r="D103" s="10" t="s">
        <v>2005</v>
      </c>
      <c r="E103" s="25" t="s">
        <v>266</v>
      </c>
      <c r="F103" s="26"/>
      <c r="G103" s="26" t="s">
        <v>2158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2007</v>
      </c>
      <c r="C104" s="32" t="s">
        <v>338</v>
      </c>
      <c r="D104" s="10" t="s">
        <v>1890</v>
      </c>
      <c r="E104" s="25" t="s">
        <v>266</v>
      </c>
      <c r="F104" s="26"/>
      <c r="G104" s="26" t="s">
        <v>2159</v>
      </c>
      <c r="H104" s="37"/>
      <c r="I104" s="26"/>
      <c r="J104" s="15" t="s">
        <v>632</v>
      </c>
      <c r="K104" s="15" t="s">
        <v>669</v>
      </c>
      <c r="L104" s="15" t="s">
        <v>633</v>
      </c>
    </row>
    <row r="105" s="1" customFormat="1" spans="2:12">
      <c r="B105" s="32" t="s">
        <v>2009</v>
      </c>
      <c r="C105" s="32" t="s">
        <v>338</v>
      </c>
      <c r="D105" s="10" t="s">
        <v>2010</v>
      </c>
      <c r="E105" s="25" t="s">
        <v>266</v>
      </c>
      <c r="F105" s="26"/>
      <c r="G105" s="26" t="s">
        <v>2160</v>
      </c>
      <c r="H105" s="37"/>
      <c r="I105" s="26"/>
      <c r="J105" s="15" t="s">
        <v>632</v>
      </c>
      <c r="K105" s="15" t="s">
        <v>803</v>
      </c>
      <c r="L105" s="15" t="s">
        <v>633</v>
      </c>
    </row>
    <row r="106" s="1" customFormat="1" spans="2:12">
      <c r="B106" s="32" t="s">
        <v>2012</v>
      </c>
      <c r="C106" s="32" t="s">
        <v>338</v>
      </c>
      <c r="D106" s="10" t="s">
        <v>2013</v>
      </c>
      <c r="E106" s="25" t="s">
        <v>266</v>
      </c>
      <c r="F106" s="26"/>
      <c r="G106" s="26" t="s">
        <v>2161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2015</v>
      </c>
      <c r="C107" s="32" t="s">
        <v>338</v>
      </c>
      <c r="D107" s="10" t="s">
        <v>2016</v>
      </c>
      <c r="E107" s="25" t="s">
        <v>266</v>
      </c>
      <c r="F107" s="26"/>
      <c r="G107" s="26" t="s">
        <v>2162</v>
      </c>
      <c r="H107" s="37"/>
      <c r="I107" s="26"/>
      <c r="J107" s="15" t="s">
        <v>632</v>
      </c>
      <c r="K107" s="15" t="s">
        <v>803</v>
      </c>
      <c r="L107" s="15" t="s">
        <v>633</v>
      </c>
    </row>
    <row r="108" s="1" customFormat="1" spans="2:12">
      <c r="B108" s="32" t="s">
        <v>2018</v>
      </c>
      <c r="C108" s="32" t="s">
        <v>338</v>
      </c>
      <c r="D108" s="10" t="s">
        <v>2019</v>
      </c>
      <c r="E108" s="25" t="s">
        <v>266</v>
      </c>
      <c r="F108" s="26"/>
      <c r="G108" s="26" t="s">
        <v>2163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2021</v>
      </c>
      <c r="C109" s="32" t="s">
        <v>338</v>
      </c>
      <c r="D109" s="10" t="s">
        <v>2022</v>
      </c>
      <c r="E109" s="25" t="s">
        <v>266</v>
      </c>
      <c r="F109" s="26"/>
      <c r="G109" s="26" t="s">
        <v>2164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2024</v>
      </c>
      <c r="C110" s="32" t="s">
        <v>338</v>
      </c>
      <c r="D110" s="10" t="s">
        <v>2025</v>
      </c>
      <c r="E110" s="25" t="s">
        <v>266</v>
      </c>
      <c r="F110" s="26"/>
      <c r="G110" s="26" t="s">
        <v>2165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2027</v>
      </c>
      <c r="C111" s="32" t="s">
        <v>338</v>
      </c>
      <c r="D111" s="10" t="s">
        <v>2028</v>
      </c>
      <c r="E111" s="25" t="s">
        <v>266</v>
      </c>
      <c r="F111" s="26"/>
      <c r="G111" s="26" t="s">
        <v>2166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1:12">
      <c r="A112" s="33"/>
      <c r="B112" s="13" t="s">
        <v>2030</v>
      </c>
      <c r="C112" s="13" t="s">
        <v>666</v>
      </c>
      <c r="D112" s="10" t="s">
        <v>2031</v>
      </c>
      <c r="E112" s="25" t="s">
        <v>266</v>
      </c>
      <c r="F112" s="55"/>
      <c r="G112" s="26" t="s">
        <v>2167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1:12">
      <c r="A113" s="33"/>
      <c r="B113" s="52" t="s">
        <v>2033</v>
      </c>
      <c r="C113" s="52" t="s">
        <v>338</v>
      </c>
      <c r="D113" s="54" t="s">
        <v>2034</v>
      </c>
      <c r="E113" s="25" t="s">
        <v>266</v>
      </c>
      <c r="F113" s="26"/>
      <c r="G113" s="26" t="s">
        <v>2168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1:12">
      <c r="A114" s="33"/>
      <c r="B114" s="52" t="s">
        <v>2036</v>
      </c>
      <c r="C114" s="52" t="s">
        <v>338</v>
      </c>
      <c r="D114" s="54" t="s">
        <v>2037</v>
      </c>
      <c r="E114" s="25" t="s">
        <v>266</v>
      </c>
      <c r="F114" s="26"/>
      <c r="G114" s="26" t="s">
        <v>2169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52" t="s">
        <v>2039</v>
      </c>
      <c r="C115" s="52" t="s">
        <v>338</v>
      </c>
      <c r="D115" s="54" t="s">
        <v>2040</v>
      </c>
      <c r="E115" s="25" t="s">
        <v>266</v>
      </c>
      <c r="F115" s="26"/>
      <c r="G115" s="26" t="s">
        <v>2170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2042</v>
      </c>
      <c r="C116" s="52" t="s">
        <v>338</v>
      </c>
      <c r="D116" s="54" t="s">
        <v>2043</v>
      </c>
      <c r="E116" s="25" t="s">
        <v>266</v>
      </c>
      <c r="F116" s="26"/>
      <c r="G116" s="26" t="s">
        <v>2171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2045</v>
      </c>
      <c r="C117" s="52" t="s">
        <v>338</v>
      </c>
      <c r="D117" s="54" t="s">
        <v>2046</v>
      </c>
      <c r="E117" s="25" t="s">
        <v>266</v>
      </c>
      <c r="F117" s="26"/>
      <c r="G117" s="26" t="s">
        <v>2172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13" t="s">
        <v>2048</v>
      </c>
      <c r="C118" s="52" t="s">
        <v>666</v>
      </c>
      <c r="D118" s="10" t="s">
        <v>2049</v>
      </c>
      <c r="E118" s="25" t="s">
        <v>266</v>
      </c>
      <c r="F118" s="55"/>
      <c r="G118" s="26" t="s">
        <v>2173</v>
      </c>
      <c r="H118" s="37"/>
      <c r="I118" s="26"/>
      <c r="J118" s="15" t="s">
        <v>632</v>
      </c>
      <c r="K118" s="15" t="s">
        <v>404</v>
      </c>
      <c r="L118" s="15" t="s">
        <v>633</v>
      </c>
    </row>
    <row r="119" s="1" customFormat="1" spans="1:12">
      <c r="A119" s="33"/>
      <c r="B119" s="13" t="s">
        <v>2051</v>
      </c>
      <c r="C119" s="13" t="s">
        <v>338</v>
      </c>
      <c r="D119" s="10" t="s">
        <v>2052</v>
      </c>
      <c r="E119" s="25" t="s">
        <v>266</v>
      </c>
      <c r="F119" s="26"/>
      <c r="G119" s="26" t="s">
        <v>2174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13" t="s">
        <v>2054</v>
      </c>
      <c r="C120" s="13" t="s">
        <v>338</v>
      </c>
      <c r="D120" s="10" t="s">
        <v>2055</v>
      </c>
      <c r="E120" s="25" t="s">
        <v>266</v>
      </c>
      <c r="F120" s="26"/>
      <c r="G120" s="26" t="s">
        <v>2175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2057</v>
      </c>
      <c r="C121" s="13" t="s">
        <v>338</v>
      </c>
      <c r="D121" s="10" t="s">
        <v>2058</v>
      </c>
      <c r="E121" s="25" t="s">
        <v>266</v>
      </c>
      <c r="F121" s="26"/>
      <c r="G121" s="26" t="s">
        <v>2176</v>
      </c>
      <c r="H121" s="37"/>
      <c r="I121" s="26"/>
      <c r="J121" s="15" t="s">
        <v>632</v>
      </c>
      <c r="K121" s="15" t="s">
        <v>803</v>
      </c>
      <c r="L121" s="15" t="s">
        <v>633</v>
      </c>
    </row>
    <row r="122" s="1" customFormat="1" spans="1:12">
      <c r="A122" s="33"/>
      <c r="B122" s="13" t="s">
        <v>2060</v>
      </c>
      <c r="C122" s="13" t="s">
        <v>338</v>
      </c>
      <c r="D122" s="10" t="s">
        <v>2061</v>
      </c>
      <c r="E122" s="25" t="s">
        <v>266</v>
      </c>
      <c r="F122" s="26"/>
      <c r="G122" s="26" t="s">
        <v>2177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2063</v>
      </c>
      <c r="C123" s="13" t="s">
        <v>338</v>
      </c>
      <c r="D123" s="10" t="s">
        <v>2064</v>
      </c>
      <c r="E123" s="25" t="s">
        <v>266</v>
      </c>
      <c r="F123" s="26"/>
      <c r="G123" s="26" t="s">
        <v>2178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2066</v>
      </c>
      <c r="C124" s="52" t="s">
        <v>666</v>
      </c>
      <c r="D124" s="10" t="s">
        <v>2067</v>
      </c>
      <c r="E124" s="25" t="s">
        <v>266</v>
      </c>
      <c r="F124" s="55"/>
      <c r="G124" s="26" t="s">
        <v>2179</v>
      </c>
      <c r="H124" s="37"/>
      <c r="I124" s="26"/>
      <c r="J124" s="15" t="s">
        <v>632</v>
      </c>
      <c r="K124" s="15" t="s">
        <v>404</v>
      </c>
      <c r="L124" s="15" t="s">
        <v>633</v>
      </c>
    </row>
    <row r="125" s="1" customFormat="1" spans="1:12">
      <c r="A125" s="33"/>
      <c r="B125" s="52" t="s">
        <v>2069</v>
      </c>
      <c r="C125" s="52" t="s">
        <v>338</v>
      </c>
      <c r="D125" s="54" t="s">
        <v>2070</v>
      </c>
      <c r="E125" s="25" t="s">
        <v>266</v>
      </c>
      <c r="F125" s="26"/>
      <c r="G125" s="26" t="s">
        <v>2180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52" t="s">
        <v>2072</v>
      </c>
      <c r="C126" s="52" t="s">
        <v>338</v>
      </c>
      <c r="D126" s="54" t="s">
        <v>2073</v>
      </c>
      <c r="E126" s="25" t="s">
        <v>266</v>
      </c>
      <c r="F126" s="26"/>
      <c r="G126" s="26" t="s">
        <v>2181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52" t="s">
        <v>2075</v>
      </c>
      <c r="C127" s="52" t="s">
        <v>338</v>
      </c>
      <c r="D127" s="54" t="s">
        <v>2076</v>
      </c>
      <c r="E127" s="25" t="s">
        <v>266</v>
      </c>
      <c r="F127" s="26"/>
      <c r="G127" s="26" t="s">
        <v>2182</v>
      </c>
      <c r="H127" s="37"/>
      <c r="I127" s="26"/>
      <c r="J127" s="15" t="s">
        <v>632</v>
      </c>
      <c r="K127" s="15" t="s">
        <v>803</v>
      </c>
      <c r="L127" s="15" t="s">
        <v>633</v>
      </c>
    </row>
    <row r="128" s="1" customFormat="1" spans="1:12">
      <c r="A128" s="33"/>
      <c r="B128" s="52" t="s">
        <v>2078</v>
      </c>
      <c r="C128" s="52" t="s">
        <v>338</v>
      </c>
      <c r="D128" s="54" t="s">
        <v>2079</v>
      </c>
      <c r="E128" s="25" t="s">
        <v>266</v>
      </c>
      <c r="F128" s="26"/>
      <c r="G128" s="26" t="s">
        <v>2183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2081</v>
      </c>
      <c r="C129" s="52" t="s">
        <v>338</v>
      </c>
      <c r="D129" s="54" t="s">
        <v>2082</v>
      </c>
      <c r="E129" s="25" t="s">
        <v>266</v>
      </c>
      <c r="F129" s="26"/>
      <c r="G129" s="26" t="s">
        <v>2184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2:12">
      <c r="B130" s="32" t="s">
        <v>2084</v>
      </c>
      <c r="C130" s="32" t="s">
        <v>338</v>
      </c>
      <c r="D130" s="10" t="s">
        <v>2085</v>
      </c>
      <c r="E130" s="25" t="s">
        <v>266</v>
      </c>
      <c r="F130" s="26"/>
      <c r="G130" s="26" t="s">
        <v>2185</v>
      </c>
      <c r="H130" s="37"/>
      <c r="I130" s="26"/>
      <c r="J130" s="15" t="s">
        <v>632</v>
      </c>
      <c r="K130" s="15" t="s">
        <v>669</v>
      </c>
      <c r="L130" s="15" t="s">
        <v>670</v>
      </c>
    </row>
    <row r="131" s="1" customFormat="1" spans="2:12">
      <c r="B131" s="32" t="s">
        <v>1909</v>
      </c>
      <c r="C131" s="32" t="s">
        <v>338</v>
      </c>
      <c r="D131" s="10" t="s">
        <v>2087</v>
      </c>
      <c r="E131" s="25" t="s">
        <v>266</v>
      </c>
      <c r="F131" s="26"/>
      <c r="G131" s="26" t="s">
        <v>2088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2089</v>
      </c>
      <c r="C132" s="52" t="s">
        <v>666</v>
      </c>
      <c r="D132" s="54" t="s">
        <v>2090</v>
      </c>
      <c r="E132" s="25" t="s">
        <v>266</v>
      </c>
      <c r="F132" s="55"/>
      <c r="G132" s="26" t="s">
        <v>2186</v>
      </c>
      <c r="H132" s="37"/>
      <c r="I132" s="26"/>
      <c r="J132" s="15" t="s">
        <v>632</v>
      </c>
      <c r="K132" s="15" t="s">
        <v>669</v>
      </c>
      <c r="L132" s="15" t="s">
        <v>670</v>
      </c>
    </row>
    <row r="133" s="1" customFormat="1" spans="1:12">
      <c r="A133" s="33"/>
      <c r="B133" s="52" t="s">
        <v>2092</v>
      </c>
      <c r="C133" s="52" t="s">
        <v>338</v>
      </c>
      <c r="D133" s="54" t="s">
        <v>2093</v>
      </c>
      <c r="E133" s="25" t="s">
        <v>266</v>
      </c>
      <c r="F133" s="26"/>
      <c r="G133" s="26" t="s">
        <v>2187</v>
      </c>
      <c r="H133" s="37"/>
      <c r="I133" s="26"/>
      <c r="J133" s="15" t="s">
        <v>632</v>
      </c>
      <c r="K133" s="15" t="s">
        <v>803</v>
      </c>
      <c r="L133" s="15" t="s">
        <v>633</v>
      </c>
    </row>
    <row r="134" s="1" customFormat="1" spans="1:12">
      <c r="A134" s="33"/>
      <c r="B134" s="52" t="s">
        <v>2095</v>
      </c>
      <c r="C134" s="52" t="s">
        <v>338</v>
      </c>
      <c r="D134" s="54" t="s">
        <v>2096</v>
      </c>
      <c r="E134" s="25" t="s">
        <v>266</v>
      </c>
      <c r="F134" s="26"/>
      <c r="G134" s="26" t="s">
        <v>2188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2098</v>
      </c>
      <c r="C135" s="52" t="s">
        <v>338</v>
      </c>
      <c r="D135" s="54" t="s">
        <v>2099</v>
      </c>
      <c r="E135" s="25" t="s">
        <v>266</v>
      </c>
      <c r="F135" s="26"/>
      <c r="G135" s="26" t="s">
        <v>2189</v>
      </c>
      <c r="H135" s="37"/>
      <c r="I135" s="26"/>
      <c r="J135" s="15" t="s">
        <v>632</v>
      </c>
      <c r="K135" s="15" t="s">
        <v>803</v>
      </c>
      <c r="L135" s="15" t="s">
        <v>633</v>
      </c>
    </row>
    <row r="136" s="1" customFormat="1" spans="1:12">
      <c r="A136" s="33"/>
      <c r="B136" s="52" t="s">
        <v>2101</v>
      </c>
      <c r="C136" s="52" t="s">
        <v>338</v>
      </c>
      <c r="D136" s="54" t="s">
        <v>2102</v>
      </c>
      <c r="E136" s="25" t="s">
        <v>266</v>
      </c>
      <c r="F136" s="26"/>
      <c r="G136" s="26" t="s">
        <v>2190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2104</v>
      </c>
      <c r="C137" s="52" t="s">
        <v>338</v>
      </c>
      <c r="D137" s="54" t="s">
        <v>2105</v>
      </c>
      <c r="E137" s="25" t="s">
        <v>266</v>
      </c>
      <c r="F137" s="26"/>
      <c r="G137" s="26" t="s">
        <v>2191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2107</v>
      </c>
      <c r="C138" s="52" t="s">
        <v>338</v>
      </c>
      <c r="D138" s="10" t="s">
        <v>2108</v>
      </c>
      <c r="E138" s="25" t="s">
        <v>266</v>
      </c>
      <c r="F138" s="26"/>
      <c r="G138" s="26" t="s">
        <v>2192</v>
      </c>
      <c r="H138" s="37"/>
      <c r="I138" s="26"/>
      <c r="J138" s="15" t="s">
        <v>632</v>
      </c>
      <c r="K138" s="15" t="s">
        <v>669</v>
      </c>
      <c r="L138" s="15" t="s">
        <v>670</v>
      </c>
    </row>
    <row r="139" s="1" customFormat="1" spans="1:12">
      <c r="A139" s="33"/>
      <c r="B139" s="52" t="s">
        <v>1912</v>
      </c>
      <c r="C139" s="52" t="s">
        <v>338</v>
      </c>
      <c r="D139" s="10" t="s">
        <v>2110</v>
      </c>
      <c r="E139" s="25" t="s">
        <v>266</v>
      </c>
      <c r="F139" s="26"/>
      <c r="G139" s="26" t="s">
        <v>2111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2112</v>
      </c>
      <c r="C140" s="52" t="s">
        <v>666</v>
      </c>
      <c r="D140" s="54" t="s">
        <v>2113</v>
      </c>
      <c r="E140" s="25" t="s">
        <v>266</v>
      </c>
      <c r="F140" s="55"/>
      <c r="G140" s="26" t="s">
        <v>2193</v>
      </c>
      <c r="H140" s="37"/>
      <c r="I140" s="26"/>
      <c r="J140" s="15" t="s">
        <v>632</v>
      </c>
      <c r="K140" s="15" t="s">
        <v>669</v>
      </c>
      <c r="L140" s="15" t="s">
        <v>670</v>
      </c>
    </row>
    <row r="141" s="1" customFormat="1" spans="1:12">
      <c r="A141" s="33"/>
      <c r="B141" s="52" t="s">
        <v>2115</v>
      </c>
      <c r="C141" s="52" t="s">
        <v>338</v>
      </c>
      <c r="D141" s="54" t="s">
        <v>2116</v>
      </c>
      <c r="E141" s="25" t="s">
        <v>266</v>
      </c>
      <c r="F141" s="26"/>
      <c r="G141" s="26" t="s">
        <v>2194</v>
      </c>
      <c r="H141" s="37"/>
      <c r="I141" s="26"/>
      <c r="J141" s="15" t="s">
        <v>632</v>
      </c>
      <c r="K141" s="15" t="s">
        <v>803</v>
      </c>
      <c r="L141" s="15" t="s">
        <v>633</v>
      </c>
    </row>
    <row r="142" s="1" customFormat="1" spans="1:12">
      <c r="A142" s="33"/>
      <c r="B142" s="52" t="s">
        <v>2118</v>
      </c>
      <c r="C142" s="52" t="s">
        <v>338</v>
      </c>
      <c r="D142" s="54" t="s">
        <v>2119</v>
      </c>
      <c r="E142" s="25" t="s">
        <v>266</v>
      </c>
      <c r="F142" s="26"/>
      <c r="G142" s="26" t="s">
        <v>2195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2121</v>
      </c>
      <c r="C143" s="52" t="s">
        <v>338</v>
      </c>
      <c r="D143" s="54" t="s">
        <v>2122</v>
      </c>
      <c r="E143" s="25" t="s">
        <v>266</v>
      </c>
      <c r="F143" s="26"/>
      <c r="G143" s="26" t="s">
        <v>2196</v>
      </c>
      <c r="H143" s="37"/>
      <c r="I143" s="26"/>
      <c r="J143" s="15" t="s">
        <v>632</v>
      </c>
      <c r="K143" s="15" t="s">
        <v>803</v>
      </c>
      <c r="L143" s="15" t="s">
        <v>633</v>
      </c>
    </row>
    <row r="144" s="1" customFormat="1" spans="1:12">
      <c r="A144" s="33"/>
      <c r="B144" s="52" t="s">
        <v>2124</v>
      </c>
      <c r="C144" s="52" t="s">
        <v>338</v>
      </c>
      <c r="D144" s="54" t="s">
        <v>2125</v>
      </c>
      <c r="E144" s="25" t="s">
        <v>266</v>
      </c>
      <c r="F144" s="26"/>
      <c r="G144" s="26" t="s">
        <v>2197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2127</v>
      </c>
      <c r="C145" s="52" t="s">
        <v>338</v>
      </c>
      <c r="D145" s="54" t="s">
        <v>2128</v>
      </c>
      <c r="E145" s="25" t="s">
        <v>266</v>
      </c>
      <c r="F145" s="26"/>
      <c r="G145" s="26" t="s">
        <v>2198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2130</v>
      </c>
      <c r="C146" s="52" t="s">
        <v>338</v>
      </c>
      <c r="D146" s="54" t="s">
        <v>2131</v>
      </c>
      <c r="E146" s="25" t="s">
        <v>266</v>
      </c>
      <c r="F146" s="55"/>
      <c r="G146" s="26" t="s">
        <v>2199</v>
      </c>
      <c r="H146" s="37"/>
      <c r="I146" s="26"/>
      <c r="J146" s="15" t="s">
        <v>632</v>
      </c>
      <c r="K146" s="15" t="s">
        <v>294</v>
      </c>
      <c r="L146" s="15" t="s">
        <v>633</v>
      </c>
    </row>
    <row r="147" s="1" customFormat="1" spans="1:12">
      <c r="A147" s="33"/>
      <c r="B147" s="52" t="s">
        <v>2133</v>
      </c>
      <c r="C147" s="52" t="s">
        <v>338</v>
      </c>
      <c r="D147" s="54" t="s">
        <v>2134</v>
      </c>
      <c r="E147" s="25" t="s">
        <v>266</v>
      </c>
      <c r="F147" s="55"/>
      <c r="G147" s="26" t="s">
        <v>2200</v>
      </c>
      <c r="H147" s="37"/>
      <c r="I147" s="26"/>
      <c r="J147" s="15" t="s">
        <v>632</v>
      </c>
      <c r="K147" s="15" t="s">
        <v>669</v>
      </c>
      <c r="L147" s="15" t="s">
        <v>633</v>
      </c>
    </row>
    <row r="148" s="1" customFormat="1" spans="1:12">
      <c r="A148" s="33"/>
      <c r="B148" s="13" t="s">
        <v>887</v>
      </c>
      <c r="C148" s="13" t="s">
        <v>338</v>
      </c>
      <c r="D148" s="10" t="s">
        <v>888</v>
      </c>
      <c r="E148" s="25" t="s">
        <v>266</v>
      </c>
      <c r="F148" s="26"/>
      <c r="G148" s="26" t="s">
        <v>1013</v>
      </c>
      <c r="H148" s="37"/>
      <c r="I148" s="26"/>
      <c r="J148" s="15" t="s">
        <v>632</v>
      </c>
      <c r="K148" s="15" t="s">
        <v>294</v>
      </c>
      <c r="L148" s="15" t="s">
        <v>633</v>
      </c>
    </row>
    <row r="149" s="2" customFormat="1" spans="2:14">
      <c r="B149" s="17" t="s">
        <v>594</v>
      </c>
      <c r="C149" s="18" t="s">
        <v>307</v>
      </c>
      <c r="D149" s="19" t="s">
        <v>595</v>
      </c>
      <c r="E149" s="28"/>
      <c r="F149" s="28"/>
      <c r="G149" s="28"/>
      <c r="H149" s="17"/>
      <c r="I149" s="17"/>
      <c r="J149" s="17"/>
      <c r="K149" s="17"/>
      <c r="L149" s="17"/>
      <c r="M149" s="17"/>
      <c r="N149" s="17"/>
    </row>
    <row r="150" s="2" customFormat="1" spans="2:14">
      <c r="B150" s="17" t="s">
        <v>596</v>
      </c>
      <c r="C150" s="18" t="s">
        <v>291</v>
      </c>
      <c r="D150" s="19" t="s">
        <v>597</v>
      </c>
      <c r="E150" s="28"/>
      <c r="F150" s="28"/>
      <c r="G150" s="28"/>
      <c r="H150" s="17"/>
      <c r="I150" s="17"/>
      <c r="J150" s="17"/>
      <c r="K150" s="17"/>
      <c r="L150" s="17"/>
      <c r="M150" s="17"/>
      <c r="N150" s="17"/>
    </row>
  </sheetData>
  <autoFilter xmlns:etc="http://www.wps.cn/officeDocument/2017/etCustomData" ref="A13:N150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zoomScale="85" zoomScaleNormal="85" workbookViewId="0">
      <pane ySplit="5" topLeftCell="A27" activePane="bottomLeft" state="frozen"/>
      <selection/>
      <selection pane="bottomLeft" activeCell="B36" sqref="B36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220</v>
      </c>
      <c r="D5" s="14" t="s">
        <v>221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209</v>
      </c>
      <c r="D9" s="14" t="s">
        <v>210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/>
      <c r="G14" s="26" t="s">
        <v>596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1033</v>
      </c>
      <c r="C15" s="32" t="s">
        <v>338</v>
      </c>
      <c r="D15" s="10" t="s">
        <v>377</v>
      </c>
      <c r="E15" s="25" t="s">
        <v>266</v>
      </c>
      <c r="F15" s="26"/>
      <c r="G15" s="26" t="s">
        <v>1035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1036</v>
      </c>
      <c r="C16" s="32" t="s">
        <v>338</v>
      </c>
      <c r="D16" s="10" t="s">
        <v>1037</v>
      </c>
      <c r="E16" s="25" t="s">
        <v>266</v>
      </c>
      <c r="F16" s="10"/>
      <c r="G16" s="26" t="s">
        <v>1038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1354</v>
      </c>
      <c r="C17" s="32" t="s">
        <v>385</v>
      </c>
      <c r="D17" s="10" t="s">
        <v>1429</v>
      </c>
      <c r="E17" s="25" t="s">
        <v>266</v>
      </c>
      <c r="F17" s="26" t="s">
        <v>327</v>
      </c>
      <c r="G17" s="26" t="s">
        <v>293</v>
      </c>
      <c r="H17" s="37"/>
      <c r="I17" s="30"/>
      <c r="J17" s="15" t="s">
        <v>604</v>
      </c>
      <c r="K17" s="15" t="s">
        <v>294</v>
      </c>
      <c r="L17" s="58">
        <v>6</v>
      </c>
    </row>
    <row r="18" s="1" customFormat="1" spans="1:12">
      <c r="A18" s="33"/>
      <c r="B18" s="13" t="s">
        <v>522</v>
      </c>
      <c r="C18" s="32" t="s">
        <v>307</v>
      </c>
      <c r="D18" s="10" t="s">
        <v>614</v>
      </c>
      <c r="E18" s="25" t="s">
        <v>266</v>
      </c>
      <c r="F18" s="26" t="s">
        <v>594</v>
      </c>
      <c r="G18" s="26" t="s">
        <v>293</v>
      </c>
      <c r="H18" s="37"/>
      <c r="I18" s="30"/>
      <c r="J18" s="15" t="s">
        <v>604</v>
      </c>
      <c r="K18" s="15" t="s">
        <v>294</v>
      </c>
      <c r="L18" s="15" t="s">
        <v>615</v>
      </c>
    </row>
    <row r="19" s="1" customFormat="1" spans="1:12">
      <c r="A19" s="33"/>
      <c r="B19" s="13" t="s">
        <v>524</v>
      </c>
      <c r="C19" s="32" t="s">
        <v>307</v>
      </c>
      <c r="D19" s="10" t="s">
        <v>616</v>
      </c>
      <c r="E19" s="25" t="s">
        <v>266</v>
      </c>
      <c r="F19" s="10" t="s">
        <v>517</v>
      </c>
      <c r="G19" s="26" t="s">
        <v>293</v>
      </c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1356</v>
      </c>
      <c r="C20" s="32" t="s">
        <v>307</v>
      </c>
      <c r="D20" s="10" t="s">
        <v>617</v>
      </c>
      <c r="E20" s="25" t="s">
        <v>266</v>
      </c>
      <c r="F20" s="10" t="s">
        <v>520</v>
      </c>
      <c r="G20" s="26" t="s">
        <v>293</v>
      </c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2218</v>
      </c>
      <c r="C21" s="13" t="s">
        <v>307</v>
      </c>
      <c r="D21" s="10" t="s">
        <v>2219</v>
      </c>
      <c r="E21" s="25" t="s">
        <v>266</v>
      </c>
      <c r="F21" s="10"/>
      <c r="G21" s="26" t="s">
        <v>2220</v>
      </c>
      <c r="H21" s="37"/>
      <c r="I21" s="53"/>
      <c r="J21" s="15" t="s">
        <v>632</v>
      </c>
      <c r="K21" s="15" t="s">
        <v>294</v>
      </c>
      <c r="L21" s="15" t="s">
        <v>1361</v>
      </c>
    </row>
    <row r="22" s="1" customFormat="1" spans="1:12">
      <c r="A22" s="33"/>
      <c r="B22" s="13" t="s">
        <v>1362</v>
      </c>
      <c r="C22" s="13" t="s">
        <v>307</v>
      </c>
      <c r="D22" s="10" t="s">
        <v>1363</v>
      </c>
      <c r="E22" s="25" t="s">
        <v>266</v>
      </c>
      <c r="F22" s="26"/>
      <c r="G22" s="26" t="s">
        <v>2221</v>
      </c>
      <c r="H22" s="27"/>
      <c r="I22" s="26"/>
      <c r="J22" s="15" t="s">
        <v>632</v>
      </c>
      <c r="K22" s="15" t="s">
        <v>294</v>
      </c>
      <c r="L22" s="15" t="s">
        <v>670</v>
      </c>
    </row>
    <row r="23" s="1" customFormat="1" spans="1:12">
      <c r="A23" s="33"/>
      <c r="B23" s="13" t="s">
        <v>1364</v>
      </c>
      <c r="C23" s="13" t="s">
        <v>307</v>
      </c>
      <c r="D23" s="10" t="s">
        <v>1365</v>
      </c>
      <c r="E23" s="25" t="s">
        <v>266</v>
      </c>
      <c r="F23" s="26"/>
      <c r="G23" s="26" t="s">
        <v>1366</v>
      </c>
      <c r="H23" s="27"/>
      <c r="I23" s="26"/>
      <c r="J23" s="15" t="s">
        <v>632</v>
      </c>
      <c r="K23" s="15" t="s">
        <v>1367</v>
      </c>
      <c r="L23" s="15" t="s">
        <v>670</v>
      </c>
    </row>
    <row r="24" s="1" customFormat="1" spans="1:12">
      <c r="A24" s="33"/>
      <c r="B24" s="13" t="s">
        <v>1368</v>
      </c>
      <c r="C24" s="13" t="s">
        <v>307</v>
      </c>
      <c r="D24" s="10" t="s">
        <v>1369</v>
      </c>
      <c r="E24" s="25" t="s">
        <v>266</v>
      </c>
      <c r="F24" s="26"/>
      <c r="G24" s="26" t="s">
        <v>1370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1371</v>
      </c>
      <c r="C25" s="13" t="s">
        <v>338</v>
      </c>
      <c r="D25" s="10" t="s">
        <v>1372</v>
      </c>
      <c r="E25" s="25" t="s">
        <v>266</v>
      </c>
      <c r="F25" s="26"/>
      <c r="G25" s="26" t="s">
        <v>1373</v>
      </c>
      <c r="H25" s="27"/>
      <c r="I25" s="26"/>
      <c r="J25" s="15" t="s">
        <v>632</v>
      </c>
      <c r="K25" s="15" t="s">
        <v>674</v>
      </c>
      <c r="L25" s="15" t="s">
        <v>633</v>
      </c>
    </row>
    <row r="26" s="1" customFormat="1" spans="1:12">
      <c r="A26" s="33"/>
      <c r="B26" s="32" t="s">
        <v>1374</v>
      </c>
      <c r="C26" s="32" t="s">
        <v>338</v>
      </c>
      <c r="D26" s="10" t="s">
        <v>1375</v>
      </c>
      <c r="E26" s="25" t="s">
        <v>266</v>
      </c>
      <c r="F26" s="26"/>
      <c r="G26" s="26" t="s">
        <v>1373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337</v>
      </c>
      <c r="C27" s="13" t="s">
        <v>307</v>
      </c>
      <c r="D27" s="10" t="s">
        <v>1433</v>
      </c>
      <c r="E27" s="25" t="s">
        <v>266</v>
      </c>
      <c r="F27" s="26"/>
      <c r="G27" s="26" t="s">
        <v>1373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1376</v>
      </c>
      <c r="C28" s="13" t="s">
        <v>307</v>
      </c>
      <c r="D28" s="10" t="s">
        <v>1377</v>
      </c>
      <c r="E28" s="25" t="s">
        <v>266</v>
      </c>
      <c r="F28" s="26"/>
      <c r="G28" s="26" t="s">
        <v>2222</v>
      </c>
      <c r="H28" s="27"/>
      <c r="I28" s="26"/>
      <c r="J28" s="15" t="s">
        <v>632</v>
      </c>
      <c r="K28" s="15" t="s">
        <v>669</v>
      </c>
      <c r="L28" s="15" t="s">
        <v>670</v>
      </c>
    </row>
    <row r="29" s="1" customFormat="1" spans="1:12">
      <c r="A29" s="33"/>
      <c r="B29" s="13" t="s">
        <v>1379</v>
      </c>
      <c r="C29" s="13" t="s">
        <v>307</v>
      </c>
      <c r="D29" s="10" t="s">
        <v>1380</v>
      </c>
      <c r="E29" s="25" t="s">
        <v>266</v>
      </c>
      <c r="F29" s="26"/>
      <c r="G29" s="26" t="s">
        <v>1417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2223</v>
      </c>
      <c r="C30" s="13" t="s">
        <v>307</v>
      </c>
      <c r="D30" s="10" t="s">
        <v>2224</v>
      </c>
      <c r="E30" s="25" t="s">
        <v>266</v>
      </c>
      <c r="F30" s="26"/>
      <c r="G30" s="26" t="s">
        <v>2225</v>
      </c>
      <c r="H30" s="27"/>
      <c r="I30" s="26"/>
      <c r="J30" s="15" t="s">
        <v>632</v>
      </c>
      <c r="K30" s="15" t="s">
        <v>404</v>
      </c>
      <c r="L30" s="15" t="s">
        <v>633</v>
      </c>
    </row>
    <row r="31" s="1" customFormat="1" spans="1:12">
      <c r="A31" s="33"/>
      <c r="B31" s="13" t="s">
        <v>2226</v>
      </c>
      <c r="C31" s="13" t="s">
        <v>307</v>
      </c>
      <c r="D31" s="10" t="s">
        <v>2227</v>
      </c>
      <c r="E31" s="25" t="s">
        <v>266</v>
      </c>
      <c r="F31" s="26"/>
      <c r="G31" s="26" t="s">
        <v>2228</v>
      </c>
      <c r="H31" s="27"/>
      <c r="I31" s="26"/>
      <c r="J31" s="15" t="s">
        <v>632</v>
      </c>
      <c r="K31" s="15" t="s">
        <v>294</v>
      </c>
      <c r="L31" s="15" t="s">
        <v>2229</v>
      </c>
    </row>
    <row r="32" s="1" customFormat="1" spans="1:12">
      <c r="A32" s="33"/>
      <c r="B32" s="13" t="s">
        <v>2230</v>
      </c>
      <c r="C32" s="13" t="s">
        <v>307</v>
      </c>
      <c r="D32" s="10" t="s">
        <v>1863</v>
      </c>
      <c r="E32" s="25" t="s">
        <v>266</v>
      </c>
      <c r="F32" s="26"/>
      <c r="G32" s="26" t="s">
        <v>2231</v>
      </c>
      <c r="H32" s="27"/>
      <c r="I32" s="26"/>
      <c r="J32" s="15" t="s">
        <v>632</v>
      </c>
      <c r="K32" s="15" t="s">
        <v>404</v>
      </c>
      <c r="L32" s="15" t="s">
        <v>633</v>
      </c>
    </row>
    <row r="33" s="1" customFormat="1" spans="1:12">
      <c r="A33" s="33"/>
      <c r="B33" s="13" t="s">
        <v>2232</v>
      </c>
      <c r="C33" s="13" t="s">
        <v>307</v>
      </c>
      <c r="D33" s="10" t="s">
        <v>1873</v>
      </c>
      <c r="E33" s="25" t="s">
        <v>266</v>
      </c>
      <c r="F33" s="26"/>
      <c r="G33" s="26" t="s">
        <v>2233</v>
      </c>
      <c r="H33" s="27"/>
      <c r="I33" s="26"/>
      <c r="J33" s="15" t="s">
        <v>632</v>
      </c>
      <c r="K33" s="15" t="s">
        <v>669</v>
      </c>
      <c r="L33" s="15" t="s">
        <v>633</v>
      </c>
    </row>
    <row r="34" s="1" customFormat="1" spans="1:12">
      <c r="A34" s="33"/>
      <c r="B34" s="13" t="s">
        <v>1397</v>
      </c>
      <c r="C34" s="13" t="s">
        <v>307</v>
      </c>
      <c r="D34" s="10" t="s">
        <v>1363</v>
      </c>
      <c r="E34" s="25" t="s">
        <v>266</v>
      </c>
      <c r="F34" s="26"/>
      <c r="G34" s="26" t="s">
        <v>2221</v>
      </c>
      <c r="H34" s="27"/>
      <c r="I34" s="26"/>
      <c r="J34" s="15" t="s">
        <v>632</v>
      </c>
      <c r="K34" s="15" t="s">
        <v>294</v>
      </c>
      <c r="L34" s="15" t="s">
        <v>670</v>
      </c>
    </row>
    <row r="35" s="1" customFormat="1" spans="1:12">
      <c r="A35" s="33"/>
      <c r="B35" s="13" t="s">
        <v>1398</v>
      </c>
      <c r="C35" s="13" t="s">
        <v>307</v>
      </c>
      <c r="D35" s="10" t="s">
        <v>1399</v>
      </c>
      <c r="E35" s="25" t="s">
        <v>266</v>
      </c>
      <c r="F35" s="26"/>
      <c r="G35" s="26" t="s">
        <v>1366</v>
      </c>
      <c r="H35" s="27"/>
      <c r="I35" s="26"/>
      <c r="J35" s="15" t="s">
        <v>632</v>
      </c>
      <c r="K35" s="15" t="s">
        <v>1367</v>
      </c>
      <c r="L35" s="15" t="s">
        <v>670</v>
      </c>
    </row>
    <row r="36" s="1" customFormat="1" spans="1:12">
      <c r="A36" s="33"/>
      <c r="B36" s="13" t="s">
        <v>1400</v>
      </c>
      <c r="C36" s="13" t="s">
        <v>307</v>
      </c>
      <c r="D36" s="10" t="s">
        <v>1401</v>
      </c>
      <c r="E36" s="25" t="s">
        <v>266</v>
      </c>
      <c r="F36" s="26"/>
      <c r="G36" s="26" t="s">
        <v>1370</v>
      </c>
      <c r="H36" s="27"/>
      <c r="I36" s="26"/>
      <c r="J36" s="15" t="s">
        <v>632</v>
      </c>
      <c r="K36" s="15" t="s">
        <v>1367</v>
      </c>
      <c r="L36" s="15" t="s">
        <v>670</v>
      </c>
    </row>
    <row r="37" s="1" customFormat="1" spans="1:12">
      <c r="A37" s="33"/>
      <c r="B37" s="13" t="s">
        <v>1402</v>
      </c>
      <c r="C37" s="13" t="s">
        <v>307</v>
      </c>
      <c r="D37" s="10" t="s">
        <v>339</v>
      </c>
      <c r="E37" s="25" t="s">
        <v>266</v>
      </c>
      <c r="F37" s="26"/>
      <c r="G37" s="26" t="s">
        <v>1373</v>
      </c>
      <c r="H37" s="27"/>
      <c r="I37" s="26"/>
      <c r="J37" s="15" t="s">
        <v>632</v>
      </c>
      <c r="K37" s="15" t="s">
        <v>674</v>
      </c>
      <c r="L37" s="15" t="s">
        <v>670</v>
      </c>
    </row>
    <row r="38" s="1" customFormat="1" spans="1:12">
      <c r="A38" s="33"/>
      <c r="B38" s="13" t="s">
        <v>1403</v>
      </c>
      <c r="C38" s="13" t="s">
        <v>307</v>
      </c>
      <c r="D38" s="10" t="s">
        <v>1404</v>
      </c>
      <c r="E38" s="25" t="s">
        <v>266</v>
      </c>
      <c r="F38" s="26"/>
      <c r="G38" s="26" t="s">
        <v>2222</v>
      </c>
      <c r="H38" s="27"/>
      <c r="I38" s="26"/>
      <c r="J38" s="15" t="s">
        <v>632</v>
      </c>
      <c r="K38" s="15" t="s">
        <v>669</v>
      </c>
      <c r="L38" s="15" t="s">
        <v>670</v>
      </c>
    </row>
    <row r="39" s="1" customFormat="1" spans="1:12">
      <c r="A39" s="33"/>
      <c r="B39" s="13" t="s">
        <v>1405</v>
      </c>
      <c r="C39" s="13" t="s">
        <v>307</v>
      </c>
      <c r="D39" s="10" t="s">
        <v>1406</v>
      </c>
      <c r="E39" s="25" t="s">
        <v>266</v>
      </c>
      <c r="F39" s="26"/>
      <c r="G39" s="26" t="s">
        <v>1417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2234</v>
      </c>
      <c r="C40" s="13" t="s">
        <v>307</v>
      </c>
      <c r="D40" s="10" t="s">
        <v>2224</v>
      </c>
      <c r="E40" s="25" t="s">
        <v>266</v>
      </c>
      <c r="F40" s="26"/>
      <c r="G40" s="26" t="s">
        <v>2225</v>
      </c>
      <c r="H40" s="27"/>
      <c r="I40" s="26"/>
      <c r="J40" s="15" t="s">
        <v>632</v>
      </c>
      <c r="K40" s="15" t="s">
        <v>404</v>
      </c>
      <c r="L40" s="15" t="s">
        <v>633</v>
      </c>
    </row>
    <row r="41" s="1" customFormat="1" spans="1:12">
      <c r="A41" s="33"/>
      <c r="B41" s="13" t="s">
        <v>2235</v>
      </c>
      <c r="C41" s="13" t="s">
        <v>307</v>
      </c>
      <c r="D41" s="10" t="s">
        <v>2236</v>
      </c>
      <c r="E41" s="25" t="s">
        <v>266</v>
      </c>
      <c r="F41" s="26"/>
      <c r="G41" s="26" t="s">
        <v>2228</v>
      </c>
      <c r="H41" s="27"/>
      <c r="I41" s="26"/>
      <c r="J41" s="15" t="s">
        <v>632</v>
      </c>
      <c r="K41" s="15" t="s">
        <v>294</v>
      </c>
      <c r="L41" s="15" t="s">
        <v>2229</v>
      </c>
    </row>
    <row r="42" s="1" customFormat="1" spans="1:12">
      <c r="A42" s="33"/>
      <c r="B42" s="13" t="s">
        <v>2237</v>
      </c>
      <c r="C42" s="13" t="s">
        <v>307</v>
      </c>
      <c r="D42" s="10" t="s">
        <v>2238</v>
      </c>
      <c r="E42" s="25" t="s">
        <v>266</v>
      </c>
      <c r="F42" s="26"/>
      <c r="G42" s="26" t="s">
        <v>2231</v>
      </c>
      <c r="H42" s="27"/>
      <c r="I42" s="26"/>
      <c r="J42" s="15" t="s">
        <v>632</v>
      </c>
      <c r="K42" s="15" t="s">
        <v>404</v>
      </c>
      <c r="L42" s="15" t="s">
        <v>633</v>
      </c>
    </row>
    <row r="43" s="1" customFormat="1" spans="1:12">
      <c r="A43" s="33"/>
      <c r="B43" s="13" t="s">
        <v>2239</v>
      </c>
      <c r="C43" s="13" t="s">
        <v>307</v>
      </c>
      <c r="D43" s="10" t="s">
        <v>2240</v>
      </c>
      <c r="E43" s="25" t="s">
        <v>266</v>
      </c>
      <c r="F43" s="26"/>
      <c r="G43" s="26" t="s">
        <v>2233</v>
      </c>
      <c r="H43" s="27"/>
      <c r="I43" s="26"/>
      <c r="J43" s="15" t="s">
        <v>632</v>
      </c>
      <c r="K43" s="15" t="s">
        <v>669</v>
      </c>
      <c r="L43" s="15" t="s">
        <v>633</v>
      </c>
    </row>
    <row r="44" s="1" customFormat="1" spans="1:12">
      <c r="A44" s="33"/>
      <c r="B44" s="13" t="s">
        <v>2241</v>
      </c>
      <c r="C44" s="13" t="s">
        <v>666</v>
      </c>
      <c r="D44" s="10" t="s">
        <v>2242</v>
      </c>
      <c r="E44" s="25" t="s">
        <v>266</v>
      </c>
      <c r="F44" s="26"/>
      <c r="G44" s="26" t="s">
        <v>1971</v>
      </c>
      <c r="H44" s="27"/>
      <c r="I44" s="26"/>
      <c r="J44" s="15" t="s">
        <v>632</v>
      </c>
      <c r="K44" s="15" t="s">
        <v>1902</v>
      </c>
      <c r="L44" s="15" t="s">
        <v>633</v>
      </c>
    </row>
    <row r="45" s="1" customFormat="1" spans="1:12">
      <c r="A45" s="33"/>
      <c r="B45" s="13" t="s">
        <v>2243</v>
      </c>
      <c r="C45" s="13" t="s">
        <v>666</v>
      </c>
      <c r="D45" s="10" t="s">
        <v>2244</v>
      </c>
      <c r="E45" s="25" t="s">
        <v>266</v>
      </c>
      <c r="F45" s="26"/>
      <c r="G45" s="26" t="s">
        <v>2245</v>
      </c>
      <c r="H45" s="2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2246</v>
      </c>
      <c r="C46" s="13" t="s">
        <v>307</v>
      </c>
      <c r="D46" s="10" t="s">
        <v>2247</v>
      </c>
      <c r="E46" s="25" t="s">
        <v>266</v>
      </c>
      <c r="F46" s="26"/>
      <c r="G46" s="26" t="s">
        <v>2248</v>
      </c>
      <c r="H46" s="27"/>
      <c r="I46" s="26"/>
      <c r="J46" s="15" t="s">
        <v>632</v>
      </c>
      <c r="K46" s="15" t="s">
        <v>669</v>
      </c>
      <c r="L46" s="15" t="s">
        <v>633</v>
      </c>
    </row>
    <row r="47" s="1" customFormat="1" spans="1:12">
      <c r="A47" s="33"/>
      <c r="B47" s="13" t="s">
        <v>2012</v>
      </c>
      <c r="C47" s="13" t="s">
        <v>338</v>
      </c>
      <c r="D47" s="10" t="s">
        <v>2013</v>
      </c>
      <c r="E47" s="25" t="s">
        <v>266</v>
      </c>
      <c r="F47" s="26"/>
      <c r="G47" s="26" t="s">
        <v>2161</v>
      </c>
      <c r="H47" s="2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2015</v>
      </c>
      <c r="C48" s="13" t="s">
        <v>338</v>
      </c>
      <c r="D48" s="10" t="s">
        <v>2016</v>
      </c>
      <c r="E48" s="25" t="s">
        <v>266</v>
      </c>
      <c r="F48" s="26"/>
      <c r="G48" s="26" t="s">
        <v>2162</v>
      </c>
      <c r="H48" s="2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2018</v>
      </c>
      <c r="C49" s="13" t="s">
        <v>338</v>
      </c>
      <c r="D49" s="10" t="s">
        <v>2019</v>
      </c>
      <c r="E49" s="25" t="s">
        <v>266</v>
      </c>
      <c r="F49" s="26"/>
      <c r="G49" s="26" t="s">
        <v>2163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2249</v>
      </c>
      <c r="C50" s="13" t="s">
        <v>307</v>
      </c>
      <c r="D50" s="10" t="s">
        <v>1419</v>
      </c>
      <c r="E50" s="25" t="s">
        <v>266</v>
      </c>
      <c r="F50" s="26"/>
      <c r="G50" s="26" t="s">
        <v>2250</v>
      </c>
      <c r="H50" s="2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1420</v>
      </c>
      <c r="C51" s="13" t="s">
        <v>307</v>
      </c>
      <c r="D51" s="10" t="s">
        <v>1421</v>
      </c>
      <c r="E51" s="25" t="s">
        <v>266</v>
      </c>
      <c r="F51" s="26"/>
      <c r="G51" s="26" t="s">
        <v>1422</v>
      </c>
      <c r="H51" s="2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2021</v>
      </c>
      <c r="C52" s="13" t="s">
        <v>338</v>
      </c>
      <c r="D52" s="10" t="s">
        <v>2022</v>
      </c>
      <c r="E52" s="25" t="s">
        <v>266</v>
      </c>
      <c r="F52" s="26"/>
      <c r="G52" s="26" t="s">
        <v>2164</v>
      </c>
      <c r="H52" s="27"/>
      <c r="I52" s="26"/>
      <c r="J52" s="15" t="s">
        <v>632</v>
      </c>
      <c r="K52" s="15" t="s">
        <v>294</v>
      </c>
      <c r="L52" s="15" t="s">
        <v>633</v>
      </c>
    </row>
    <row r="53" s="1" customFormat="1" spans="1:12">
      <c r="A53" s="33"/>
      <c r="B53" s="13" t="s">
        <v>2024</v>
      </c>
      <c r="C53" s="13" t="s">
        <v>338</v>
      </c>
      <c r="D53" s="10" t="s">
        <v>2025</v>
      </c>
      <c r="E53" s="25" t="s">
        <v>266</v>
      </c>
      <c r="F53" s="26"/>
      <c r="G53" s="26" t="s">
        <v>2165</v>
      </c>
      <c r="H53" s="27"/>
      <c r="I53" s="26"/>
      <c r="J53" s="15" t="s">
        <v>632</v>
      </c>
      <c r="K53" s="15" t="s">
        <v>294</v>
      </c>
      <c r="L53" s="15" t="s">
        <v>633</v>
      </c>
    </row>
    <row r="54" s="1" customFormat="1" spans="1:12">
      <c r="A54" s="33"/>
      <c r="B54" s="13" t="s">
        <v>2027</v>
      </c>
      <c r="C54" s="57" t="s">
        <v>338</v>
      </c>
      <c r="D54" s="10" t="s">
        <v>2028</v>
      </c>
      <c r="E54" s="25"/>
      <c r="F54" s="26"/>
      <c r="G54" s="26" t="s">
        <v>2166</v>
      </c>
      <c r="H54" s="27"/>
      <c r="I54" s="26"/>
      <c r="J54" s="15" t="s">
        <v>632</v>
      </c>
      <c r="K54" s="15" t="s">
        <v>294</v>
      </c>
      <c r="L54" s="15" t="s">
        <v>633</v>
      </c>
    </row>
    <row r="55" spans="2:12">
      <c r="B55" s="17" t="s">
        <v>594</v>
      </c>
      <c r="C55" s="18" t="s">
        <v>307</v>
      </c>
      <c r="D55" s="19" t="s">
        <v>595</v>
      </c>
      <c r="E55" s="28"/>
      <c r="F55" s="28"/>
      <c r="G55" s="28"/>
      <c r="H55" s="17"/>
      <c r="I55" s="17"/>
      <c r="J55" s="17"/>
      <c r="K55" s="17"/>
      <c r="L55" s="17"/>
    </row>
    <row r="56" spans="2:12">
      <c r="B56" s="17" t="s">
        <v>596</v>
      </c>
      <c r="C56" s="18" t="s">
        <v>291</v>
      </c>
      <c r="D56" s="19" t="s">
        <v>597</v>
      </c>
      <c r="E56" s="28"/>
      <c r="F56" s="28"/>
      <c r="G56" s="28"/>
      <c r="H56" s="17" t="s">
        <v>932</v>
      </c>
      <c r="I56" s="17"/>
      <c r="J56" s="17"/>
      <c r="K56" s="17"/>
      <c r="L56" s="17"/>
    </row>
  </sheetData>
  <autoFilter xmlns:etc="http://www.wps.cn/officeDocument/2017/etCustomData" ref="A13:Q56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zoomScale="85" zoomScaleNormal="85" workbookViewId="0">
      <pane ySplit="5" topLeftCell="A12" activePane="bottomLeft" state="frozen"/>
      <selection/>
      <selection pane="bottomLeft" activeCell="B28" sqref="B28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223</v>
      </c>
      <c r="D5" s="14" t="s">
        <v>224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10" t="s">
        <v>218</v>
      </c>
      <c r="D9" s="14" t="s">
        <v>219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1351</v>
      </c>
      <c r="C14" s="32" t="s">
        <v>1352</v>
      </c>
      <c r="D14" s="10" t="s">
        <v>1353</v>
      </c>
      <c r="E14" s="25" t="s">
        <v>266</v>
      </c>
      <c r="F14" s="26" t="s">
        <v>596</v>
      </c>
      <c r="G14" s="26" t="s">
        <v>293</v>
      </c>
      <c r="H14" s="37"/>
      <c r="I14" s="15"/>
      <c r="J14" s="15" t="s">
        <v>604</v>
      </c>
      <c r="K14" s="15" t="s">
        <v>294</v>
      </c>
      <c r="L14" s="15" t="s">
        <v>605</v>
      </c>
    </row>
    <row r="15" s="1" customFormat="1" spans="1:12">
      <c r="A15" s="33"/>
      <c r="B15" s="32" t="s">
        <v>295</v>
      </c>
      <c r="C15" s="32" t="s">
        <v>291</v>
      </c>
      <c r="D15" s="10" t="s">
        <v>296</v>
      </c>
      <c r="E15" s="25" t="s">
        <v>266</v>
      </c>
      <c r="F15" s="26" t="s">
        <v>295</v>
      </c>
      <c r="G15" s="26" t="s">
        <v>293</v>
      </c>
      <c r="H15" s="37"/>
      <c r="I15" s="30"/>
      <c r="J15" s="15" t="s">
        <v>604</v>
      </c>
      <c r="K15" s="15" t="s">
        <v>294</v>
      </c>
      <c r="L15" s="15" t="s">
        <v>294</v>
      </c>
    </row>
    <row r="16" s="1" customFormat="1" spans="1:12">
      <c r="A16" s="33"/>
      <c r="B16" s="32" t="s">
        <v>297</v>
      </c>
      <c r="C16" s="32" t="s">
        <v>291</v>
      </c>
      <c r="D16" s="10" t="s">
        <v>298</v>
      </c>
      <c r="E16" s="25" t="s">
        <v>266</v>
      </c>
      <c r="F16" s="10" t="s">
        <v>297</v>
      </c>
      <c r="G16" s="26" t="s">
        <v>293</v>
      </c>
      <c r="H16" s="37"/>
      <c r="I16" s="30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13" t="s">
        <v>1460</v>
      </c>
      <c r="C17" s="32" t="s">
        <v>338</v>
      </c>
      <c r="D17" s="10" t="s">
        <v>1461</v>
      </c>
      <c r="E17" s="25" t="s">
        <v>266</v>
      </c>
      <c r="F17" s="10"/>
      <c r="G17" s="26" t="s">
        <v>1462</v>
      </c>
      <c r="H17" s="37"/>
      <c r="I17" s="30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13" t="s">
        <v>1354</v>
      </c>
      <c r="C18" s="32" t="s">
        <v>385</v>
      </c>
      <c r="D18" s="10" t="s">
        <v>1429</v>
      </c>
      <c r="E18" s="25" t="s">
        <v>266</v>
      </c>
      <c r="F18" s="26" t="s">
        <v>327</v>
      </c>
      <c r="G18" s="26" t="s">
        <v>293</v>
      </c>
      <c r="H18" s="37"/>
      <c r="I18" s="30"/>
      <c r="J18" s="15" t="s">
        <v>604</v>
      </c>
      <c r="K18" s="15" t="s">
        <v>294</v>
      </c>
      <c r="L18" s="58">
        <v>6</v>
      </c>
    </row>
    <row r="19" s="1" customFormat="1" spans="1:12">
      <c r="A19" s="33"/>
      <c r="B19" s="13" t="s">
        <v>522</v>
      </c>
      <c r="C19" s="32" t="s">
        <v>307</v>
      </c>
      <c r="D19" s="10" t="s">
        <v>523</v>
      </c>
      <c r="E19" s="25" t="s">
        <v>266</v>
      </c>
      <c r="F19" s="26" t="s">
        <v>594</v>
      </c>
      <c r="G19" s="26"/>
      <c r="H19" s="37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524</v>
      </c>
      <c r="C20" s="32" t="s">
        <v>307</v>
      </c>
      <c r="D20" s="10" t="s">
        <v>1430</v>
      </c>
      <c r="E20" s="25" t="s">
        <v>266</v>
      </c>
      <c r="F20" s="10" t="s">
        <v>517</v>
      </c>
      <c r="G20" s="26"/>
      <c r="H20" s="37"/>
      <c r="I20" s="30"/>
      <c r="J20" s="15" t="s">
        <v>604</v>
      </c>
      <c r="K20" s="15" t="s">
        <v>294</v>
      </c>
      <c r="L20" s="15" t="s">
        <v>615</v>
      </c>
    </row>
    <row r="21" s="1" customFormat="1" spans="2:12">
      <c r="B21" s="13" t="s">
        <v>1356</v>
      </c>
      <c r="C21" s="13" t="s">
        <v>307</v>
      </c>
      <c r="D21" s="10" t="s">
        <v>617</v>
      </c>
      <c r="E21" s="25" t="s">
        <v>266</v>
      </c>
      <c r="F21" s="10" t="s">
        <v>520</v>
      </c>
      <c r="G21" s="26"/>
      <c r="H21" s="37"/>
      <c r="I21" s="53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2218</v>
      </c>
      <c r="C22" s="13" t="s">
        <v>307</v>
      </c>
      <c r="D22" s="10" t="s">
        <v>2219</v>
      </c>
      <c r="E22" s="25" t="s">
        <v>266</v>
      </c>
      <c r="F22" s="26"/>
      <c r="G22" s="26" t="str">
        <f>VLOOKUP(B22,'68'!B:L,6,0)</f>
        <v>10000 - 10000*(sum(nvl(abnormal_cnt,0))/sum(nvl(videoplayrequestcount,0)))</v>
      </c>
      <c r="H22" s="27"/>
      <c r="I22" s="26"/>
      <c r="J22" s="15" t="s">
        <v>632</v>
      </c>
      <c r="K22" s="15" t="s">
        <v>294</v>
      </c>
      <c r="L22" s="15" t="s">
        <v>1361</v>
      </c>
    </row>
    <row r="23" s="1" customFormat="1" spans="1:12">
      <c r="A23" s="33"/>
      <c r="B23" s="13" t="s">
        <v>1362</v>
      </c>
      <c r="C23" s="13" t="s">
        <v>307</v>
      </c>
      <c r="D23" s="10" t="s">
        <v>1363</v>
      </c>
      <c r="E23" s="25" t="s">
        <v>266</v>
      </c>
      <c r="F23" s="26"/>
      <c r="G23" s="26" t="str">
        <f>VLOOKUP(B23,'68'!B:L,6,0)</f>
        <v>sum(videoplayrequestcount)</v>
      </c>
      <c r="H23" s="27"/>
      <c r="I23" s="26"/>
      <c r="J23" s="15" t="s">
        <v>632</v>
      </c>
      <c r="K23" s="15" t="s">
        <v>294</v>
      </c>
      <c r="L23" s="15" t="s">
        <v>670</v>
      </c>
    </row>
    <row r="24" s="1" customFormat="1" spans="1:12">
      <c r="A24" s="33"/>
      <c r="B24" s="13" t="s">
        <v>1364</v>
      </c>
      <c r="C24" s="13" t="s">
        <v>307</v>
      </c>
      <c r="D24" s="10" t="s">
        <v>1365</v>
      </c>
      <c r="E24" s="25" t="s">
        <v>266</v>
      </c>
      <c r="F24" s="26"/>
      <c r="G24" s="26" t="str">
        <f>VLOOKUP(B24,'68'!B:L,6,0)</f>
        <v>sum(outputoctets_sum/1024)</v>
      </c>
      <c r="H24" s="27"/>
      <c r="I24" s="26"/>
      <c r="J24" s="15" t="s">
        <v>632</v>
      </c>
      <c r="K24" s="15" t="s">
        <v>1367</v>
      </c>
      <c r="L24" s="15" t="s">
        <v>670</v>
      </c>
    </row>
    <row r="25" s="1" customFormat="1" spans="1:12">
      <c r="A25" s="33"/>
      <c r="B25" s="13" t="s">
        <v>1368</v>
      </c>
      <c r="C25" s="13" t="s">
        <v>307</v>
      </c>
      <c r="D25" s="10" t="s">
        <v>1369</v>
      </c>
      <c r="E25" s="25" t="s">
        <v>266</v>
      </c>
      <c r="F25" s="26"/>
      <c r="G25" s="26" t="str">
        <f>VLOOKUP(B25,'68'!B:L,6,0)</f>
        <v>sum(inputoctets_sum/1024)</v>
      </c>
      <c r="H25" s="27"/>
      <c r="I25" s="26"/>
      <c r="J25" s="15" t="s">
        <v>632</v>
      </c>
      <c r="K25" s="15" t="s">
        <v>1367</v>
      </c>
      <c r="L25" s="15" t="s">
        <v>670</v>
      </c>
    </row>
    <row r="26" s="1" customFormat="1" spans="1:12">
      <c r="A26" s="33"/>
      <c r="B26" s="32" t="s">
        <v>1371</v>
      </c>
      <c r="C26" s="32" t="s">
        <v>338</v>
      </c>
      <c r="D26" s="10" t="s">
        <v>1372</v>
      </c>
      <c r="E26" s="25" t="s">
        <v>266</v>
      </c>
      <c r="F26" s="26"/>
      <c r="G26" s="26" t="str">
        <f>VLOOKUP(B26,'68'!B:L,6,0)</f>
        <v>sum(duration_sum/1000)</v>
      </c>
      <c r="H26" s="27"/>
      <c r="I26" s="26"/>
      <c r="J26" s="15" t="s">
        <v>632</v>
      </c>
      <c r="K26" s="15" t="s">
        <v>674</v>
      </c>
      <c r="L26" s="15" t="s">
        <v>633</v>
      </c>
    </row>
    <row r="27" s="1" customFormat="1" spans="1:12">
      <c r="A27" s="33"/>
      <c r="B27" s="13" t="s">
        <v>1374</v>
      </c>
      <c r="C27" s="13" t="s">
        <v>338</v>
      </c>
      <c r="D27" s="10" t="s">
        <v>1375</v>
      </c>
      <c r="E27" s="25" t="s">
        <v>266</v>
      </c>
      <c r="F27" s="26"/>
      <c r="G27" s="26" t="str">
        <f>VLOOKUP(B27,'68'!B:L,6,0)</f>
        <v>sum(duration_sum/1000)</v>
      </c>
      <c r="H27" s="27"/>
      <c r="I27" s="26"/>
      <c r="J27" s="15" t="s">
        <v>632</v>
      </c>
      <c r="K27" s="15" t="s">
        <v>674</v>
      </c>
      <c r="L27" s="15" t="s">
        <v>633</v>
      </c>
    </row>
    <row r="28" s="1" customFormat="1" spans="1:12">
      <c r="A28" s="33"/>
      <c r="B28" s="13" t="s">
        <v>337</v>
      </c>
      <c r="C28" s="13" t="s">
        <v>307</v>
      </c>
      <c r="D28" s="10" t="s">
        <v>1433</v>
      </c>
      <c r="E28" s="25" t="s">
        <v>266</v>
      </c>
      <c r="F28" s="26"/>
      <c r="G28" s="26" t="str">
        <f>VLOOKUP(B28,'68'!B:L,6,0)</f>
        <v>sum(duration_sum/1000)</v>
      </c>
      <c r="H28" s="27"/>
      <c r="I28" s="26"/>
      <c r="J28" s="15" t="s">
        <v>632</v>
      </c>
      <c r="K28" s="15" t="s">
        <v>674</v>
      </c>
      <c r="L28" s="15" t="s">
        <v>633</v>
      </c>
    </row>
    <row r="29" s="1" customFormat="1" spans="1:12">
      <c r="A29" s="33"/>
      <c r="B29" s="13" t="s">
        <v>1376</v>
      </c>
      <c r="C29" s="13" t="s">
        <v>307</v>
      </c>
      <c r="D29" s="10" t="s">
        <v>1377</v>
      </c>
      <c r="E29" s="25" t="s">
        <v>266</v>
      </c>
      <c r="F29" s="26"/>
      <c r="G29" s="26" t="str">
        <f>VLOOKUP(B29,'68'!B:L,6,0)</f>
        <v>sum(outputoctets_sum*8/1024)/sum(duration_sum/1000)</v>
      </c>
      <c r="H29" s="27"/>
      <c r="I29" s="26"/>
      <c r="J29" s="15" t="s">
        <v>632</v>
      </c>
      <c r="K29" s="15" t="s">
        <v>669</v>
      </c>
      <c r="L29" s="15" t="s">
        <v>670</v>
      </c>
    </row>
    <row r="30" s="1" customFormat="1" spans="1:12">
      <c r="A30" s="33"/>
      <c r="B30" s="13" t="s">
        <v>1379</v>
      </c>
      <c r="C30" s="13" t="s">
        <v>307</v>
      </c>
      <c r="D30" s="10" t="s">
        <v>1380</v>
      </c>
      <c r="E30" s="25" t="s">
        <v>266</v>
      </c>
      <c r="F30" s="26"/>
      <c r="G30" s="26" t="str">
        <f>VLOOKUP(B30,'68'!B:L,6,0)</f>
        <v>sum(inputoctets_sum*8/1024)/sum(duration_sum/1000)</v>
      </c>
      <c r="H30" s="27"/>
      <c r="I30" s="26"/>
      <c r="J30" s="15" t="s">
        <v>632</v>
      </c>
      <c r="K30" s="15" t="s">
        <v>669</v>
      </c>
      <c r="L30" s="15" t="s">
        <v>670</v>
      </c>
    </row>
    <row r="31" s="1" customFormat="1" spans="1:12">
      <c r="A31" s="33"/>
      <c r="B31" s="13" t="s">
        <v>2223</v>
      </c>
      <c r="C31" s="13" t="s">
        <v>307</v>
      </c>
      <c r="D31" s="10" t="s">
        <v>2224</v>
      </c>
      <c r="E31" s="25" t="s">
        <v>266</v>
      </c>
      <c r="F31" s="26"/>
      <c r="G31" s="26" t="str">
        <f>VLOOKUP(B31,'68'!B:L,6,0)</f>
        <v>sum(videoplaywaittime_sum)/sum(videoplaysuccesscount)</v>
      </c>
      <c r="H31" s="27"/>
      <c r="I31" s="26"/>
      <c r="J31" s="15" t="s">
        <v>632</v>
      </c>
      <c r="K31" s="15" t="s">
        <v>404</v>
      </c>
      <c r="L31" s="15" t="s">
        <v>633</v>
      </c>
    </row>
    <row r="32" s="1" customFormat="1" spans="1:12">
      <c r="A32" s="33"/>
      <c r="B32" s="13" t="s">
        <v>2226</v>
      </c>
      <c r="C32" s="13" t="s">
        <v>307</v>
      </c>
      <c r="D32" s="10" t="s">
        <v>2227</v>
      </c>
      <c r="E32" s="25" t="s">
        <v>266</v>
      </c>
      <c r="F32" s="26"/>
      <c r="G32" s="26" t="str">
        <f>VLOOKUP(B32,'68'!B:L,6,0)</f>
        <v>sum(videoplayhaltcount)/sum(videoplaysuccesscount)*100</v>
      </c>
      <c r="H32" s="27"/>
      <c r="I32" s="26"/>
      <c r="J32" s="15" t="s">
        <v>632</v>
      </c>
      <c r="K32" s="15" t="s">
        <v>294</v>
      </c>
      <c r="L32" s="15" t="s">
        <v>2229</v>
      </c>
    </row>
    <row r="33" s="1" customFormat="1" spans="1:12">
      <c r="A33" s="33"/>
      <c r="B33" s="13" t="s">
        <v>2230</v>
      </c>
      <c r="C33" s="13" t="s">
        <v>307</v>
      </c>
      <c r="D33" s="10" t="s">
        <v>2238</v>
      </c>
      <c r="E33" s="25" t="s">
        <v>266</v>
      </c>
      <c r="F33" s="26"/>
      <c r="G33" s="26" t="str">
        <f>VLOOKUP(B33,'68'!B:L,6,0)</f>
        <v>sum(videorecovertime_sum)/sum(videoplaysuccesscount)</v>
      </c>
      <c r="H33" s="27"/>
      <c r="I33" s="26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2232</v>
      </c>
      <c r="C34" s="13" t="s">
        <v>307</v>
      </c>
      <c r="D34" s="10" t="s">
        <v>1873</v>
      </c>
      <c r="E34" s="25" t="s">
        <v>266</v>
      </c>
      <c r="F34" s="26"/>
      <c r="G34" s="26" t="str">
        <f>VLOOKUP(B34,'68'!B:L,6,0)</f>
        <v>sum(videocachethroughput_avg*videocachethroughput_cnt)/sum(videocachethroughput_cnt)</v>
      </c>
      <c r="H34" s="27"/>
      <c r="I34" s="26"/>
      <c r="J34" s="15" t="s">
        <v>632</v>
      </c>
      <c r="K34" s="15" t="s">
        <v>669</v>
      </c>
      <c r="L34" s="15" t="s">
        <v>633</v>
      </c>
    </row>
    <row r="35" s="1" customFormat="1" spans="1:12">
      <c r="A35" s="33"/>
      <c r="B35" s="13" t="s">
        <v>1397</v>
      </c>
      <c r="C35" s="13" t="s">
        <v>307</v>
      </c>
      <c r="D35" s="10" t="s">
        <v>1363</v>
      </c>
      <c r="E35" s="25" t="s">
        <v>266</v>
      </c>
      <c r="F35" s="26"/>
      <c r="G35" s="26" t="str">
        <f>VLOOKUP(B35,'68'!B:L,6,0)</f>
        <v>sum(videoplayrequestcount)</v>
      </c>
      <c r="H35" s="27"/>
      <c r="I35" s="26"/>
      <c r="J35" s="15" t="s">
        <v>632</v>
      </c>
      <c r="K35" s="15" t="s">
        <v>294</v>
      </c>
      <c r="L35" s="15" t="s">
        <v>670</v>
      </c>
    </row>
    <row r="36" s="1" customFormat="1" spans="1:12">
      <c r="A36" s="33"/>
      <c r="B36" s="13" t="s">
        <v>1398</v>
      </c>
      <c r="C36" s="13" t="s">
        <v>307</v>
      </c>
      <c r="D36" s="10" t="s">
        <v>1399</v>
      </c>
      <c r="E36" s="25" t="s">
        <v>266</v>
      </c>
      <c r="F36" s="26"/>
      <c r="G36" s="26" t="str">
        <f>VLOOKUP(B36,'68'!B:L,6,0)</f>
        <v>sum(outputoctets_sum/1024)</v>
      </c>
      <c r="H36" s="27"/>
      <c r="I36" s="26"/>
      <c r="J36" s="15" t="s">
        <v>632</v>
      </c>
      <c r="K36" s="15" t="s">
        <v>1367</v>
      </c>
      <c r="L36" s="15" t="s">
        <v>670</v>
      </c>
    </row>
    <row r="37" s="1" customFormat="1" spans="1:12">
      <c r="A37" s="33"/>
      <c r="B37" s="13" t="s">
        <v>1400</v>
      </c>
      <c r="C37" s="13" t="s">
        <v>307</v>
      </c>
      <c r="D37" s="10" t="s">
        <v>1401</v>
      </c>
      <c r="E37" s="25" t="s">
        <v>266</v>
      </c>
      <c r="F37" s="26"/>
      <c r="G37" s="26" t="str">
        <f>VLOOKUP(B37,'68'!B:L,6,0)</f>
        <v>sum(inputoctets_sum/1024)</v>
      </c>
      <c r="H37" s="27"/>
      <c r="I37" s="26"/>
      <c r="J37" s="15" t="s">
        <v>632</v>
      </c>
      <c r="K37" s="15" t="s">
        <v>1367</v>
      </c>
      <c r="L37" s="15" t="s">
        <v>670</v>
      </c>
    </row>
    <row r="38" s="1" customFormat="1" spans="1:12">
      <c r="A38" s="33"/>
      <c r="B38" s="13" t="s">
        <v>1402</v>
      </c>
      <c r="C38" s="13" t="s">
        <v>307</v>
      </c>
      <c r="D38" s="10" t="s">
        <v>339</v>
      </c>
      <c r="E38" s="25" t="s">
        <v>266</v>
      </c>
      <c r="F38" s="26"/>
      <c r="G38" s="26" t="str">
        <f>VLOOKUP(B38,'68'!B:L,6,0)</f>
        <v>sum(duration_sum/1000)</v>
      </c>
      <c r="H38" s="27"/>
      <c r="I38" s="26"/>
      <c r="J38" s="15" t="s">
        <v>632</v>
      </c>
      <c r="K38" s="15" t="s">
        <v>674</v>
      </c>
      <c r="L38" s="15" t="s">
        <v>670</v>
      </c>
    </row>
    <row r="39" s="1" customFormat="1" spans="1:12">
      <c r="A39" s="33"/>
      <c r="B39" s="13" t="s">
        <v>1403</v>
      </c>
      <c r="C39" s="13" t="s">
        <v>307</v>
      </c>
      <c r="D39" s="10" t="s">
        <v>1404</v>
      </c>
      <c r="E39" s="25" t="s">
        <v>266</v>
      </c>
      <c r="F39" s="26"/>
      <c r="G39" s="26" t="str">
        <f>VLOOKUP(B39,'68'!B:L,6,0)</f>
        <v>sum(outputoctets_sum*8/1024)/sum(duration_sum/1000)</v>
      </c>
      <c r="H39" s="27"/>
      <c r="I39" s="26"/>
      <c r="J39" s="15" t="s">
        <v>632</v>
      </c>
      <c r="K39" s="15" t="s">
        <v>669</v>
      </c>
      <c r="L39" s="15" t="s">
        <v>670</v>
      </c>
    </row>
    <row r="40" s="1" customFormat="1" spans="1:12">
      <c r="A40" s="33"/>
      <c r="B40" s="13" t="s">
        <v>1405</v>
      </c>
      <c r="C40" s="13" t="s">
        <v>307</v>
      </c>
      <c r="D40" s="10" t="s">
        <v>1406</v>
      </c>
      <c r="E40" s="25" t="s">
        <v>266</v>
      </c>
      <c r="F40" s="26"/>
      <c r="G40" s="26" t="str">
        <f>VLOOKUP(B40,'68'!B:L,6,0)</f>
        <v>sum(inputoctets_sum*8/1024)/sum(duration_sum/1000)</v>
      </c>
      <c r="H40" s="27"/>
      <c r="I40" s="26"/>
      <c r="J40" s="15" t="s">
        <v>632</v>
      </c>
      <c r="K40" s="15" t="s">
        <v>669</v>
      </c>
      <c r="L40" s="15" t="s">
        <v>670</v>
      </c>
    </row>
    <row r="41" s="1" customFormat="1" spans="1:12">
      <c r="A41" s="33"/>
      <c r="B41" s="13" t="s">
        <v>2234</v>
      </c>
      <c r="C41" s="13" t="s">
        <v>307</v>
      </c>
      <c r="D41" s="10" t="s">
        <v>2224</v>
      </c>
      <c r="E41" s="25" t="s">
        <v>266</v>
      </c>
      <c r="F41" s="26"/>
      <c r="G41" s="26" t="str">
        <f>VLOOKUP(B41,'68'!B:L,6,0)</f>
        <v>sum(videoplaywaittime_sum)/sum(videoplaysuccesscount)</v>
      </c>
      <c r="H41" s="27"/>
      <c r="I41" s="26"/>
      <c r="J41" s="15" t="s">
        <v>632</v>
      </c>
      <c r="K41" s="15" t="s">
        <v>404</v>
      </c>
      <c r="L41" s="15" t="s">
        <v>633</v>
      </c>
    </row>
    <row r="42" s="1" customFormat="1" spans="1:12">
      <c r="A42" s="33"/>
      <c r="B42" s="13" t="s">
        <v>2235</v>
      </c>
      <c r="C42" s="13" t="s">
        <v>307</v>
      </c>
      <c r="D42" s="10" t="s">
        <v>2236</v>
      </c>
      <c r="E42" s="25" t="s">
        <v>266</v>
      </c>
      <c r="F42" s="26"/>
      <c r="G42" s="26" t="str">
        <f>VLOOKUP(B42,'68'!B:L,6,0)</f>
        <v>sum(videoplayhaltcount)/sum(videoplaysuccesscount)*100</v>
      </c>
      <c r="H42" s="27"/>
      <c r="I42" s="26"/>
      <c r="J42" s="15" t="s">
        <v>632</v>
      </c>
      <c r="K42" s="15" t="s">
        <v>294</v>
      </c>
      <c r="L42" s="15" t="s">
        <v>2229</v>
      </c>
    </row>
    <row r="43" s="1" customFormat="1" spans="1:12">
      <c r="A43" s="33"/>
      <c r="B43" s="13" t="s">
        <v>2237</v>
      </c>
      <c r="C43" s="13" t="s">
        <v>307</v>
      </c>
      <c r="D43" s="10" t="s">
        <v>2238</v>
      </c>
      <c r="E43" s="25" t="s">
        <v>266</v>
      </c>
      <c r="F43" s="26"/>
      <c r="G43" s="26" t="str">
        <f>VLOOKUP(B43,'68'!B:L,6,0)</f>
        <v>sum(videorecovertime_sum)/sum(videoplaysuccesscount)</v>
      </c>
      <c r="H43" s="27"/>
      <c r="I43" s="26"/>
      <c r="J43" s="15" t="s">
        <v>632</v>
      </c>
      <c r="K43" s="15" t="s">
        <v>404</v>
      </c>
      <c r="L43" s="15" t="s">
        <v>633</v>
      </c>
    </row>
    <row r="44" s="1" customFormat="1" spans="1:12">
      <c r="A44" s="33"/>
      <c r="B44" s="13" t="s">
        <v>2239</v>
      </c>
      <c r="C44" s="13" t="s">
        <v>307</v>
      </c>
      <c r="D44" s="10" t="s">
        <v>2240</v>
      </c>
      <c r="E44" s="25" t="s">
        <v>266</v>
      </c>
      <c r="F44" s="26"/>
      <c r="G44" s="26" t="str">
        <f>VLOOKUP(B44,'68'!B:L,6,0)</f>
        <v>sum(videocachethroughput_avg*videocachethroughput_cnt)/sum(videocachethroughput_cnt)</v>
      </c>
      <c r="H44" s="27"/>
      <c r="I44" s="26"/>
      <c r="J44" s="15" t="s">
        <v>632</v>
      </c>
      <c r="K44" s="15" t="s">
        <v>669</v>
      </c>
      <c r="L44" s="15" t="s">
        <v>633</v>
      </c>
    </row>
    <row r="45" s="1" customFormat="1" spans="1:12">
      <c r="A45" s="33"/>
      <c r="B45" s="13" t="s">
        <v>2241</v>
      </c>
      <c r="C45" s="13" t="s">
        <v>307</v>
      </c>
      <c r="D45" s="10" t="s">
        <v>2242</v>
      </c>
      <c r="E45" s="25" t="s">
        <v>266</v>
      </c>
      <c r="F45" s="26"/>
      <c r="G45" s="26" t="str">
        <f>VLOOKUP(B45,'68'!B:L,6,0)</f>
        <v>sum(videoplayhaltcount)/sum(video_play_duration)</v>
      </c>
      <c r="H45" s="27"/>
      <c r="I45" s="26"/>
      <c r="J45" s="15" t="s">
        <v>632</v>
      </c>
      <c r="K45" s="15" t="s">
        <v>1902</v>
      </c>
      <c r="L45" s="15" t="s">
        <v>633</v>
      </c>
    </row>
    <row r="46" s="1" customFormat="1" spans="1:12">
      <c r="A46" s="33"/>
      <c r="B46" s="13" t="s">
        <v>2243</v>
      </c>
      <c r="C46" s="13" t="s">
        <v>307</v>
      </c>
      <c r="D46" s="10" t="s">
        <v>2251</v>
      </c>
      <c r="E46" s="25" t="s">
        <v>266</v>
      </c>
      <c r="F46" s="26"/>
      <c r="G46" s="26" t="str">
        <f>VLOOKUP(B46,'68'!B:L,6,0)</f>
        <v>sum(videorecovertime_sum)/sum(duration_sum)</v>
      </c>
      <c r="H46" s="2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2246</v>
      </c>
      <c r="C47" s="13" t="s">
        <v>307</v>
      </c>
      <c r="D47" s="10" t="s">
        <v>2247</v>
      </c>
      <c r="E47" s="25" t="s">
        <v>266</v>
      </c>
      <c r="F47" s="26"/>
      <c r="G47" s="26" t="str">
        <f>VLOOKUP(B47,'68'!B:L,6,0)</f>
        <v>sum(videobitrate_sum)/sum(videobitrate_cnt)</v>
      </c>
      <c r="H47" s="27"/>
      <c r="I47" s="26"/>
      <c r="J47" s="15" t="s">
        <v>632</v>
      </c>
      <c r="K47" s="15" t="s">
        <v>669</v>
      </c>
      <c r="L47" s="15" t="s">
        <v>633</v>
      </c>
    </row>
    <row r="48" s="1" customFormat="1" spans="1:12">
      <c r="A48" s="33"/>
      <c r="B48" s="13" t="s">
        <v>2252</v>
      </c>
      <c r="C48" s="13" t="s">
        <v>307</v>
      </c>
      <c r="D48" s="10" t="s">
        <v>2253</v>
      </c>
      <c r="E48" s="25" t="s">
        <v>266</v>
      </c>
      <c r="F48" s="26"/>
      <c r="G48" s="26" t="s">
        <v>1451</v>
      </c>
      <c r="H48" s="27"/>
      <c r="I48" s="26"/>
      <c r="J48" s="15" t="s">
        <v>632</v>
      </c>
      <c r="K48" s="15" t="s">
        <v>294</v>
      </c>
      <c r="L48" s="58">
        <v>0</v>
      </c>
    </row>
    <row r="49" s="1" customFormat="1" spans="1:12">
      <c r="A49" s="33"/>
      <c r="B49" s="13" t="s">
        <v>2249</v>
      </c>
      <c r="C49" s="57" t="s">
        <v>307</v>
      </c>
      <c r="D49" s="10" t="s">
        <v>1419</v>
      </c>
      <c r="E49" s="25" t="s">
        <v>266</v>
      </c>
      <c r="F49" s="26"/>
      <c r="G49" s="26" t="str">
        <f>VLOOKUP(B49,'68'!B:L,6,0)</f>
        <v>sum(abnormal_cnt）</v>
      </c>
      <c r="H49" s="2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1420</v>
      </c>
      <c r="C50" s="57" t="s">
        <v>307</v>
      </c>
      <c r="D50" s="10" t="s">
        <v>1421</v>
      </c>
      <c r="E50" s="25" t="s">
        <v>266</v>
      </c>
      <c r="F50" s="26"/>
      <c r="G50" s="26" t="str">
        <f>VLOOKUP(B50,'68'!B:L,6,0)</f>
        <v>sum(abnormal_cnt_max)</v>
      </c>
      <c r="H50" s="27"/>
      <c r="I50" s="26"/>
      <c r="J50" s="15" t="s">
        <v>632</v>
      </c>
      <c r="K50" s="15" t="s">
        <v>294</v>
      </c>
      <c r="L50" s="15" t="s">
        <v>633</v>
      </c>
    </row>
    <row r="51" spans="2:12">
      <c r="B51" s="17" t="s">
        <v>594</v>
      </c>
      <c r="C51" s="18" t="s">
        <v>307</v>
      </c>
      <c r="D51" s="19" t="s">
        <v>595</v>
      </c>
      <c r="E51" s="28"/>
      <c r="F51" s="28"/>
      <c r="G51" s="28"/>
      <c r="H51" s="17"/>
      <c r="I51" s="17"/>
      <c r="J51" s="17"/>
      <c r="K51" s="17"/>
      <c r="L51" s="17"/>
    </row>
    <row r="52" spans="2:12">
      <c r="B52" s="17" t="s">
        <v>596</v>
      </c>
      <c r="C52" s="18" t="s">
        <v>291</v>
      </c>
      <c r="D52" s="19" t="s">
        <v>597</v>
      </c>
      <c r="E52" s="28"/>
      <c r="F52" s="28"/>
      <c r="G52" s="28"/>
      <c r="H52" s="17" t="s">
        <v>932</v>
      </c>
      <c r="I52" s="17"/>
      <c r="J52" s="17"/>
      <c r="K52" s="17"/>
      <c r="L52" s="17"/>
    </row>
  </sheetData>
  <autoFilter xmlns:etc="http://www.wps.cn/officeDocument/2017/etCustomData" ref="A13:Q52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"/>
  <sheetViews>
    <sheetView zoomScale="85" zoomScaleNormal="85" workbookViewId="0">
      <pane ySplit="5" topLeftCell="A15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5.3333333333333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8">
      <c r="B5" s="9" t="s">
        <v>40</v>
      </c>
      <c r="C5" s="10" t="s">
        <v>226</v>
      </c>
      <c r="D5" s="10" t="s">
        <v>227</v>
      </c>
      <c r="E5" s="13" t="s">
        <v>257</v>
      </c>
      <c r="F5" s="20"/>
      <c r="G5" s="13"/>
      <c r="H5" s="1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spans="2:8">
      <c r="B9" s="13"/>
      <c r="C9" s="51" t="s">
        <v>183</v>
      </c>
      <c r="D9" s="10" t="s">
        <v>184</v>
      </c>
      <c r="E9" s="13" t="s">
        <v>266</v>
      </c>
      <c r="F9" s="26"/>
      <c r="G9" s="26"/>
      <c r="H9" s="23" t="s">
        <v>44</v>
      </c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266</v>
      </c>
      <c r="F14" s="26" t="s">
        <v>596</v>
      </c>
      <c r="G14" s="26" t="s">
        <v>293</v>
      </c>
      <c r="H14" s="25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266</v>
      </c>
      <c r="F15" s="26" t="s">
        <v>598</v>
      </c>
      <c r="G15" s="26" t="s">
        <v>293</v>
      </c>
      <c r="H15" s="25"/>
      <c r="I15" s="15"/>
      <c r="J15" s="15" t="s">
        <v>604</v>
      </c>
      <c r="K15" s="15" t="s">
        <v>294</v>
      </c>
      <c r="L15" s="15" t="s">
        <v>607</v>
      </c>
    </row>
    <row r="16" s="1" customFormat="1" spans="2:12">
      <c r="B16" s="32" t="s">
        <v>257</v>
      </c>
      <c r="C16" s="32" t="s">
        <v>307</v>
      </c>
      <c r="D16" s="10" t="s">
        <v>37</v>
      </c>
      <c r="E16" s="25" t="s">
        <v>266</v>
      </c>
      <c r="F16" s="26" t="s">
        <v>600</v>
      </c>
      <c r="G16" s="26" t="s">
        <v>293</v>
      </c>
      <c r="H16" s="25"/>
      <c r="I16" s="15"/>
      <c r="J16" s="15" t="s">
        <v>604</v>
      </c>
      <c r="K16" s="15" t="s">
        <v>294</v>
      </c>
      <c r="L16" s="15" t="s">
        <v>608</v>
      </c>
    </row>
    <row r="17" s="1" customFormat="1" spans="1:12">
      <c r="A17" s="33"/>
      <c r="B17" s="32" t="s">
        <v>290</v>
      </c>
      <c r="C17" s="32" t="s">
        <v>307</v>
      </c>
      <c r="D17" s="10" t="s">
        <v>609</v>
      </c>
      <c r="E17" s="25" t="s">
        <v>266</v>
      </c>
      <c r="F17" s="26" t="s">
        <v>290</v>
      </c>
      <c r="G17" s="26" t="s">
        <v>293</v>
      </c>
      <c r="H17" s="25"/>
      <c r="I17" s="30"/>
      <c r="J17" s="15" t="s">
        <v>604</v>
      </c>
      <c r="K17" s="15" t="s">
        <v>294</v>
      </c>
      <c r="L17" s="15" t="s">
        <v>610</v>
      </c>
    </row>
    <row r="18" s="1" customFormat="1" spans="1:12">
      <c r="A18" s="33"/>
      <c r="B18" s="32" t="s">
        <v>327</v>
      </c>
      <c r="C18" s="32" t="s">
        <v>307</v>
      </c>
      <c r="D18" s="10" t="s">
        <v>611</v>
      </c>
      <c r="E18" s="25" t="s">
        <v>266</v>
      </c>
      <c r="F18" s="26" t="s">
        <v>327</v>
      </c>
      <c r="G18" s="26" t="s">
        <v>293</v>
      </c>
      <c r="H18" s="25"/>
      <c r="I18" s="30"/>
      <c r="J18" s="15" t="s">
        <v>604</v>
      </c>
      <c r="K18" s="15" t="s">
        <v>294</v>
      </c>
      <c r="L18" s="15" t="s">
        <v>612</v>
      </c>
    </row>
    <row r="19" s="1" customFormat="1" spans="1:12">
      <c r="A19" s="33"/>
      <c r="B19" s="32" t="s">
        <v>613</v>
      </c>
      <c r="C19" s="32" t="s">
        <v>307</v>
      </c>
      <c r="D19" s="10" t="s">
        <v>614</v>
      </c>
      <c r="E19" s="25" t="s">
        <v>266</v>
      </c>
      <c r="F19" s="26" t="s">
        <v>594</v>
      </c>
      <c r="G19" s="26" t="s">
        <v>293</v>
      </c>
      <c r="H19" s="25"/>
      <c r="I19" s="30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32" t="s">
        <v>517</v>
      </c>
      <c r="C20" s="32" t="s">
        <v>307</v>
      </c>
      <c r="D20" s="10" t="s">
        <v>616</v>
      </c>
      <c r="E20" s="25" t="s">
        <v>266</v>
      </c>
      <c r="F20" s="26" t="s">
        <v>517</v>
      </c>
      <c r="G20" s="26" t="s">
        <v>293</v>
      </c>
      <c r="H20" s="25"/>
      <c r="I20" s="30"/>
      <c r="J20" s="15" t="s">
        <v>604</v>
      </c>
      <c r="K20" s="15" t="s">
        <v>294</v>
      </c>
      <c r="L20" s="15" t="s">
        <v>615</v>
      </c>
    </row>
    <row r="21" s="1" customFormat="1" spans="1:12">
      <c r="A21" s="33"/>
      <c r="B21" s="13" t="s">
        <v>520</v>
      </c>
      <c r="C21" s="32" t="s">
        <v>307</v>
      </c>
      <c r="D21" s="10" t="s">
        <v>617</v>
      </c>
      <c r="E21" s="25" t="s">
        <v>266</v>
      </c>
      <c r="F21" s="26" t="s">
        <v>520</v>
      </c>
      <c r="G21" s="26" t="s">
        <v>293</v>
      </c>
      <c r="H21" s="25"/>
      <c r="I21" s="30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522</v>
      </c>
      <c r="C22" s="32" t="s">
        <v>291</v>
      </c>
      <c r="D22" s="10" t="s">
        <v>523</v>
      </c>
      <c r="E22" s="25" t="s">
        <v>266</v>
      </c>
      <c r="F22" s="26" t="s">
        <v>522</v>
      </c>
      <c r="G22" s="26" t="s">
        <v>293</v>
      </c>
      <c r="H22" s="25"/>
      <c r="I22" s="30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524</v>
      </c>
      <c r="C23" s="32" t="s">
        <v>291</v>
      </c>
      <c r="D23" s="10" t="s">
        <v>525</v>
      </c>
      <c r="E23" s="25" t="s">
        <v>266</v>
      </c>
      <c r="F23" s="26" t="s">
        <v>524</v>
      </c>
      <c r="G23" s="26" t="s">
        <v>293</v>
      </c>
      <c r="H23" s="25"/>
      <c r="I23" s="30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526</v>
      </c>
      <c r="C24" s="32" t="s">
        <v>291</v>
      </c>
      <c r="D24" s="10" t="s">
        <v>527</v>
      </c>
      <c r="E24" s="25" t="s">
        <v>266</v>
      </c>
      <c r="F24" s="26" t="s">
        <v>526</v>
      </c>
      <c r="G24" s="26" t="s">
        <v>293</v>
      </c>
      <c r="H24" s="25"/>
      <c r="I24" s="30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26" t="s">
        <v>514</v>
      </c>
      <c r="G25" s="26" t="s">
        <v>293</v>
      </c>
      <c r="H25" s="25"/>
      <c r="I25" s="53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295</v>
      </c>
      <c r="C26" s="13" t="s">
        <v>291</v>
      </c>
      <c r="D26" s="10" t="s">
        <v>618</v>
      </c>
      <c r="E26" s="25" t="s">
        <v>266</v>
      </c>
      <c r="F26" s="26" t="s">
        <v>295</v>
      </c>
      <c r="G26" s="26" t="s">
        <v>293</v>
      </c>
      <c r="H26" s="25"/>
      <c r="I26" s="30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297</v>
      </c>
      <c r="C27" s="13" t="s">
        <v>291</v>
      </c>
      <c r="D27" s="10" t="s">
        <v>298</v>
      </c>
      <c r="E27" s="25" t="s">
        <v>266</v>
      </c>
      <c r="F27" s="26" t="s">
        <v>297</v>
      </c>
      <c r="G27" s="26" t="s">
        <v>293</v>
      </c>
      <c r="H27" s="25"/>
      <c r="I27" s="30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300</v>
      </c>
      <c r="C28" s="13" t="s">
        <v>291</v>
      </c>
      <c r="D28" s="10" t="s">
        <v>619</v>
      </c>
      <c r="E28" s="25" t="s">
        <v>266</v>
      </c>
      <c r="F28" s="26" t="s">
        <v>300</v>
      </c>
      <c r="G28" s="26" t="s">
        <v>293</v>
      </c>
      <c r="H28" s="25"/>
      <c r="I28" s="30"/>
      <c r="J28" s="15" t="s">
        <v>604</v>
      </c>
      <c r="K28" s="15" t="s">
        <v>294</v>
      </c>
      <c r="L28" s="15" t="s">
        <v>294</v>
      </c>
    </row>
    <row r="29" s="1" customFormat="1" spans="2:12">
      <c r="B29" s="32" t="s">
        <v>331</v>
      </c>
      <c r="C29" s="13" t="s">
        <v>291</v>
      </c>
      <c r="D29" s="10" t="s">
        <v>623</v>
      </c>
      <c r="E29" s="25" t="s">
        <v>266</v>
      </c>
      <c r="F29" s="26" t="s">
        <v>331</v>
      </c>
      <c r="G29" s="26" t="s">
        <v>293</v>
      </c>
      <c r="H29" s="25"/>
      <c r="I29" s="15"/>
      <c r="J29" s="15" t="s">
        <v>604</v>
      </c>
      <c r="K29" s="15" t="s">
        <v>294</v>
      </c>
      <c r="L29" s="15" t="s">
        <v>294</v>
      </c>
    </row>
    <row r="30" s="33" customFormat="1" spans="2:12">
      <c r="B30" s="32" t="s">
        <v>378</v>
      </c>
      <c r="C30" s="13" t="s">
        <v>291</v>
      </c>
      <c r="D30" s="10" t="s">
        <v>624</v>
      </c>
      <c r="E30" s="25" t="s">
        <v>266</v>
      </c>
      <c r="F30" s="26" t="s">
        <v>378</v>
      </c>
      <c r="G30" s="26" t="s">
        <v>293</v>
      </c>
      <c r="H30" s="25"/>
      <c r="I30" s="30"/>
      <c r="J30" s="15" t="s">
        <v>604</v>
      </c>
      <c r="K30" s="15" t="s">
        <v>294</v>
      </c>
      <c r="L30" s="15" t="s">
        <v>615</v>
      </c>
    </row>
    <row r="31" s="1" customFormat="1" spans="1:12">
      <c r="A31" s="33"/>
      <c r="B31" s="13" t="s">
        <v>629</v>
      </c>
      <c r="C31" s="13" t="s">
        <v>338</v>
      </c>
      <c r="D31" s="10" t="s">
        <v>630</v>
      </c>
      <c r="E31" s="25" t="s">
        <v>266</v>
      </c>
      <c r="F31" s="26"/>
      <c r="G31" s="26" t="s">
        <v>933</v>
      </c>
      <c r="H31" s="37"/>
      <c r="I31" s="26"/>
      <c r="J31" s="15" t="s">
        <v>632</v>
      </c>
      <c r="K31" s="15" t="s">
        <v>294</v>
      </c>
      <c r="L31" s="15" t="s">
        <v>633</v>
      </c>
    </row>
    <row r="32" s="1" customFormat="1" spans="1:12">
      <c r="A32" s="33"/>
      <c r="B32" s="13" t="s">
        <v>637</v>
      </c>
      <c r="C32" s="13" t="s">
        <v>338</v>
      </c>
      <c r="D32" s="10" t="s">
        <v>638</v>
      </c>
      <c r="E32" s="25" t="s">
        <v>266</v>
      </c>
      <c r="F32" s="26"/>
      <c r="G32" s="26" t="s">
        <v>935</v>
      </c>
      <c r="H32" s="37"/>
      <c r="I32" s="26"/>
      <c r="J32" s="15" t="s">
        <v>632</v>
      </c>
      <c r="K32" s="15" t="s">
        <v>294</v>
      </c>
      <c r="L32" s="15" t="s">
        <v>633</v>
      </c>
    </row>
    <row r="33" s="1" customFormat="1" spans="1:12">
      <c r="A33" s="33"/>
      <c r="B33" s="32" t="s">
        <v>337</v>
      </c>
      <c r="C33" s="32" t="s">
        <v>338</v>
      </c>
      <c r="D33" s="10" t="s">
        <v>640</v>
      </c>
      <c r="E33" s="25" t="s">
        <v>266</v>
      </c>
      <c r="F33" s="26"/>
      <c r="G33" s="26" t="s">
        <v>641</v>
      </c>
      <c r="H33" s="37"/>
      <c r="I33" s="26"/>
      <c r="J33" s="15" t="s">
        <v>632</v>
      </c>
      <c r="K33" s="15" t="s">
        <v>404</v>
      </c>
      <c r="L33" s="15" t="s">
        <v>633</v>
      </c>
    </row>
    <row r="34" s="1" customFormat="1" spans="1:12">
      <c r="A34" s="33"/>
      <c r="B34" s="13" t="s">
        <v>342</v>
      </c>
      <c r="C34" s="13" t="s">
        <v>338</v>
      </c>
      <c r="D34" s="10" t="s">
        <v>642</v>
      </c>
      <c r="E34" s="25" t="s">
        <v>266</v>
      </c>
      <c r="F34" s="26"/>
      <c r="G34" s="26" t="s">
        <v>643</v>
      </c>
      <c r="H34" s="37"/>
      <c r="I34" s="26"/>
      <c r="J34" s="15" t="s">
        <v>632</v>
      </c>
      <c r="K34" s="15" t="s">
        <v>644</v>
      </c>
      <c r="L34" s="15" t="s">
        <v>633</v>
      </c>
    </row>
    <row r="35" s="1" customFormat="1" spans="1:12">
      <c r="A35" s="33"/>
      <c r="B35" s="13" t="s">
        <v>340</v>
      </c>
      <c r="C35" s="13" t="s">
        <v>338</v>
      </c>
      <c r="D35" s="10" t="s">
        <v>645</v>
      </c>
      <c r="E35" s="25" t="s">
        <v>266</v>
      </c>
      <c r="F35" s="26"/>
      <c r="G35" s="26" t="s">
        <v>646</v>
      </c>
      <c r="H35" s="37"/>
      <c r="I35" s="26"/>
      <c r="J35" s="15" t="s">
        <v>632</v>
      </c>
      <c r="K35" s="15" t="s">
        <v>644</v>
      </c>
      <c r="L35" s="15" t="s">
        <v>633</v>
      </c>
    </row>
    <row r="36" s="1" customFormat="1" spans="1:12">
      <c r="A36" s="33"/>
      <c r="B36" s="13" t="s">
        <v>647</v>
      </c>
      <c r="C36" s="13" t="s">
        <v>338</v>
      </c>
      <c r="D36" s="10" t="s">
        <v>648</v>
      </c>
      <c r="E36" s="25" t="s">
        <v>266</v>
      </c>
      <c r="F36" s="26"/>
      <c r="G36" s="26" t="s">
        <v>936</v>
      </c>
      <c r="H36" s="37"/>
      <c r="I36" s="26"/>
      <c r="J36" s="15" t="s">
        <v>632</v>
      </c>
      <c r="K36" s="15" t="s">
        <v>644</v>
      </c>
      <c r="L36" s="15" t="s">
        <v>633</v>
      </c>
    </row>
    <row r="37" s="1" customFormat="1" spans="1:12">
      <c r="A37" s="33"/>
      <c r="B37" s="13" t="s">
        <v>650</v>
      </c>
      <c r="C37" s="13" t="s">
        <v>338</v>
      </c>
      <c r="D37" s="10" t="s">
        <v>651</v>
      </c>
      <c r="E37" s="25" t="s">
        <v>266</v>
      </c>
      <c r="F37" s="26"/>
      <c r="G37" s="26" t="s">
        <v>937</v>
      </c>
      <c r="H37" s="37"/>
      <c r="I37" s="26"/>
      <c r="J37" s="15" t="s">
        <v>632</v>
      </c>
      <c r="K37" s="15" t="s">
        <v>294</v>
      </c>
      <c r="L37" s="15" t="s">
        <v>633</v>
      </c>
    </row>
    <row r="38" s="1" customFormat="1" spans="1:12">
      <c r="A38" s="33"/>
      <c r="B38" s="13" t="s">
        <v>656</v>
      </c>
      <c r="C38" s="13" t="s">
        <v>338</v>
      </c>
      <c r="D38" s="10" t="s">
        <v>657</v>
      </c>
      <c r="E38" s="25" t="s">
        <v>266</v>
      </c>
      <c r="F38" s="26"/>
      <c r="G38" s="26" t="s">
        <v>939</v>
      </c>
      <c r="H38" s="37"/>
      <c r="I38" s="26"/>
      <c r="J38" s="15" t="s">
        <v>632</v>
      </c>
      <c r="K38" s="15" t="s">
        <v>644</v>
      </c>
      <c r="L38" s="15" t="s">
        <v>633</v>
      </c>
    </row>
    <row r="39" s="1" customFormat="1" spans="1:12">
      <c r="A39" s="33"/>
      <c r="B39" s="13" t="s">
        <v>659</v>
      </c>
      <c r="C39" s="13" t="s">
        <v>338</v>
      </c>
      <c r="D39" s="10" t="s">
        <v>660</v>
      </c>
      <c r="E39" s="25" t="s">
        <v>266</v>
      </c>
      <c r="F39" s="26"/>
      <c r="G39" s="26" t="s">
        <v>940</v>
      </c>
      <c r="H39" s="37"/>
      <c r="I39" s="26"/>
      <c r="J39" s="15" t="s">
        <v>632</v>
      </c>
      <c r="K39" s="15" t="s">
        <v>294</v>
      </c>
      <c r="L39" s="15" t="s">
        <v>633</v>
      </c>
    </row>
    <row r="40" s="1" customFormat="1" spans="1:12">
      <c r="A40" s="33"/>
      <c r="B40" s="13" t="s">
        <v>346</v>
      </c>
      <c r="C40" s="13" t="s">
        <v>338</v>
      </c>
      <c r="D40" s="10" t="s">
        <v>693</v>
      </c>
      <c r="E40" s="25" t="s">
        <v>266</v>
      </c>
      <c r="F40" s="26"/>
      <c r="G40" s="26" t="s">
        <v>694</v>
      </c>
      <c r="H40" s="37"/>
      <c r="I40" s="26"/>
      <c r="J40" s="15" t="s">
        <v>632</v>
      </c>
      <c r="K40" s="15" t="s">
        <v>294</v>
      </c>
      <c r="L40" s="15" t="s">
        <v>633</v>
      </c>
    </row>
    <row r="41" s="1" customFormat="1" spans="1:12">
      <c r="A41" s="33"/>
      <c r="B41" s="13" t="s">
        <v>344</v>
      </c>
      <c r="C41" s="13" t="s">
        <v>338</v>
      </c>
      <c r="D41" s="10" t="s">
        <v>695</v>
      </c>
      <c r="E41" s="25" t="s">
        <v>266</v>
      </c>
      <c r="F41" s="26"/>
      <c r="G41" s="26" t="s">
        <v>696</v>
      </c>
      <c r="H41" s="37"/>
      <c r="I41" s="26"/>
      <c r="J41" s="15" t="s">
        <v>632</v>
      </c>
      <c r="K41" s="15" t="s">
        <v>294</v>
      </c>
      <c r="L41" s="15" t="s">
        <v>633</v>
      </c>
    </row>
    <row r="42" s="1" customFormat="1" spans="1:12">
      <c r="A42" s="33"/>
      <c r="B42" s="13" t="s">
        <v>392</v>
      </c>
      <c r="C42" s="13" t="s">
        <v>338</v>
      </c>
      <c r="D42" s="10" t="s">
        <v>697</v>
      </c>
      <c r="E42" s="25" t="s">
        <v>266</v>
      </c>
      <c r="F42" s="26"/>
      <c r="G42" s="26" t="s">
        <v>698</v>
      </c>
      <c r="H42" s="37"/>
      <c r="I42" s="26"/>
      <c r="J42" s="15" t="s">
        <v>632</v>
      </c>
      <c r="K42" s="15" t="s">
        <v>294</v>
      </c>
      <c r="L42" s="15" t="s">
        <v>633</v>
      </c>
    </row>
    <row r="43" s="1" customFormat="1" spans="1:12">
      <c r="A43" s="33"/>
      <c r="B43" s="13" t="s">
        <v>394</v>
      </c>
      <c r="C43" s="13" t="s">
        <v>338</v>
      </c>
      <c r="D43" s="10" t="s">
        <v>699</v>
      </c>
      <c r="E43" s="25" t="s">
        <v>266</v>
      </c>
      <c r="F43" s="26"/>
      <c r="G43" s="26" t="s">
        <v>700</v>
      </c>
      <c r="H43" s="37"/>
      <c r="I43" s="26"/>
      <c r="J43" s="15" t="s">
        <v>632</v>
      </c>
      <c r="K43" s="15" t="s">
        <v>294</v>
      </c>
      <c r="L43" s="15" t="s">
        <v>633</v>
      </c>
    </row>
    <row r="44" s="1" customFormat="1" spans="1:12">
      <c r="A44" s="33"/>
      <c r="B44" s="13" t="s">
        <v>701</v>
      </c>
      <c r="C44" s="13" t="s">
        <v>338</v>
      </c>
      <c r="D44" s="10" t="s">
        <v>702</v>
      </c>
      <c r="E44" s="25" t="s">
        <v>266</v>
      </c>
      <c r="F44" s="26"/>
      <c r="G44" s="26" t="s">
        <v>950</v>
      </c>
      <c r="H44" s="37"/>
      <c r="I44" s="26"/>
      <c r="J44" s="15" t="s">
        <v>632</v>
      </c>
      <c r="K44" s="15" t="s">
        <v>294</v>
      </c>
      <c r="L44" s="15" t="s">
        <v>633</v>
      </c>
    </row>
    <row r="45" s="1" customFormat="1" spans="1:12">
      <c r="A45" s="33"/>
      <c r="B45" s="13" t="s">
        <v>704</v>
      </c>
      <c r="C45" s="13" t="s">
        <v>338</v>
      </c>
      <c r="D45" s="10" t="s">
        <v>705</v>
      </c>
      <c r="E45" s="25" t="s">
        <v>266</v>
      </c>
      <c r="F45" s="26"/>
      <c r="G45" s="26" t="s">
        <v>951</v>
      </c>
      <c r="H45" s="37"/>
      <c r="I45" s="26"/>
      <c r="J45" s="15" t="s">
        <v>632</v>
      </c>
      <c r="K45" s="15" t="s">
        <v>294</v>
      </c>
      <c r="L45" s="15" t="s">
        <v>633</v>
      </c>
    </row>
    <row r="46" s="1" customFormat="1" spans="1:12">
      <c r="A46" s="33"/>
      <c r="B46" s="13" t="s">
        <v>707</v>
      </c>
      <c r="C46" s="13" t="s">
        <v>338</v>
      </c>
      <c r="D46" s="10" t="s">
        <v>708</v>
      </c>
      <c r="E46" s="25" t="s">
        <v>266</v>
      </c>
      <c r="F46" s="26"/>
      <c r="G46" s="26" t="s">
        <v>952</v>
      </c>
      <c r="H46" s="37"/>
      <c r="I46" s="26"/>
      <c r="J46" s="15" t="s">
        <v>632</v>
      </c>
      <c r="K46" s="15" t="s">
        <v>294</v>
      </c>
      <c r="L46" s="15" t="s">
        <v>633</v>
      </c>
    </row>
    <row r="47" s="1" customFormat="1" spans="1:12">
      <c r="A47" s="33"/>
      <c r="B47" s="13" t="s">
        <v>710</v>
      </c>
      <c r="C47" s="13" t="s">
        <v>338</v>
      </c>
      <c r="D47" s="10" t="s">
        <v>711</v>
      </c>
      <c r="E47" s="25" t="s">
        <v>266</v>
      </c>
      <c r="F47" s="26"/>
      <c r="G47" s="26" t="s">
        <v>953</v>
      </c>
      <c r="H47" s="37"/>
      <c r="I47" s="26"/>
      <c r="J47" s="15" t="s">
        <v>632</v>
      </c>
      <c r="K47" s="15" t="s">
        <v>294</v>
      </c>
      <c r="L47" s="15" t="s">
        <v>633</v>
      </c>
    </row>
    <row r="48" s="1" customFormat="1" spans="1:12">
      <c r="A48" s="33"/>
      <c r="B48" s="13" t="s">
        <v>713</v>
      </c>
      <c r="C48" s="13" t="s">
        <v>338</v>
      </c>
      <c r="D48" s="10" t="s">
        <v>714</v>
      </c>
      <c r="E48" s="25" t="s">
        <v>266</v>
      </c>
      <c r="F48" s="26"/>
      <c r="G48" s="26" t="s">
        <v>954</v>
      </c>
      <c r="H48" s="37"/>
      <c r="I48" s="26"/>
      <c r="J48" s="15" t="s">
        <v>632</v>
      </c>
      <c r="K48" s="15" t="s">
        <v>294</v>
      </c>
      <c r="L48" s="15" t="s">
        <v>633</v>
      </c>
    </row>
    <row r="49" s="1" customFormat="1" spans="1:12">
      <c r="A49" s="33"/>
      <c r="B49" s="13" t="s">
        <v>716</v>
      </c>
      <c r="C49" s="13" t="s">
        <v>338</v>
      </c>
      <c r="D49" s="10" t="s">
        <v>717</v>
      </c>
      <c r="E49" s="25" t="s">
        <v>266</v>
      </c>
      <c r="F49" s="26"/>
      <c r="G49" s="26" t="s">
        <v>955</v>
      </c>
      <c r="H49" s="37"/>
      <c r="I49" s="26"/>
      <c r="J49" s="15" t="s">
        <v>632</v>
      </c>
      <c r="K49" s="15" t="s">
        <v>294</v>
      </c>
      <c r="L49" s="15" t="s">
        <v>633</v>
      </c>
    </row>
    <row r="50" s="1" customFormat="1" spans="1:12">
      <c r="A50" s="33"/>
      <c r="B50" s="13" t="s">
        <v>410</v>
      </c>
      <c r="C50" s="13" t="s">
        <v>338</v>
      </c>
      <c r="D50" s="10" t="s">
        <v>719</v>
      </c>
      <c r="E50" s="25" t="s">
        <v>266</v>
      </c>
      <c r="F50" s="26"/>
      <c r="G50" s="26" t="s">
        <v>720</v>
      </c>
      <c r="H50" s="37"/>
      <c r="I50" s="26"/>
      <c r="J50" s="15" t="s">
        <v>632</v>
      </c>
      <c r="K50" s="15" t="s">
        <v>294</v>
      </c>
      <c r="L50" s="15" t="s">
        <v>633</v>
      </c>
    </row>
    <row r="51" s="1" customFormat="1" spans="1:12">
      <c r="A51" s="33"/>
      <c r="B51" s="13" t="s">
        <v>412</v>
      </c>
      <c r="C51" s="13" t="s">
        <v>338</v>
      </c>
      <c r="D51" s="10" t="s">
        <v>721</v>
      </c>
      <c r="E51" s="25" t="s">
        <v>266</v>
      </c>
      <c r="F51" s="26"/>
      <c r="G51" s="26" t="s">
        <v>722</v>
      </c>
      <c r="H51" s="37"/>
      <c r="I51" s="26"/>
      <c r="J51" s="15" t="s">
        <v>632</v>
      </c>
      <c r="K51" s="15" t="s">
        <v>294</v>
      </c>
      <c r="L51" s="15" t="s">
        <v>633</v>
      </c>
    </row>
    <row r="52" s="1" customFormat="1" spans="1:12">
      <c r="A52" s="33"/>
      <c r="B52" s="13" t="s">
        <v>1916</v>
      </c>
      <c r="C52" s="13" t="s">
        <v>338</v>
      </c>
      <c r="D52" s="10" t="s">
        <v>1917</v>
      </c>
      <c r="E52" s="25" t="s">
        <v>266</v>
      </c>
      <c r="F52" s="26"/>
      <c r="G52" s="26" t="s">
        <v>2136</v>
      </c>
      <c r="H52" s="37"/>
      <c r="I52" s="26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1919</v>
      </c>
      <c r="C53" s="13" t="s">
        <v>338</v>
      </c>
      <c r="D53" s="10" t="s">
        <v>1920</v>
      </c>
      <c r="E53" s="25" t="s">
        <v>266</v>
      </c>
      <c r="F53" s="26"/>
      <c r="G53" s="26" t="s">
        <v>2137</v>
      </c>
      <c r="H53" s="37"/>
      <c r="I53" s="26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1922</v>
      </c>
      <c r="C54" s="13" t="s">
        <v>338</v>
      </c>
      <c r="D54" s="10" t="s">
        <v>1923</v>
      </c>
      <c r="E54" s="25" t="s">
        <v>266</v>
      </c>
      <c r="F54" s="26"/>
      <c r="G54" s="26" t="s">
        <v>2138</v>
      </c>
      <c r="H54" s="37"/>
      <c r="I54" s="26"/>
      <c r="J54" s="15" t="s">
        <v>632</v>
      </c>
      <c r="K54" s="15" t="s">
        <v>404</v>
      </c>
      <c r="L54" s="15" t="s">
        <v>633</v>
      </c>
    </row>
    <row r="55" s="1" customFormat="1" spans="1:12">
      <c r="A55" s="33"/>
      <c r="B55" s="13" t="s">
        <v>1925</v>
      </c>
      <c r="C55" s="13" t="s">
        <v>338</v>
      </c>
      <c r="D55" s="10" t="s">
        <v>1926</v>
      </c>
      <c r="E55" s="25" t="s">
        <v>266</v>
      </c>
      <c r="F55" s="26"/>
      <c r="G55" s="26" t="s">
        <v>2139</v>
      </c>
      <c r="H55" s="37"/>
      <c r="I55" s="26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1928</v>
      </c>
      <c r="C56" s="13" t="s">
        <v>338</v>
      </c>
      <c r="D56" s="10" t="s">
        <v>1929</v>
      </c>
      <c r="E56" s="25" t="s">
        <v>266</v>
      </c>
      <c r="F56" s="26"/>
      <c r="G56" s="26" t="s">
        <v>2140</v>
      </c>
      <c r="H56" s="37"/>
      <c r="I56" s="26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1931</v>
      </c>
      <c r="C57" s="13" t="s">
        <v>338</v>
      </c>
      <c r="D57" s="10" t="s">
        <v>1932</v>
      </c>
      <c r="E57" s="25" t="s">
        <v>266</v>
      </c>
      <c r="F57" s="26"/>
      <c r="G57" s="26" t="s">
        <v>2141</v>
      </c>
      <c r="H57" s="37"/>
      <c r="I57" s="26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1934</v>
      </c>
      <c r="C58" s="13" t="s">
        <v>338</v>
      </c>
      <c r="D58" s="10" t="s">
        <v>1935</v>
      </c>
      <c r="E58" s="25" t="s">
        <v>266</v>
      </c>
      <c r="F58" s="26"/>
      <c r="G58" s="26" t="s">
        <v>2142</v>
      </c>
      <c r="H58" s="37"/>
      <c r="I58" s="26"/>
      <c r="J58" s="15" t="s">
        <v>632</v>
      </c>
      <c r="K58" s="15" t="s">
        <v>803</v>
      </c>
      <c r="L58" s="15" t="s">
        <v>633</v>
      </c>
    </row>
    <row r="59" s="1" customFormat="1" spans="1:12">
      <c r="A59" s="33"/>
      <c r="B59" s="13" t="s">
        <v>1937</v>
      </c>
      <c r="C59" s="13" t="s">
        <v>338</v>
      </c>
      <c r="D59" s="10" t="s">
        <v>1938</v>
      </c>
      <c r="E59" s="25" t="s">
        <v>266</v>
      </c>
      <c r="F59" s="26"/>
      <c r="G59" s="26" t="s">
        <v>2143</v>
      </c>
      <c r="H59" s="37"/>
      <c r="I59" s="26"/>
      <c r="J59" s="15" t="s">
        <v>632</v>
      </c>
      <c r="K59" s="15" t="s">
        <v>644</v>
      </c>
      <c r="L59" s="15" t="s">
        <v>633</v>
      </c>
    </row>
    <row r="60" s="1" customFormat="1" spans="1:12">
      <c r="A60" s="33"/>
      <c r="B60" s="13" t="s">
        <v>1940</v>
      </c>
      <c r="C60" s="13" t="s">
        <v>338</v>
      </c>
      <c r="D60" s="10" t="s">
        <v>1941</v>
      </c>
      <c r="E60" s="25" t="s">
        <v>266</v>
      </c>
      <c r="F60" s="26"/>
      <c r="G60" s="26" t="s">
        <v>2144</v>
      </c>
      <c r="H60" s="37"/>
      <c r="I60" s="26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1870</v>
      </c>
      <c r="C61" s="13" t="s">
        <v>338</v>
      </c>
      <c r="D61" s="10" t="s">
        <v>1943</v>
      </c>
      <c r="E61" s="25" t="s">
        <v>266</v>
      </c>
      <c r="F61" s="26"/>
      <c r="G61" s="26" t="s">
        <v>1944</v>
      </c>
      <c r="H61" s="37"/>
      <c r="I61" s="26"/>
      <c r="J61" s="15" t="s">
        <v>632</v>
      </c>
      <c r="K61" s="15" t="s">
        <v>644</v>
      </c>
      <c r="L61" s="15" t="s">
        <v>633</v>
      </c>
    </row>
    <row r="62" s="1" customFormat="1" spans="1:12">
      <c r="A62" s="33"/>
      <c r="B62" s="13" t="s">
        <v>1945</v>
      </c>
      <c r="C62" s="52" t="s">
        <v>666</v>
      </c>
      <c r="D62" s="10" t="s">
        <v>1946</v>
      </c>
      <c r="E62" s="25" t="s">
        <v>266</v>
      </c>
      <c r="F62" s="26"/>
      <c r="G62" s="26" t="s">
        <v>2145</v>
      </c>
      <c r="H62" s="37"/>
      <c r="I62" s="26"/>
      <c r="J62" s="15" t="s">
        <v>632</v>
      </c>
      <c r="K62" s="15" t="s">
        <v>404</v>
      </c>
      <c r="L62" s="15" t="s">
        <v>633</v>
      </c>
    </row>
    <row r="63" s="1" customFormat="1" spans="1:12">
      <c r="A63" s="33"/>
      <c r="B63" s="13" t="s">
        <v>1948</v>
      </c>
      <c r="C63" s="52" t="s">
        <v>666</v>
      </c>
      <c r="D63" s="10" t="s">
        <v>1949</v>
      </c>
      <c r="E63" s="25" t="s">
        <v>266</v>
      </c>
      <c r="F63" s="26"/>
      <c r="G63" s="26" t="s">
        <v>2146</v>
      </c>
      <c r="H63" s="37"/>
      <c r="I63" s="26"/>
      <c r="J63" s="15" t="s">
        <v>632</v>
      </c>
      <c r="K63" s="15" t="s">
        <v>404</v>
      </c>
      <c r="L63" s="15" t="s">
        <v>633</v>
      </c>
    </row>
    <row r="64" s="1" customFormat="1" spans="1:12">
      <c r="A64" s="33"/>
      <c r="B64" s="13" t="s">
        <v>728</v>
      </c>
      <c r="C64" s="13" t="s">
        <v>338</v>
      </c>
      <c r="D64" s="10" t="s">
        <v>729</v>
      </c>
      <c r="E64" s="25" t="s">
        <v>266</v>
      </c>
      <c r="F64" s="26"/>
      <c r="G64" s="26" t="s">
        <v>956</v>
      </c>
      <c r="H64" s="37"/>
      <c r="I64" s="26"/>
      <c r="J64" s="15" t="s">
        <v>632</v>
      </c>
      <c r="K64" s="15" t="s">
        <v>294</v>
      </c>
      <c r="L64" s="15" t="s">
        <v>633</v>
      </c>
    </row>
    <row r="65" s="1" customFormat="1" spans="1:12">
      <c r="A65" s="33"/>
      <c r="B65" s="13" t="s">
        <v>730</v>
      </c>
      <c r="C65" s="13" t="s">
        <v>666</v>
      </c>
      <c r="D65" s="10" t="s">
        <v>731</v>
      </c>
      <c r="E65" s="25" t="s">
        <v>266</v>
      </c>
      <c r="F65" s="55"/>
      <c r="G65" s="26" t="s">
        <v>957</v>
      </c>
      <c r="H65" s="37"/>
      <c r="I65" s="26"/>
      <c r="J65" s="15" t="s">
        <v>632</v>
      </c>
      <c r="K65" s="15" t="s">
        <v>404</v>
      </c>
      <c r="L65" s="15" t="s">
        <v>633</v>
      </c>
    </row>
    <row r="66" s="1" customFormat="1" spans="1:12">
      <c r="A66" s="33"/>
      <c r="B66" s="13" t="s">
        <v>733</v>
      </c>
      <c r="C66" s="13" t="s">
        <v>338</v>
      </c>
      <c r="D66" s="10" t="s">
        <v>734</v>
      </c>
      <c r="E66" s="25" t="s">
        <v>266</v>
      </c>
      <c r="F66" s="26"/>
      <c r="G66" s="26" t="s">
        <v>958</v>
      </c>
      <c r="H66" s="37"/>
      <c r="I66" s="26"/>
      <c r="J66" s="15" t="s">
        <v>632</v>
      </c>
      <c r="K66" s="15" t="s">
        <v>294</v>
      </c>
      <c r="L66" s="15" t="s">
        <v>633</v>
      </c>
    </row>
    <row r="67" s="1" customFormat="1" spans="1:12">
      <c r="A67" s="33"/>
      <c r="B67" s="13" t="s">
        <v>736</v>
      </c>
      <c r="C67" s="13" t="s">
        <v>338</v>
      </c>
      <c r="D67" s="10" t="s">
        <v>737</v>
      </c>
      <c r="E67" s="25" t="s">
        <v>266</v>
      </c>
      <c r="F67" s="26"/>
      <c r="G67" s="26" t="s">
        <v>959</v>
      </c>
      <c r="H67" s="37"/>
      <c r="I67" s="26"/>
      <c r="J67" s="15" t="s">
        <v>632</v>
      </c>
      <c r="K67" s="15" t="s">
        <v>294</v>
      </c>
      <c r="L67" s="15" t="s">
        <v>633</v>
      </c>
    </row>
    <row r="68" s="1" customFormat="1" spans="1:12">
      <c r="A68" s="33"/>
      <c r="B68" s="13" t="s">
        <v>739</v>
      </c>
      <c r="C68" s="13" t="s">
        <v>338</v>
      </c>
      <c r="D68" s="10" t="s">
        <v>740</v>
      </c>
      <c r="E68" s="25" t="s">
        <v>266</v>
      </c>
      <c r="F68" s="26"/>
      <c r="G68" s="26" t="s">
        <v>960</v>
      </c>
      <c r="H68" s="37"/>
      <c r="I68" s="26"/>
      <c r="J68" s="15" t="s">
        <v>632</v>
      </c>
      <c r="K68" s="15" t="s">
        <v>294</v>
      </c>
      <c r="L68" s="15" t="s">
        <v>633</v>
      </c>
    </row>
    <row r="69" s="1" customFormat="1" spans="1:12">
      <c r="A69" s="33"/>
      <c r="B69" s="13" t="s">
        <v>742</v>
      </c>
      <c r="C69" s="13" t="s">
        <v>338</v>
      </c>
      <c r="D69" s="10" t="s">
        <v>743</v>
      </c>
      <c r="E69" s="25" t="s">
        <v>266</v>
      </c>
      <c r="F69" s="26"/>
      <c r="G69" s="26" t="s">
        <v>961</v>
      </c>
      <c r="H69" s="37"/>
      <c r="I69" s="26"/>
      <c r="J69" s="15" t="s">
        <v>632</v>
      </c>
      <c r="K69" s="15" t="s">
        <v>294</v>
      </c>
      <c r="L69" s="15" t="s">
        <v>633</v>
      </c>
    </row>
    <row r="70" s="1" customFormat="1" spans="1:12">
      <c r="A70" s="33"/>
      <c r="B70" s="13" t="s">
        <v>745</v>
      </c>
      <c r="C70" s="13" t="s">
        <v>338</v>
      </c>
      <c r="D70" s="10" t="s">
        <v>746</v>
      </c>
      <c r="E70" s="25" t="s">
        <v>266</v>
      </c>
      <c r="F70" s="26"/>
      <c r="G70" s="26" t="s">
        <v>962</v>
      </c>
      <c r="H70" s="37"/>
      <c r="I70" s="26"/>
      <c r="J70" s="15" t="s">
        <v>632</v>
      </c>
      <c r="K70" s="15" t="s">
        <v>294</v>
      </c>
      <c r="L70" s="15" t="s">
        <v>633</v>
      </c>
    </row>
    <row r="71" s="1" customFormat="1" spans="1:12">
      <c r="A71" s="33"/>
      <c r="B71" s="13" t="s">
        <v>748</v>
      </c>
      <c r="C71" s="13" t="s">
        <v>338</v>
      </c>
      <c r="D71" s="10" t="s">
        <v>749</v>
      </c>
      <c r="E71" s="25" t="s">
        <v>266</v>
      </c>
      <c r="F71" s="26"/>
      <c r="G71" s="26" t="s">
        <v>963</v>
      </c>
      <c r="H71" s="37"/>
      <c r="I71" s="26"/>
      <c r="J71" s="15" t="s">
        <v>632</v>
      </c>
      <c r="K71" s="15" t="s">
        <v>294</v>
      </c>
      <c r="L71" s="15" t="s">
        <v>633</v>
      </c>
    </row>
    <row r="72" s="1" customFormat="1" spans="1:12">
      <c r="A72" s="33"/>
      <c r="B72" s="13" t="s">
        <v>751</v>
      </c>
      <c r="C72" s="13" t="s">
        <v>666</v>
      </c>
      <c r="D72" s="10" t="s">
        <v>752</v>
      </c>
      <c r="E72" s="25" t="s">
        <v>266</v>
      </c>
      <c r="F72" s="55"/>
      <c r="G72" s="26" t="s">
        <v>964</v>
      </c>
      <c r="H72" s="37"/>
      <c r="I72" s="26"/>
      <c r="J72" s="15" t="s">
        <v>632</v>
      </c>
      <c r="K72" s="15" t="s">
        <v>404</v>
      </c>
      <c r="L72" s="15" t="s">
        <v>633</v>
      </c>
    </row>
    <row r="73" s="1" customFormat="1" spans="1:12">
      <c r="A73" s="33"/>
      <c r="B73" s="13" t="s">
        <v>754</v>
      </c>
      <c r="C73" s="13" t="s">
        <v>338</v>
      </c>
      <c r="D73" s="10" t="s">
        <v>755</v>
      </c>
      <c r="E73" s="25" t="s">
        <v>266</v>
      </c>
      <c r="F73" s="26"/>
      <c r="G73" s="26" t="s">
        <v>965</v>
      </c>
      <c r="H73" s="37"/>
      <c r="I73" s="26"/>
      <c r="J73" s="15" t="s">
        <v>632</v>
      </c>
      <c r="K73" s="15" t="s">
        <v>294</v>
      </c>
      <c r="L73" s="15" t="s">
        <v>633</v>
      </c>
    </row>
    <row r="74" s="1" customFormat="1" spans="1:12">
      <c r="A74" s="33"/>
      <c r="B74" s="13" t="s">
        <v>757</v>
      </c>
      <c r="C74" s="13" t="s">
        <v>338</v>
      </c>
      <c r="D74" s="10" t="s">
        <v>758</v>
      </c>
      <c r="E74" s="25" t="s">
        <v>266</v>
      </c>
      <c r="F74" s="26"/>
      <c r="G74" s="26" t="s">
        <v>966</v>
      </c>
      <c r="H74" s="37"/>
      <c r="I74" s="26"/>
      <c r="J74" s="15" t="s">
        <v>632</v>
      </c>
      <c r="K74" s="15" t="s">
        <v>294</v>
      </c>
      <c r="L74" s="15" t="s">
        <v>633</v>
      </c>
    </row>
    <row r="75" s="1" customFormat="1" spans="1:12">
      <c r="A75" s="33"/>
      <c r="B75" s="13" t="s">
        <v>760</v>
      </c>
      <c r="C75" s="13" t="s">
        <v>338</v>
      </c>
      <c r="D75" s="10" t="s">
        <v>761</v>
      </c>
      <c r="E75" s="25" t="s">
        <v>266</v>
      </c>
      <c r="F75" s="26"/>
      <c r="G75" s="26" t="s">
        <v>967</v>
      </c>
      <c r="H75" s="37"/>
      <c r="I75" s="26"/>
      <c r="J75" s="15" t="s">
        <v>632</v>
      </c>
      <c r="K75" s="15" t="s">
        <v>294</v>
      </c>
      <c r="L75" s="15" t="s">
        <v>633</v>
      </c>
    </row>
    <row r="76" s="1" customFormat="1" spans="1:12">
      <c r="A76" s="33"/>
      <c r="B76" s="13" t="s">
        <v>763</v>
      </c>
      <c r="C76" s="13" t="s">
        <v>338</v>
      </c>
      <c r="D76" s="10" t="s">
        <v>764</v>
      </c>
      <c r="E76" s="25" t="s">
        <v>266</v>
      </c>
      <c r="F76" s="26"/>
      <c r="G76" s="26" t="s">
        <v>968</v>
      </c>
      <c r="H76" s="37"/>
      <c r="I76" s="26"/>
      <c r="J76" s="15" t="s">
        <v>632</v>
      </c>
      <c r="K76" s="15" t="s">
        <v>294</v>
      </c>
      <c r="L76" s="15" t="s">
        <v>633</v>
      </c>
    </row>
    <row r="77" s="1" customFormat="1" spans="1:12">
      <c r="A77" s="33"/>
      <c r="B77" s="13" t="s">
        <v>766</v>
      </c>
      <c r="C77" s="13" t="s">
        <v>338</v>
      </c>
      <c r="D77" s="10" t="s">
        <v>767</v>
      </c>
      <c r="E77" s="25" t="s">
        <v>266</v>
      </c>
      <c r="F77" s="26"/>
      <c r="G77" s="26" t="s">
        <v>969</v>
      </c>
      <c r="H77" s="37"/>
      <c r="I77" s="26"/>
      <c r="J77" s="15" t="s">
        <v>632</v>
      </c>
      <c r="K77" s="15" t="s">
        <v>294</v>
      </c>
      <c r="L77" s="15" t="s">
        <v>633</v>
      </c>
    </row>
    <row r="78" s="1" customFormat="1" spans="1:12">
      <c r="A78" s="33"/>
      <c r="B78" s="13" t="s">
        <v>769</v>
      </c>
      <c r="C78" s="13" t="s">
        <v>666</v>
      </c>
      <c r="D78" s="10" t="s">
        <v>770</v>
      </c>
      <c r="E78" s="25" t="s">
        <v>266</v>
      </c>
      <c r="F78" s="26"/>
      <c r="G78" s="26" t="s">
        <v>970</v>
      </c>
      <c r="H78" s="37"/>
      <c r="I78" s="26"/>
      <c r="J78" s="15" t="s">
        <v>632</v>
      </c>
      <c r="K78" s="15" t="s">
        <v>404</v>
      </c>
      <c r="L78" s="15" t="s">
        <v>633</v>
      </c>
    </row>
    <row r="79" s="1" customFormat="1" spans="1:12">
      <c r="A79" s="33"/>
      <c r="B79" s="13" t="s">
        <v>772</v>
      </c>
      <c r="C79" s="13" t="s">
        <v>666</v>
      </c>
      <c r="D79" s="10" t="s">
        <v>773</v>
      </c>
      <c r="E79" s="25" t="s">
        <v>266</v>
      </c>
      <c r="F79" s="55"/>
      <c r="G79" s="26" t="s">
        <v>971</v>
      </c>
      <c r="H79" s="37"/>
      <c r="I79" s="26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775</v>
      </c>
      <c r="C80" s="13" t="s">
        <v>338</v>
      </c>
      <c r="D80" s="10" t="s">
        <v>776</v>
      </c>
      <c r="E80" s="25" t="s">
        <v>266</v>
      </c>
      <c r="F80" s="26"/>
      <c r="G80" s="26" t="s">
        <v>972</v>
      </c>
      <c r="H80" s="37"/>
      <c r="I80" s="26"/>
      <c r="J80" s="15" t="s">
        <v>632</v>
      </c>
      <c r="K80" s="15" t="s">
        <v>294</v>
      </c>
      <c r="L80" s="15" t="s">
        <v>633</v>
      </c>
    </row>
    <row r="81" s="1" customFormat="1" spans="1:12">
      <c r="A81" s="33"/>
      <c r="B81" s="13" t="s">
        <v>778</v>
      </c>
      <c r="C81" s="13" t="s">
        <v>338</v>
      </c>
      <c r="D81" s="10" t="s">
        <v>779</v>
      </c>
      <c r="E81" s="25" t="s">
        <v>266</v>
      </c>
      <c r="F81" s="26"/>
      <c r="G81" s="26" t="s">
        <v>973</v>
      </c>
      <c r="H81" s="37"/>
      <c r="I81" s="26"/>
      <c r="J81" s="15" t="s">
        <v>632</v>
      </c>
      <c r="K81" s="15" t="s">
        <v>294</v>
      </c>
      <c r="L81" s="15" t="s">
        <v>633</v>
      </c>
    </row>
    <row r="82" s="1" customFormat="1" spans="1:12">
      <c r="A82" s="33"/>
      <c r="B82" s="13" t="s">
        <v>781</v>
      </c>
      <c r="C82" s="13" t="s">
        <v>338</v>
      </c>
      <c r="D82" s="10" t="s">
        <v>782</v>
      </c>
      <c r="E82" s="25" t="s">
        <v>266</v>
      </c>
      <c r="F82" s="26"/>
      <c r="G82" s="26" t="s">
        <v>974</v>
      </c>
      <c r="H82" s="37"/>
      <c r="I82" s="26"/>
      <c r="J82" s="15" t="s">
        <v>632</v>
      </c>
      <c r="K82" s="15" t="s">
        <v>294</v>
      </c>
      <c r="L82" s="15" t="s">
        <v>633</v>
      </c>
    </row>
    <row r="83" s="1" customFormat="1" spans="1:12">
      <c r="A83" s="33"/>
      <c r="B83" s="13" t="s">
        <v>784</v>
      </c>
      <c r="C83" s="13" t="s">
        <v>338</v>
      </c>
      <c r="D83" s="10" t="s">
        <v>785</v>
      </c>
      <c r="E83" s="25" t="s">
        <v>266</v>
      </c>
      <c r="F83" s="26"/>
      <c r="G83" s="26" t="s">
        <v>975</v>
      </c>
      <c r="H83" s="37"/>
      <c r="I83" s="26"/>
      <c r="J83" s="15" t="s">
        <v>632</v>
      </c>
      <c r="K83" s="15" t="s">
        <v>294</v>
      </c>
      <c r="L83" s="15" t="s">
        <v>633</v>
      </c>
    </row>
    <row r="84" s="1" customFormat="1" spans="1:12">
      <c r="A84" s="33"/>
      <c r="B84" s="13" t="s">
        <v>787</v>
      </c>
      <c r="C84" s="13" t="s">
        <v>338</v>
      </c>
      <c r="D84" s="10" t="s">
        <v>788</v>
      </c>
      <c r="E84" s="25" t="s">
        <v>266</v>
      </c>
      <c r="F84" s="26"/>
      <c r="G84" s="26" t="s">
        <v>976</v>
      </c>
      <c r="H84" s="37"/>
      <c r="I84" s="26"/>
      <c r="J84" s="15" t="s">
        <v>632</v>
      </c>
      <c r="K84" s="15" t="s">
        <v>294</v>
      </c>
      <c r="L84" s="15" t="s">
        <v>633</v>
      </c>
    </row>
    <row r="85" s="1" customFormat="1" spans="1:12">
      <c r="A85" s="33"/>
      <c r="B85" s="13" t="s">
        <v>413</v>
      </c>
      <c r="C85" s="13" t="s">
        <v>666</v>
      </c>
      <c r="D85" s="10" t="s">
        <v>790</v>
      </c>
      <c r="E85" s="25" t="s">
        <v>266</v>
      </c>
      <c r="F85" s="55"/>
      <c r="G85" s="26" t="s">
        <v>977</v>
      </c>
      <c r="H85" s="37"/>
      <c r="I85" s="26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792</v>
      </c>
      <c r="C86" s="13" t="s">
        <v>338</v>
      </c>
      <c r="D86" s="10" t="s">
        <v>793</v>
      </c>
      <c r="E86" s="25" t="s">
        <v>266</v>
      </c>
      <c r="F86" s="26"/>
      <c r="G86" s="26" t="s">
        <v>978</v>
      </c>
      <c r="H86" s="37"/>
      <c r="I86" s="26"/>
      <c r="J86" s="15" t="s">
        <v>632</v>
      </c>
      <c r="K86" s="15" t="s">
        <v>294</v>
      </c>
      <c r="L86" s="15" t="s">
        <v>633</v>
      </c>
    </row>
    <row r="87" s="1" customFormat="1" spans="1:12">
      <c r="A87" s="33"/>
      <c r="B87" s="13" t="s">
        <v>418</v>
      </c>
      <c r="C87" s="13" t="s">
        <v>666</v>
      </c>
      <c r="D87" s="10" t="s">
        <v>795</v>
      </c>
      <c r="E87" s="25" t="s">
        <v>266</v>
      </c>
      <c r="F87" s="55"/>
      <c r="G87" s="26" t="s">
        <v>979</v>
      </c>
      <c r="H87" s="37"/>
      <c r="I87" s="26"/>
      <c r="J87" s="15" t="s">
        <v>632</v>
      </c>
      <c r="K87" s="15" t="s">
        <v>404</v>
      </c>
      <c r="L87" s="15" t="s">
        <v>633</v>
      </c>
    </row>
    <row r="88" s="1" customFormat="1" spans="1:12">
      <c r="A88" s="33"/>
      <c r="B88" s="13" t="s">
        <v>797</v>
      </c>
      <c r="C88" s="13" t="s">
        <v>338</v>
      </c>
      <c r="D88" s="10" t="s">
        <v>798</v>
      </c>
      <c r="E88" s="25" t="s">
        <v>266</v>
      </c>
      <c r="F88" s="26"/>
      <c r="G88" s="26" t="s">
        <v>980</v>
      </c>
      <c r="H88" s="37"/>
      <c r="I88" s="26"/>
      <c r="J88" s="15" t="s">
        <v>632</v>
      </c>
      <c r="K88" s="15" t="s">
        <v>294</v>
      </c>
      <c r="L88" s="15" t="s">
        <v>633</v>
      </c>
    </row>
    <row r="89" s="1" customFormat="1" spans="1:12">
      <c r="A89" s="33"/>
      <c r="B89" s="32" t="s">
        <v>1860</v>
      </c>
      <c r="C89" s="32" t="s">
        <v>338</v>
      </c>
      <c r="D89" s="10" t="s">
        <v>1861</v>
      </c>
      <c r="E89" s="25" t="s">
        <v>266</v>
      </c>
      <c r="F89" s="26"/>
      <c r="G89" s="26" t="s">
        <v>1966</v>
      </c>
      <c r="H89" s="37"/>
      <c r="I89" s="26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32" t="s">
        <v>1903</v>
      </c>
      <c r="C90" s="32" t="s">
        <v>666</v>
      </c>
      <c r="D90" s="10" t="s">
        <v>1904</v>
      </c>
      <c r="E90" s="25" t="s">
        <v>266</v>
      </c>
      <c r="F90" s="26"/>
      <c r="G90" s="26" t="s">
        <v>1967</v>
      </c>
      <c r="H90" s="37"/>
      <c r="I90" s="26"/>
      <c r="J90" s="15" t="s">
        <v>632</v>
      </c>
      <c r="K90" s="15" t="s">
        <v>1898</v>
      </c>
      <c r="L90" s="15" t="s">
        <v>633</v>
      </c>
    </row>
    <row r="91" s="1" customFormat="1" spans="1:12">
      <c r="A91" s="33"/>
      <c r="B91" s="52" t="s">
        <v>1968</v>
      </c>
      <c r="C91" s="52" t="s">
        <v>666</v>
      </c>
      <c r="D91" s="54" t="s">
        <v>1969</v>
      </c>
      <c r="E91" s="25" t="s">
        <v>266</v>
      </c>
      <c r="F91" s="55"/>
      <c r="G91" s="26" t="s">
        <v>2147</v>
      </c>
      <c r="H91" s="27"/>
      <c r="I91" s="26"/>
      <c r="J91" s="15" t="s">
        <v>632</v>
      </c>
      <c r="K91" s="15" t="s">
        <v>1898</v>
      </c>
      <c r="L91" s="15" t="s">
        <v>633</v>
      </c>
    </row>
    <row r="92" s="1" customFormat="1" spans="2:12">
      <c r="B92" s="32" t="s">
        <v>1906</v>
      </c>
      <c r="C92" s="32" t="s">
        <v>666</v>
      </c>
      <c r="D92" s="10" t="s">
        <v>1907</v>
      </c>
      <c r="E92" s="25" t="s">
        <v>266</v>
      </c>
      <c r="F92" s="32"/>
      <c r="G92" s="26" t="s">
        <v>1971</v>
      </c>
      <c r="H92" s="37"/>
      <c r="I92" s="26"/>
      <c r="J92" s="15" t="s">
        <v>632</v>
      </c>
      <c r="K92" s="15" t="s">
        <v>1902</v>
      </c>
      <c r="L92" s="15" t="s">
        <v>633</v>
      </c>
    </row>
    <row r="93" s="1" customFormat="1" spans="1:12">
      <c r="A93" s="33"/>
      <c r="B93" s="32" t="s">
        <v>1892</v>
      </c>
      <c r="C93" s="32" t="s">
        <v>338</v>
      </c>
      <c r="D93" s="10" t="s">
        <v>1972</v>
      </c>
      <c r="E93" s="25" t="s">
        <v>266</v>
      </c>
      <c r="F93" s="26"/>
      <c r="G93" s="26" t="s">
        <v>1973</v>
      </c>
      <c r="H93" s="37"/>
      <c r="I93" s="26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32" t="s">
        <v>1895</v>
      </c>
      <c r="C94" s="32" t="s">
        <v>666</v>
      </c>
      <c r="D94" s="10" t="s">
        <v>1896</v>
      </c>
      <c r="E94" s="25" t="s">
        <v>266</v>
      </c>
      <c r="F94" s="26"/>
      <c r="G94" s="26" t="s">
        <v>1974</v>
      </c>
      <c r="H94" s="37"/>
      <c r="I94" s="26"/>
      <c r="J94" s="15" t="s">
        <v>632</v>
      </c>
      <c r="K94" s="15" t="s">
        <v>1898</v>
      </c>
      <c r="L94" s="15" t="s">
        <v>633</v>
      </c>
    </row>
    <row r="95" s="1" customFormat="1" spans="2:12">
      <c r="B95" s="32" t="s">
        <v>1899</v>
      </c>
      <c r="C95" s="32" t="s">
        <v>666</v>
      </c>
      <c r="D95" s="10" t="s">
        <v>1900</v>
      </c>
      <c r="E95" s="25" t="s">
        <v>266</v>
      </c>
      <c r="F95" s="32"/>
      <c r="G95" s="26" t="s">
        <v>1975</v>
      </c>
      <c r="H95" s="37"/>
      <c r="I95" s="26"/>
      <c r="J95" s="15" t="s">
        <v>632</v>
      </c>
      <c r="K95" s="15" t="s">
        <v>1902</v>
      </c>
      <c r="L95" s="15" t="s">
        <v>633</v>
      </c>
    </row>
    <row r="96" s="1" customFormat="1" spans="2:12">
      <c r="B96" s="32" t="s">
        <v>1976</v>
      </c>
      <c r="C96" s="32" t="s">
        <v>666</v>
      </c>
      <c r="D96" s="10" t="s">
        <v>1977</v>
      </c>
      <c r="E96" s="25" t="s">
        <v>266</v>
      </c>
      <c r="F96" s="26"/>
      <c r="G96" s="26" t="s">
        <v>2148</v>
      </c>
      <c r="H96" s="37"/>
      <c r="I96" s="26"/>
      <c r="J96" s="15" t="s">
        <v>632</v>
      </c>
      <c r="K96" s="15" t="s">
        <v>669</v>
      </c>
      <c r="L96" s="15" t="s">
        <v>633</v>
      </c>
    </row>
    <row r="97" s="1" customFormat="1" spans="2:12">
      <c r="B97" s="32" t="s">
        <v>1979</v>
      </c>
      <c r="C97" s="32" t="s">
        <v>338</v>
      </c>
      <c r="D97" s="10" t="s">
        <v>1980</v>
      </c>
      <c r="E97" s="25" t="s">
        <v>266</v>
      </c>
      <c r="F97" s="26"/>
      <c r="G97" s="26" t="s">
        <v>2149</v>
      </c>
      <c r="H97" s="37"/>
      <c r="I97" s="26"/>
      <c r="J97" s="15" t="s">
        <v>632</v>
      </c>
      <c r="K97" s="15" t="s">
        <v>803</v>
      </c>
      <c r="L97" s="15" t="s">
        <v>633</v>
      </c>
    </row>
    <row r="98" s="1" customFormat="1" spans="2:12">
      <c r="B98" s="32" t="s">
        <v>1982</v>
      </c>
      <c r="C98" s="32" t="s">
        <v>338</v>
      </c>
      <c r="D98" s="10" t="s">
        <v>1983</v>
      </c>
      <c r="E98" s="25" t="s">
        <v>266</v>
      </c>
      <c r="F98" s="26"/>
      <c r="G98" s="26" t="s">
        <v>2150</v>
      </c>
      <c r="H98" s="37"/>
      <c r="I98" s="26"/>
      <c r="J98" s="15" t="s">
        <v>632</v>
      </c>
      <c r="K98" s="15" t="s">
        <v>803</v>
      </c>
      <c r="L98" s="15" t="s">
        <v>633</v>
      </c>
    </row>
    <row r="99" s="1" customFormat="1" spans="2:12">
      <c r="B99" s="32" t="s">
        <v>1985</v>
      </c>
      <c r="C99" s="32" t="s">
        <v>338</v>
      </c>
      <c r="D99" s="10" t="s">
        <v>1986</v>
      </c>
      <c r="E99" s="25" t="s">
        <v>266</v>
      </c>
      <c r="F99" s="26"/>
      <c r="G99" s="26" t="s">
        <v>2151</v>
      </c>
      <c r="H99" s="37"/>
      <c r="I99" s="26"/>
      <c r="J99" s="15" t="s">
        <v>632</v>
      </c>
      <c r="K99" s="15" t="s">
        <v>803</v>
      </c>
      <c r="L99" s="15" t="s">
        <v>633</v>
      </c>
    </row>
    <row r="100" s="1" customFormat="1" spans="2:12">
      <c r="B100" s="32" t="s">
        <v>1988</v>
      </c>
      <c r="C100" s="32" t="s">
        <v>666</v>
      </c>
      <c r="D100" s="10" t="s">
        <v>1989</v>
      </c>
      <c r="E100" s="25" t="s">
        <v>266</v>
      </c>
      <c r="F100" s="32"/>
      <c r="G100" s="26" t="s">
        <v>2152</v>
      </c>
      <c r="H100" s="37"/>
      <c r="I100" s="26"/>
      <c r="J100" s="15" t="s">
        <v>632</v>
      </c>
      <c r="K100" s="15" t="s">
        <v>294</v>
      </c>
      <c r="L100" s="15" t="s">
        <v>1264</v>
      </c>
    </row>
    <row r="101" s="1" customFormat="1" spans="2:12">
      <c r="B101" s="32" t="s">
        <v>1991</v>
      </c>
      <c r="C101" s="32" t="s">
        <v>666</v>
      </c>
      <c r="D101" s="10" t="s">
        <v>1992</v>
      </c>
      <c r="E101" s="25" t="s">
        <v>266</v>
      </c>
      <c r="F101" s="26"/>
      <c r="G101" s="26" t="s">
        <v>2153</v>
      </c>
      <c r="H101" s="37"/>
      <c r="I101" s="26"/>
      <c r="J101" s="15" t="s">
        <v>632</v>
      </c>
      <c r="K101" s="15" t="s">
        <v>669</v>
      </c>
      <c r="L101" s="15" t="s">
        <v>633</v>
      </c>
    </row>
    <row r="102" s="1" customFormat="1" spans="2:12">
      <c r="B102" s="32" t="s">
        <v>1994</v>
      </c>
      <c r="C102" s="32" t="s">
        <v>338</v>
      </c>
      <c r="D102" s="10" t="s">
        <v>1995</v>
      </c>
      <c r="E102" s="25" t="s">
        <v>266</v>
      </c>
      <c r="F102" s="26"/>
      <c r="G102" s="26" t="s">
        <v>2154</v>
      </c>
      <c r="H102" s="37"/>
      <c r="I102" s="26"/>
      <c r="J102" s="15" t="s">
        <v>632</v>
      </c>
      <c r="K102" s="15" t="s">
        <v>803</v>
      </c>
      <c r="L102" s="15" t="s">
        <v>633</v>
      </c>
    </row>
    <row r="103" s="1" customFormat="1" spans="2:12">
      <c r="B103" s="32" t="s">
        <v>1997</v>
      </c>
      <c r="C103" s="32" t="s">
        <v>338</v>
      </c>
      <c r="D103" s="10" t="s">
        <v>1998</v>
      </c>
      <c r="E103" s="25" t="s">
        <v>266</v>
      </c>
      <c r="F103" s="26"/>
      <c r="G103" s="26" t="s">
        <v>2155</v>
      </c>
      <c r="H103" s="37"/>
      <c r="I103" s="26"/>
      <c r="J103" s="15" t="s">
        <v>632</v>
      </c>
      <c r="K103" s="15" t="s">
        <v>803</v>
      </c>
      <c r="L103" s="15" t="s">
        <v>633</v>
      </c>
    </row>
    <row r="104" s="1" customFormat="1" spans="2:12">
      <c r="B104" s="32" t="s">
        <v>2000</v>
      </c>
      <c r="C104" s="32" t="s">
        <v>338</v>
      </c>
      <c r="D104" s="10" t="s">
        <v>2001</v>
      </c>
      <c r="E104" s="25" t="s">
        <v>266</v>
      </c>
      <c r="F104" s="26"/>
      <c r="G104" s="26" t="s">
        <v>2156</v>
      </c>
      <c r="H104" s="37"/>
      <c r="I104" s="26"/>
      <c r="J104" s="15" t="s">
        <v>632</v>
      </c>
      <c r="K104" s="15" t="s">
        <v>803</v>
      </c>
      <c r="L104" s="15" t="s">
        <v>633</v>
      </c>
    </row>
    <row r="105" s="1" customFormat="1" spans="2:12">
      <c r="B105" s="32" t="s">
        <v>2002</v>
      </c>
      <c r="C105" s="32" t="s">
        <v>338</v>
      </c>
      <c r="D105" s="10" t="s">
        <v>1887</v>
      </c>
      <c r="E105" s="25" t="s">
        <v>266</v>
      </c>
      <c r="F105" s="26"/>
      <c r="G105" s="26" t="s">
        <v>2157</v>
      </c>
      <c r="H105" s="37"/>
      <c r="I105" s="26"/>
      <c r="J105" s="15" t="s">
        <v>632</v>
      </c>
      <c r="K105" s="15" t="s">
        <v>669</v>
      </c>
      <c r="L105" s="15" t="s">
        <v>633</v>
      </c>
    </row>
    <row r="106" s="1" customFormat="1" spans="2:12">
      <c r="B106" s="32" t="s">
        <v>2004</v>
      </c>
      <c r="C106" s="32" t="s">
        <v>338</v>
      </c>
      <c r="D106" s="10" t="s">
        <v>2005</v>
      </c>
      <c r="E106" s="25" t="s">
        <v>266</v>
      </c>
      <c r="F106" s="26"/>
      <c r="G106" s="26" t="s">
        <v>2158</v>
      </c>
      <c r="H106" s="37"/>
      <c r="I106" s="26"/>
      <c r="J106" s="15" t="s">
        <v>632</v>
      </c>
      <c r="K106" s="15" t="s">
        <v>803</v>
      </c>
      <c r="L106" s="15" t="s">
        <v>633</v>
      </c>
    </row>
    <row r="107" s="1" customFormat="1" spans="2:12">
      <c r="B107" s="32" t="s">
        <v>2007</v>
      </c>
      <c r="C107" s="32" t="s">
        <v>338</v>
      </c>
      <c r="D107" s="10" t="s">
        <v>1890</v>
      </c>
      <c r="E107" s="25" t="s">
        <v>266</v>
      </c>
      <c r="F107" s="26"/>
      <c r="G107" s="26" t="s">
        <v>2159</v>
      </c>
      <c r="H107" s="37"/>
      <c r="I107" s="26"/>
      <c r="J107" s="15" t="s">
        <v>632</v>
      </c>
      <c r="K107" s="15" t="s">
        <v>669</v>
      </c>
      <c r="L107" s="15" t="s">
        <v>633</v>
      </c>
    </row>
    <row r="108" s="1" customFormat="1" spans="2:12">
      <c r="B108" s="32" t="s">
        <v>2009</v>
      </c>
      <c r="C108" s="32" t="s">
        <v>338</v>
      </c>
      <c r="D108" s="10" t="s">
        <v>2010</v>
      </c>
      <c r="E108" s="25" t="s">
        <v>266</v>
      </c>
      <c r="F108" s="26"/>
      <c r="G108" s="26" t="s">
        <v>2160</v>
      </c>
      <c r="H108" s="37"/>
      <c r="I108" s="26"/>
      <c r="J108" s="15" t="s">
        <v>632</v>
      </c>
      <c r="K108" s="15" t="s">
        <v>803</v>
      </c>
      <c r="L108" s="15" t="s">
        <v>633</v>
      </c>
    </row>
    <row r="109" s="1" customFormat="1" spans="2:12">
      <c r="B109" s="32" t="s">
        <v>2012</v>
      </c>
      <c r="C109" s="32" t="s">
        <v>338</v>
      </c>
      <c r="D109" s="10" t="s">
        <v>2013</v>
      </c>
      <c r="E109" s="25" t="s">
        <v>266</v>
      </c>
      <c r="F109" s="26"/>
      <c r="G109" s="26" t="s">
        <v>2161</v>
      </c>
      <c r="H109" s="37"/>
      <c r="I109" s="26"/>
      <c r="J109" s="15" t="s">
        <v>632</v>
      </c>
      <c r="K109" s="15" t="s">
        <v>803</v>
      </c>
      <c r="L109" s="15" t="s">
        <v>633</v>
      </c>
    </row>
    <row r="110" s="1" customFormat="1" spans="2:12">
      <c r="B110" s="32" t="s">
        <v>2015</v>
      </c>
      <c r="C110" s="32" t="s">
        <v>338</v>
      </c>
      <c r="D110" s="10" t="s">
        <v>2016</v>
      </c>
      <c r="E110" s="25" t="s">
        <v>266</v>
      </c>
      <c r="F110" s="26"/>
      <c r="G110" s="26" t="s">
        <v>2162</v>
      </c>
      <c r="H110" s="37"/>
      <c r="I110" s="26"/>
      <c r="J110" s="15" t="s">
        <v>632</v>
      </c>
      <c r="K110" s="15" t="s">
        <v>803</v>
      </c>
      <c r="L110" s="15" t="s">
        <v>633</v>
      </c>
    </row>
    <row r="111" s="1" customFormat="1" spans="2:12">
      <c r="B111" s="32" t="s">
        <v>2018</v>
      </c>
      <c r="C111" s="32" t="s">
        <v>338</v>
      </c>
      <c r="D111" s="10" t="s">
        <v>2019</v>
      </c>
      <c r="E111" s="25" t="s">
        <v>266</v>
      </c>
      <c r="F111" s="26"/>
      <c r="G111" s="26" t="s">
        <v>2163</v>
      </c>
      <c r="H111" s="37"/>
      <c r="I111" s="26"/>
      <c r="J111" s="15" t="s">
        <v>632</v>
      </c>
      <c r="K111" s="15" t="s">
        <v>803</v>
      </c>
      <c r="L111" s="15" t="s">
        <v>633</v>
      </c>
    </row>
    <row r="112" s="1" customFormat="1" spans="2:12">
      <c r="B112" s="32" t="s">
        <v>2021</v>
      </c>
      <c r="C112" s="32" t="s">
        <v>338</v>
      </c>
      <c r="D112" s="10" t="s">
        <v>2022</v>
      </c>
      <c r="E112" s="25" t="s">
        <v>266</v>
      </c>
      <c r="F112" s="26"/>
      <c r="G112" s="26" t="s">
        <v>2164</v>
      </c>
      <c r="H112" s="37"/>
      <c r="I112" s="26"/>
      <c r="J112" s="15" t="s">
        <v>632</v>
      </c>
      <c r="K112" s="15" t="s">
        <v>803</v>
      </c>
      <c r="L112" s="15" t="s">
        <v>633</v>
      </c>
    </row>
    <row r="113" s="1" customFormat="1" spans="2:12">
      <c r="B113" s="32" t="s">
        <v>2024</v>
      </c>
      <c r="C113" s="32" t="s">
        <v>338</v>
      </c>
      <c r="D113" s="10" t="s">
        <v>2025</v>
      </c>
      <c r="E113" s="25" t="s">
        <v>266</v>
      </c>
      <c r="F113" s="26"/>
      <c r="G113" s="26" t="s">
        <v>2165</v>
      </c>
      <c r="H113" s="37"/>
      <c r="I113" s="26"/>
      <c r="J113" s="15" t="s">
        <v>632</v>
      </c>
      <c r="K113" s="15" t="s">
        <v>803</v>
      </c>
      <c r="L113" s="15" t="s">
        <v>633</v>
      </c>
    </row>
    <row r="114" s="1" customFormat="1" spans="2:12">
      <c r="B114" s="32" t="s">
        <v>2027</v>
      </c>
      <c r="C114" s="32" t="s">
        <v>338</v>
      </c>
      <c r="D114" s="10" t="s">
        <v>2028</v>
      </c>
      <c r="E114" s="25" t="s">
        <v>266</v>
      </c>
      <c r="F114" s="26"/>
      <c r="G114" s="26" t="s">
        <v>2166</v>
      </c>
      <c r="H114" s="37"/>
      <c r="I114" s="26"/>
      <c r="J114" s="15" t="s">
        <v>632</v>
      </c>
      <c r="K114" s="15" t="s">
        <v>803</v>
      </c>
      <c r="L114" s="15" t="s">
        <v>633</v>
      </c>
    </row>
    <row r="115" s="1" customFormat="1" spans="1:12">
      <c r="A115" s="33"/>
      <c r="B115" s="13" t="s">
        <v>2030</v>
      </c>
      <c r="C115" s="13" t="s">
        <v>666</v>
      </c>
      <c r="D115" s="10" t="s">
        <v>2031</v>
      </c>
      <c r="E115" s="25" t="s">
        <v>266</v>
      </c>
      <c r="F115" s="55"/>
      <c r="G115" s="26" t="s">
        <v>2167</v>
      </c>
      <c r="H115" s="37"/>
      <c r="I115" s="26"/>
      <c r="J115" s="15" t="s">
        <v>632</v>
      </c>
      <c r="K115" s="15" t="s">
        <v>803</v>
      </c>
      <c r="L115" s="15" t="s">
        <v>633</v>
      </c>
    </row>
    <row r="116" s="1" customFormat="1" spans="1:12">
      <c r="A116" s="33"/>
      <c r="B116" s="52" t="s">
        <v>2033</v>
      </c>
      <c r="C116" s="52" t="s">
        <v>338</v>
      </c>
      <c r="D116" s="54" t="s">
        <v>2034</v>
      </c>
      <c r="E116" s="25" t="s">
        <v>266</v>
      </c>
      <c r="F116" s="26"/>
      <c r="G116" s="26" t="s">
        <v>2168</v>
      </c>
      <c r="H116" s="37"/>
      <c r="I116" s="26"/>
      <c r="J116" s="15" t="s">
        <v>632</v>
      </c>
      <c r="K116" s="15" t="s">
        <v>803</v>
      </c>
      <c r="L116" s="15" t="s">
        <v>633</v>
      </c>
    </row>
    <row r="117" s="1" customFormat="1" spans="1:12">
      <c r="A117" s="33"/>
      <c r="B117" s="52" t="s">
        <v>2036</v>
      </c>
      <c r="C117" s="52" t="s">
        <v>338</v>
      </c>
      <c r="D117" s="54" t="s">
        <v>2037</v>
      </c>
      <c r="E117" s="25" t="s">
        <v>266</v>
      </c>
      <c r="F117" s="26"/>
      <c r="G117" s="26" t="s">
        <v>2169</v>
      </c>
      <c r="H117" s="37"/>
      <c r="I117" s="26"/>
      <c r="J117" s="15" t="s">
        <v>632</v>
      </c>
      <c r="K117" s="15" t="s">
        <v>803</v>
      </c>
      <c r="L117" s="15" t="s">
        <v>633</v>
      </c>
    </row>
    <row r="118" s="1" customFormat="1" spans="1:12">
      <c r="A118" s="33"/>
      <c r="B118" s="52" t="s">
        <v>2039</v>
      </c>
      <c r="C118" s="52" t="s">
        <v>338</v>
      </c>
      <c r="D118" s="54" t="s">
        <v>2040</v>
      </c>
      <c r="E118" s="25" t="s">
        <v>266</v>
      </c>
      <c r="F118" s="26"/>
      <c r="G118" s="26" t="s">
        <v>2170</v>
      </c>
      <c r="H118" s="37"/>
      <c r="I118" s="26"/>
      <c r="J118" s="15" t="s">
        <v>632</v>
      </c>
      <c r="K118" s="15" t="s">
        <v>803</v>
      </c>
      <c r="L118" s="15" t="s">
        <v>633</v>
      </c>
    </row>
    <row r="119" s="1" customFormat="1" spans="1:12">
      <c r="A119" s="33"/>
      <c r="B119" s="52" t="s">
        <v>2042</v>
      </c>
      <c r="C119" s="52" t="s">
        <v>338</v>
      </c>
      <c r="D119" s="54" t="s">
        <v>2043</v>
      </c>
      <c r="E119" s="25" t="s">
        <v>266</v>
      </c>
      <c r="F119" s="26"/>
      <c r="G119" s="26" t="s">
        <v>2171</v>
      </c>
      <c r="H119" s="37"/>
      <c r="I119" s="26"/>
      <c r="J119" s="15" t="s">
        <v>632</v>
      </c>
      <c r="K119" s="15" t="s">
        <v>803</v>
      </c>
      <c r="L119" s="15" t="s">
        <v>633</v>
      </c>
    </row>
    <row r="120" s="1" customFormat="1" spans="1:12">
      <c r="A120" s="33"/>
      <c r="B120" s="52" t="s">
        <v>2045</v>
      </c>
      <c r="C120" s="52" t="s">
        <v>338</v>
      </c>
      <c r="D120" s="54" t="s">
        <v>2046</v>
      </c>
      <c r="E120" s="25" t="s">
        <v>266</v>
      </c>
      <c r="F120" s="26"/>
      <c r="G120" s="26" t="s">
        <v>2172</v>
      </c>
      <c r="H120" s="37"/>
      <c r="I120" s="26"/>
      <c r="J120" s="15" t="s">
        <v>632</v>
      </c>
      <c r="K120" s="15" t="s">
        <v>803</v>
      </c>
      <c r="L120" s="15" t="s">
        <v>633</v>
      </c>
    </row>
    <row r="121" s="1" customFormat="1" spans="1:12">
      <c r="A121" s="33"/>
      <c r="B121" s="13" t="s">
        <v>2048</v>
      </c>
      <c r="C121" s="52" t="s">
        <v>666</v>
      </c>
      <c r="D121" s="10" t="s">
        <v>2049</v>
      </c>
      <c r="E121" s="25" t="s">
        <v>266</v>
      </c>
      <c r="F121" s="55"/>
      <c r="G121" s="26" t="s">
        <v>2173</v>
      </c>
      <c r="H121" s="37"/>
      <c r="I121" s="26"/>
      <c r="J121" s="15" t="s">
        <v>632</v>
      </c>
      <c r="K121" s="15" t="s">
        <v>404</v>
      </c>
      <c r="L121" s="15" t="s">
        <v>633</v>
      </c>
    </row>
    <row r="122" s="1" customFormat="1" spans="1:12">
      <c r="A122" s="33"/>
      <c r="B122" s="13" t="s">
        <v>2051</v>
      </c>
      <c r="C122" s="13" t="s">
        <v>338</v>
      </c>
      <c r="D122" s="10" t="s">
        <v>2052</v>
      </c>
      <c r="E122" s="25" t="s">
        <v>266</v>
      </c>
      <c r="F122" s="26"/>
      <c r="G122" s="26" t="s">
        <v>2174</v>
      </c>
      <c r="H122" s="37"/>
      <c r="I122" s="26"/>
      <c r="J122" s="15" t="s">
        <v>632</v>
      </c>
      <c r="K122" s="15" t="s">
        <v>803</v>
      </c>
      <c r="L122" s="15" t="s">
        <v>633</v>
      </c>
    </row>
    <row r="123" s="1" customFormat="1" spans="1:12">
      <c r="A123" s="33"/>
      <c r="B123" s="13" t="s">
        <v>2054</v>
      </c>
      <c r="C123" s="13" t="s">
        <v>338</v>
      </c>
      <c r="D123" s="10" t="s">
        <v>2055</v>
      </c>
      <c r="E123" s="25" t="s">
        <v>266</v>
      </c>
      <c r="F123" s="26"/>
      <c r="G123" s="26" t="s">
        <v>2175</v>
      </c>
      <c r="H123" s="37"/>
      <c r="I123" s="26"/>
      <c r="J123" s="15" t="s">
        <v>632</v>
      </c>
      <c r="K123" s="15" t="s">
        <v>803</v>
      </c>
      <c r="L123" s="15" t="s">
        <v>633</v>
      </c>
    </row>
    <row r="124" s="1" customFormat="1" spans="1:12">
      <c r="A124" s="33"/>
      <c r="B124" s="13" t="s">
        <v>2057</v>
      </c>
      <c r="C124" s="13" t="s">
        <v>338</v>
      </c>
      <c r="D124" s="10" t="s">
        <v>2058</v>
      </c>
      <c r="E124" s="25" t="s">
        <v>266</v>
      </c>
      <c r="F124" s="26"/>
      <c r="G124" s="26" t="s">
        <v>2176</v>
      </c>
      <c r="H124" s="37"/>
      <c r="I124" s="26"/>
      <c r="J124" s="15" t="s">
        <v>632</v>
      </c>
      <c r="K124" s="15" t="s">
        <v>803</v>
      </c>
      <c r="L124" s="15" t="s">
        <v>633</v>
      </c>
    </row>
    <row r="125" s="1" customFormat="1" spans="1:12">
      <c r="A125" s="33"/>
      <c r="B125" s="13" t="s">
        <v>2060</v>
      </c>
      <c r="C125" s="13" t="s">
        <v>338</v>
      </c>
      <c r="D125" s="10" t="s">
        <v>2061</v>
      </c>
      <c r="E125" s="25" t="s">
        <v>266</v>
      </c>
      <c r="F125" s="26"/>
      <c r="G125" s="26" t="s">
        <v>2177</v>
      </c>
      <c r="H125" s="37"/>
      <c r="I125" s="26"/>
      <c r="J125" s="15" t="s">
        <v>632</v>
      </c>
      <c r="K125" s="15" t="s">
        <v>803</v>
      </c>
      <c r="L125" s="15" t="s">
        <v>633</v>
      </c>
    </row>
    <row r="126" s="1" customFormat="1" spans="1:12">
      <c r="A126" s="33"/>
      <c r="B126" s="13" t="s">
        <v>2063</v>
      </c>
      <c r="C126" s="13" t="s">
        <v>338</v>
      </c>
      <c r="D126" s="10" t="s">
        <v>2064</v>
      </c>
      <c r="E126" s="25" t="s">
        <v>266</v>
      </c>
      <c r="F126" s="26"/>
      <c r="G126" s="26" t="s">
        <v>2178</v>
      </c>
      <c r="H126" s="37"/>
      <c r="I126" s="26"/>
      <c r="J126" s="15" t="s">
        <v>632</v>
      </c>
      <c r="K126" s="15" t="s">
        <v>803</v>
      </c>
      <c r="L126" s="15" t="s">
        <v>633</v>
      </c>
    </row>
    <row r="127" s="1" customFormat="1" spans="1:12">
      <c r="A127" s="33"/>
      <c r="B127" s="13" t="s">
        <v>2066</v>
      </c>
      <c r="C127" s="52" t="s">
        <v>666</v>
      </c>
      <c r="D127" s="10" t="s">
        <v>2067</v>
      </c>
      <c r="E127" s="25" t="s">
        <v>266</v>
      </c>
      <c r="F127" s="55"/>
      <c r="G127" s="26" t="s">
        <v>2179</v>
      </c>
      <c r="H127" s="37"/>
      <c r="I127" s="26"/>
      <c r="J127" s="15" t="s">
        <v>632</v>
      </c>
      <c r="K127" s="15" t="s">
        <v>404</v>
      </c>
      <c r="L127" s="15" t="s">
        <v>633</v>
      </c>
    </row>
    <row r="128" s="1" customFormat="1" spans="1:12">
      <c r="A128" s="33"/>
      <c r="B128" s="52" t="s">
        <v>2069</v>
      </c>
      <c r="C128" s="52" t="s">
        <v>338</v>
      </c>
      <c r="D128" s="54" t="s">
        <v>2070</v>
      </c>
      <c r="E128" s="25" t="s">
        <v>266</v>
      </c>
      <c r="F128" s="26"/>
      <c r="G128" s="26" t="s">
        <v>2180</v>
      </c>
      <c r="H128" s="37"/>
      <c r="I128" s="26"/>
      <c r="J128" s="15" t="s">
        <v>632</v>
      </c>
      <c r="K128" s="15" t="s">
        <v>803</v>
      </c>
      <c r="L128" s="15" t="s">
        <v>633</v>
      </c>
    </row>
    <row r="129" s="1" customFormat="1" spans="1:12">
      <c r="A129" s="33"/>
      <c r="B129" s="52" t="s">
        <v>2072</v>
      </c>
      <c r="C129" s="52" t="s">
        <v>338</v>
      </c>
      <c r="D129" s="54" t="s">
        <v>2073</v>
      </c>
      <c r="E129" s="25" t="s">
        <v>266</v>
      </c>
      <c r="F129" s="26"/>
      <c r="G129" s="26" t="s">
        <v>2181</v>
      </c>
      <c r="H129" s="37"/>
      <c r="I129" s="26"/>
      <c r="J129" s="15" t="s">
        <v>632</v>
      </c>
      <c r="K129" s="15" t="s">
        <v>803</v>
      </c>
      <c r="L129" s="15" t="s">
        <v>633</v>
      </c>
    </row>
    <row r="130" s="1" customFormat="1" spans="1:12">
      <c r="A130" s="33"/>
      <c r="B130" s="52" t="s">
        <v>2075</v>
      </c>
      <c r="C130" s="52" t="s">
        <v>338</v>
      </c>
      <c r="D130" s="54" t="s">
        <v>2076</v>
      </c>
      <c r="E130" s="25" t="s">
        <v>266</v>
      </c>
      <c r="F130" s="26"/>
      <c r="G130" s="26" t="s">
        <v>2182</v>
      </c>
      <c r="H130" s="37"/>
      <c r="I130" s="26"/>
      <c r="J130" s="15" t="s">
        <v>632</v>
      </c>
      <c r="K130" s="15" t="s">
        <v>803</v>
      </c>
      <c r="L130" s="15" t="s">
        <v>633</v>
      </c>
    </row>
    <row r="131" s="1" customFormat="1" spans="1:12">
      <c r="A131" s="33"/>
      <c r="B131" s="52" t="s">
        <v>2078</v>
      </c>
      <c r="C131" s="52" t="s">
        <v>338</v>
      </c>
      <c r="D131" s="54" t="s">
        <v>2079</v>
      </c>
      <c r="E131" s="25" t="s">
        <v>266</v>
      </c>
      <c r="F131" s="26"/>
      <c r="G131" s="26" t="s">
        <v>2183</v>
      </c>
      <c r="H131" s="37"/>
      <c r="I131" s="26"/>
      <c r="J131" s="15" t="s">
        <v>632</v>
      </c>
      <c r="K131" s="15" t="s">
        <v>803</v>
      </c>
      <c r="L131" s="15" t="s">
        <v>633</v>
      </c>
    </row>
    <row r="132" s="1" customFormat="1" spans="1:12">
      <c r="A132" s="33"/>
      <c r="B132" s="52" t="s">
        <v>2081</v>
      </c>
      <c r="C132" s="52" t="s">
        <v>338</v>
      </c>
      <c r="D132" s="54" t="s">
        <v>2082</v>
      </c>
      <c r="E132" s="25" t="s">
        <v>266</v>
      </c>
      <c r="F132" s="26"/>
      <c r="G132" s="26" t="s">
        <v>2184</v>
      </c>
      <c r="H132" s="37"/>
      <c r="I132" s="26"/>
      <c r="J132" s="15" t="s">
        <v>632</v>
      </c>
      <c r="K132" s="15" t="s">
        <v>803</v>
      </c>
      <c r="L132" s="15" t="s">
        <v>633</v>
      </c>
    </row>
    <row r="133" s="1" customFormat="1" spans="2:12">
      <c r="B133" s="32" t="s">
        <v>2084</v>
      </c>
      <c r="C133" s="32" t="s">
        <v>338</v>
      </c>
      <c r="D133" s="10" t="s">
        <v>2085</v>
      </c>
      <c r="E133" s="25" t="s">
        <v>266</v>
      </c>
      <c r="F133" s="26"/>
      <c r="G133" s="26" t="s">
        <v>2185</v>
      </c>
      <c r="H133" s="37"/>
      <c r="I133" s="26"/>
      <c r="J133" s="15" t="s">
        <v>632</v>
      </c>
      <c r="K133" s="15" t="s">
        <v>669</v>
      </c>
      <c r="L133" s="15" t="s">
        <v>670</v>
      </c>
    </row>
    <row r="134" s="1" customFormat="1" spans="2:12">
      <c r="B134" s="32" t="s">
        <v>1909</v>
      </c>
      <c r="C134" s="32" t="s">
        <v>338</v>
      </c>
      <c r="D134" s="10" t="s">
        <v>2087</v>
      </c>
      <c r="E134" s="25" t="s">
        <v>266</v>
      </c>
      <c r="F134" s="26"/>
      <c r="G134" s="26" t="s">
        <v>2088</v>
      </c>
      <c r="H134" s="37"/>
      <c r="I134" s="26"/>
      <c r="J134" s="15" t="s">
        <v>632</v>
      </c>
      <c r="K134" s="15" t="s">
        <v>803</v>
      </c>
      <c r="L134" s="15" t="s">
        <v>633</v>
      </c>
    </row>
    <row r="135" s="1" customFormat="1" spans="1:12">
      <c r="A135" s="33"/>
      <c r="B135" s="52" t="s">
        <v>2089</v>
      </c>
      <c r="C135" s="52" t="s">
        <v>666</v>
      </c>
      <c r="D135" s="54" t="s">
        <v>2090</v>
      </c>
      <c r="E135" s="25" t="s">
        <v>266</v>
      </c>
      <c r="F135" s="55"/>
      <c r="G135" s="26" t="s">
        <v>2186</v>
      </c>
      <c r="H135" s="37"/>
      <c r="I135" s="26"/>
      <c r="J135" s="15" t="s">
        <v>632</v>
      </c>
      <c r="K135" s="15" t="s">
        <v>669</v>
      </c>
      <c r="L135" s="15" t="s">
        <v>670</v>
      </c>
    </row>
    <row r="136" s="1" customFormat="1" spans="1:12">
      <c r="A136" s="33"/>
      <c r="B136" s="52" t="s">
        <v>2092</v>
      </c>
      <c r="C136" s="52" t="s">
        <v>338</v>
      </c>
      <c r="D136" s="54" t="s">
        <v>2093</v>
      </c>
      <c r="E136" s="25" t="s">
        <v>266</v>
      </c>
      <c r="F136" s="26"/>
      <c r="G136" s="26" t="s">
        <v>2187</v>
      </c>
      <c r="H136" s="37"/>
      <c r="I136" s="26"/>
      <c r="J136" s="15" t="s">
        <v>632</v>
      </c>
      <c r="K136" s="15" t="s">
        <v>803</v>
      </c>
      <c r="L136" s="15" t="s">
        <v>633</v>
      </c>
    </row>
    <row r="137" s="1" customFormat="1" spans="1:12">
      <c r="A137" s="33"/>
      <c r="B137" s="52" t="s">
        <v>2095</v>
      </c>
      <c r="C137" s="52" t="s">
        <v>338</v>
      </c>
      <c r="D137" s="54" t="s">
        <v>2096</v>
      </c>
      <c r="E137" s="25" t="s">
        <v>266</v>
      </c>
      <c r="F137" s="26"/>
      <c r="G137" s="26" t="s">
        <v>2188</v>
      </c>
      <c r="H137" s="37"/>
      <c r="I137" s="26"/>
      <c r="J137" s="15" t="s">
        <v>632</v>
      </c>
      <c r="K137" s="15" t="s">
        <v>803</v>
      </c>
      <c r="L137" s="15" t="s">
        <v>633</v>
      </c>
    </row>
    <row r="138" s="1" customFormat="1" spans="1:12">
      <c r="A138" s="33"/>
      <c r="B138" s="52" t="s">
        <v>2098</v>
      </c>
      <c r="C138" s="52" t="s">
        <v>338</v>
      </c>
      <c r="D138" s="54" t="s">
        <v>2099</v>
      </c>
      <c r="E138" s="25" t="s">
        <v>266</v>
      </c>
      <c r="F138" s="26"/>
      <c r="G138" s="26" t="s">
        <v>2189</v>
      </c>
      <c r="H138" s="37"/>
      <c r="I138" s="26"/>
      <c r="J138" s="15" t="s">
        <v>632</v>
      </c>
      <c r="K138" s="15" t="s">
        <v>803</v>
      </c>
      <c r="L138" s="15" t="s">
        <v>633</v>
      </c>
    </row>
    <row r="139" s="1" customFormat="1" spans="1:12">
      <c r="A139" s="33"/>
      <c r="B139" s="52" t="s">
        <v>2101</v>
      </c>
      <c r="C139" s="52" t="s">
        <v>338</v>
      </c>
      <c r="D139" s="54" t="s">
        <v>2102</v>
      </c>
      <c r="E139" s="25" t="s">
        <v>266</v>
      </c>
      <c r="F139" s="26"/>
      <c r="G139" s="26" t="s">
        <v>2190</v>
      </c>
      <c r="H139" s="37"/>
      <c r="I139" s="26"/>
      <c r="J139" s="15" t="s">
        <v>632</v>
      </c>
      <c r="K139" s="15" t="s">
        <v>803</v>
      </c>
      <c r="L139" s="15" t="s">
        <v>633</v>
      </c>
    </row>
    <row r="140" s="1" customFormat="1" spans="1:12">
      <c r="A140" s="33"/>
      <c r="B140" s="52" t="s">
        <v>2104</v>
      </c>
      <c r="C140" s="52" t="s">
        <v>338</v>
      </c>
      <c r="D140" s="54" t="s">
        <v>2105</v>
      </c>
      <c r="E140" s="25" t="s">
        <v>266</v>
      </c>
      <c r="F140" s="26"/>
      <c r="G140" s="26" t="s">
        <v>2191</v>
      </c>
      <c r="H140" s="37"/>
      <c r="I140" s="26"/>
      <c r="J140" s="15" t="s">
        <v>632</v>
      </c>
      <c r="K140" s="15" t="s">
        <v>803</v>
      </c>
      <c r="L140" s="15" t="s">
        <v>633</v>
      </c>
    </row>
    <row r="141" s="1" customFormat="1" spans="1:12">
      <c r="A141" s="33"/>
      <c r="B141" s="52" t="s">
        <v>2107</v>
      </c>
      <c r="C141" s="52" t="s">
        <v>338</v>
      </c>
      <c r="D141" s="10" t="s">
        <v>2108</v>
      </c>
      <c r="E141" s="25" t="s">
        <v>266</v>
      </c>
      <c r="F141" s="26"/>
      <c r="G141" s="26" t="s">
        <v>2192</v>
      </c>
      <c r="H141" s="37"/>
      <c r="I141" s="26"/>
      <c r="J141" s="15" t="s">
        <v>632</v>
      </c>
      <c r="K141" s="15" t="s">
        <v>669</v>
      </c>
      <c r="L141" s="15" t="s">
        <v>670</v>
      </c>
    </row>
    <row r="142" s="1" customFormat="1" spans="1:12">
      <c r="A142" s="33"/>
      <c r="B142" s="52" t="s">
        <v>1912</v>
      </c>
      <c r="C142" s="52" t="s">
        <v>338</v>
      </c>
      <c r="D142" s="10" t="s">
        <v>2110</v>
      </c>
      <c r="E142" s="25" t="s">
        <v>266</v>
      </c>
      <c r="F142" s="26"/>
      <c r="G142" s="26" t="s">
        <v>2111</v>
      </c>
      <c r="H142" s="37"/>
      <c r="I142" s="26"/>
      <c r="J142" s="15" t="s">
        <v>632</v>
      </c>
      <c r="K142" s="15" t="s">
        <v>803</v>
      </c>
      <c r="L142" s="15" t="s">
        <v>633</v>
      </c>
    </row>
    <row r="143" s="1" customFormat="1" spans="1:12">
      <c r="A143" s="33"/>
      <c r="B143" s="52" t="s">
        <v>2112</v>
      </c>
      <c r="C143" s="52" t="s">
        <v>666</v>
      </c>
      <c r="D143" s="54" t="s">
        <v>2113</v>
      </c>
      <c r="E143" s="25" t="s">
        <v>266</v>
      </c>
      <c r="F143" s="55"/>
      <c r="G143" s="26" t="s">
        <v>2193</v>
      </c>
      <c r="H143" s="37"/>
      <c r="I143" s="26"/>
      <c r="J143" s="15" t="s">
        <v>632</v>
      </c>
      <c r="K143" s="15" t="s">
        <v>669</v>
      </c>
      <c r="L143" s="15" t="s">
        <v>670</v>
      </c>
    </row>
    <row r="144" s="1" customFormat="1" spans="1:12">
      <c r="A144" s="33"/>
      <c r="B144" s="52" t="s">
        <v>2115</v>
      </c>
      <c r="C144" s="52" t="s">
        <v>338</v>
      </c>
      <c r="D144" s="54" t="s">
        <v>2116</v>
      </c>
      <c r="E144" s="25" t="s">
        <v>266</v>
      </c>
      <c r="F144" s="26"/>
      <c r="G144" s="26" t="s">
        <v>2194</v>
      </c>
      <c r="H144" s="37"/>
      <c r="I144" s="26"/>
      <c r="J144" s="15" t="s">
        <v>632</v>
      </c>
      <c r="K144" s="15" t="s">
        <v>803</v>
      </c>
      <c r="L144" s="15" t="s">
        <v>633</v>
      </c>
    </row>
    <row r="145" s="1" customFormat="1" spans="1:12">
      <c r="A145" s="33"/>
      <c r="B145" s="52" t="s">
        <v>2118</v>
      </c>
      <c r="C145" s="52" t="s">
        <v>338</v>
      </c>
      <c r="D145" s="54" t="s">
        <v>2119</v>
      </c>
      <c r="E145" s="25" t="s">
        <v>266</v>
      </c>
      <c r="F145" s="26"/>
      <c r="G145" s="26" t="s">
        <v>2195</v>
      </c>
      <c r="H145" s="37"/>
      <c r="I145" s="26"/>
      <c r="J145" s="15" t="s">
        <v>632</v>
      </c>
      <c r="K145" s="15" t="s">
        <v>803</v>
      </c>
      <c r="L145" s="15" t="s">
        <v>633</v>
      </c>
    </row>
    <row r="146" s="1" customFormat="1" spans="1:12">
      <c r="A146" s="33"/>
      <c r="B146" s="52" t="s">
        <v>2121</v>
      </c>
      <c r="C146" s="52" t="s">
        <v>338</v>
      </c>
      <c r="D146" s="54" t="s">
        <v>2122</v>
      </c>
      <c r="E146" s="25" t="s">
        <v>266</v>
      </c>
      <c r="F146" s="26"/>
      <c r="G146" s="26" t="s">
        <v>2196</v>
      </c>
      <c r="H146" s="37"/>
      <c r="I146" s="26"/>
      <c r="J146" s="15" t="s">
        <v>632</v>
      </c>
      <c r="K146" s="15" t="s">
        <v>803</v>
      </c>
      <c r="L146" s="15" t="s">
        <v>633</v>
      </c>
    </row>
    <row r="147" s="1" customFormat="1" spans="1:12">
      <c r="A147" s="33"/>
      <c r="B147" s="52" t="s">
        <v>2124</v>
      </c>
      <c r="C147" s="52" t="s">
        <v>338</v>
      </c>
      <c r="D147" s="54" t="s">
        <v>2125</v>
      </c>
      <c r="E147" s="25" t="s">
        <v>266</v>
      </c>
      <c r="F147" s="26"/>
      <c r="G147" s="26" t="s">
        <v>2197</v>
      </c>
      <c r="H147" s="37"/>
      <c r="I147" s="26"/>
      <c r="J147" s="15" t="s">
        <v>632</v>
      </c>
      <c r="K147" s="15" t="s">
        <v>803</v>
      </c>
      <c r="L147" s="15" t="s">
        <v>633</v>
      </c>
    </row>
    <row r="148" s="1" customFormat="1" spans="1:12">
      <c r="A148" s="33"/>
      <c r="B148" s="52" t="s">
        <v>2127</v>
      </c>
      <c r="C148" s="52" t="s">
        <v>338</v>
      </c>
      <c r="D148" s="54" t="s">
        <v>2128</v>
      </c>
      <c r="E148" s="25" t="s">
        <v>266</v>
      </c>
      <c r="F148" s="26"/>
      <c r="G148" s="26" t="s">
        <v>2198</v>
      </c>
      <c r="H148" s="37"/>
      <c r="I148" s="26"/>
      <c r="J148" s="15" t="s">
        <v>632</v>
      </c>
      <c r="K148" s="15" t="s">
        <v>803</v>
      </c>
      <c r="L148" s="15" t="s">
        <v>633</v>
      </c>
    </row>
    <row r="149" s="1" customFormat="1" spans="1:12">
      <c r="A149" s="33"/>
      <c r="B149" s="52" t="s">
        <v>2130</v>
      </c>
      <c r="C149" s="52" t="s">
        <v>338</v>
      </c>
      <c r="D149" s="54" t="s">
        <v>2131</v>
      </c>
      <c r="E149" s="25" t="s">
        <v>266</v>
      </c>
      <c r="F149" s="55"/>
      <c r="G149" s="26" t="s">
        <v>2199</v>
      </c>
      <c r="H149" s="27"/>
      <c r="I149" s="26"/>
      <c r="J149" s="15" t="s">
        <v>632</v>
      </c>
      <c r="K149" s="15" t="s">
        <v>294</v>
      </c>
      <c r="L149" s="15" t="s">
        <v>633</v>
      </c>
    </row>
    <row r="150" s="1" customFormat="1" spans="1:12">
      <c r="A150" s="33"/>
      <c r="B150" s="52" t="s">
        <v>2133</v>
      </c>
      <c r="C150" s="52" t="s">
        <v>338</v>
      </c>
      <c r="D150" s="54" t="s">
        <v>2134</v>
      </c>
      <c r="E150" s="25" t="s">
        <v>266</v>
      </c>
      <c r="F150" s="55"/>
      <c r="G150" s="26" t="s">
        <v>2200</v>
      </c>
      <c r="H150" s="27"/>
      <c r="I150" s="26"/>
      <c r="J150" s="15" t="s">
        <v>632</v>
      </c>
      <c r="K150" s="15" t="s">
        <v>669</v>
      </c>
      <c r="L150" s="15" t="s">
        <v>633</v>
      </c>
    </row>
    <row r="151" s="1" customFormat="1" spans="1:12">
      <c r="A151" s="33"/>
      <c r="B151" s="13" t="s">
        <v>887</v>
      </c>
      <c r="C151" s="13" t="s">
        <v>338</v>
      </c>
      <c r="D151" s="10" t="s">
        <v>888</v>
      </c>
      <c r="E151" s="25" t="s">
        <v>266</v>
      </c>
      <c r="F151" s="26"/>
      <c r="G151" s="26" t="s">
        <v>1013</v>
      </c>
      <c r="H151" s="37"/>
      <c r="I151" s="26"/>
      <c r="J151" s="15" t="s">
        <v>632</v>
      </c>
      <c r="K151" s="15" t="s">
        <v>294</v>
      </c>
      <c r="L151" s="15" t="s">
        <v>633</v>
      </c>
    </row>
    <row r="152" s="1" customFormat="1" spans="1:12">
      <c r="A152" s="33"/>
      <c r="B152" s="13" t="s">
        <v>926</v>
      </c>
      <c r="C152" s="13" t="s">
        <v>291</v>
      </c>
      <c r="D152" s="10" t="s">
        <v>927</v>
      </c>
      <c r="E152" s="25" t="s">
        <v>266</v>
      </c>
      <c r="F152" s="35"/>
      <c r="G152" s="35" t="s">
        <v>1026</v>
      </c>
      <c r="H152" s="37"/>
      <c r="I152" s="56">
        <v>20250415101139</v>
      </c>
      <c r="J152" s="15" t="s">
        <v>632</v>
      </c>
      <c r="K152" s="15" t="s">
        <v>294</v>
      </c>
      <c r="L152" s="15" t="s">
        <v>670</v>
      </c>
    </row>
    <row r="153" s="1" customFormat="1" spans="1:12">
      <c r="A153" s="33"/>
      <c r="B153" s="13" t="s">
        <v>929</v>
      </c>
      <c r="C153" s="13" t="s">
        <v>291</v>
      </c>
      <c r="D153" s="10" t="s">
        <v>930</v>
      </c>
      <c r="E153" s="25" t="s">
        <v>266</v>
      </c>
      <c r="F153" s="35"/>
      <c r="G153" s="35" t="s">
        <v>1027</v>
      </c>
      <c r="H153" s="37"/>
      <c r="I153" s="56">
        <v>20250415101024</v>
      </c>
      <c r="J153" s="15" t="s">
        <v>632</v>
      </c>
      <c r="K153" s="15" t="s">
        <v>294</v>
      </c>
      <c r="L153" s="15" t="s">
        <v>670</v>
      </c>
    </row>
    <row r="154" s="2" customFormat="1" spans="2:14">
      <c r="B154" s="17" t="s">
        <v>594</v>
      </c>
      <c r="C154" s="18" t="s">
        <v>307</v>
      </c>
      <c r="D154" s="19" t="s">
        <v>595</v>
      </c>
      <c r="E154" s="28"/>
      <c r="F154" s="28"/>
      <c r="G154" s="28"/>
      <c r="H154" s="17"/>
      <c r="I154" s="17"/>
      <c r="J154" s="17"/>
      <c r="K154" s="17"/>
      <c r="L154" s="17"/>
      <c r="M154" s="17"/>
      <c r="N154" s="17"/>
    </row>
    <row r="155" s="2" customFormat="1" spans="2:14">
      <c r="B155" s="17" t="s">
        <v>596</v>
      </c>
      <c r="C155" s="18" t="s">
        <v>291</v>
      </c>
      <c r="D155" s="19" t="s">
        <v>597</v>
      </c>
      <c r="E155" s="28"/>
      <c r="F155" s="28"/>
      <c r="G155" s="28"/>
      <c r="H155" s="17"/>
      <c r="I155" s="17"/>
      <c r="J155" s="17"/>
      <c r="K155" s="17"/>
      <c r="L155" s="17"/>
      <c r="M155" s="17"/>
      <c r="N155" s="17"/>
    </row>
    <row r="156" s="2" customFormat="1" spans="2:14">
      <c r="B156" s="17" t="s">
        <v>598</v>
      </c>
      <c r="C156" s="18" t="s">
        <v>307</v>
      </c>
      <c r="D156" s="19" t="s">
        <v>599</v>
      </c>
      <c r="E156" s="28"/>
      <c r="F156" s="28"/>
      <c r="G156" s="28"/>
      <c r="H156" s="17"/>
      <c r="I156" s="17"/>
      <c r="J156" s="17"/>
      <c r="K156" s="17"/>
      <c r="L156" s="17"/>
      <c r="M156" s="17"/>
      <c r="N156" s="17"/>
    </row>
    <row r="157" s="2" customFormat="1" spans="2:14">
      <c r="B157" s="17" t="s">
        <v>600</v>
      </c>
      <c r="C157" s="18" t="s">
        <v>307</v>
      </c>
      <c r="D157" s="19" t="s">
        <v>601</v>
      </c>
      <c r="E157" s="28"/>
      <c r="F157" s="28"/>
      <c r="G157" s="28" t="s">
        <v>932</v>
      </c>
      <c r="H157" s="17" t="s">
        <v>932</v>
      </c>
      <c r="I157" s="17"/>
      <c r="J157" s="17"/>
      <c r="K157" s="17"/>
      <c r="L157" s="17"/>
      <c r="M157" s="17"/>
      <c r="N157" s="17"/>
    </row>
  </sheetData>
  <autoFilter xmlns:etc="http://www.wps.cn/officeDocument/2017/etCustomData" ref="A13:N157" etc:filterBottomFollowUsedRange="0">
    <extLst/>
  </autoFilter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"/>
  <sheetViews>
    <sheetView zoomScale="85" zoomScaleNormal="85" workbookViewId="0">
      <pane ySplit="5" topLeftCell="A48" activePane="bottomLeft" state="frozen"/>
      <selection/>
      <selection pane="bottomLeft" activeCell="B60" sqref="B60"/>
    </sheetView>
  </sheetViews>
  <sheetFormatPr defaultColWidth="9" defaultRowHeight="13"/>
  <cols>
    <col min="1" max="1" width="1.33333333333333" style="3" customWidth="1"/>
    <col min="2" max="2" width="27.775" style="3" customWidth="1"/>
    <col min="3" max="3" width="32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43.8833333333333" style="3" customWidth="1"/>
    <col min="8" max="8" width="19.775" style="3" customWidth="1"/>
    <col min="9" max="9" width="18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0" t="s">
        <v>228</v>
      </c>
      <c r="D5" s="11" t="s">
        <v>229</v>
      </c>
      <c r="E5" s="13" t="s">
        <v>27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3.2" customHeight="1" spans="2:8">
      <c r="B9" s="13"/>
      <c r="C9" s="10" t="s">
        <v>1476</v>
      </c>
      <c r="D9" s="11" t="s">
        <v>1477</v>
      </c>
      <c r="E9" s="13" t="s">
        <v>266</v>
      </c>
      <c r="F9" s="26"/>
      <c r="G9" s="42" t="s">
        <v>2254</v>
      </c>
      <c r="H9" s="43"/>
    </row>
    <row r="10" spans="2:8">
      <c r="B10" s="13"/>
      <c r="C10" s="10" t="s">
        <v>2255</v>
      </c>
      <c r="D10" s="11" t="s">
        <v>2256</v>
      </c>
      <c r="E10" s="13" t="s">
        <v>269</v>
      </c>
      <c r="F10" s="26" t="s">
        <v>1481</v>
      </c>
      <c r="G10" s="44"/>
      <c r="H10" s="43" t="s">
        <v>44</v>
      </c>
    </row>
    <row r="11" s="38" customFormat="1" spans="1:11">
      <c r="A11" s="39"/>
      <c r="B11" s="40"/>
      <c r="C11" s="41" t="s">
        <v>226</v>
      </c>
      <c r="D11" s="41" t="s">
        <v>2257</v>
      </c>
      <c r="E11" s="40" t="s">
        <v>1311</v>
      </c>
      <c r="F11" s="40"/>
      <c r="G11" s="45"/>
      <c r="H11" s="40"/>
      <c r="I11" s="39"/>
      <c r="J11" s="39"/>
      <c r="K11" s="39"/>
    </row>
    <row r="12" spans="2:2">
      <c r="B12" s="3" t="s">
        <v>279</v>
      </c>
    </row>
    <row r="13" ht="13.5" spans="2:12">
      <c r="B13" s="7" t="s">
        <v>279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3.5" spans="2:12">
      <c r="B14" s="8" t="s">
        <v>280</v>
      </c>
      <c r="C14" s="8" t="s">
        <v>281</v>
      </c>
      <c r="D14" s="8" t="s">
        <v>282</v>
      </c>
      <c r="E14" s="8" t="s">
        <v>283</v>
      </c>
      <c r="F14" s="12" t="s">
        <v>284</v>
      </c>
      <c r="G14" s="12" t="s">
        <v>285</v>
      </c>
      <c r="H14" s="8" t="s">
        <v>286</v>
      </c>
      <c r="I14" s="8" t="s">
        <v>17</v>
      </c>
      <c r="J14" s="8" t="s">
        <v>287</v>
      </c>
      <c r="K14" s="8" t="s">
        <v>288</v>
      </c>
      <c r="L14" s="8" t="s">
        <v>289</v>
      </c>
    </row>
    <row r="15" s="1" customFormat="1" spans="2:12">
      <c r="B15" s="32" t="s">
        <v>602</v>
      </c>
      <c r="C15" s="32" t="s">
        <v>291</v>
      </c>
      <c r="D15" s="10" t="s">
        <v>614</v>
      </c>
      <c r="E15" s="25" t="s">
        <v>266</v>
      </c>
      <c r="F15" s="26" t="s">
        <v>602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294</v>
      </c>
    </row>
    <row r="16" s="1" customFormat="1" spans="2:12">
      <c r="B16" s="32" t="s">
        <v>606</v>
      </c>
      <c r="C16" s="32" t="s">
        <v>307</v>
      </c>
      <c r="D16" s="10" t="s">
        <v>48</v>
      </c>
      <c r="E16" s="25" t="s">
        <v>266</v>
      </c>
      <c r="F16" s="26" t="s">
        <v>606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2:12">
      <c r="B17" s="32" t="s">
        <v>257</v>
      </c>
      <c r="C17" s="32" t="s">
        <v>307</v>
      </c>
      <c r="D17" s="10" t="s">
        <v>37</v>
      </c>
      <c r="E17" s="25" t="s">
        <v>266</v>
      </c>
      <c r="F17" s="26" t="s">
        <v>257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294</v>
      </c>
    </row>
    <row r="18" s="1" customFormat="1" spans="1:12">
      <c r="A18" s="33"/>
      <c r="B18" s="32" t="s">
        <v>295</v>
      </c>
      <c r="C18" s="32" t="s">
        <v>291</v>
      </c>
      <c r="D18" s="10" t="s">
        <v>603</v>
      </c>
      <c r="E18" s="25" t="s">
        <v>266</v>
      </c>
      <c r="F18" s="26" t="s">
        <v>295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32" t="s">
        <v>1482</v>
      </c>
      <c r="C19" s="32" t="s">
        <v>291</v>
      </c>
      <c r="D19" s="10" t="s">
        <v>1483</v>
      </c>
      <c r="E19" s="25" t="s">
        <v>266</v>
      </c>
      <c r="F19" s="26" t="s">
        <v>1482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294</v>
      </c>
    </row>
    <row r="20" s="1" customFormat="1" spans="1:12">
      <c r="A20" s="33"/>
      <c r="B20" s="32" t="s">
        <v>1484</v>
      </c>
      <c r="C20" s="32" t="s">
        <v>291</v>
      </c>
      <c r="D20" s="10" t="s">
        <v>1485</v>
      </c>
      <c r="E20" s="25" t="s">
        <v>266</v>
      </c>
      <c r="F20" s="10" t="s">
        <v>1484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1486</v>
      </c>
      <c r="C21" s="32" t="s">
        <v>291</v>
      </c>
      <c r="D21" s="10" t="s">
        <v>1487</v>
      </c>
      <c r="E21" s="25" t="s">
        <v>266</v>
      </c>
      <c r="F21" s="10" t="s">
        <v>1486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294</v>
      </c>
    </row>
    <row r="22" s="1" customFormat="1" spans="1:12">
      <c r="A22" s="33"/>
      <c r="B22" s="13" t="s">
        <v>1488</v>
      </c>
      <c r="C22" s="32" t="s">
        <v>291</v>
      </c>
      <c r="D22" s="10" t="s">
        <v>1489</v>
      </c>
      <c r="E22" s="25" t="s">
        <v>266</v>
      </c>
      <c r="F22" s="10" t="s">
        <v>1488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1490</v>
      </c>
      <c r="C23" s="32" t="s">
        <v>666</v>
      </c>
      <c r="D23" s="10" t="s">
        <v>1491</v>
      </c>
      <c r="E23" s="25" t="s">
        <v>266</v>
      </c>
      <c r="F23" s="10" t="s">
        <v>1490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spans="1:12">
      <c r="A24" s="33"/>
      <c r="B24" s="13" t="s">
        <v>1492</v>
      </c>
      <c r="C24" s="32" t="s">
        <v>666</v>
      </c>
      <c r="D24" s="10" t="s">
        <v>1493</v>
      </c>
      <c r="E24" s="25" t="s">
        <v>266</v>
      </c>
      <c r="F24" s="10" t="s">
        <v>1492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514</v>
      </c>
      <c r="C25" s="13" t="s">
        <v>291</v>
      </c>
      <c r="D25" s="10" t="s">
        <v>515</v>
      </c>
      <c r="E25" s="25" t="s">
        <v>266</v>
      </c>
      <c r="F25" s="10" t="s">
        <v>514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294</v>
      </c>
    </row>
    <row r="26" s="1" customFormat="1" spans="1:12">
      <c r="A26" s="33"/>
      <c r="B26" s="13" t="s">
        <v>331</v>
      </c>
      <c r="C26" s="13" t="s">
        <v>307</v>
      </c>
      <c r="D26" s="10" t="s">
        <v>623</v>
      </c>
      <c r="E26" s="25" t="s">
        <v>1494</v>
      </c>
      <c r="F26" s="26" t="s">
        <v>331</v>
      </c>
      <c r="G26" s="26" t="s">
        <v>293</v>
      </c>
      <c r="H26" s="27"/>
      <c r="I26" s="15"/>
      <c r="J26" s="15" t="s">
        <v>604</v>
      </c>
      <c r="K26" s="15" t="s">
        <v>294</v>
      </c>
      <c r="L26" s="15" t="s">
        <v>294</v>
      </c>
    </row>
    <row r="27" s="1" customFormat="1" ht="13.8" customHeight="1" spans="1:12">
      <c r="A27" s="33"/>
      <c r="B27" s="13" t="s">
        <v>1273</v>
      </c>
      <c r="C27" s="13" t="s">
        <v>338</v>
      </c>
      <c r="D27" s="10" t="s">
        <v>640</v>
      </c>
      <c r="E27" s="25" t="s">
        <v>1494</v>
      </c>
      <c r="F27" s="26"/>
      <c r="G27" s="26" t="s">
        <v>1685</v>
      </c>
      <c r="H27" s="46" t="s">
        <v>1496</v>
      </c>
      <c r="I27" s="49"/>
      <c r="J27" s="15" t="s">
        <v>632</v>
      </c>
      <c r="K27" s="15" t="s">
        <v>404</v>
      </c>
      <c r="L27" s="15" t="s">
        <v>633</v>
      </c>
    </row>
    <row r="28" s="1" customFormat="1" spans="1:12">
      <c r="A28" s="33"/>
      <c r="B28" s="13" t="s">
        <v>1044</v>
      </c>
      <c r="C28" s="13" t="s">
        <v>338</v>
      </c>
      <c r="D28" s="10" t="s">
        <v>642</v>
      </c>
      <c r="E28" s="25" t="s">
        <v>1494</v>
      </c>
      <c r="F28" s="26"/>
      <c r="G28" s="26" t="s">
        <v>1686</v>
      </c>
      <c r="H28" s="46" t="s">
        <v>1498</v>
      </c>
      <c r="I28" s="49"/>
      <c r="J28" s="15" t="s">
        <v>632</v>
      </c>
      <c r="K28" s="15" t="s">
        <v>644</v>
      </c>
      <c r="L28" s="15" t="s">
        <v>633</v>
      </c>
    </row>
    <row r="29" s="1" customFormat="1" spans="1:12">
      <c r="A29" s="33"/>
      <c r="B29" s="13" t="s">
        <v>1045</v>
      </c>
      <c r="C29" s="13" t="s">
        <v>338</v>
      </c>
      <c r="D29" s="10" t="s">
        <v>645</v>
      </c>
      <c r="E29" s="25" t="s">
        <v>1494</v>
      </c>
      <c r="F29" s="26"/>
      <c r="G29" s="26" t="s">
        <v>1687</v>
      </c>
      <c r="H29" s="46" t="s">
        <v>1500</v>
      </c>
      <c r="I29" s="49"/>
      <c r="J29" s="15" t="s">
        <v>632</v>
      </c>
      <c r="K29" s="15" t="s">
        <v>644</v>
      </c>
      <c r="L29" s="15" t="s">
        <v>633</v>
      </c>
    </row>
    <row r="30" s="1" customFormat="1" spans="2:12">
      <c r="B30" s="32" t="s">
        <v>1088</v>
      </c>
      <c r="C30" s="34" t="s">
        <v>338</v>
      </c>
      <c r="D30" s="10" t="s">
        <v>1089</v>
      </c>
      <c r="E30" s="25" t="s">
        <v>1494</v>
      </c>
      <c r="F30" s="26"/>
      <c r="G30" s="26" t="s">
        <v>2258</v>
      </c>
      <c r="H30" s="46" t="s">
        <v>1502</v>
      </c>
      <c r="I30" s="49"/>
      <c r="J30" s="15" t="s">
        <v>632</v>
      </c>
      <c r="K30" s="15" t="s">
        <v>404</v>
      </c>
      <c r="L30" s="15" t="s">
        <v>633</v>
      </c>
    </row>
    <row r="31" s="1" customFormat="1" spans="2:12">
      <c r="B31" s="32" t="s">
        <v>1101</v>
      </c>
      <c r="C31" s="34" t="s">
        <v>338</v>
      </c>
      <c r="D31" s="10" t="s">
        <v>1102</v>
      </c>
      <c r="E31" s="25" t="s">
        <v>1494</v>
      </c>
      <c r="F31" s="26"/>
      <c r="G31" s="26" t="s">
        <v>1689</v>
      </c>
      <c r="H31" s="46" t="s">
        <v>1504</v>
      </c>
      <c r="I31" s="49"/>
      <c r="J31" s="15" t="s">
        <v>632</v>
      </c>
      <c r="K31" s="15" t="s">
        <v>404</v>
      </c>
      <c r="L31" s="15" t="s">
        <v>633</v>
      </c>
    </row>
    <row r="32" s="33" customFormat="1" spans="2:13">
      <c r="B32" s="32" t="s">
        <v>1114</v>
      </c>
      <c r="C32" s="13" t="s">
        <v>338</v>
      </c>
      <c r="D32" s="10" t="s">
        <v>1505</v>
      </c>
      <c r="E32" s="25" t="s">
        <v>1494</v>
      </c>
      <c r="F32" s="26"/>
      <c r="G32" s="26" t="s">
        <v>1690</v>
      </c>
      <c r="H32" s="46" t="s">
        <v>1507</v>
      </c>
      <c r="I32" s="49"/>
      <c r="J32" s="15" t="s">
        <v>632</v>
      </c>
      <c r="K32" s="15" t="s">
        <v>404</v>
      </c>
      <c r="L32" s="15" t="s">
        <v>633</v>
      </c>
      <c r="M32" s="1"/>
    </row>
    <row r="33" s="1" customFormat="1" spans="1:12">
      <c r="A33" s="33"/>
      <c r="B33" s="13" t="s">
        <v>2203</v>
      </c>
      <c r="C33" s="13" t="s">
        <v>338</v>
      </c>
      <c r="D33" s="10" t="s">
        <v>1917</v>
      </c>
      <c r="E33" s="25" t="s">
        <v>1494</v>
      </c>
      <c r="F33" s="26"/>
      <c r="G33" s="26" t="s">
        <v>2259</v>
      </c>
      <c r="H33" s="46" t="s">
        <v>2260</v>
      </c>
      <c r="I33" s="49"/>
      <c r="J33" s="15" t="s">
        <v>632</v>
      </c>
      <c r="K33" s="15" t="s">
        <v>803</v>
      </c>
      <c r="L33" s="15" t="s">
        <v>633</v>
      </c>
    </row>
    <row r="34" s="1" customFormat="1" spans="1:12">
      <c r="A34" s="33"/>
      <c r="B34" s="13" t="s">
        <v>2204</v>
      </c>
      <c r="C34" s="13" t="s">
        <v>338</v>
      </c>
      <c r="D34" s="10" t="s">
        <v>1920</v>
      </c>
      <c r="E34" s="25" t="s">
        <v>1494</v>
      </c>
      <c r="F34" s="26"/>
      <c r="G34" s="26" t="s">
        <v>2261</v>
      </c>
      <c r="H34" s="46" t="s">
        <v>2262</v>
      </c>
      <c r="I34" s="49"/>
      <c r="J34" s="15" t="s">
        <v>632</v>
      </c>
      <c r="K34" s="15" t="s">
        <v>803</v>
      </c>
      <c r="L34" s="15" t="s">
        <v>633</v>
      </c>
    </row>
    <row r="35" s="1" customFormat="1" spans="1:12">
      <c r="A35" s="33"/>
      <c r="B35" s="13" t="s">
        <v>2263</v>
      </c>
      <c r="C35" s="13" t="s">
        <v>338</v>
      </c>
      <c r="D35" s="10" t="s">
        <v>2264</v>
      </c>
      <c r="E35" s="25" t="s">
        <v>1494</v>
      </c>
      <c r="F35" s="26"/>
      <c r="G35" s="26" t="s">
        <v>2265</v>
      </c>
      <c r="H35" s="46" t="s">
        <v>2266</v>
      </c>
      <c r="I35" s="49"/>
      <c r="J35" s="15" t="s">
        <v>632</v>
      </c>
      <c r="K35" s="15" t="s">
        <v>803</v>
      </c>
      <c r="L35" s="15" t="s">
        <v>633</v>
      </c>
    </row>
    <row r="36" s="1" customFormat="1" spans="1:12">
      <c r="A36" s="33"/>
      <c r="B36" s="32" t="s">
        <v>1860</v>
      </c>
      <c r="C36" s="32" t="s">
        <v>338</v>
      </c>
      <c r="D36" s="10" t="s">
        <v>1861</v>
      </c>
      <c r="E36" s="25" t="s">
        <v>1494</v>
      </c>
      <c r="F36" s="26"/>
      <c r="G36" s="26" t="s">
        <v>2267</v>
      </c>
      <c r="H36" s="46" t="s">
        <v>2268</v>
      </c>
      <c r="I36" s="49"/>
      <c r="J36" s="15" t="s">
        <v>632</v>
      </c>
      <c r="K36" s="15" t="s">
        <v>803</v>
      </c>
      <c r="L36" s="15" t="s">
        <v>633</v>
      </c>
    </row>
    <row r="37" s="1" customFormat="1" spans="1:12">
      <c r="A37" s="33"/>
      <c r="B37" s="13" t="s">
        <v>2269</v>
      </c>
      <c r="C37" s="13" t="s">
        <v>338</v>
      </c>
      <c r="D37" s="10" t="s">
        <v>2270</v>
      </c>
      <c r="E37" s="25" t="s">
        <v>1494</v>
      </c>
      <c r="F37" s="26"/>
      <c r="G37" s="26" t="s">
        <v>2271</v>
      </c>
      <c r="H37" s="46" t="s">
        <v>2272</v>
      </c>
      <c r="I37" s="49"/>
      <c r="J37" s="15" t="s">
        <v>632</v>
      </c>
      <c r="K37" s="15" t="s">
        <v>404</v>
      </c>
      <c r="L37" s="15" t="s">
        <v>633</v>
      </c>
    </row>
    <row r="38" s="1" customFormat="1" spans="1:12">
      <c r="A38" s="33"/>
      <c r="B38" s="13" t="s">
        <v>2273</v>
      </c>
      <c r="C38" s="13" t="s">
        <v>338</v>
      </c>
      <c r="D38" s="10" t="s">
        <v>2274</v>
      </c>
      <c r="E38" s="25" t="s">
        <v>1494</v>
      </c>
      <c r="F38" s="26"/>
      <c r="G38" s="26" t="s">
        <v>2275</v>
      </c>
      <c r="H38" s="46" t="s">
        <v>2276</v>
      </c>
      <c r="I38" s="49"/>
      <c r="J38" s="15" t="s">
        <v>632</v>
      </c>
      <c r="K38" s="15" t="s">
        <v>404</v>
      </c>
      <c r="L38" s="15" t="s">
        <v>633</v>
      </c>
    </row>
    <row r="39" s="1" customFormat="1" spans="1:12">
      <c r="A39" s="33"/>
      <c r="B39" s="13" t="s">
        <v>1945</v>
      </c>
      <c r="C39" s="13" t="s">
        <v>338</v>
      </c>
      <c r="D39" s="10" t="s">
        <v>2224</v>
      </c>
      <c r="E39" s="25" t="s">
        <v>1494</v>
      </c>
      <c r="F39" s="26"/>
      <c r="G39" s="10" t="s">
        <v>2277</v>
      </c>
      <c r="H39" s="46" t="s">
        <v>2278</v>
      </c>
      <c r="I39" s="49"/>
      <c r="J39" s="15" t="s">
        <v>632</v>
      </c>
      <c r="K39" s="15" t="s">
        <v>404</v>
      </c>
      <c r="L39" s="15" t="s">
        <v>633</v>
      </c>
    </row>
    <row r="40" s="1" customFormat="1" spans="1:12">
      <c r="A40" s="33"/>
      <c r="B40" s="13" t="s">
        <v>1948</v>
      </c>
      <c r="C40" s="13" t="s">
        <v>338</v>
      </c>
      <c r="D40" s="10" t="s">
        <v>2279</v>
      </c>
      <c r="E40" s="25" t="s">
        <v>1494</v>
      </c>
      <c r="F40" s="26"/>
      <c r="G40" s="10" t="s">
        <v>2280</v>
      </c>
      <c r="H40" s="46" t="s">
        <v>2281</v>
      </c>
      <c r="I40" s="49"/>
      <c r="J40" s="15" t="s">
        <v>632</v>
      </c>
      <c r="K40" s="15" t="s">
        <v>404</v>
      </c>
      <c r="L40" s="15" t="s">
        <v>633</v>
      </c>
    </row>
    <row r="41" s="1" customFormat="1" spans="1:12">
      <c r="A41" s="33"/>
      <c r="B41" s="13" t="s">
        <v>1872</v>
      </c>
      <c r="C41" s="13" t="s">
        <v>338</v>
      </c>
      <c r="D41" s="10" t="s">
        <v>1873</v>
      </c>
      <c r="E41" s="25" t="s">
        <v>1494</v>
      </c>
      <c r="F41" s="26"/>
      <c r="G41" s="26" t="s">
        <v>2282</v>
      </c>
      <c r="H41" s="47"/>
      <c r="I41" s="49"/>
      <c r="J41" s="15" t="s">
        <v>632</v>
      </c>
      <c r="K41" s="15" t="s">
        <v>669</v>
      </c>
      <c r="L41" s="15" t="s">
        <v>633</v>
      </c>
    </row>
    <row r="42" s="1" customFormat="1" spans="1:12">
      <c r="A42" s="33"/>
      <c r="B42" s="13" t="s">
        <v>2283</v>
      </c>
      <c r="C42" s="13" t="s">
        <v>338</v>
      </c>
      <c r="D42" s="10" t="s">
        <v>1943</v>
      </c>
      <c r="E42" s="25" t="s">
        <v>1494</v>
      </c>
      <c r="F42" s="26"/>
      <c r="G42" s="26" t="s">
        <v>2284</v>
      </c>
      <c r="H42" s="46" t="s">
        <v>2285</v>
      </c>
      <c r="I42" s="49"/>
      <c r="J42" s="15" t="s">
        <v>632</v>
      </c>
      <c r="K42" s="15" t="s">
        <v>644</v>
      </c>
      <c r="L42" s="15" t="s">
        <v>633</v>
      </c>
    </row>
    <row r="43" s="1" customFormat="1" ht="27.6" customHeight="1" spans="1:12">
      <c r="A43" s="33"/>
      <c r="B43" s="13" t="s">
        <v>1922</v>
      </c>
      <c r="C43" s="13" t="s">
        <v>338</v>
      </c>
      <c r="D43" s="10" t="s">
        <v>2286</v>
      </c>
      <c r="E43" s="25" t="s">
        <v>1494</v>
      </c>
      <c r="F43" s="26"/>
      <c r="G43" s="26" t="s">
        <v>2287</v>
      </c>
      <c r="H43" s="47" t="s">
        <v>2288</v>
      </c>
      <c r="I43" s="49"/>
      <c r="J43" s="15" t="s">
        <v>632</v>
      </c>
      <c r="K43" s="15" t="s">
        <v>404</v>
      </c>
      <c r="L43" s="15" t="s">
        <v>633</v>
      </c>
    </row>
    <row r="44" s="1" customFormat="1" spans="1:12">
      <c r="A44" s="33"/>
      <c r="B44" s="13" t="s">
        <v>2289</v>
      </c>
      <c r="C44" s="13" t="s">
        <v>338</v>
      </c>
      <c r="D44" s="10" t="s">
        <v>2290</v>
      </c>
      <c r="E44" s="25" t="s">
        <v>1494</v>
      </c>
      <c r="F44" s="26"/>
      <c r="G44" s="26" t="s">
        <v>2291</v>
      </c>
      <c r="H44" s="46"/>
      <c r="I44" s="49"/>
      <c r="J44" s="15" t="s">
        <v>632</v>
      </c>
      <c r="K44" s="15" t="s">
        <v>294</v>
      </c>
      <c r="L44" s="15" t="s">
        <v>1264</v>
      </c>
    </row>
    <row r="45" s="1" customFormat="1" spans="1:12">
      <c r="A45" s="33"/>
      <c r="B45" s="13" t="s">
        <v>2292</v>
      </c>
      <c r="C45" s="13" t="s">
        <v>338</v>
      </c>
      <c r="D45" s="10" t="s">
        <v>2293</v>
      </c>
      <c r="E45" s="25" t="s">
        <v>1494</v>
      </c>
      <c r="F45" s="26"/>
      <c r="G45" s="26" t="s">
        <v>2294</v>
      </c>
      <c r="H45" s="46"/>
      <c r="I45" s="49"/>
      <c r="J45" s="15" t="s">
        <v>632</v>
      </c>
      <c r="K45" s="15" t="s">
        <v>1902</v>
      </c>
      <c r="L45" s="15" t="s">
        <v>633</v>
      </c>
    </row>
    <row r="46" s="1" customFormat="1" spans="1:12">
      <c r="A46" s="33"/>
      <c r="B46" s="13" t="s">
        <v>2295</v>
      </c>
      <c r="C46" s="13" t="s">
        <v>338</v>
      </c>
      <c r="D46" s="10" t="s">
        <v>2296</v>
      </c>
      <c r="E46" s="25" t="s">
        <v>1494</v>
      </c>
      <c r="F46" s="26"/>
      <c r="G46" s="26" t="s">
        <v>2297</v>
      </c>
      <c r="H46" s="46"/>
      <c r="I46" s="49"/>
      <c r="J46" s="15" t="s">
        <v>632</v>
      </c>
      <c r="K46" s="15" t="s">
        <v>294</v>
      </c>
      <c r="L46" s="15" t="s">
        <v>1264</v>
      </c>
    </row>
    <row r="47" s="1" customFormat="1" spans="1:12">
      <c r="A47" s="33"/>
      <c r="B47" s="13" t="s">
        <v>2298</v>
      </c>
      <c r="C47" s="13" t="s">
        <v>338</v>
      </c>
      <c r="D47" s="10" t="s">
        <v>2299</v>
      </c>
      <c r="E47" s="25" t="s">
        <v>1494</v>
      </c>
      <c r="F47" s="26"/>
      <c r="G47" s="26" t="s">
        <v>2300</v>
      </c>
      <c r="H47" s="46"/>
      <c r="I47" s="49"/>
      <c r="J47" s="15" t="s">
        <v>632</v>
      </c>
      <c r="K47" s="15" t="s">
        <v>294</v>
      </c>
      <c r="L47" s="15" t="s">
        <v>1264</v>
      </c>
    </row>
    <row r="48" s="1" customFormat="1" ht="27.6" customHeight="1" spans="1:12">
      <c r="A48" s="33"/>
      <c r="B48" s="13" t="s">
        <v>2301</v>
      </c>
      <c r="C48" s="13" t="s">
        <v>338</v>
      </c>
      <c r="D48" s="10" t="s">
        <v>2302</v>
      </c>
      <c r="E48" s="25" t="s">
        <v>1494</v>
      </c>
      <c r="F48" s="26"/>
      <c r="G48" s="26" t="s">
        <v>2303</v>
      </c>
      <c r="H48" s="47"/>
      <c r="I48" s="49"/>
      <c r="J48" s="15" t="s">
        <v>632</v>
      </c>
      <c r="K48" s="15" t="s">
        <v>294</v>
      </c>
      <c r="L48" s="15" t="s">
        <v>1264</v>
      </c>
    </row>
    <row r="49" s="1" customFormat="1" spans="1:12">
      <c r="A49" s="33"/>
      <c r="B49" s="13" t="s">
        <v>2012</v>
      </c>
      <c r="C49" s="13" t="s">
        <v>338</v>
      </c>
      <c r="D49" s="10" t="s">
        <v>2013</v>
      </c>
      <c r="E49" s="25" t="s">
        <v>1494</v>
      </c>
      <c r="F49" s="26"/>
      <c r="G49" s="26" t="s">
        <v>2304</v>
      </c>
      <c r="H49" s="46" t="s">
        <v>2305</v>
      </c>
      <c r="I49" s="49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2015</v>
      </c>
      <c r="C50" s="13" t="s">
        <v>338</v>
      </c>
      <c r="D50" s="10" t="s">
        <v>2016</v>
      </c>
      <c r="E50" s="25" t="s">
        <v>1494</v>
      </c>
      <c r="F50" s="26"/>
      <c r="G50" s="26" t="s">
        <v>2306</v>
      </c>
      <c r="H50" s="48" t="s">
        <v>2307</v>
      </c>
      <c r="I50" s="50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2018</v>
      </c>
      <c r="C51" s="13" t="s">
        <v>338</v>
      </c>
      <c r="D51" s="10" t="s">
        <v>2019</v>
      </c>
      <c r="E51" s="25" t="s">
        <v>1494</v>
      </c>
      <c r="F51" s="26"/>
      <c r="G51" s="26" t="s">
        <v>2308</v>
      </c>
      <c r="H51" s="46" t="s">
        <v>2309</v>
      </c>
      <c r="I51" s="49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2021</v>
      </c>
      <c r="C52" s="13" t="s">
        <v>338</v>
      </c>
      <c r="D52" s="10" t="s">
        <v>2022</v>
      </c>
      <c r="E52" s="25" t="s">
        <v>1494</v>
      </c>
      <c r="F52" s="26"/>
      <c r="G52" s="26" t="s">
        <v>2310</v>
      </c>
      <c r="H52" s="46" t="s">
        <v>2311</v>
      </c>
      <c r="I52" s="49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2024</v>
      </c>
      <c r="C53" s="13" t="s">
        <v>338</v>
      </c>
      <c r="D53" s="10" t="s">
        <v>2025</v>
      </c>
      <c r="E53" s="25" t="s">
        <v>1494</v>
      </c>
      <c r="F53" s="26"/>
      <c r="G53" s="26" t="s">
        <v>2312</v>
      </c>
      <c r="H53" s="46" t="s">
        <v>2313</v>
      </c>
      <c r="I53" s="49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2027</v>
      </c>
      <c r="C54" s="13" t="s">
        <v>338</v>
      </c>
      <c r="D54" s="10" t="s">
        <v>2028</v>
      </c>
      <c r="E54" s="25" t="s">
        <v>1494</v>
      </c>
      <c r="F54" s="26"/>
      <c r="G54" s="26" t="s">
        <v>2314</v>
      </c>
      <c r="H54" s="46" t="s">
        <v>2315</v>
      </c>
      <c r="I54" s="49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730</v>
      </c>
      <c r="C55" s="13" t="s">
        <v>338</v>
      </c>
      <c r="D55" s="10" t="s">
        <v>731</v>
      </c>
      <c r="E55" s="25" t="s">
        <v>1494</v>
      </c>
      <c r="F55" s="26"/>
      <c r="G55" s="26" t="s">
        <v>2316</v>
      </c>
      <c r="H55" s="46"/>
      <c r="I55" s="49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1091</v>
      </c>
      <c r="C56" s="13" t="s">
        <v>338</v>
      </c>
      <c r="D56" s="10" t="s">
        <v>1092</v>
      </c>
      <c r="E56" s="25" t="s">
        <v>1494</v>
      </c>
      <c r="F56" s="26"/>
      <c r="G56" s="26" t="s">
        <v>1727</v>
      </c>
      <c r="H56" s="46" t="s">
        <v>1572</v>
      </c>
      <c r="I56" s="49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1093</v>
      </c>
      <c r="C57" s="13" t="s">
        <v>338</v>
      </c>
      <c r="D57" s="10" t="s">
        <v>1094</v>
      </c>
      <c r="E57" s="25" t="s">
        <v>1494</v>
      </c>
      <c r="F57" s="26"/>
      <c r="G57" s="26" t="s">
        <v>1728</v>
      </c>
      <c r="H57" s="46" t="s">
        <v>1574</v>
      </c>
      <c r="I57" s="49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1095</v>
      </c>
      <c r="C58" s="13" t="s">
        <v>338</v>
      </c>
      <c r="D58" s="10" t="s">
        <v>1096</v>
      </c>
      <c r="E58" s="25" t="s">
        <v>1494</v>
      </c>
      <c r="F58" s="26"/>
      <c r="G58" s="26" t="s">
        <v>1729</v>
      </c>
      <c r="H58" s="46" t="s">
        <v>1576</v>
      </c>
      <c r="I58" s="49"/>
      <c r="J58" s="15" t="s">
        <v>632</v>
      </c>
      <c r="K58" s="15" t="s">
        <v>803</v>
      </c>
      <c r="L58" s="15" t="s">
        <v>633</v>
      </c>
    </row>
    <row r="59" s="1" customFormat="1" spans="1:12">
      <c r="A59" s="33"/>
      <c r="B59" s="13" t="s">
        <v>1097</v>
      </c>
      <c r="C59" s="13" t="s">
        <v>338</v>
      </c>
      <c r="D59" s="10" t="s">
        <v>1098</v>
      </c>
      <c r="E59" s="25" t="s">
        <v>1494</v>
      </c>
      <c r="F59" s="26"/>
      <c r="G59" s="26" t="s">
        <v>1730</v>
      </c>
      <c r="H59" s="46" t="s">
        <v>1578</v>
      </c>
      <c r="I59" s="49"/>
      <c r="J59" s="15" t="s">
        <v>632</v>
      </c>
      <c r="K59" s="15" t="s">
        <v>803</v>
      </c>
      <c r="L59" s="15" t="s">
        <v>633</v>
      </c>
    </row>
    <row r="60" s="1" customFormat="1" spans="1:12">
      <c r="A60" s="33"/>
      <c r="B60" s="13" t="s">
        <v>1099</v>
      </c>
      <c r="C60" s="13" t="s">
        <v>338</v>
      </c>
      <c r="D60" s="10" t="s">
        <v>1100</v>
      </c>
      <c r="E60" s="25" t="s">
        <v>1494</v>
      </c>
      <c r="F60" s="26"/>
      <c r="G60" s="26" t="s">
        <v>1731</v>
      </c>
      <c r="H60" s="46" t="s">
        <v>1580</v>
      </c>
      <c r="I60" s="49"/>
      <c r="J60" s="15" t="s">
        <v>632</v>
      </c>
      <c r="K60" s="15" t="s">
        <v>803</v>
      </c>
      <c r="L60" s="15" t="s">
        <v>633</v>
      </c>
    </row>
    <row r="61" s="1" customFormat="1" spans="1:12">
      <c r="A61" s="33"/>
      <c r="B61" s="13" t="s">
        <v>751</v>
      </c>
      <c r="C61" s="13" t="s">
        <v>338</v>
      </c>
      <c r="D61" s="10" t="s">
        <v>752</v>
      </c>
      <c r="E61" s="25" t="s">
        <v>1494</v>
      </c>
      <c r="F61" s="26"/>
      <c r="G61" s="26" t="s">
        <v>2317</v>
      </c>
      <c r="H61" s="46"/>
      <c r="I61" s="49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1104</v>
      </c>
      <c r="C62" s="13" t="s">
        <v>338</v>
      </c>
      <c r="D62" s="10" t="s">
        <v>1105</v>
      </c>
      <c r="E62" s="25" t="s">
        <v>1494</v>
      </c>
      <c r="F62" s="26"/>
      <c r="G62" s="26" t="s">
        <v>1733</v>
      </c>
      <c r="H62" s="46" t="s">
        <v>1583</v>
      </c>
      <c r="I62" s="49"/>
      <c r="J62" s="15" t="s">
        <v>632</v>
      </c>
      <c r="K62" s="15" t="s">
        <v>803</v>
      </c>
      <c r="L62" s="15" t="s">
        <v>633</v>
      </c>
    </row>
    <row r="63" s="1" customFormat="1" spans="1:12">
      <c r="A63" s="33"/>
      <c r="B63" s="13" t="s">
        <v>1106</v>
      </c>
      <c r="C63" s="13" t="s">
        <v>338</v>
      </c>
      <c r="D63" s="10" t="s">
        <v>1107</v>
      </c>
      <c r="E63" s="25" t="s">
        <v>1494</v>
      </c>
      <c r="F63" s="26"/>
      <c r="G63" s="26" t="s">
        <v>1734</v>
      </c>
      <c r="H63" s="46" t="s">
        <v>1585</v>
      </c>
      <c r="I63" s="49"/>
      <c r="J63" s="15" t="s">
        <v>632</v>
      </c>
      <c r="K63" s="15" t="s">
        <v>803</v>
      </c>
      <c r="L63" s="15" t="s">
        <v>633</v>
      </c>
    </row>
    <row r="64" s="1" customFormat="1" spans="1:12">
      <c r="A64" s="33"/>
      <c r="B64" s="13" t="s">
        <v>1108</v>
      </c>
      <c r="C64" s="13" t="s">
        <v>338</v>
      </c>
      <c r="D64" s="10" t="s">
        <v>1109</v>
      </c>
      <c r="E64" s="25" t="s">
        <v>1494</v>
      </c>
      <c r="F64" s="26"/>
      <c r="G64" s="26" t="s">
        <v>1735</v>
      </c>
      <c r="H64" s="46" t="s">
        <v>1587</v>
      </c>
      <c r="I64" s="49"/>
      <c r="J64" s="15" t="s">
        <v>632</v>
      </c>
      <c r="K64" s="15" t="s">
        <v>803</v>
      </c>
      <c r="L64" s="15" t="s">
        <v>633</v>
      </c>
    </row>
    <row r="65" s="1" customFormat="1" spans="1:12">
      <c r="A65" s="33"/>
      <c r="B65" s="13" t="s">
        <v>1110</v>
      </c>
      <c r="C65" s="13" t="s">
        <v>338</v>
      </c>
      <c r="D65" s="10" t="s">
        <v>1111</v>
      </c>
      <c r="E65" s="25" t="s">
        <v>1494</v>
      </c>
      <c r="F65" s="26"/>
      <c r="G65" s="26" t="s">
        <v>1736</v>
      </c>
      <c r="H65" s="46" t="s">
        <v>1589</v>
      </c>
      <c r="I65" s="49"/>
      <c r="J65" s="15" t="s">
        <v>632</v>
      </c>
      <c r="K65" s="15" t="s">
        <v>803</v>
      </c>
      <c r="L65" s="15" t="s">
        <v>633</v>
      </c>
    </row>
    <row r="66" s="1" customFormat="1" spans="1:12">
      <c r="A66" s="33"/>
      <c r="B66" s="13" t="s">
        <v>1112</v>
      </c>
      <c r="C66" s="13" t="s">
        <v>338</v>
      </c>
      <c r="D66" s="10" t="s">
        <v>1113</v>
      </c>
      <c r="E66" s="25" t="s">
        <v>1494</v>
      </c>
      <c r="F66" s="26"/>
      <c r="G66" s="26" t="s">
        <v>1737</v>
      </c>
      <c r="H66" s="46" t="s">
        <v>1591</v>
      </c>
      <c r="I66" s="49"/>
      <c r="J66" s="15" t="s">
        <v>632</v>
      </c>
      <c r="K66" s="15" t="s">
        <v>803</v>
      </c>
      <c r="L66" s="15" t="s">
        <v>633</v>
      </c>
    </row>
    <row r="67" s="1" customFormat="1" spans="1:12">
      <c r="A67" s="33"/>
      <c r="B67" s="13" t="s">
        <v>772</v>
      </c>
      <c r="C67" s="13" t="s">
        <v>338</v>
      </c>
      <c r="D67" s="10" t="s">
        <v>773</v>
      </c>
      <c r="E67" s="25" t="s">
        <v>1494</v>
      </c>
      <c r="F67" s="26"/>
      <c r="G67" s="26" t="s">
        <v>2318</v>
      </c>
      <c r="H67" s="46"/>
      <c r="I67" s="49"/>
      <c r="J67" s="15" t="s">
        <v>632</v>
      </c>
      <c r="K67" s="15" t="s">
        <v>404</v>
      </c>
      <c r="L67" s="15" t="s">
        <v>633</v>
      </c>
    </row>
    <row r="68" s="1" customFormat="1" spans="1:12">
      <c r="A68" s="33"/>
      <c r="B68" s="13" t="s">
        <v>1279</v>
      </c>
      <c r="C68" s="13" t="s">
        <v>338</v>
      </c>
      <c r="D68" s="10" t="s">
        <v>1593</v>
      </c>
      <c r="E68" s="25" t="s">
        <v>1494</v>
      </c>
      <c r="F68" s="26"/>
      <c r="G68" s="26" t="s">
        <v>1739</v>
      </c>
      <c r="H68" s="46" t="s">
        <v>1595</v>
      </c>
      <c r="I68" s="49"/>
      <c r="J68" s="15" t="s">
        <v>632</v>
      </c>
      <c r="K68" s="15" t="s">
        <v>803</v>
      </c>
      <c r="L68" s="15" t="s">
        <v>633</v>
      </c>
    </row>
    <row r="69" s="1" customFormat="1" spans="1:12">
      <c r="A69" s="33"/>
      <c r="B69" s="13" t="s">
        <v>1280</v>
      </c>
      <c r="C69" s="13" t="s">
        <v>338</v>
      </c>
      <c r="D69" s="10" t="s">
        <v>1596</v>
      </c>
      <c r="E69" s="25" t="s">
        <v>1494</v>
      </c>
      <c r="F69" s="26"/>
      <c r="G69" s="26" t="s">
        <v>1740</v>
      </c>
      <c r="H69" s="46" t="s">
        <v>1598</v>
      </c>
      <c r="I69" s="49"/>
      <c r="J69" s="15" t="s">
        <v>632</v>
      </c>
      <c r="K69" s="15" t="s">
        <v>803</v>
      </c>
      <c r="L69" s="15" t="s">
        <v>633</v>
      </c>
    </row>
    <row r="70" s="1" customFormat="1" spans="1:12">
      <c r="A70" s="33"/>
      <c r="B70" s="13" t="s">
        <v>1281</v>
      </c>
      <c r="C70" s="13" t="s">
        <v>338</v>
      </c>
      <c r="D70" s="10" t="s">
        <v>1599</v>
      </c>
      <c r="E70" s="25" t="s">
        <v>1494</v>
      </c>
      <c r="F70" s="26"/>
      <c r="G70" s="26" t="s">
        <v>1741</v>
      </c>
      <c r="H70" s="46" t="s">
        <v>1601</v>
      </c>
      <c r="I70" s="49"/>
      <c r="J70" s="15" t="s">
        <v>632</v>
      </c>
      <c r="K70" s="15" t="s">
        <v>803</v>
      </c>
      <c r="L70" s="15" t="s">
        <v>633</v>
      </c>
    </row>
    <row r="71" s="1" customFormat="1" spans="1:12">
      <c r="A71" s="33"/>
      <c r="B71" s="13" t="s">
        <v>1282</v>
      </c>
      <c r="C71" s="13" t="s">
        <v>338</v>
      </c>
      <c r="D71" s="10" t="s">
        <v>1602</v>
      </c>
      <c r="E71" s="25" t="s">
        <v>1494</v>
      </c>
      <c r="F71" s="26"/>
      <c r="G71" s="26" t="s">
        <v>1742</v>
      </c>
      <c r="H71" s="46" t="s">
        <v>1604</v>
      </c>
      <c r="I71" s="49"/>
      <c r="J71" s="15" t="s">
        <v>632</v>
      </c>
      <c r="K71" s="15" t="s">
        <v>803</v>
      </c>
      <c r="L71" s="15" t="s">
        <v>633</v>
      </c>
    </row>
    <row r="72" s="1" customFormat="1" spans="1:12">
      <c r="A72" s="33"/>
      <c r="B72" s="13" t="s">
        <v>1283</v>
      </c>
      <c r="C72" s="13" t="s">
        <v>338</v>
      </c>
      <c r="D72" s="10" t="s">
        <v>1605</v>
      </c>
      <c r="E72" s="25" t="s">
        <v>1494</v>
      </c>
      <c r="F72" s="26"/>
      <c r="G72" s="26" t="s">
        <v>1743</v>
      </c>
      <c r="H72" s="46" t="s">
        <v>1607</v>
      </c>
      <c r="I72" s="49"/>
      <c r="J72" s="15" t="s">
        <v>632</v>
      </c>
      <c r="K72" s="15" t="s">
        <v>803</v>
      </c>
      <c r="L72" s="15" t="s">
        <v>633</v>
      </c>
    </row>
    <row r="73" s="1" customFormat="1" spans="1:12">
      <c r="A73" s="33"/>
      <c r="B73" s="13" t="s">
        <v>2030</v>
      </c>
      <c r="C73" s="13" t="s">
        <v>338</v>
      </c>
      <c r="D73" s="10" t="s">
        <v>2031</v>
      </c>
      <c r="E73" s="25" t="s">
        <v>1494</v>
      </c>
      <c r="F73" s="26"/>
      <c r="G73" s="26" t="s">
        <v>2319</v>
      </c>
      <c r="H73" s="46"/>
      <c r="I73" s="49"/>
      <c r="J73" s="15" t="s">
        <v>632</v>
      </c>
      <c r="K73" s="15" t="s">
        <v>803</v>
      </c>
      <c r="L73" s="15" t="s">
        <v>633</v>
      </c>
    </row>
    <row r="74" s="1" customFormat="1" spans="1:12">
      <c r="A74" s="33"/>
      <c r="B74" s="13" t="s">
        <v>2033</v>
      </c>
      <c r="C74" s="13" t="s">
        <v>338</v>
      </c>
      <c r="D74" s="10" t="s">
        <v>2034</v>
      </c>
      <c r="E74" s="25" t="s">
        <v>1494</v>
      </c>
      <c r="F74" s="26"/>
      <c r="G74" s="26" t="s">
        <v>2320</v>
      </c>
      <c r="H74" s="46" t="s">
        <v>2321</v>
      </c>
      <c r="I74" s="49"/>
      <c r="J74" s="15" t="s">
        <v>632</v>
      </c>
      <c r="K74" s="15" t="s">
        <v>803</v>
      </c>
      <c r="L74" s="15" t="s">
        <v>633</v>
      </c>
    </row>
    <row r="75" s="1" customFormat="1" spans="1:12">
      <c r="A75" s="33"/>
      <c r="B75" s="13" t="s">
        <v>2036</v>
      </c>
      <c r="C75" s="13" t="s">
        <v>338</v>
      </c>
      <c r="D75" s="10" t="s">
        <v>2037</v>
      </c>
      <c r="E75" s="25" t="s">
        <v>1494</v>
      </c>
      <c r="F75" s="26"/>
      <c r="G75" s="26" t="s">
        <v>2322</v>
      </c>
      <c r="H75" s="46" t="s">
        <v>2323</v>
      </c>
      <c r="I75" s="49"/>
      <c r="J75" s="15" t="s">
        <v>632</v>
      </c>
      <c r="K75" s="15" t="s">
        <v>803</v>
      </c>
      <c r="L75" s="15" t="s">
        <v>633</v>
      </c>
    </row>
    <row r="76" s="1" customFormat="1" spans="1:12">
      <c r="A76" s="33"/>
      <c r="B76" s="13" t="s">
        <v>2039</v>
      </c>
      <c r="C76" s="13" t="s">
        <v>338</v>
      </c>
      <c r="D76" s="10" t="s">
        <v>2040</v>
      </c>
      <c r="E76" s="25" t="s">
        <v>1494</v>
      </c>
      <c r="F76" s="26"/>
      <c r="G76" s="26" t="s">
        <v>2324</v>
      </c>
      <c r="H76" s="46" t="s">
        <v>2325</v>
      </c>
      <c r="I76" s="49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2042</v>
      </c>
      <c r="C77" s="13" t="s">
        <v>338</v>
      </c>
      <c r="D77" s="10" t="s">
        <v>2043</v>
      </c>
      <c r="E77" s="25" t="s">
        <v>1494</v>
      </c>
      <c r="F77" s="26"/>
      <c r="G77" s="26" t="s">
        <v>2326</v>
      </c>
      <c r="H77" s="46" t="s">
        <v>2327</v>
      </c>
      <c r="I77" s="49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2045</v>
      </c>
      <c r="C78" s="13" t="s">
        <v>338</v>
      </c>
      <c r="D78" s="10" t="s">
        <v>2046</v>
      </c>
      <c r="E78" s="25" t="s">
        <v>1494</v>
      </c>
      <c r="F78" s="26"/>
      <c r="G78" s="26" t="s">
        <v>2328</v>
      </c>
      <c r="H78" s="46" t="s">
        <v>2329</v>
      </c>
      <c r="I78" s="49"/>
      <c r="J78" s="15" t="s">
        <v>632</v>
      </c>
      <c r="K78" s="15" t="s">
        <v>803</v>
      </c>
      <c r="L78" s="15" t="s">
        <v>633</v>
      </c>
    </row>
    <row r="79" s="1" customFormat="1" spans="1:12">
      <c r="A79" s="33"/>
      <c r="B79" s="13" t="s">
        <v>2048</v>
      </c>
      <c r="C79" s="13" t="s">
        <v>338</v>
      </c>
      <c r="D79" s="10" t="s">
        <v>2049</v>
      </c>
      <c r="E79" s="25" t="s">
        <v>1494</v>
      </c>
      <c r="F79" s="26"/>
      <c r="G79" s="26" t="s">
        <v>2330</v>
      </c>
      <c r="H79" s="46"/>
      <c r="I79" s="49"/>
      <c r="J79" s="15" t="s">
        <v>632</v>
      </c>
      <c r="K79" s="15" t="s">
        <v>404</v>
      </c>
      <c r="L79" s="15" t="s">
        <v>633</v>
      </c>
    </row>
    <row r="80" s="1" customFormat="1" spans="1:12">
      <c r="A80" s="33"/>
      <c r="B80" s="13" t="s">
        <v>2051</v>
      </c>
      <c r="C80" s="13" t="s">
        <v>338</v>
      </c>
      <c r="D80" s="10" t="s">
        <v>2052</v>
      </c>
      <c r="E80" s="25" t="s">
        <v>1494</v>
      </c>
      <c r="F80" s="26"/>
      <c r="G80" s="26" t="s">
        <v>2331</v>
      </c>
      <c r="H80" s="46" t="s">
        <v>2332</v>
      </c>
      <c r="I80" s="49"/>
      <c r="J80" s="15" t="s">
        <v>632</v>
      </c>
      <c r="K80" s="15" t="s">
        <v>803</v>
      </c>
      <c r="L80" s="15" t="s">
        <v>633</v>
      </c>
    </row>
    <row r="81" s="1" customFormat="1" spans="1:12">
      <c r="A81" s="33"/>
      <c r="B81" s="13" t="s">
        <v>2054</v>
      </c>
      <c r="C81" s="13" t="s">
        <v>338</v>
      </c>
      <c r="D81" s="10" t="s">
        <v>2055</v>
      </c>
      <c r="E81" s="25" t="s">
        <v>1494</v>
      </c>
      <c r="F81" s="26"/>
      <c r="G81" s="26" t="s">
        <v>2333</v>
      </c>
      <c r="H81" s="46" t="s">
        <v>2334</v>
      </c>
      <c r="I81" s="49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2057</v>
      </c>
      <c r="C82" s="13" t="s">
        <v>338</v>
      </c>
      <c r="D82" s="10" t="s">
        <v>2058</v>
      </c>
      <c r="E82" s="25" t="s">
        <v>1494</v>
      </c>
      <c r="F82" s="26"/>
      <c r="G82" s="26" t="s">
        <v>2335</v>
      </c>
      <c r="H82" s="46" t="s">
        <v>2336</v>
      </c>
      <c r="I82" s="49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2060</v>
      </c>
      <c r="C83" s="13" t="s">
        <v>338</v>
      </c>
      <c r="D83" s="10" t="s">
        <v>2061</v>
      </c>
      <c r="E83" s="25" t="s">
        <v>1494</v>
      </c>
      <c r="F83" s="26"/>
      <c r="G83" s="26" t="s">
        <v>2337</v>
      </c>
      <c r="H83" s="46" t="s">
        <v>2338</v>
      </c>
      <c r="I83" s="49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2063</v>
      </c>
      <c r="C84" s="13" t="s">
        <v>338</v>
      </c>
      <c r="D84" s="10" t="s">
        <v>2064</v>
      </c>
      <c r="E84" s="25" t="s">
        <v>1494</v>
      </c>
      <c r="F84" s="26"/>
      <c r="G84" s="26" t="s">
        <v>2339</v>
      </c>
      <c r="H84" s="46" t="s">
        <v>2340</v>
      </c>
      <c r="I84" s="49"/>
      <c r="J84" s="15" t="s">
        <v>632</v>
      </c>
      <c r="K84" s="15" t="s">
        <v>803</v>
      </c>
      <c r="L84" s="15" t="s">
        <v>633</v>
      </c>
    </row>
    <row r="85" s="1" customFormat="1" spans="1:12">
      <c r="A85" s="33"/>
      <c r="B85" s="13" t="s">
        <v>2066</v>
      </c>
      <c r="C85" s="13" t="s">
        <v>338</v>
      </c>
      <c r="D85" s="10" t="s">
        <v>2067</v>
      </c>
      <c r="E85" s="25" t="s">
        <v>1494</v>
      </c>
      <c r="F85" s="26"/>
      <c r="G85" s="26" t="s">
        <v>2341</v>
      </c>
      <c r="H85" s="46"/>
      <c r="I85" s="49"/>
      <c r="J85" s="15" t="s">
        <v>632</v>
      </c>
      <c r="K85" s="15" t="s">
        <v>404</v>
      </c>
      <c r="L85" s="15" t="s">
        <v>633</v>
      </c>
    </row>
    <row r="86" s="1" customFormat="1" spans="1:12">
      <c r="A86" s="33"/>
      <c r="B86" s="13" t="s">
        <v>2069</v>
      </c>
      <c r="C86" s="13" t="s">
        <v>338</v>
      </c>
      <c r="D86" s="10" t="s">
        <v>2070</v>
      </c>
      <c r="E86" s="25" t="s">
        <v>1494</v>
      </c>
      <c r="F86" s="26"/>
      <c r="G86" s="26" t="s">
        <v>2342</v>
      </c>
      <c r="H86" s="46" t="s">
        <v>2343</v>
      </c>
      <c r="I86" s="49"/>
      <c r="J86" s="15" t="s">
        <v>632</v>
      </c>
      <c r="K86" s="15" t="s">
        <v>803</v>
      </c>
      <c r="L86" s="15" t="s">
        <v>633</v>
      </c>
    </row>
    <row r="87" s="1" customFormat="1" spans="1:12">
      <c r="A87" s="33"/>
      <c r="B87" s="13" t="s">
        <v>2072</v>
      </c>
      <c r="C87" s="13" t="s">
        <v>338</v>
      </c>
      <c r="D87" s="10" t="s">
        <v>2073</v>
      </c>
      <c r="E87" s="25" t="s">
        <v>1494</v>
      </c>
      <c r="F87" s="26"/>
      <c r="G87" s="26" t="s">
        <v>2344</v>
      </c>
      <c r="H87" s="46" t="s">
        <v>2345</v>
      </c>
      <c r="I87" s="49"/>
      <c r="J87" s="15" t="s">
        <v>632</v>
      </c>
      <c r="K87" s="15" t="s">
        <v>803</v>
      </c>
      <c r="L87" s="15" t="s">
        <v>633</v>
      </c>
    </row>
    <row r="88" s="1" customFormat="1" spans="1:12">
      <c r="A88" s="33"/>
      <c r="B88" s="13" t="s">
        <v>2075</v>
      </c>
      <c r="C88" s="13" t="s">
        <v>338</v>
      </c>
      <c r="D88" s="10" t="s">
        <v>2076</v>
      </c>
      <c r="E88" s="25" t="s">
        <v>1494</v>
      </c>
      <c r="F88" s="26"/>
      <c r="G88" s="26" t="s">
        <v>2346</v>
      </c>
      <c r="H88" s="46" t="s">
        <v>2347</v>
      </c>
      <c r="I88" s="49"/>
      <c r="J88" s="15" t="s">
        <v>632</v>
      </c>
      <c r="K88" s="15" t="s">
        <v>803</v>
      </c>
      <c r="L88" s="15" t="s">
        <v>633</v>
      </c>
    </row>
    <row r="89" s="1" customFormat="1" spans="1:12">
      <c r="A89" s="33"/>
      <c r="B89" s="13" t="s">
        <v>2078</v>
      </c>
      <c r="C89" s="13" t="s">
        <v>338</v>
      </c>
      <c r="D89" s="10" t="s">
        <v>2079</v>
      </c>
      <c r="E89" s="25" t="s">
        <v>1494</v>
      </c>
      <c r="F89" s="26"/>
      <c r="G89" s="26" t="s">
        <v>2348</v>
      </c>
      <c r="H89" s="46" t="s">
        <v>2349</v>
      </c>
      <c r="I89" s="49"/>
      <c r="J89" s="15" t="s">
        <v>632</v>
      </c>
      <c r="K89" s="15" t="s">
        <v>803</v>
      </c>
      <c r="L89" s="15" t="s">
        <v>633</v>
      </c>
    </row>
    <row r="90" s="1" customFormat="1" spans="1:12">
      <c r="A90" s="33"/>
      <c r="B90" s="13" t="s">
        <v>2081</v>
      </c>
      <c r="C90" s="13" t="s">
        <v>338</v>
      </c>
      <c r="D90" s="10" t="s">
        <v>2082</v>
      </c>
      <c r="E90" s="25" t="s">
        <v>1494</v>
      </c>
      <c r="F90" s="26"/>
      <c r="G90" s="26" t="s">
        <v>2350</v>
      </c>
      <c r="H90" s="46" t="s">
        <v>2351</v>
      </c>
      <c r="I90" s="49"/>
      <c r="J90" s="15" t="s">
        <v>632</v>
      </c>
      <c r="K90" s="15" t="s">
        <v>803</v>
      </c>
      <c r="L90" s="15" t="s">
        <v>633</v>
      </c>
    </row>
    <row r="91" s="1" customFormat="1" spans="1:12">
      <c r="A91" s="33"/>
      <c r="B91" s="13" t="s">
        <v>2089</v>
      </c>
      <c r="C91" s="13" t="s">
        <v>338</v>
      </c>
      <c r="D91" s="10" t="s">
        <v>2090</v>
      </c>
      <c r="E91" s="25" t="s">
        <v>1494</v>
      </c>
      <c r="F91" s="26"/>
      <c r="G91" s="26" t="s">
        <v>2352</v>
      </c>
      <c r="H91" s="46" t="s">
        <v>2353</v>
      </c>
      <c r="I91" s="49"/>
      <c r="J91" s="15" t="s">
        <v>632</v>
      </c>
      <c r="K91" s="15" t="s">
        <v>669</v>
      </c>
      <c r="L91" s="15" t="s">
        <v>633</v>
      </c>
    </row>
    <row r="92" s="1" customFormat="1" spans="1:12">
      <c r="A92" s="33"/>
      <c r="B92" s="13" t="s">
        <v>2092</v>
      </c>
      <c r="C92" s="13" t="s">
        <v>338</v>
      </c>
      <c r="D92" s="10" t="s">
        <v>2354</v>
      </c>
      <c r="E92" s="25" t="s">
        <v>1494</v>
      </c>
      <c r="F92" s="26"/>
      <c r="G92" s="26" t="s">
        <v>2355</v>
      </c>
      <c r="H92" s="46" t="s">
        <v>2356</v>
      </c>
      <c r="I92" s="49"/>
      <c r="J92" s="15" t="s">
        <v>632</v>
      </c>
      <c r="K92" s="15" t="s">
        <v>803</v>
      </c>
      <c r="L92" s="15" t="s">
        <v>633</v>
      </c>
    </row>
    <row r="93" s="1" customFormat="1" spans="1:12">
      <c r="A93" s="33"/>
      <c r="B93" s="13" t="s">
        <v>2095</v>
      </c>
      <c r="C93" s="13" t="s">
        <v>338</v>
      </c>
      <c r="D93" s="10" t="s">
        <v>2357</v>
      </c>
      <c r="E93" s="25" t="s">
        <v>1494</v>
      </c>
      <c r="F93" s="26"/>
      <c r="G93" s="26" t="s">
        <v>2358</v>
      </c>
      <c r="H93" s="46" t="s">
        <v>2359</v>
      </c>
      <c r="I93" s="49"/>
      <c r="J93" s="15" t="s">
        <v>632</v>
      </c>
      <c r="K93" s="15" t="s">
        <v>803</v>
      </c>
      <c r="L93" s="15" t="s">
        <v>633</v>
      </c>
    </row>
    <row r="94" s="1" customFormat="1" spans="1:12">
      <c r="A94" s="33"/>
      <c r="B94" s="13" t="s">
        <v>2098</v>
      </c>
      <c r="C94" s="13" t="s">
        <v>338</v>
      </c>
      <c r="D94" s="10" t="s">
        <v>2360</v>
      </c>
      <c r="E94" s="25" t="s">
        <v>1494</v>
      </c>
      <c r="F94" s="26"/>
      <c r="G94" s="26" t="s">
        <v>2361</v>
      </c>
      <c r="H94" s="46" t="s">
        <v>2362</v>
      </c>
      <c r="I94" s="49"/>
      <c r="J94" s="15" t="s">
        <v>632</v>
      </c>
      <c r="K94" s="15" t="s">
        <v>803</v>
      </c>
      <c r="L94" s="15" t="s">
        <v>633</v>
      </c>
    </row>
    <row r="95" s="1" customFormat="1" spans="1:12">
      <c r="A95" s="33"/>
      <c r="B95" s="13" t="s">
        <v>2101</v>
      </c>
      <c r="C95" s="13" t="s">
        <v>338</v>
      </c>
      <c r="D95" s="10" t="s">
        <v>2363</v>
      </c>
      <c r="E95" s="25" t="s">
        <v>1494</v>
      </c>
      <c r="F95" s="26"/>
      <c r="G95" s="26" t="s">
        <v>2364</v>
      </c>
      <c r="H95" s="46" t="s">
        <v>2365</v>
      </c>
      <c r="I95" s="49"/>
      <c r="J95" s="15" t="s">
        <v>632</v>
      </c>
      <c r="K95" s="15" t="s">
        <v>803</v>
      </c>
      <c r="L95" s="15" t="s">
        <v>633</v>
      </c>
    </row>
    <row r="96" s="1" customFormat="1" spans="1:12">
      <c r="A96" s="33"/>
      <c r="B96" s="13" t="s">
        <v>2104</v>
      </c>
      <c r="C96" s="13" t="s">
        <v>338</v>
      </c>
      <c r="D96" s="10" t="s">
        <v>2366</v>
      </c>
      <c r="E96" s="25" t="s">
        <v>1494</v>
      </c>
      <c r="F96" s="26"/>
      <c r="G96" s="26" t="s">
        <v>2367</v>
      </c>
      <c r="H96" s="46" t="s">
        <v>2368</v>
      </c>
      <c r="I96" s="49"/>
      <c r="J96" s="15" t="s">
        <v>632</v>
      </c>
      <c r="K96" s="15" t="s">
        <v>803</v>
      </c>
      <c r="L96" s="15" t="s">
        <v>633</v>
      </c>
    </row>
    <row r="97" s="1" customFormat="1" spans="1:12">
      <c r="A97" s="33"/>
      <c r="B97" s="13" t="s">
        <v>2112</v>
      </c>
      <c r="C97" s="13" t="s">
        <v>666</v>
      </c>
      <c r="D97" s="10" t="s">
        <v>2113</v>
      </c>
      <c r="E97" s="25" t="s">
        <v>1494</v>
      </c>
      <c r="F97" s="26"/>
      <c r="G97" s="26" t="s">
        <v>2369</v>
      </c>
      <c r="H97" s="46"/>
      <c r="I97" s="49"/>
      <c r="J97" s="15" t="s">
        <v>632</v>
      </c>
      <c r="K97" s="15" t="s">
        <v>669</v>
      </c>
      <c r="L97" s="15" t="s">
        <v>633</v>
      </c>
    </row>
    <row r="98" s="1" customFormat="1" spans="1:12">
      <c r="A98" s="33"/>
      <c r="B98" s="13" t="s">
        <v>2115</v>
      </c>
      <c r="C98" s="13" t="s">
        <v>338</v>
      </c>
      <c r="D98" s="10" t="s">
        <v>2116</v>
      </c>
      <c r="E98" s="25" t="s">
        <v>1494</v>
      </c>
      <c r="F98" s="26"/>
      <c r="G98" s="26" t="s">
        <v>2370</v>
      </c>
      <c r="H98" s="46" t="s">
        <v>2371</v>
      </c>
      <c r="I98" s="49"/>
      <c r="J98" s="15" t="s">
        <v>632</v>
      </c>
      <c r="K98" s="15" t="s">
        <v>803</v>
      </c>
      <c r="L98" s="15" t="s">
        <v>633</v>
      </c>
    </row>
    <row r="99" s="1" customFormat="1" spans="1:12">
      <c r="A99" s="33"/>
      <c r="B99" s="13" t="s">
        <v>2118</v>
      </c>
      <c r="C99" s="13" t="s">
        <v>338</v>
      </c>
      <c r="D99" s="10" t="s">
        <v>2119</v>
      </c>
      <c r="E99" s="25" t="s">
        <v>1494</v>
      </c>
      <c r="F99" s="26"/>
      <c r="G99" s="26" t="s">
        <v>2372</v>
      </c>
      <c r="H99" s="46" t="s">
        <v>2373</v>
      </c>
      <c r="I99" s="49"/>
      <c r="J99" s="15" t="s">
        <v>632</v>
      </c>
      <c r="K99" s="15" t="s">
        <v>803</v>
      </c>
      <c r="L99" s="15" t="s">
        <v>633</v>
      </c>
    </row>
    <row r="100" s="1" customFormat="1" spans="1:12">
      <c r="A100" s="33"/>
      <c r="B100" s="13" t="s">
        <v>2121</v>
      </c>
      <c r="C100" s="13" t="s">
        <v>338</v>
      </c>
      <c r="D100" s="10" t="s">
        <v>2122</v>
      </c>
      <c r="E100" s="25" t="s">
        <v>1494</v>
      </c>
      <c r="F100" s="26"/>
      <c r="G100" s="26" t="s">
        <v>2374</v>
      </c>
      <c r="H100" s="46" t="s">
        <v>2375</v>
      </c>
      <c r="I100" s="49"/>
      <c r="J100" s="15" t="s">
        <v>632</v>
      </c>
      <c r="K100" s="15" t="s">
        <v>803</v>
      </c>
      <c r="L100" s="15" t="s">
        <v>633</v>
      </c>
    </row>
    <row r="101" s="1" customFormat="1" spans="1:12">
      <c r="A101" s="33"/>
      <c r="B101" s="13" t="s">
        <v>2124</v>
      </c>
      <c r="C101" s="13" t="s">
        <v>338</v>
      </c>
      <c r="D101" s="10" t="s">
        <v>2125</v>
      </c>
      <c r="E101" s="25" t="s">
        <v>1494</v>
      </c>
      <c r="F101" s="26"/>
      <c r="G101" s="26" t="s">
        <v>2376</v>
      </c>
      <c r="H101" s="46" t="s">
        <v>2377</v>
      </c>
      <c r="I101" s="49"/>
      <c r="J101" s="15" t="s">
        <v>632</v>
      </c>
      <c r="K101" s="15" t="s">
        <v>803</v>
      </c>
      <c r="L101" s="15" t="s">
        <v>633</v>
      </c>
    </row>
    <row r="102" s="1" customFormat="1" spans="1:12">
      <c r="A102" s="33"/>
      <c r="B102" s="13" t="s">
        <v>2127</v>
      </c>
      <c r="C102" s="13" t="s">
        <v>338</v>
      </c>
      <c r="D102" s="10" t="s">
        <v>2128</v>
      </c>
      <c r="E102" s="25" t="s">
        <v>1494</v>
      </c>
      <c r="F102" s="26"/>
      <c r="G102" s="26" t="s">
        <v>2378</v>
      </c>
      <c r="H102" s="46" t="s">
        <v>2379</v>
      </c>
      <c r="I102" s="49"/>
      <c r="J102" s="15" t="s">
        <v>632</v>
      </c>
      <c r="K102" s="15" t="s">
        <v>803</v>
      </c>
      <c r="L102" s="15" t="s">
        <v>633</v>
      </c>
    </row>
    <row r="103" s="2" customFormat="1" spans="2:17">
      <c r="B103" s="17" t="s">
        <v>594</v>
      </c>
      <c r="C103" s="18" t="s">
        <v>307</v>
      </c>
      <c r="D103" s="18" t="s">
        <v>595</v>
      </c>
      <c r="E103" s="28"/>
      <c r="F103" s="28" t="s">
        <v>932</v>
      </c>
      <c r="G103" s="28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="2" customFormat="1" spans="2:17">
      <c r="B104" s="17" t="s">
        <v>596</v>
      </c>
      <c r="C104" s="18" t="s">
        <v>291</v>
      </c>
      <c r="D104" s="18" t="s">
        <v>597</v>
      </c>
      <c r="E104" s="28"/>
      <c r="F104" s="28" t="s">
        <v>932</v>
      </c>
      <c r="G104" s="28" t="s">
        <v>932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</sheetData>
  <autoFilter xmlns:etc="http://www.wps.cn/officeDocument/2017/etCustomData" ref="A14:Q104" etc:filterBottomFollowUsedRange="0">
    <extLst/>
  </autoFilter>
  <mergeCells count="81">
    <mergeCell ref="B2:H2"/>
    <mergeCell ref="B3:H3"/>
    <mergeCell ref="B7:H7"/>
    <mergeCell ref="B13:L13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G9:G11"/>
  </mergeCells>
  <pageMargins left="0.7" right="0.7" top="0.75" bottom="0.75" header="0.3" footer="0.3"/>
  <pageSetup paperSize="9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2"/>
  <sheetViews>
    <sheetView zoomScale="85" zoomScaleNormal="85" workbookViewId="0">
      <pane ySplit="5" topLeftCell="A6" activePane="bottomLeft" state="frozen"/>
      <selection/>
      <selection pane="bottomLeft" activeCell="C5" sqref="C5"/>
    </sheetView>
  </sheetViews>
  <sheetFormatPr defaultColWidth="9" defaultRowHeight="13"/>
  <cols>
    <col min="1" max="1" width="1.33333333333333" style="3" customWidth="1"/>
    <col min="2" max="2" width="27.775" style="3" customWidth="1"/>
    <col min="3" max="3" width="32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43.8833333333333" style="3" customWidth="1"/>
    <col min="8" max="8" width="19.775" style="3" customWidth="1"/>
    <col min="9" max="9" width="18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1" t="s">
        <v>232</v>
      </c>
      <c r="D5" s="11" t="s">
        <v>233</v>
      </c>
      <c r="E5" s="13" t="s">
        <v>27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9.8" customHeight="1" spans="2:8">
      <c r="B9" s="13"/>
      <c r="C9" s="10" t="s">
        <v>1787</v>
      </c>
      <c r="D9" s="11" t="s">
        <v>1788</v>
      </c>
      <c r="E9" s="13" t="s">
        <v>266</v>
      </c>
      <c r="F9" s="26"/>
      <c r="G9" s="35" t="s">
        <v>2380</v>
      </c>
      <c r="H9" s="23" t="s">
        <v>44</v>
      </c>
    </row>
    <row r="10" ht="19.8" customHeight="1" spans="2:8">
      <c r="B10" s="13"/>
      <c r="C10" s="10" t="s">
        <v>226</v>
      </c>
      <c r="D10" s="11" t="s">
        <v>2257</v>
      </c>
      <c r="E10" s="13" t="s">
        <v>269</v>
      </c>
      <c r="F10" s="26"/>
      <c r="G10" s="35"/>
      <c r="H10" s="23"/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32" t="s">
        <v>602</v>
      </c>
      <c r="C14" s="32" t="s">
        <v>291</v>
      </c>
      <c r="D14" s="10" t="s">
        <v>603</v>
      </c>
      <c r="E14" s="25" t="s">
        <v>269</v>
      </c>
      <c r="F14" s="26" t="s">
        <v>596</v>
      </c>
      <c r="G14" s="26" t="s">
        <v>293</v>
      </c>
      <c r="H14" s="27"/>
      <c r="I14" s="15"/>
      <c r="J14" s="15" t="s">
        <v>604</v>
      </c>
      <c r="K14" s="15" t="s">
        <v>294</v>
      </c>
      <c r="L14" s="15" t="s">
        <v>605</v>
      </c>
    </row>
    <row r="15" s="1" customFormat="1" spans="2:12">
      <c r="B15" s="32" t="s">
        <v>606</v>
      </c>
      <c r="C15" s="32" t="s">
        <v>307</v>
      </c>
      <c r="D15" s="10" t="s">
        <v>48</v>
      </c>
      <c r="E15" s="25" t="s">
        <v>269</v>
      </c>
      <c r="F15" s="26" t="s">
        <v>598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607</v>
      </c>
    </row>
    <row r="16" s="1" customFormat="1" spans="2:12">
      <c r="B16" s="32" t="s">
        <v>290</v>
      </c>
      <c r="C16" s="32" t="s">
        <v>307</v>
      </c>
      <c r="D16" s="10" t="s">
        <v>1790</v>
      </c>
      <c r="E16" s="25" t="s">
        <v>269</v>
      </c>
      <c r="F16" s="26" t="s">
        <v>290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2381</v>
      </c>
    </row>
    <row r="17" s="1" customFormat="1" spans="1:12">
      <c r="A17" s="33"/>
      <c r="B17" s="32" t="s">
        <v>327</v>
      </c>
      <c r="C17" s="32" t="s">
        <v>307</v>
      </c>
      <c r="D17" s="10" t="s">
        <v>1791</v>
      </c>
      <c r="E17" s="25" t="s">
        <v>269</v>
      </c>
      <c r="F17" s="26" t="s">
        <v>327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612</v>
      </c>
    </row>
    <row r="18" s="1" customFormat="1" spans="1:12">
      <c r="A18" s="33"/>
      <c r="B18" s="32" t="s">
        <v>514</v>
      </c>
      <c r="C18" s="32" t="s">
        <v>291</v>
      </c>
      <c r="D18" s="10" t="s">
        <v>515</v>
      </c>
      <c r="E18" s="25" t="s">
        <v>269</v>
      </c>
      <c r="F18" s="26" t="s">
        <v>514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32" t="s">
        <v>613</v>
      </c>
      <c r="C19" s="32" t="s">
        <v>307</v>
      </c>
      <c r="D19" s="10" t="s">
        <v>614</v>
      </c>
      <c r="E19" s="25" t="s">
        <v>269</v>
      </c>
      <c r="F19" s="26" t="s">
        <v>594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522</v>
      </c>
      <c r="C20" s="32" t="s">
        <v>291</v>
      </c>
      <c r="D20" s="10" t="s">
        <v>523</v>
      </c>
      <c r="E20" s="25" t="s">
        <v>269</v>
      </c>
      <c r="F20" s="26" t="s">
        <v>522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517</v>
      </c>
      <c r="C21" s="32" t="s">
        <v>307</v>
      </c>
      <c r="D21" s="10" t="s">
        <v>1792</v>
      </c>
      <c r="E21" s="25" t="s">
        <v>269</v>
      </c>
      <c r="F21" s="26" t="s">
        <v>517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524</v>
      </c>
      <c r="C22" s="32" t="s">
        <v>291</v>
      </c>
      <c r="D22" s="10" t="s">
        <v>1793</v>
      </c>
      <c r="E22" s="25" t="s">
        <v>269</v>
      </c>
      <c r="F22" s="26" t="s">
        <v>524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520</v>
      </c>
      <c r="C23" s="32" t="s">
        <v>307</v>
      </c>
      <c r="D23" s="10" t="s">
        <v>521</v>
      </c>
      <c r="E23" s="25" t="s">
        <v>269</v>
      </c>
      <c r="F23" s="26" t="s">
        <v>520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615</v>
      </c>
    </row>
    <row r="24" s="1" customFormat="1" spans="1:12">
      <c r="A24" s="33"/>
      <c r="B24" s="13" t="s">
        <v>526</v>
      </c>
      <c r="C24" s="13" t="s">
        <v>291</v>
      </c>
      <c r="D24" s="10" t="s">
        <v>527</v>
      </c>
      <c r="E24" s="25" t="s">
        <v>269</v>
      </c>
      <c r="F24" s="26" t="s">
        <v>526</v>
      </c>
      <c r="G24" s="26" t="s">
        <v>293</v>
      </c>
      <c r="H24" s="27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1794</v>
      </c>
      <c r="C25" s="13" t="s">
        <v>307</v>
      </c>
      <c r="D25" s="10" t="s">
        <v>1795</v>
      </c>
      <c r="E25" s="25" t="s">
        <v>266</v>
      </c>
      <c r="F25" s="26" t="s">
        <v>1796</v>
      </c>
      <c r="G25" s="26" t="s">
        <v>293</v>
      </c>
      <c r="H25" s="27"/>
      <c r="I25" s="15"/>
      <c r="J25" s="15" t="s">
        <v>604</v>
      </c>
      <c r="K25" s="15" t="s">
        <v>294</v>
      </c>
      <c r="L25" s="15" t="s">
        <v>294</v>
      </c>
    </row>
    <row r="26" s="1" customFormat="1" ht="13.8" customHeight="1" spans="1:12">
      <c r="A26" s="33"/>
      <c r="B26" s="13" t="s">
        <v>1797</v>
      </c>
      <c r="C26" s="13" t="s">
        <v>291</v>
      </c>
      <c r="D26" s="10" t="s">
        <v>1798</v>
      </c>
      <c r="E26" s="25" t="s">
        <v>266</v>
      </c>
      <c r="F26" s="26" t="s">
        <v>1797</v>
      </c>
      <c r="G26" s="26" t="s">
        <v>293</v>
      </c>
      <c r="H26" s="15"/>
      <c r="I26" s="15"/>
      <c r="J26" s="15" t="s">
        <v>604</v>
      </c>
      <c r="K26" s="15" t="s">
        <v>294</v>
      </c>
      <c r="L26" s="15" t="s">
        <v>294</v>
      </c>
    </row>
    <row r="27" s="1" customFormat="1" spans="1:12">
      <c r="A27" s="33"/>
      <c r="B27" s="13" t="s">
        <v>295</v>
      </c>
      <c r="C27" s="13" t="s">
        <v>291</v>
      </c>
      <c r="D27" s="10" t="s">
        <v>618</v>
      </c>
      <c r="E27" s="25" t="s">
        <v>266</v>
      </c>
      <c r="F27" s="26" t="s">
        <v>295</v>
      </c>
      <c r="G27" s="26" t="s">
        <v>293</v>
      </c>
      <c r="H27" s="15"/>
      <c r="I27" s="15"/>
      <c r="J27" s="15" t="s">
        <v>604</v>
      </c>
      <c r="K27" s="15" t="s">
        <v>294</v>
      </c>
      <c r="L27" s="15" t="s">
        <v>294</v>
      </c>
    </row>
    <row r="28" s="1" customFormat="1" spans="1:12">
      <c r="A28" s="33"/>
      <c r="B28" s="13" t="s">
        <v>297</v>
      </c>
      <c r="C28" s="13" t="s">
        <v>291</v>
      </c>
      <c r="D28" s="10" t="s">
        <v>298</v>
      </c>
      <c r="E28" s="25" t="s">
        <v>266</v>
      </c>
      <c r="F28" s="26" t="s">
        <v>297</v>
      </c>
      <c r="G28" s="26" t="s">
        <v>293</v>
      </c>
      <c r="H28" s="15"/>
      <c r="I28" s="15"/>
      <c r="J28" s="15" t="s">
        <v>604</v>
      </c>
      <c r="K28" s="15" t="s">
        <v>294</v>
      </c>
      <c r="L28" s="15" t="s">
        <v>294</v>
      </c>
    </row>
    <row r="29" s="1" customFormat="1" spans="2:12">
      <c r="B29" s="32" t="s">
        <v>1460</v>
      </c>
      <c r="C29" s="34" t="s">
        <v>291</v>
      </c>
      <c r="D29" s="10" t="s">
        <v>1460</v>
      </c>
      <c r="E29" s="25" t="s">
        <v>269</v>
      </c>
      <c r="F29" s="26"/>
      <c r="G29" s="26" t="s">
        <v>1462</v>
      </c>
      <c r="H29" s="15"/>
      <c r="I29" s="15"/>
      <c r="J29" s="15" t="s">
        <v>604</v>
      </c>
      <c r="K29" s="15" t="s">
        <v>294</v>
      </c>
      <c r="L29" s="15" t="s">
        <v>2382</v>
      </c>
    </row>
    <row r="30" s="1" customFormat="1" spans="2:12">
      <c r="B30" s="32" t="s">
        <v>1273</v>
      </c>
      <c r="C30" s="34" t="s">
        <v>338</v>
      </c>
      <c r="D30" s="10" t="s">
        <v>1800</v>
      </c>
      <c r="E30" s="25" t="s">
        <v>269</v>
      </c>
      <c r="F30" s="26"/>
      <c r="G30" s="26" t="s">
        <v>641</v>
      </c>
      <c r="H30" s="15"/>
      <c r="I30" s="15"/>
      <c r="J30" s="15" t="s">
        <v>632</v>
      </c>
      <c r="K30" s="15" t="s">
        <v>404</v>
      </c>
      <c r="L30" s="15" t="s">
        <v>633</v>
      </c>
    </row>
    <row r="31" s="33" customFormat="1" spans="2:13">
      <c r="B31" s="32" t="s">
        <v>1044</v>
      </c>
      <c r="C31" s="13" t="s">
        <v>338</v>
      </c>
      <c r="D31" s="10" t="s">
        <v>642</v>
      </c>
      <c r="E31" s="25" t="s">
        <v>269</v>
      </c>
      <c r="F31" s="26"/>
      <c r="G31" s="26" t="s">
        <v>643</v>
      </c>
      <c r="H31" s="15"/>
      <c r="I31" s="15"/>
      <c r="J31" s="15" t="s">
        <v>632</v>
      </c>
      <c r="K31" s="15" t="s">
        <v>644</v>
      </c>
      <c r="L31" s="15" t="s">
        <v>633</v>
      </c>
      <c r="M31" s="1"/>
    </row>
    <row r="32" s="1" customFormat="1" spans="1:12">
      <c r="A32" s="33"/>
      <c r="B32" s="13" t="s">
        <v>1045</v>
      </c>
      <c r="C32" s="13" t="s">
        <v>338</v>
      </c>
      <c r="D32" s="10" t="s">
        <v>645</v>
      </c>
      <c r="E32" s="25" t="s">
        <v>269</v>
      </c>
      <c r="F32" s="26"/>
      <c r="G32" s="26" t="s">
        <v>646</v>
      </c>
      <c r="H32" s="15"/>
      <c r="I32" s="15"/>
      <c r="J32" s="15" t="s">
        <v>632</v>
      </c>
      <c r="K32" s="15" t="s">
        <v>644</v>
      </c>
      <c r="L32" s="15" t="s">
        <v>633</v>
      </c>
    </row>
    <row r="33" s="1" customFormat="1" spans="1:12">
      <c r="A33" s="33"/>
      <c r="B33" s="13" t="s">
        <v>1054</v>
      </c>
      <c r="C33" s="13" t="s">
        <v>338</v>
      </c>
      <c r="D33" s="10" t="s">
        <v>345</v>
      </c>
      <c r="E33" s="25" t="s">
        <v>269</v>
      </c>
      <c r="F33" s="26"/>
      <c r="G33" s="26" t="s">
        <v>696</v>
      </c>
      <c r="H33" s="15"/>
      <c r="I33" s="15"/>
      <c r="J33" s="15" t="s">
        <v>632</v>
      </c>
      <c r="K33" s="15" t="s">
        <v>2383</v>
      </c>
      <c r="L33" s="15" t="s">
        <v>633</v>
      </c>
    </row>
    <row r="34" s="1" customFormat="1" spans="1:12">
      <c r="A34" s="33"/>
      <c r="B34" s="13" t="s">
        <v>1055</v>
      </c>
      <c r="C34" s="13" t="s">
        <v>338</v>
      </c>
      <c r="D34" s="10" t="s">
        <v>347</v>
      </c>
      <c r="E34" s="25" t="s">
        <v>269</v>
      </c>
      <c r="F34" s="26"/>
      <c r="G34" s="26" t="s">
        <v>694</v>
      </c>
      <c r="H34" s="15"/>
      <c r="I34" s="15"/>
      <c r="J34" s="15" t="s">
        <v>632</v>
      </c>
      <c r="K34" s="15" t="s">
        <v>2383</v>
      </c>
      <c r="L34" s="15" t="s">
        <v>633</v>
      </c>
    </row>
    <row r="35" s="1" customFormat="1" spans="1:12">
      <c r="A35" s="33"/>
      <c r="B35" s="32" t="s">
        <v>1056</v>
      </c>
      <c r="C35" s="32" t="s">
        <v>338</v>
      </c>
      <c r="D35" s="10" t="s">
        <v>697</v>
      </c>
      <c r="E35" s="25" t="s">
        <v>269</v>
      </c>
      <c r="F35" s="26"/>
      <c r="G35" s="26" t="s">
        <v>698</v>
      </c>
      <c r="H35" s="15"/>
      <c r="I35" s="15"/>
      <c r="J35" s="15" t="s">
        <v>632</v>
      </c>
      <c r="K35" s="15" t="s">
        <v>2383</v>
      </c>
      <c r="L35" s="15" t="s">
        <v>633</v>
      </c>
    </row>
    <row r="36" s="1" customFormat="1" spans="1:12">
      <c r="A36" s="33"/>
      <c r="B36" s="13" t="s">
        <v>1057</v>
      </c>
      <c r="C36" s="13" t="s">
        <v>338</v>
      </c>
      <c r="D36" s="10" t="s">
        <v>699</v>
      </c>
      <c r="E36" s="25" t="s">
        <v>269</v>
      </c>
      <c r="F36" s="26"/>
      <c r="G36" s="26" t="s">
        <v>700</v>
      </c>
      <c r="H36" s="15"/>
      <c r="I36" s="15"/>
      <c r="J36" s="15" t="s">
        <v>632</v>
      </c>
      <c r="K36" s="15" t="s">
        <v>2383</v>
      </c>
      <c r="L36" s="15" t="s">
        <v>633</v>
      </c>
    </row>
    <row r="37" s="1" customFormat="1" spans="1:12">
      <c r="A37" s="33"/>
      <c r="B37" s="13" t="s">
        <v>1058</v>
      </c>
      <c r="C37" s="13" t="s">
        <v>338</v>
      </c>
      <c r="D37" s="10" t="s">
        <v>702</v>
      </c>
      <c r="E37" s="25" t="s">
        <v>269</v>
      </c>
      <c r="F37" s="26"/>
      <c r="G37" s="26" t="s">
        <v>950</v>
      </c>
      <c r="H37" s="15"/>
      <c r="I37" s="15"/>
      <c r="J37" s="15" t="s">
        <v>632</v>
      </c>
      <c r="K37" s="15" t="s">
        <v>2383</v>
      </c>
      <c r="L37" s="15" t="s">
        <v>633</v>
      </c>
    </row>
    <row r="38" s="1" customFormat="1" spans="1:12">
      <c r="A38" s="33"/>
      <c r="B38" s="13" t="s">
        <v>1059</v>
      </c>
      <c r="C38" s="13" t="s">
        <v>338</v>
      </c>
      <c r="D38" s="10" t="s">
        <v>705</v>
      </c>
      <c r="E38" s="25" t="s">
        <v>269</v>
      </c>
      <c r="F38" s="26"/>
      <c r="G38" s="26" t="s">
        <v>951</v>
      </c>
      <c r="H38" s="15"/>
      <c r="I38" s="15"/>
      <c r="J38" s="15" t="s">
        <v>632</v>
      </c>
      <c r="K38" s="15" t="s">
        <v>2383</v>
      </c>
      <c r="L38" s="15" t="s">
        <v>633</v>
      </c>
    </row>
    <row r="39" s="1" customFormat="1" spans="1:12">
      <c r="A39" s="33"/>
      <c r="B39" s="13" t="s">
        <v>1088</v>
      </c>
      <c r="C39" s="13" t="s">
        <v>338</v>
      </c>
      <c r="D39" s="10" t="s">
        <v>2384</v>
      </c>
      <c r="E39" s="25" t="s">
        <v>269</v>
      </c>
      <c r="F39" s="26"/>
      <c r="G39" s="26" t="s">
        <v>1090</v>
      </c>
      <c r="H39" s="15"/>
      <c r="I39" s="15"/>
      <c r="J39" s="15" t="s">
        <v>632</v>
      </c>
      <c r="K39" s="15" t="s">
        <v>404</v>
      </c>
      <c r="L39" s="15" t="s">
        <v>633</v>
      </c>
    </row>
    <row r="40" s="1" customFormat="1" spans="1:12">
      <c r="A40" s="33"/>
      <c r="B40" s="13" t="s">
        <v>1101</v>
      </c>
      <c r="C40" s="13" t="s">
        <v>338</v>
      </c>
      <c r="D40" s="10" t="s">
        <v>2385</v>
      </c>
      <c r="E40" s="25" t="s">
        <v>269</v>
      </c>
      <c r="F40" s="26"/>
      <c r="G40" s="26" t="s">
        <v>1103</v>
      </c>
      <c r="H40" s="36"/>
      <c r="I40" s="15"/>
      <c r="J40" s="15" t="s">
        <v>632</v>
      </c>
      <c r="K40" s="15" t="s">
        <v>404</v>
      </c>
      <c r="L40" s="15" t="s">
        <v>633</v>
      </c>
    </row>
    <row r="41" s="1" customFormat="1" spans="1:12">
      <c r="A41" s="33"/>
      <c r="B41" s="13" t="s">
        <v>1114</v>
      </c>
      <c r="C41" s="13" t="s">
        <v>338</v>
      </c>
      <c r="D41" s="10" t="s">
        <v>1803</v>
      </c>
      <c r="E41" s="25" t="s">
        <v>269</v>
      </c>
      <c r="F41" s="26"/>
      <c r="G41" s="26" t="s">
        <v>1116</v>
      </c>
      <c r="H41" s="15"/>
      <c r="I41" s="15"/>
      <c r="J41" s="15" t="s">
        <v>632</v>
      </c>
      <c r="K41" s="15" t="s">
        <v>404</v>
      </c>
      <c r="L41" s="15" t="s">
        <v>633</v>
      </c>
    </row>
    <row r="42" s="1" customFormat="1" spans="1:12">
      <c r="A42" s="33"/>
      <c r="B42" s="13" t="s">
        <v>2203</v>
      </c>
      <c r="C42" s="13" t="s">
        <v>338</v>
      </c>
      <c r="D42" s="10" t="s">
        <v>1917</v>
      </c>
      <c r="E42" s="25" t="s">
        <v>269</v>
      </c>
      <c r="F42" s="26"/>
      <c r="G42" s="26" t="s">
        <v>2136</v>
      </c>
      <c r="H42" s="36"/>
      <c r="I42" s="15"/>
      <c r="J42" s="15" t="s">
        <v>632</v>
      </c>
      <c r="K42" s="15" t="s">
        <v>803</v>
      </c>
      <c r="L42" s="15" t="s">
        <v>633</v>
      </c>
    </row>
    <row r="43" s="1" customFormat="1" spans="1:12">
      <c r="A43" s="33"/>
      <c r="B43" s="13" t="s">
        <v>2204</v>
      </c>
      <c r="C43" s="13" t="s">
        <v>338</v>
      </c>
      <c r="D43" s="10" t="s">
        <v>1920</v>
      </c>
      <c r="E43" s="25" t="s">
        <v>269</v>
      </c>
      <c r="F43" s="26"/>
      <c r="G43" s="26" t="s">
        <v>2137</v>
      </c>
      <c r="H43" s="15"/>
      <c r="I43" s="15"/>
      <c r="J43" s="15" t="s">
        <v>632</v>
      </c>
      <c r="K43" s="15" t="s">
        <v>803</v>
      </c>
      <c r="L43" s="15" t="s">
        <v>633</v>
      </c>
    </row>
    <row r="44" s="1" customFormat="1" spans="1:12">
      <c r="A44" s="33"/>
      <c r="B44" s="13" t="s">
        <v>2263</v>
      </c>
      <c r="C44" s="13" t="s">
        <v>338</v>
      </c>
      <c r="D44" s="10" t="s">
        <v>2264</v>
      </c>
      <c r="E44" s="25" t="s">
        <v>269</v>
      </c>
      <c r="F44" s="26"/>
      <c r="G44" s="26" t="s">
        <v>2386</v>
      </c>
      <c r="H44" s="15"/>
      <c r="I44" s="15"/>
      <c r="J44" s="15" t="s">
        <v>632</v>
      </c>
      <c r="K44" s="15" t="s">
        <v>803</v>
      </c>
      <c r="L44" s="15" t="s">
        <v>633</v>
      </c>
    </row>
    <row r="45" s="1" customFormat="1" spans="1:12">
      <c r="A45" s="33"/>
      <c r="B45" s="13" t="s">
        <v>1860</v>
      </c>
      <c r="C45" s="13" t="s">
        <v>338</v>
      </c>
      <c r="D45" s="10" t="s">
        <v>1861</v>
      </c>
      <c r="E45" s="25" t="s">
        <v>269</v>
      </c>
      <c r="F45" s="26"/>
      <c r="G45" s="26" t="s">
        <v>1966</v>
      </c>
      <c r="H45" s="15"/>
      <c r="I45" s="15"/>
      <c r="J45" s="15" t="s">
        <v>632</v>
      </c>
      <c r="K45" s="15" t="s">
        <v>803</v>
      </c>
      <c r="L45" s="15" t="s">
        <v>633</v>
      </c>
    </row>
    <row r="46" s="1" customFormat="1" spans="1:12">
      <c r="A46" s="33"/>
      <c r="B46" s="13" t="s">
        <v>2387</v>
      </c>
      <c r="C46" s="13" t="s">
        <v>338</v>
      </c>
      <c r="D46" s="10" t="s">
        <v>2388</v>
      </c>
      <c r="E46" s="25" t="s">
        <v>269</v>
      </c>
      <c r="F46" s="26"/>
      <c r="G46" s="26" t="s">
        <v>2389</v>
      </c>
      <c r="H46" s="15"/>
      <c r="I46" s="15"/>
      <c r="J46" s="15" t="s">
        <v>632</v>
      </c>
      <c r="K46" s="15" t="s">
        <v>803</v>
      </c>
      <c r="L46" s="15" t="s">
        <v>2390</v>
      </c>
    </row>
    <row r="47" s="1" customFormat="1" spans="1:12">
      <c r="A47" s="33"/>
      <c r="B47" s="13" t="s">
        <v>1872</v>
      </c>
      <c r="C47" s="13" t="s">
        <v>338</v>
      </c>
      <c r="D47" s="10" t="s">
        <v>1873</v>
      </c>
      <c r="E47" s="25" t="s">
        <v>269</v>
      </c>
      <c r="F47" s="26"/>
      <c r="G47" s="26" t="s">
        <v>2186</v>
      </c>
      <c r="H47" s="36"/>
      <c r="I47" s="15"/>
      <c r="J47" s="15" t="s">
        <v>632</v>
      </c>
      <c r="K47" s="15" t="s">
        <v>669</v>
      </c>
      <c r="L47" s="15" t="s">
        <v>633</v>
      </c>
    </row>
    <row r="48" s="1" customFormat="1" spans="1:12">
      <c r="A48" s="33"/>
      <c r="B48" s="13" t="s">
        <v>2012</v>
      </c>
      <c r="C48" s="13" t="s">
        <v>338</v>
      </c>
      <c r="D48" s="10" t="s">
        <v>2013</v>
      </c>
      <c r="E48" s="25" t="s">
        <v>269</v>
      </c>
      <c r="F48" s="26"/>
      <c r="G48" s="26" t="s">
        <v>2161</v>
      </c>
      <c r="H48" s="15"/>
      <c r="I48" s="15"/>
      <c r="J48" s="15" t="s">
        <v>632</v>
      </c>
      <c r="K48" s="15" t="s">
        <v>803</v>
      </c>
      <c r="L48" s="15" t="s">
        <v>633</v>
      </c>
    </row>
    <row r="49" s="1" customFormat="1" spans="1:12">
      <c r="A49" s="33"/>
      <c r="B49" s="13" t="s">
        <v>2015</v>
      </c>
      <c r="C49" s="13" t="s">
        <v>338</v>
      </c>
      <c r="D49" s="10" t="s">
        <v>2016</v>
      </c>
      <c r="E49" s="25" t="s">
        <v>269</v>
      </c>
      <c r="F49" s="26"/>
      <c r="G49" s="26" t="s">
        <v>2162</v>
      </c>
      <c r="H49" s="37"/>
      <c r="I49" s="37"/>
      <c r="J49" s="15" t="s">
        <v>632</v>
      </c>
      <c r="K49" s="15" t="s">
        <v>803</v>
      </c>
      <c r="L49" s="15" t="s">
        <v>633</v>
      </c>
    </row>
    <row r="50" s="1" customFormat="1" spans="1:12">
      <c r="A50" s="33"/>
      <c r="B50" s="13" t="s">
        <v>2018</v>
      </c>
      <c r="C50" s="13" t="s">
        <v>338</v>
      </c>
      <c r="D50" s="10" t="s">
        <v>2019</v>
      </c>
      <c r="E50" s="25" t="s">
        <v>269</v>
      </c>
      <c r="F50" s="26"/>
      <c r="G50" s="26" t="s">
        <v>2163</v>
      </c>
      <c r="H50" s="15"/>
      <c r="I50" s="15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2021</v>
      </c>
      <c r="C51" s="13" t="s">
        <v>338</v>
      </c>
      <c r="D51" s="10" t="s">
        <v>2022</v>
      </c>
      <c r="E51" s="25" t="s">
        <v>269</v>
      </c>
      <c r="F51" s="26"/>
      <c r="G51" s="26" t="s">
        <v>2164</v>
      </c>
      <c r="H51" s="15"/>
      <c r="I51" s="15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2024</v>
      </c>
      <c r="C52" s="13" t="s">
        <v>338</v>
      </c>
      <c r="D52" s="10" t="s">
        <v>2025</v>
      </c>
      <c r="E52" s="25" t="s">
        <v>269</v>
      </c>
      <c r="F52" s="26"/>
      <c r="G52" s="26" t="s">
        <v>2165</v>
      </c>
      <c r="H52" s="15"/>
      <c r="I52" s="15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2027</v>
      </c>
      <c r="C53" s="13" t="s">
        <v>338</v>
      </c>
      <c r="D53" s="10" t="s">
        <v>2028</v>
      </c>
      <c r="E53" s="25" t="s">
        <v>269</v>
      </c>
      <c r="F53" s="26"/>
      <c r="G53" s="26" t="s">
        <v>2166</v>
      </c>
      <c r="H53" s="15"/>
      <c r="I53" s="15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730</v>
      </c>
      <c r="C54" s="13" t="s">
        <v>338</v>
      </c>
      <c r="D54" s="10" t="s">
        <v>731</v>
      </c>
      <c r="E54" s="25" t="s">
        <v>269</v>
      </c>
      <c r="F54" s="26"/>
      <c r="G54" s="26" t="s">
        <v>957</v>
      </c>
      <c r="H54" s="15"/>
      <c r="I54" s="15"/>
      <c r="J54" s="15" t="s">
        <v>632</v>
      </c>
      <c r="K54" s="15" t="s">
        <v>404</v>
      </c>
      <c r="L54" s="15" t="s">
        <v>633</v>
      </c>
    </row>
    <row r="55" s="1" customFormat="1" spans="1:12">
      <c r="A55" s="33"/>
      <c r="B55" s="13" t="s">
        <v>1091</v>
      </c>
      <c r="C55" s="13" t="s">
        <v>338</v>
      </c>
      <c r="D55" s="10" t="s">
        <v>1092</v>
      </c>
      <c r="E55" s="25" t="s">
        <v>269</v>
      </c>
      <c r="F55" s="26"/>
      <c r="G55" s="26" t="s">
        <v>958</v>
      </c>
      <c r="H55" s="15"/>
      <c r="I55" s="15"/>
      <c r="J55" s="15" t="s">
        <v>632</v>
      </c>
      <c r="K55" s="15" t="s">
        <v>803</v>
      </c>
      <c r="L55" s="15" t="s">
        <v>633</v>
      </c>
    </row>
    <row r="56" s="1" customFormat="1" spans="1:12">
      <c r="A56" s="33"/>
      <c r="B56" s="13" t="s">
        <v>1093</v>
      </c>
      <c r="C56" s="13" t="s">
        <v>338</v>
      </c>
      <c r="D56" s="10" t="s">
        <v>1094</v>
      </c>
      <c r="E56" s="25" t="s">
        <v>269</v>
      </c>
      <c r="F56" s="26"/>
      <c r="G56" s="26" t="s">
        <v>959</v>
      </c>
      <c r="H56" s="15"/>
      <c r="I56" s="15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1095</v>
      </c>
      <c r="C57" s="13" t="s">
        <v>338</v>
      </c>
      <c r="D57" s="10" t="s">
        <v>1096</v>
      </c>
      <c r="E57" s="25" t="s">
        <v>269</v>
      </c>
      <c r="F57" s="26"/>
      <c r="G57" s="26" t="s">
        <v>960</v>
      </c>
      <c r="H57" s="15"/>
      <c r="I57" s="15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1097</v>
      </c>
      <c r="C58" s="13" t="s">
        <v>338</v>
      </c>
      <c r="D58" s="10" t="s">
        <v>1098</v>
      </c>
      <c r="E58" s="25" t="s">
        <v>269</v>
      </c>
      <c r="F58" s="26"/>
      <c r="G58" s="26" t="s">
        <v>961</v>
      </c>
      <c r="H58" s="15"/>
      <c r="I58" s="15"/>
      <c r="J58" s="15" t="s">
        <v>632</v>
      </c>
      <c r="K58" s="15" t="s">
        <v>803</v>
      </c>
      <c r="L58" s="15" t="s">
        <v>633</v>
      </c>
    </row>
    <row r="59" s="1" customFormat="1" spans="1:12">
      <c r="A59" s="33"/>
      <c r="B59" s="13" t="s">
        <v>1099</v>
      </c>
      <c r="C59" s="13" t="s">
        <v>338</v>
      </c>
      <c r="D59" s="10" t="s">
        <v>1100</v>
      </c>
      <c r="E59" s="25" t="s">
        <v>269</v>
      </c>
      <c r="F59" s="26"/>
      <c r="G59" s="26" t="s">
        <v>962</v>
      </c>
      <c r="H59" s="15"/>
      <c r="I59" s="15"/>
      <c r="J59" s="15" t="s">
        <v>632</v>
      </c>
      <c r="K59" s="15" t="s">
        <v>803</v>
      </c>
      <c r="L59" s="15" t="s">
        <v>633</v>
      </c>
    </row>
    <row r="60" s="1" customFormat="1" spans="1:12">
      <c r="A60" s="33"/>
      <c r="B60" s="13" t="s">
        <v>751</v>
      </c>
      <c r="C60" s="13" t="s">
        <v>338</v>
      </c>
      <c r="D60" s="10" t="s">
        <v>752</v>
      </c>
      <c r="E60" s="25" t="s">
        <v>269</v>
      </c>
      <c r="F60" s="26"/>
      <c r="G60" s="26" t="s">
        <v>964</v>
      </c>
      <c r="H60" s="15"/>
      <c r="I60" s="15"/>
      <c r="J60" s="15" t="s">
        <v>632</v>
      </c>
      <c r="K60" s="15" t="s">
        <v>404</v>
      </c>
      <c r="L60" s="15" t="s">
        <v>633</v>
      </c>
    </row>
    <row r="61" s="1" customFormat="1" spans="1:12">
      <c r="A61" s="33"/>
      <c r="B61" s="13" t="s">
        <v>1104</v>
      </c>
      <c r="C61" s="13" t="s">
        <v>338</v>
      </c>
      <c r="D61" s="10" t="s">
        <v>1105</v>
      </c>
      <c r="E61" s="25" t="s">
        <v>269</v>
      </c>
      <c r="F61" s="26"/>
      <c r="G61" s="26" t="s">
        <v>965</v>
      </c>
      <c r="H61" s="15"/>
      <c r="I61" s="15"/>
      <c r="J61" s="15" t="s">
        <v>632</v>
      </c>
      <c r="K61" s="15" t="s">
        <v>803</v>
      </c>
      <c r="L61" s="15" t="s">
        <v>633</v>
      </c>
    </row>
    <row r="62" s="1" customFormat="1" spans="1:12">
      <c r="A62" s="33"/>
      <c r="B62" s="13" t="s">
        <v>1106</v>
      </c>
      <c r="C62" s="13" t="s">
        <v>338</v>
      </c>
      <c r="D62" s="10" t="s">
        <v>1107</v>
      </c>
      <c r="E62" s="25" t="s">
        <v>269</v>
      </c>
      <c r="F62" s="26"/>
      <c r="G62" s="26" t="s">
        <v>966</v>
      </c>
      <c r="H62" s="15"/>
      <c r="I62" s="15"/>
      <c r="J62" s="15" t="s">
        <v>632</v>
      </c>
      <c r="K62" s="15" t="s">
        <v>803</v>
      </c>
      <c r="L62" s="15" t="s">
        <v>633</v>
      </c>
    </row>
    <row r="63" s="1" customFormat="1" spans="1:12">
      <c r="A63" s="33"/>
      <c r="B63" s="13" t="s">
        <v>1108</v>
      </c>
      <c r="C63" s="13" t="s">
        <v>338</v>
      </c>
      <c r="D63" s="10" t="s">
        <v>1109</v>
      </c>
      <c r="E63" s="25" t="s">
        <v>269</v>
      </c>
      <c r="F63" s="26"/>
      <c r="G63" s="26" t="s">
        <v>967</v>
      </c>
      <c r="H63" s="15"/>
      <c r="I63" s="15"/>
      <c r="J63" s="15" t="s">
        <v>632</v>
      </c>
      <c r="K63" s="15" t="s">
        <v>803</v>
      </c>
      <c r="L63" s="15" t="s">
        <v>633</v>
      </c>
    </row>
    <row r="64" s="1" customFormat="1" spans="1:12">
      <c r="A64" s="33"/>
      <c r="B64" s="13" t="s">
        <v>1110</v>
      </c>
      <c r="C64" s="13" t="s">
        <v>338</v>
      </c>
      <c r="D64" s="10" t="s">
        <v>1111</v>
      </c>
      <c r="E64" s="25" t="s">
        <v>269</v>
      </c>
      <c r="F64" s="26"/>
      <c r="G64" s="26" t="s">
        <v>968</v>
      </c>
      <c r="H64" s="15"/>
      <c r="I64" s="15"/>
      <c r="J64" s="15" t="s">
        <v>632</v>
      </c>
      <c r="K64" s="15" t="s">
        <v>803</v>
      </c>
      <c r="L64" s="15" t="s">
        <v>633</v>
      </c>
    </row>
    <row r="65" s="1" customFormat="1" spans="1:12">
      <c r="A65" s="33"/>
      <c r="B65" s="13" t="s">
        <v>1112</v>
      </c>
      <c r="C65" s="13" t="s">
        <v>338</v>
      </c>
      <c r="D65" s="10" t="s">
        <v>1113</v>
      </c>
      <c r="E65" s="25" t="s">
        <v>269</v>
      </c>
      <c r="F65" s="26"/>
      <c r="G65" s="26" t="s">
        <v>969</v>
      </c>
      <c r="H65" s="15"/>
      <c r="I65" s="15"/>
      <c r="J65" s="15" t="s">
        <v>632</v>
      </c>
      <c r="K65" s="15" t="s">
        <v>803</v>
      </c>
      <c r="L65" s="15" t="s">
        <v>633</v>
      </c>
    </row>
    <row r="66" s="1" customFormat="1" spans="1:12">
      <c r="A66" s="33"/>
      <c r="B66" s="13" t="s">
        <v>772</v>
      </c>
      <c r="C66" s="13" t="s">
        <v>338</v>
      </c>
      <c r="D66" s="10" t="s">
        <v>1813</v>
      </c>
      <c r="E66" s="25" t="s">
        <v>269</v>
      </c>
      <c r="F66" s="26"/>
      <c r="G66" s="26" t="s">
        <v>971</v>
      </c>
      <c r="H66" s="15"/>
      <c r="I66" s="15"/>
      <c r="J66" s="15" t="s">
        <v>632</v>
      </c>
      <c r="K66" s="15" t="s">
        <v>404</v>
      </c>
      <c r="L66" s="15" t="s">
        <v>633</v>
      </c>
    </row>
    <row r="67" s="1" customFormat="1" spans="1:12">
      <c r="A67" s="33"/>
      <c r="B67" s="13" t="s">
        <v>1279</v>
      </c>
      <c r="C67" s="13" t="s">
        <v>338</v>
      </c>
      <c r="D67" s="10" t="s">
        <v>1814</v>
      </c>
      <c r="E67" s="25" t="s">
        <v>269</v>
      </c>
      <c r="F67" s="26"/>
      <c r="G67" s="26" t="s">
        <v>972</v>
      </c>
      <c r="H67" s="15"/>
      <c r="I67" s="15"/>
      <c r="J67" s="15" t="s">
        <v>632</v>
      </c>
      <c r="K67" s="15" t="s">
        <v>803</v>
      </c>
      <c r="L67" s="15" t="s">
        <v>633</v>
      </c>
    </row>
    <row r="68" s="1" customFormat="1" spans="1:12">
      <c r="A68" s="33"/>
      <c r="B68" s="13" t="s">
        <v>1280</v>
      </c>
      <c r="C68" s="13" t="s">
        <v>338</v>
      </c>
      <c r="D68" s="10" t="s">
        <v>1815</v>
      </c>
      <c r="E68" s="25" t="s">
        <v>269</v>
      </c>
      <c r="F68" s="26"/>
      <c r="G68" s="26" t="s">
        <v>973</v>
      </c>
      <c r="H68" s="15"/>
      <c r="I68" s="15"/>
      <c r="J68" s="15" t="s">
        <v>632</v>
      </c>
      <c r="K68" s="15" t="s">
        <v>803</v>
      </c>
      <c r="L68" s="15" t="s">
        <v>633</v>
      </c>
    </row>
    <row r="69" s="1" customFormat="1" spans="1:12">
      <c r="A69" s="33"/>
      <c r="B69" s="13" t="s">
        <v>1281</v>
      </c>
      <c r="C69" s="13" t="s">
        <v>338</v>
      </c>
      <c r="D69" s="10" t="s">
        <v>1816</v>
      </c>
      <c r="E69" s="25" t="s">
        <v>269</v>
      </c>
      <c r="F69" s="26"/>
      <c r="G69" s="26" t="s">
        <v>974</v>
      </c>
      <c r="H69" s="15"/>
      <c r="I69" s="15"/>
      <c r="J69" s="15" t="s">
        <v>632</v>
      </c>
      <c r="K69" s="15" t="s">
        <v>803</v>
      </c>
      <c r="L69" s="15" t="s">
        <v>633</v>
      </c>
    </row>
    <row r="70" s="1" customFormat="1" spans="1:12">
      <c r="A70" s="33"/>
      <c r="B70" s="13" t="s">
        <v>1282</v>
      </c>
      <c r="C70" s="13" t="s">
        <v>338</v>
      </c>
      <c r="D70" s="10" t="s">
        <v>1817</v>
      </c>
      <c r="E70" s="25" t="s">
        <v>269</v>
      </c>
      <c r="F70" s="26"/>
      <c r="G70" s="26" t="s">
        <v>975</v>
      </c>
      <c r="H70" s="15"/>
      <c r="I70" s="15"/>
      <c r="J70" s="15" t="s">
        <v>632</v>
      </c>
      <c r="K70" s="15" t="s">
        <v>803</v>
      </c>
      <c r="L70" s="15" t="s">
        <v>633</v>
      </c>
    </row>
    <row r="71" s="1" customFormat="1" spans="1:12">
      <c r="A71" s="33"/>
      <c r="B71" s="13" t="s">
        <v>1283</v>
      </c>
      <c r="C71" s="13" t="s">
        <v>338</v>
      </c>
      <c r="D71" s="10" t="s">
        <v>1818</v>
      </c>
      <c r="E71" s="25" t="s">
        <v>269</v>
      </c>
      <c r="F71" s="26"/>
      <c r="G71" s="26" t="s">
        <v>976</v>
      </c>
      <c r="H71" s="15"/>
      <c r="I71" s="15"/>
      <c r="J71" s="15" t="s">
        <v>632</v>
      </c>
      <c r="K71" s="15" t="s">
        <v>803</v>
      </c>
      <c r="L71" s="15" t="s">
        <v>633</v>
      </c>
    </row>
    <row r="72" s="1" customFormat="1" spans="1:12">
      <c r="A72" s="33"/>
      <c r="B72" s="13" t="s">
        <v>2030</v>
      </c>
      <c r="C72" s="13" t="s">
        <v>338</v>
      </c>
      <c r="D72" s="10" t="s">
        <v>2031</v>
      </c>
      <c r="E72" s="25" t="s">
        <v>269</v>
      </c>
      <c r="F72" s="26"/>
      <c r="G72" s="26" t="s">
        <v>2167</v>
      </c>
      <c r="H72" s="15"/>
      <c r="I72" s="15"/>
      <c r="J72" s="15" t="s">
        <v>632</v>
      </c>
      <c r="K72" s="15" t="s">
        <v>803</v>
      </c>
      <c r="L72" s="15" t="s">
        <v>633</v>
      </c>
    </row>
    <row r="73" s="1" customFormat="1" spans="1:12">
      <c r="A73" s="33"/>
      <c r="B73" s="13" t="s">
        <v>2033</v>
      </c>
      <c r="C73" s="13" t="s">
        <v>338</v>
      </c>
      <c r="D73" s="10" t="s">
        <v>2034</v>
      </c>
      <c r="E73" s="25" t="s">
        <v>269</v>
      </c>
      <c r="F73" s="26"/>
      <c r="G73" s="26" t="s">
        <v>2168</v>
      </c>
      <c r="H73" s="15"/>
      <c r="I73" s="15"/>
      <c r="J73" s="15" t="s">
        <v>632</v>
      </c>
      <c r="K73" s="15" t="s">
        <v>803</v>
      </c>
      <c r="L73" s="15" t="s">
        <v>633</v>
      </c>
    </row>
    <row r="74" s="1" customFormat="1" spans="1:12">
      <c r="A74" s="33"/>
      <c r="B74" s="13" t="s">
        <v>2036</v>
      </c>
      <c r="C74" s="13" t="s">
        <v>338</v>
      </c>
      <c r="D74" s="10" t="s">
        <v>2037</v>
      </c>
      <c r="E74" s="25" t="s">
        <v>269</v>
      </c>
      <c r="F74" s="26"/>
      <c r="G74" s="26" t="s">
        <v>2169</v>
      </c>
      <c r="H74" s="15"/>
      <c r="I74" s="15"/>
      <c r="J74" s="15" t="s">
        <v>632</v>
      </c>
      <c r="K74" s="15" t="s">
        <v>803</v>
      </c>
      <c r="L74" s="15" t="s">
        <v>633</v>
      </c>
    </row>
    <row r="75" s="1" customFormat="1" spans="1:12">
      <c r="A75" s="33"/>
      <c r="B75" s="13" t="s">
        <v>2039</v>
      </c>
      <c r="C75" s="13" t="s">
        <v>338</v>
      </c>
      <c r="D75" s="10" t="s">
        <v>2040</v>
      </c>
      <c r="E75" s="25" t="s">
        <v>269</v>
      </c>
      <c r="F75" s="26"/>
      <c r="G75" s="26" t="s">
        <v>2170</v>
      </c>
      <c r="H75" s="15"/>
      <c r="I75" s="15"/>
      <c r="J75" s="15" t="s">
        <v>632</v>
      </c>
      <c r="K75" s="15" t="s">
        <v>803</v>
      </c>
      <c r="L75" s="15" t="s">
        <v>633</v>
      </c>
    </row>
    <row r="76" s="1" customFormat="1" spans="1:12">
      <c r="A76" s="33"/>
      <c r="B76" s="13" t="s">
        <v>2042</v>
      </c>
      <c r="C76" s="13" t="s">
        <v>338</v>
      </c>
      <c r="D76" s="10" t="s">
        <v>2043</v>
      </c>
      <c r="E76" s="25" t="s">
        <v>269</v>
      </c>
      <c r="F76" s="26"/>
      <c r="G76" s="26" t="s">
        <v>2171</v>
      </c>
      <c r="H76" s="15"/>
      <c r="I76" s="15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2045</v>
      </c>
      <c r="C77" s="13" t="s">
        <v>338</v>
      </c>
      <c r="D77" s="10" t="s">
        <v>2046</v>
      </c>
      <c r="E77" s="25" t="s">
        <v>269</v>
      </c>
      <c r="F77" s="26"/>
      <c r="G77" s="26" t="s">
        <v>2172</v>
      </c>
      <c r="H77" s="15"/>
      <c r="I77" s="15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2089</v>
      </c>
      <c r="C78" s="13" t="s">
        <v>338</v>
      </c>
      <c r="D78" s="10" t="s">
        <v>2090</v>
      </c>
      <c r="E78" s="25" t="s">
        <v>269</v>
      </c>
      <c r="F78" s="26"/>
      <c r="G78" s="26" t="s">
        <v>2186</v>
      </c>
      <c r="H78" s="15"/>
      <c r="I78" s="15"/>
      <c r="J78" s="15" t="s">
        <v>632</v>
      </c>
      <c r="K78" s="15" t="s">
        <v>669</v>
      </c>
      <c r="L78" s="15" t="s">
        <v>670</v>
      </c>
    </row>
    <row r="79" s="1" customFormat="1" spans="1:12">
      <c r="A79" s="33"/>
      <c r="B79" s="13" t="s">
        <v>2092</v>
      </c>
      <c r="C79" s="13" t="s">
        <v>338</v>
      </c>
      <c r="D79" s="10" t="s">
        <v>2354</v>
      </c>
      <c r="E79" s="25" t="s">
        <v>269</v>
      </c>
      <c r="F79" s="26"/>
      <c r="G79" s="26" t="s">
        <v>2187</v>
      </c>
      <c r="H79" s="15"/>
      <c r="I79" s="15"/>
      <c r="J79" s="15" t="s">
        <v>632</v>
      </c>
      <c r="K79" s="15" t="s">
        <v>803</v>
      </c>
      <c r="L79" s="15" t="s">
        <v>633</v>
      </c>
    </row>
    <row r="80" s="1" customFormat="1" spans="1:12">
      <c r="A80" s="33"/>
      <c r="B80" s="13" t="s">
        <v>2095</v>
      </c>
      <c r="C80" s="13" t="s">
        <v>338</v>
      </c>
      <c r="D80" s="10" t="s">
        <v>2357</v>
      </c>
      <c r="E80" s="25" t="s">
        <v>269</v>
      </c>
      <c r="F80" s="26"/>
      <c r="G80" s="26" t="s">
        <v>2188</v>
      </c>
      <c r="H80" s="15"/>
      <c r="I80" s="15"/>
      <c r="J80" s="15" t="s">
        <v>632</v>
      </c>
      <c r="K80" s="15" t="s">
        <v>803</v>
      </c>
      <c r="L80" s="15" t="s">
        <v>633</v>
      </c>
    </row>
    <row r="81" s="1" customFormat="1" spans="1:12">
      <c r="A81" s="33"/>
      <c r="B81" s="13" t="s">
        <v>2098</v>
      </c>
      <c r="C81" s="13" t="s">
        <v>338</v>
      </c>
      <c r="D81" s="10" t="s">
        <v>2360</v>
      </c>
      <c r="E81" s="25" t="s">
        <v>269</v>
      </c>
      <c r="F81" s="26"/>
      <c r="G81" s="26" t="s">
        <v>2189</v>
      </c>
      <c r="H81" s="15"/>
      <c r="I81" s="15"/>
      <c r="J81" s="15" t="s">
        <v>632</v>
      </c>
      <c r="K81" s="15" t="s">
        <v>803</v>
      </c>
      <c r="L81" s="15" t="s">
        <v>633</v>
      </c>
    </row>
    <row r="82" s="1" customFormat="1" spans="1:12">
      <c r="A82" s="33"/>
      <c r="B82" s="13" t="s">
        <v>2101</v>
      </c>
      <c r="C82" s="13" t="s">
        <v>338</v>
      </c>
      <c r="D82" s="10" t="s">
        <v>2363</v>
      </c>
      <c r="E82" s="25" t="s">
        <v>269</v>
      </c>
      <c r="F82" s="26"/>
      <c r="G82" s="26" t="s">
        <v>2190</v>
      </c>
      <c r="H82" s="15"/>
      <c r="I82" s="15"/>
      <c r="J82" s="15" t="s">
        <v>632</v>
      </c>
      <c r="K82" s="15" t="s">
        <v>803</v>
      </c>
      <c r="L82" s="15" t="s">
        <v>633</v>
      </c>
    </row>
    <row r="83" s="1" customFormat="1" spans="1:12">
      <c r="A83" s="33"/>
      <c r="B83" s="13" t="s">
        <v>2104</v>
      </c>
      <c r="C83" s="13" t="s">
        <v>338</v>
      </c>
      <c r="D83" s="10" t="s">
        <v>2366</v>
      </c>
      <c r="E83" s="25" t="s">
        <v>269</v>
      </c>
      <c r="F83" s="26"/>
      <c r="G83" s="26" t="s">
        <v>2191</v>
      </c>
      <c r="H83" s="15"/>
      <c r="I83" s="15"/>
      <c r="J83" s="15" t="s">
        <v>632</v>
      </c>
      <c r="K83" s="15" t="s">
        <v>803</v>
      </c>
      <c r="L83" s="15" t="s">
        <v>633</v>
      </c>
    </row>
    <row r="84" s="1" customFormat="1" spans="1:12">
      <c r="A84" s="33"/>
      <c r="B84" s="13" t="s">
        <v>2391</v>
      </c>
      <c r="C84" s="13" t="s">
        <v>338</v>
      </c>
      <c r="D84" s="10" t="s">
        <v>2392</v>
      </c>
      <c r="E84" s="25" t="s">
        <v>269</v>
      </c>
      <c r="F84" s="26"/>
      <c r="G84" s="26" t="s">
        <v>1975</v>
      </c>
      <c r="H84" s="15"/>
      <c r="I84" s="15"/>
      <c r="J84" s="15" t="s">
        <v>632</v>
      </c>
      <c r="K84" s="15" t="s">
        <v>1902</v>
      </c>
      <c r="L84" s="15" t="s">
        <v>633</v>
      </c>
    </row>
    <row r="85" s="1" customFormat="1" spans="1:12">
      <c r="A85" s="33"/>
      <c r="B85" s="13" t="s">
        <v>2393</v>
      </c>
      <c r="C85" s="13" t="s">
        <v>338</v>
      </c>
      <c r="D85" s="10" t="s">
        <v>2394</v>
      </c>
      <c r="E85" s="25" t="s">
        <v>269</v>
      </c>
      <c r="F85" s="26"/>
      <c r="G85" s="26" t="s">
        <v>2389</v>
      </c>
      <c r="H85" s="15"/>
      <c r="I85" s="15"/>
      <c r="J85" s="15" t="s">
        <v>632</v>
      </c>
      <c r="K85" s="15" t="s">
        <v>803</v>
      </c>
      <c r="L85" s="15" t="s">
        <v>2390</v>
      </c>
    </row>
    <row r="86" s="1" customFormat="1" spans="1:12">
      <c r="A86" s="33"/>
      <c r="B86" s="13" t="s">
        <v>2395</v>
      </c>
      <c r="C86" s="13" t="s">
        <v>338</v>
      </c>
      <c r="D86" s="10" t="s">
        <v>2396</v>
      </c>
      <c r="E86" s="25" t="s">
        <v>269</v>
      </c>
      <c r="F86" s="26"/>
      <c r="G86" s="26" t="s">
        <v>2389</v>
      </c>
      <c r="H86" s="15"/>
      <c r="I86" s="15"/>
      <c r="J86" s="15" t="s">
        <v>632</v>
      </c>
      <c r="K86" s="15" t="s">
        <v>803</v>
      </c>
      <c r="L86" s="15" t="s">
        <v>2390</v>
      </c>
    </row>
    <row r="87" s="1" customFormat="1" spans="1:12">
      <c r="A87" s="33"/>
      <c r="B87" s="13" t="s">
        <v>2397</v>
      </c>
      <c r="C87" s="13" t="s">
        <v>338</v>
      </c>
      <c r="D87" s="10" t="s">
        <v>2398</v>
      </c>
      <c r="E87" s="25" t="s">
        <v>269</v>
      </c>
      <c r="F87" s="26"/>
      <c r="G87" s="26" t="s">
        <v>2389</v>
      </c>
      <c r="H87" s="15"/>
      <c r="I87" s="15"/>
      <c r="J87" s="15" t="s">
        <v>632</v>
      </c>
      <c r="K87" s="15" t="s">
        <v>803</v>
      </c>
      <c r="L87" s="15" t="s">
        <v>2390</v>
      </c>
    </row>
    <row r="88" s="1" customFormat="1" spans="1:12">
      <c r="A88" s="33"/>
      <c r="B88" s="13" t="s">
        <v>2399</v>
      </c>
      <c r="C88" s="13" t="s">
        <v>338</v>
      </c>
      <c r="D88" s="10" t="s">
        <v>2400</v>
      </c>
      <c r="E88" s="25" t="s">
        <v>269</v>
      </c>
      <c r="F88" s="26"/>
      <c r="G88" s="26" t="s">
        <v>2389</v>
      </c>
      <c r="H88" s="15"/>
      <c r="I88" s="15"/>
      <c r="J88" s="15" t="s">
        <v>632</v>
      </c>
      <c r="K88" s="15" t="s">
        <v>803</v>
      </c>
      <c r="L88" s="15" t="s">
        <v>2390</v>
      </c>
    </row>
    <row r="89" s="1" customFormat="1" spans="1:12">
      <c r="A89" s="33"/>
      <c r="B89" s="13" t="s">
        <v>2401</v>
      </c>
      <c r="C89" s="13" t="s">
        <v>338</v>
      </c>
      <c r="D89" s="10" t="s">
        <v>2402</v>
      </c>
      <c r="E89" s="25" t="s">
        <v>269</v>
      </c>
      <c r="F89" s="26"/>
      <c r="G89" s="26" t="s">
        <v>2389</v>
      </c>
      <c r="H89" s="15"/>
      <c r="I89" s="15"/>
      <c r="J89" s="15" t="s">
        <v>632</v>
      </c>
      <c r="K89" s="15" t="s">
        <v>803</v>
      </c>
      <c r="L89" s="15" t="s">
        <v>2390</v>
      </c>
    </row>
    <row r="90" s="2" customFormat="1" spans="2:17">
      <c r="B90" s="17" t="s">
        <v>594</v>
      </c>
      <c r="C90" s="18" t="s">
        <v>307</v>
      </c>
      <c r="D90" s="18" t="s">
        <v>595</v>
      </c>
      <c r="E90" s="28" t="s">
        <v>932</v>
      </c>
      <c r="F90" s="28" t="s">
        <v>932</v>
      </c>
      <c r="G90" s="28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s="2" customFormat="1" spans="2:17">
      <c r="B91" s="17" t="s">
        <v>596</v>
      </c>
      <c r="C91" s="18" t="s">
        <v>291</v>
      </c>
      <c r="D91" s="18" t="s">
        <v>597</v>
      </c>
      <c r="E91" s="28" t="s">
        <v>932</v>
      </c>
      <c r="F91" s="28" t="s">
        <v>932</v>
      </c>
      <c r="G91" s="28" t="s">
        <v>932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="2" customFormat="1" spans="2:14">
      <c r="B92" s="17" t="s">
        <v>598</v>
      </c>
      <c r="C92" s="18" t="s">
        <v>307</v>
      </c>
      <c r="D92" s="19" t="s">
        <v>599</v>
      </c>
      <c r="E92" s="28" t="s">
        <v>932</v>
      </c>
      <c r="F92" s="28"/>
      <c r="G92" s="28"/>
      <c r="H92" s="17"/>
      <c r="I92" s="17"/>
      <c r="J92" s="17"/>
      <c r="K92" s="17"/>
      <c r="L92" s="17"/>
      <c r="M92" s="17"/>
      <c r="N92" s="17"/>
    </row>
  </sheetData>
  <autoFilter xmlns:etc="http://www.wps.cn/officeDocument/2017/etCustomData" ref="A13:Q92" etc:filterBottomFollowUsedRange="0">
    <extLst/>
  </autoFilter>
  <mergeCells count="5">
    <mergeCell ref="B2:H2"/>
    <mergeCell ref="B3:H3"/>
    <mergeCell ref="B7:H7"/>
    <mergeCell ref="B12:L12"/>
    <mergeCell ref="G9:G10"/>
  </mergeCells>
  <pageMargins left="0.7" right="0.7" top="0.75" bottom="0.75" header="0.3" footer="0.3"/>
  <pageSetup paperSize="9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"/>
  <sheetViews>
    <sheetView zoomScale="85" zoomScaleNormal="85" workbookViewId="0">
      <pane ySplit="5" topLeftCell="A6" activePane="bottomLeft" state="frozen"/>
      <selection/>
      <selection pane="bottomLeft" activeCell="D15" sqref="D15"/>
    </sheetView>
  </sheetViews>
  <sheetFormatPr defaultColWidth="9" defaultRowHeight="13"/>
  <cols>
    <col min="1" max="1" width="1.33333333333333" style="3" customWidth="1"/>
    <col min="2" max="2" width="27.775" style="3" customWidth="1"/>
    <col min="3" max="3" width="32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43.8833333333333" style="3" customWidth="1"/>
    <col min="8" max="8" width="19.775" style="3" customWidth="1"/>
    <col min="9" max="9" width="18.6666666666667" style="3" customWidth="1"/>
    <col min="10" max="10" width="8.10833333333333" style="3" customWidth="1"/>
    <col min="11" max="11" width="8.44166666666667" style="3" customWidth="1"/>
    <col min="12" max="12" width="13.5583333333333" style="4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40</v>
      </c>
      <c r="C5" s="11" t="s">
        <v>236</v>
      </c>
      <c r="D5" s="11" t="s">
        <v>237</v>
      </c>
      <c r="E5" s="13" t="s">
        <v>27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9.8" customHeight="1" spans="2:8">
      <c r="B9" s="13"/>
      <c r="C9" s="11" t="s">
        <v>232</v>
      </c>
      <c r="D9" s="11" t="s">
        <v>233</v>
      </c>
      <c r="E9" s="13" t="s">
        <v>266</v>
      </c>
      <c r="F9" s="26"/>
      <c r="G9" s="35"/>
      <c r="H9" s="23" t="s">
        <v>44</v>
      </c>
    </row>
    <row r="10" spans="2:2">
      <c r="B10" s="3" t="s">
        <v>279</v>
      </c>
    </row>
    <row r="11" ht="13.5" spans="2:12">
      <c r="B11" s="7" t="s">
        <v>279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3.5" spans="2:12">
      <c r="B12" s="8" t="s">
        <v>280</v>
      </c>
      <c r="C12" s="8" t="s">
        <v>281</v>
      </c>
      <c r="D12" s="8" t="s">
        <v>282</v>
      </c>
      <c r="E12" s="8" t="s">
        <v>283</v>
      </c>
      <c r="F12" s="12" t="s">
        <v>284</v>
      </c>
      <c r="G12" s="12" t="s">
        <v>285</v>
      </c>
      <c r="H12" s="8" t="s">
        <v>286</v>
      </c>
      <c r="I12" s="8" t="s">
        <v>17</v>
      </c>
      <c r="J12" s="8" t="s">
        <v>287</v>
      </c>
      <c r="K12" s="8" t="s">
        <v>288</v>
      </c>
      <c r="L12" s="8" t="s">
        <v>289</v>
      </c>
    </row>
    <row r="13" s="1" customFormat="1" spans="2:12">
      <c r="B13" s="32" t="s">
        <v>602</v>
      </c>
      <c r="C13" s="32" t="s">
        <v>291</v>
      </c>
      <c r="D13" s="10" t="s">
        <v>603</v>
      </c>
      <c r="E13" s="25" t="s">
        <v>266</v>
      </c>
      <c r="F13" s="26" t="s">
        <v>596</v>
      </c>
      <c r="G13" s="26" t="s">
        <v>293</v>
      </c>
      <c r="H13" s="27"/>
      <c r="I13" s="15"/>
      <c r="J13" s="15" t="s">
        <v>604</v>
      </c>
      <c r="K13" s="15" t="s">
        <v>294</v>
      </c>
      <c r="L13" s="15" t="s">
        <v>605</v>
      </c>
    </row>
    <row r="14" s="1" customFormat="1" spans="2:12">
      <c r="B14" s="32" t="s">
        <v>290</v>
      </c>
      <c r="C14" s="32" t="s">
        <v>307</v>
      </c>
      <c r="D14" s="10" t="s">
        <v>1790</v>
      </c>
      <c r="E14" s="25" t="s">
        <v>266</v>
      </c>
      <c r="F14" s="26" t="s">
        <v>290</v>
      </c>
      <c r="G14" s="26" t="s">
        <v>293</v>
      </c>
      <c r="H14" s="27"/>
      <c r="I14" s="15"/>
      <c r="J14" s="15" t="s">
        <v>604</v>
      </c>
      <c r="K14" s="15" t="s">
        <v>294</v>
      </c>
      <c r="L14" s="15" t="s">
        <v>2381</v>
      </c>
    </row>
    <row r="15" s="1" customFormat="1" spans="1:12">
      <c r="A15" s="33"/>
      <c r="B15" s="32" t="s">
        <v>327</v>
      </c>
      <c r="C15" s="32" t="s">
        <v>307</v>
      </c>
      <c r="D15" s="10" t="s">
        <v>1791</v>
      </c>
      <c r="E15" s="25" t="s">
        <v>266</v>
      </c>
      <c r="F15" s="26" t="s">
        <v>327</v>
      </c>
      <c r="G15" s="26" t="s">
        <v>293</v>
      </c>
      <c r="H15" s="27"/>
      <c r="I15" s="15"/>
      <c r="J15" s="15" t="s">
        <v>604</v>
      </c>
      <c r="K15" s="15" t="s">
        <v>294</v>
      </c>
      <c r="L15" s="15" t="s">
        <v>612</v>
      </c>
    </row>
    <row r="16" s="1" customFormat="1" spans="1:12">
      <c r="A16" s="33"/>
      <c r="B16" s="32" t="s">
        <v>514</v>
      </c>
      <c r="C16" s="32" t="s">
        <v>291</v>
      </c>
      <c r="D16" s="10" t="s">
        <v>515</v>
      </c>
      <c r="E16" s="25" t="s">
        <v>266</v>
      </c>
      <c r="F16" s="26" t="s">
        <v>514</v>
      </c>
      <c r="G16" s="26" t="s">
        <v>293</v>
      </c>
      <c r="H16" s="27"/>
      <c r="I16" s="15"/>
      <c r="J16" s="15" t="s">
        <v>604</v>
      </c>
      <c r="K16" s="15" t="s">
        <v>294</v>
      </c>
      <c r="L16" s="15" t="s">
        <v>294</v>
      </c>
    </row>
    <row r="17" s="1" customFormat="1" spans="1:12">
      <c r="A17" s="33"/>
      <c r="B17" s="32" t="s">
        <v>613</v>
      </c>
      <c r="C17" s="32" t="s">
        <v>307</v>
      </c>
      <c r="D17" s="10" t="s">
        <v>614</v>
      </c>
      <c r="E17" s="25" t="s">
        <v>266</v>
      </c>
      <c r="F17" s="26" t="s">
        <v>594</v>
      </c>
      <c r="G17" s="26" t="s">
        <v>293</v>
      </c>
      <c r="H17" s="27"/>
      <c r="I17" s="15"/>
      <c r="J17" s="15" t="s">
        <v>604</v>
      </c>
      <c r="K17" s="15" t="s">
        <v>294</v>
      </c>
      <c r="L17" s="15" t="s">
        <v>615</v>
      </c>
    </row>
    <row r="18" s="1" customFormat="1" spans="1:12">
      <c r="A18" s="33"/>
      <c r="B18" s="13" t="s">
        <v>522</v>
      </c>
      <c r="C18" s="32" t="s">
        <v>291</v>
      </c>
      <c r="D18" s="10" t="s">
        <v>523</v>
      </c>
      <c r="E18" s="25" t="s">
        <v>266</v>
      </c>
      <c r="F18" s="26" t="s">
        <v>522</v>
      </c>
      <c r="G18" s="26" t="s">
        <v>293</v>
      </c>
      <c r="H18" s="27"/>
      <c r="I18" s="15"/>
      <c r="J18" s="15" t="s">
        <v>604</v>
      </c>
      <c r="K18" s="15" t="s">
        <v>294</v>
      </c>
      <c r="L18" s="15" t="s">
        <v>294</v>
      </c>
    </row>
    <row r="19" s="1" customFormat="1" spans="1:12">
      <c r="A19" s="33"/>
      <c r="B19" s="13" t="s">
        <v>517</v>
      </c>
      <c r="C19" s="32" t="s">
        <v>307</v>
      </c>
      <c r="D19" s="10" t="s">
        <v>1792</v>
      </c>
      <c r="E19" s="25" t="s">
        <v>266</v>
      </c>
      <c r="F19" s="26" t="s">
        <v>517</v>
      </c>
      <c r="G19" s="26" t="s">
        <v>293</v>
      </c>
      <c r="H19" s="27"/>
      <c r="I19" s="15"/>
      <c r="J19" s="15" t="s">
        <v>604</v>
      </c>
      <c r="K19" s="15" t="s">
        <v>294</v>
      </c>
      <c r="L19" s="15" t="s">
        <v>615</v>
      </c>
    </row>
    <row r="20" s="1" customFormat="1" spans="1:12">
      <c r="A20" s="33"/>
      <c r="B20" s="13" t="s">
        <v>524</v>
      </c>
      <c r="C20" s="32" t="s">
        <v>291</v>
      </c>
      <c r="D20" s="10" t="s">
        <v>1793</v>
      </c>
      <c r="E20" s="25" t="s">
        <v>266</v>
      </c>
      <c r="F20" s="26" t="s">
        <v>524</v>
      </c>
      <c r="G20" s="26" t="s">
        <v>293</v>
      </c>
      <c r="H20" s="27"/>
      <c r="I20" s="15"/>
      <c r="J20" s="15" t="s">
        <v>604</v>
      </c>
      <c r="K20" s="15" t="s">
        <v>294</v>
      </c>
      <c r="L20" s="15" t="s">
        <v>294</v>
      </c>
    </row>
    <row r="21" s="1" customFormat="1" spans="1:12">
      <c r="A21" s="33"/>
      <c r="B21" s="13" t="s">
        <v>520</v>
      </c>
      <c r="C21" s="32" t="s">
        <v>307</v>
      </c>
      <c r="D21" s="10" t="s">
        <v>521</v>
      </c>
      <c r="E21" s="25" t="s">
        <v>266</v>
      </c>
      <c r="F21" s="26" t="s">
        <v>520</v>
      </c>
      <c r="G21" s="26" t="s">
        <v>293</v>
      </c>
      <c r="H21" s="27"/>
      <c r="I21" s="15"/>
      <c r="J21" s="15" t="s">
        <v>604</v>
      </c>
      <c r="K21" s="15" t="s">
        <v>294</v>
      </c>
      <c r="L21" s="15" t="s">
        <v>615</v>
      </c>
    </row>
    <row r="22" s="1" customFormat="1" spans="1:12">
      <c r="A22" s="33"/>
      <c r="B22" s="13" t="s">
        <v>526</v>
      </c>
      <c r="C22" s="13" t="s">
        <v>291</v>
      </c>
      <c r="D22" s="10" t="s">
        <v>527</v>
      </c>
      <c r="E22" s="25" t="s">
        <v>266</v>
      </c>
      <c r="F22" s="26" t="s">
        <v>526</v>
      </c>
      <c r="G22" s="26" t="s">
        <v>293</v>
      </c>
      <c r="H22" s="27"/>
      <c r="I22" s="15"/>
      <c r="J22" s="15" t="s">
        <v>604</v>
      </c>
      <c r="K22" s="15" t="s">
        <v>294</v>
      </c>
      <c r="L22" s="15" t="s">
        <v>294</v>
      </c>
    </row>
    <row r="23" s="1" customFormat="1" spans="1:12">
      <c r="A23" s="33"/>
      <c r="B23" s="13" t="s">
        <v>1794</v>
      </c>
      <c r="C23" s="13" t="s">
        <v>307</v>
      </c>
      <c r="D23" s="10" t="s">
        <v>1795</v>
      </c>
      <c r="E23" s="25" t="s">
        <v>266</v>
      </c>
      <c r="F23" s="26" t="s">
        <v>1794</v>
      </c>
      <c r="G23" s="26" t="s">
        <v>293</v>
      </c>
      <c r="H23" s="27"/>
      <c r="I23" s="15"/>
      <c r="J23" s="15" t="s">
        <v>604</v>
      </c>
      <c r="K23" s="15" t="s">
        <v>294</v>
      </c>
      <c r="L23" s="15" t="s">
        <v>294</v>
      </c>
    </row>
    <row r="24" s="1" customFormat="1" ht="13.8" customHeight="1" spans="1:12">
      <c r="A24" s="33"/>
      <c r="B24" s="13" t="s">
        <v>1797</v>
      </c>
      <c r="C24" s="13" t="s">
        <v>291</v>
      </c>
      <c r="D24" s="10" t="s">
        <v>1798</v>
      </c>
      <c r="E24" s="25" t="s">
        <v>266</v>
      </c>
      <c r="F24" s="26" t="s">
        <v>1797</v>
      </c>
      <c r="G24" s="26" t="s">
        <v>293</v>
      </c>
      <c r="H24" s="15"/>
      <c r="I24" s="15"/>
      <c r="J24" s="15" t="s">
        <v>604</v>
      </c>
      <c r="K24" s="15" t="s">
        <v>294</v>
      </c>
      <c r="L24" s="15" t="s">
        <v>294</v>
      </c>
    </row>
    <row r="25" s="1" customFormat="1" spans="1:12">
      <c r="A25" s="33"/>
      <c r="B25" s="13" t="s">
        <v>1273</v>
      </c>
      <c r="C25" s="13" t="s">
        <v>338</v>
      </c>
      <c r="D25" s="10" t="s">
        <v>1800</v>
      </c>
      <c r="E25" s="25" t="s">
        <v>266</v>
      </c>
      <c r="F25" s="26"/>
      <c r="G25" s="26" t="s">
        <v>1323</v>
      </c>
      <c r="H25" s="15"/>
      <c r="I25" s="15"/>
      <c r="J25" s="15" t="s">
        <v>632</v>
      </c>
      <c r="K25" s="15" t="s">
        <v>404</v>
      </c>
      <c r="L25" s="15" t="s">
        <v>633</v>
      </c>
    </row>
    <row r="26" s="1" customFormat="1" spans="1:12">
      <c r="A26" s="33"/>
      <c r="B26" s="13" t="s">
        <v>1044</v>
      </c>
      <c r="C26" s="13" t="s">
        <v>338</v>
      </c>
      <c r="D26" s="10" t="s">
        <v>642</v>
      </c>
      <c r="E26" s="25" t="s">
        <v>266</v>
      </c>
      <c r="F26" s="26"/>
      <c r="G26" s="26" t="s">
        <v>1464</v>
      </c>
      <c r="H26" s="15"/>
      <c r="I26" s="15"/>
      <c r="J26" s="15" t="s">
        <v>632</v>
      </c>
      <c r="K26" s="15" t="s">
        <v>644</v>
      </c>
      <c r="L26" s="15" t="s">
        <v>633</v>
      </c>
    </row>
    <row r="27" s="1" customFormat="1" spans="2:12">
      <c r="B27" s="32" t="s">
        <v>1045</v>
      </c>
      <c r="C27" s="34" t="s">
        <v>338</v>
      </c>
      <c r="D27" s="10" t="s">
        <v>645</v>
      </c>
      <c r="E27" s="25" t="s">
        <v>266</v>
      </c>
      <c r="F27" s="26"/>
      <c r="G27" s="26" t="s">
        <v>1466</v>
      </c>
      <c r="H27" s="15"/>
      <c r="I27" s="15"/>
      <c r="J27" s="15" t="s">
        <v>632</v>
      </c>
      <c r="K27" s="15" t="s">
        <v>644</v>
      </c>
      <c r="L27" s="15" t="s">
        <v>633</v>
      </c>
    </row>
    <row r="28" s="1" customFormat="1" spans="2:12">
      <c r="B28" s="32" t="s">
        <v>1054</v>
      </c>
      <c r="C28" s="34" t="s">
        <v>338</v>
      </c>
      <c r="D28" s="10" t="s">
        <v>345</v>
      </c>
      <c r="E28" s="25" t="s">
        <v>266</v>
      </c>
      <c r="F28" s="26"/>
      <c r="G28" s="26" t="s">
        <v>1338</v>
      </c>
      <c r="H28" s="15"/>
      <c r="I28" s="15"/>
      <c r="J28" s="15" t="s">
        <v>632</v>
      </c>
      <c r="K28" s="15" t="s">
        <v>2383</v>
      </c>
      <c r="L28" s="15" t="s">
        <v>633</v>
      </c>
    </row>
    <row r="29" s="33" customFormat="1" spans="2:13">
      <c r="B29" s="32" t="s">
        <v>1055</v>
      </c>
      <c r="C29" s="13" t="s">
        <v>338</v>
      </c>
      <c r="D29" s="10" t="s">
        <v>347</v>
      </c>
      <c r="E29" s="25" t="s">
        <v>266</v>
      </c>
      <c r="F29" s="26"/>
      <c r="G29" s="26" t="s">
        <v>1337</v>
      </c>
      <c r="H29" s="15"/>
      <c r="I29" s="15"/>
      <c r="J29" s="15" t="s">
        <v>632</v>
      </c>
      <c r="K29" s="15" t="s">
        <v>2383</v>
      </c>
      <c r="L29" s="15" t="s">
        <v>633</v>
      </c>
      <c r="M29" s="1"/>
    </row>
    <row r="30" s="1" customFormat="1" spans="1:12">
      <c r="A30" s="33"/>
      <c r="B30" s="13" t="s">
        <v>1056</v>
      </c>
      <c r="C30" s="13" t="s">
        <v>338</v>
      </c>
      <c r="D30" s="10" t="s">
        <v>697</v>
      </c>
      <c r="E30" s="25" t="s">
        <v>266</v>
      </c>
      <c r="F30" s="26"/>
      <c r="G30" s="26" t="s">
        <v>1334</v>
      </c>
      <c r="H30" s="15"/>
      <c r="I30" s="15"/>
      <c r="J30" s="15" t="s">
        <v>632</v>
      </c>
      <c r="K30" s="15" t="s">
        <v>2383</v>
      </c>
      <c r="L30" s="15" t="s">
        <v>633</v>
      </c>
    </row>
    <row r="31" s="1" customFormat="1" spans="1:12">
      <c r="A31" s="33"/>
      <c r="B31" s="13" t="s">
        <v>1057</v>
      </c>
      <c r="C31" s="13" t="s">
        <v>338</v>
      </c>
      <c r="D31" s="10" t="s">
        <v>699</v>
      </c>
      <c r="E31" s="25" t="s">
        <v>266</v>
      </c>
      <c r="F31" s="26"/>
      <c r="G31" s="26" t="s">
        <v>1336</v>
      </c>
      <c r="H31" s="15"/>
      <c r="I31" s="15"/>
      <c r="J31" s="15" t="s">
        <v>632</v>
      </c>
      <c r="K31" s="15" t="s">
        <v>2383</v>
      </c>
      <c r="L31" s="15" t="s">
        <v>633</v>
      </c>
    </row>
    <row r="32" s="1" customFormat="1" spans="1:12">
      <c r="A32" s="33"/>
      <c r="B32" s="13" t="s">
        <v>1058</v>
      </c>
      <c r="C32" s="13" t="s">
        <v>338</v>
      </c>
      <c r="D32" s="10" t="s">
        <v>702</v>
      </c>
      <c r="E32" s="25" t="s">
        <v>266</v>
      </c>
      <c r="F32" s="26"/>
      <c r="G32" s="26" t="s">
        <v>1822</v>
      </c>
      <c r="H32" s="15"/>
      <c r="I32" s="15"/>
      <c r="J32" s="15" t="s">
        <v>632</v>
      </c>
      <c r="K32" s="15" t="s">
        <v>2383</v>
      </c>
      <c r="L32" s="15" t="s">
        <v>633</v>
      </c>
    </row>
    <row r="33" s="1" customFormat="1" spans="1:12">
      <c r="A33" s="33"/>
      <c r="B33" s="32" t="s">
        <v>1059</v>
      </c>
      <c r="C33" s="32" t="s">
        <v>338</v>
      </c>
      <c r="D33" s="10" t="s">
        <v>705</v>
      </c>
      <c r="E33" s="25" t="s">
        <v>266</v>
      </c>
      <c r="F33" s="26"/>
      <c r="G33" s="26" t="s">
        <v>1823</v>
      </c>
      <c r="H33" s="15"/>
      <c r="I33" s="15"/>
      <c r="J33" s="15" t="s">
        <v>632</v>
      </c>
      <c r="K33" s="15" t="s">
        <v>2383</v>
      </c>
      <c r="L33" s="15" t="s">
        <v>633</v>
      </c>
    </row>
    <row r="34" s="1" customFormat="1" spans="1:12">
      <c r="A34" s="33"/>
      <c r="B34" s="13" t="s">
        <v>1088</v>
      </c>
      <c r="C34" s="13" t="s">
        <v>338</v>
      </c>
      <c r="D34" s="10" t="s">
        <v>2384</v>
      </c>
      <c r="E34" s="25" t="s">
        <v>266</v>
      </c>
      <c r="F34" s="26"/>
      <c r="G34" s="26" t="s">
        <v>1824</v>
      </c>
      <c r="H34" s="15"/>
      <c r="I34" s="15"/>
      <c r="J34" s="15" t="s">
        <v>632</v>
      </c>
      <c r="K34" s="15" t="s">
        <v>404</v>
      </c>
      <c r="L34" s="15" t="s">
        <v>633</v>
      </c>
    </row>
    <row r="35" s="1" customFormat="1" spans="1:12">
      <c r="A35" s="33"/>
      <c r="B35" s="13" t="s">
        <v>1101</v>
      </c>
      <c r="C35" s="13" t="s">
        <v>338</v>
      </c>
      <c r="D35" s="10" t="s">
        <v>2385</v>
      </c>
      <c r="E35" s="25" t="s">
        <v>266</v>
      </c>
      <c r="F35" s="26"/>
      <c r="G35" s="26" t="s">
        <v>1825</v>
      </c>
      <c r="H35" s="15"/>
      <c r="I35" s="15"/>
      <c r="J35" s="15" t="s">
        <v>632</v>
      </c>
      <c r="K35" s="15" t="s">
        <v>404</v>
      </c>
      <c r="L35" s="15" t="s">
        <v>633</v>
      </c>
    </row>
    <row r="36" s="1" customFormat="1" spans="1:12">
      <c r="A36" s="33"/>
      <c r="B36" s="13" t="s">
        <v>1114</v>
      </c>
      <c r="C36" s="13" t="s">
        <v>338</v>
      </c>
      <c r="D36" s="10" t="s">
        <v>1803</v>
      </c>
      <c r="E36" s="25" t="s">
        <v>266</v>
      </c>
      <c r="F36" s="26"/>
      <c r="G36" s="26" t="s">
        <v>1826</v>
      </c>
      <c r="H36" s="15"/>
      <c r="I36" s="15"/>
      <c r="J36" s="15" t="s">
        <v>632</v>
      </c>
      <c r="K36" s="15" t="s">
        <v>404</v>
      </c>
      <c r="L36" s="15" t="s">
        <v>633</v>
      </c>
    </row>
    <row r="37" s="1" customFormat="1" spans="1:12">
      <c r="A37" s="33"/>
      <c r="B37" s="13" t="s">
        <v>2203</v>
      </c>
      <c r="C37" s="13" t="s">
        <v>338</v>
      </c>
      <c r="D37" s="10" t="s">
        <v>1917</v>
      </c>
      <c r="E37" s="25" t="s">
        <v>266</v>
      </c>
      <c r="F37" s="26"/>
      <c r="G37" s="26" t="s">
        <v>2221</v>
      </c>
      <c r="H37" s="15"/>
      <c r="I37" s="15"/>
      <c r="J37" s="15" t="s">
        <v>632</v>
      </c>
      <c r="K37" s="15" t="s">
        <v>803</v>
      </c>
      <c r="L37" s="15" t="s">
        <v>633</v>
      </c>
    </row>
    <row r="38" s="1" customFormat="1" spans="1:12">
      <c r="A38" s="33"/>
      <c r="B38" s="13" t="s">
        <v>2204</v>
      </c>
      <c r="C38" s="13" t="s">
        <v>338</v>
      </c>
      <c r="D38" s="10" t="s">
        <v>1920</v>
      </c>
      <c r="E38" s="25" t="s">
        <v>266</v>
      </c>
      <c r="F38" s="26"/>
      <c r="G38" s="26" t="s">
        <v>2403</v>
      </c>
      <c r="H38" s="15"/>
      <c r="I38" s="15"/>
      <c r="J38" s="15" t="s">
        <v>632</v>
      </c>
      <c r="K38" s="15" t="s">
        <v>803</v>
      </c>
      <c r="L38" s="15" t="s">
        <v>633</v>
      </c>
    </row>
    <row r="39" s="1" customFormat="1" spans="1:12">
      <c r="A39" s="33"/>
      <c r="B39" s="13" t="s">
        <v>2263</v>
      </c>
      <c r="C39" s="13" t="s">
        <v>338</v>
      </c>
      <c r="D39" s="10" t="s">
        <v>2264</v>
      </c>
      <c r="E39" s="25" t="s">
        <v>266</v>
      </c>
      <c r="F39" s="26"/>
      <c r="G39" s="26" t="s">
        <v>2404</v>
      </c>
      <c r="H39" s="15"/>
      <c r="I39" s="15"/>
      <c r="J39" s="15" t="s">
        <v>632</v>
      </c>
      <c r="K39" s="15" t="s">
        <v>803</v>
      </c>
      <c r="L39" s="15" t="s">
        <v>633</v>
      </c>
    </row>
    <row r="40" s="1" customFormat="1" spans="1:12">
      <c r="A40" s="33"/>
      <c r="B40" s="13" t="s">
        <v>1860</v>
      </c>
      <c r="C40" s="13" t="s">
        <v>338</v>
      </c>
      <c r="D40" s="10" t="s">
        <v>1861</v>
      </c>
      <c r="E40" s="25" t="s">
        <v>266</v>
      </c>
      <c r="F40" s="26"/>
      <c r="G40" s="26" t="s">
        <v>1966</v>
      </c>
      <c r="H40" s="15"/>
      <c r="I40" s="15"/>
      <c r="J40" s="15" t="s">
        <v>632</v>
      </c>
      <c r="K40" s="15" t="s">
        <v>803</v>
      </c>
      <c r="L40" s="15" t="s">
        <v>633</v>
      </c>
    </row>
    <row r="41" s="1" customFormat="1" spans="1:12">
      <c r="A41" s="33"/>
      <c r="B41" s="13" t="s">
        <v>2387</v>
      </c>
      <c r="C41" s="13" t="s">
        <v>338</v>
      </c>
      <c r="D41" s="10" t="s">
        <v>2388</v>
      </c>
      <c r="E41" s="25" t="s">
        <v>266</v>
      </c>
      <c r="F41" s="26"/>
      <c r="G41" s="26" t="s">
        <v>2405</v>
      </c>
      <c r="H41" s="15"/>
      <c r="I41" s="15"/>
      <c r="J41" s="15" t="s">
        <v>632</v>
      </c>
      <c r="K41" s="15" t="s">
        <v>803</v>
      </c>
      <c r="L41" s="15" t="s">
        <v>2390</v>
      </c>
    </row>
    <row r="42" s="1" customFormat="1" spans="1:12">
      <c r="A42" s="33"/>
      <c r="B42" s="13" t="s">
        <v>1872</v>
      </c>
      <c r="C42" s="13" t="s">
        <v>338</v>
      </c>
      <c r="D42" s="10" t="s">
        <v>1873</v>
      </c>
      <c r="E42" s="25" t="s">
        <v>266</v>
      </c>
      <c r="F42" s="26"/>
      <c r="G42" s="26" t="s">
        <v>2406</v>
      </c>
      <c r="H42" s="15"/>
      <c r="I42" s="15"/>
      <c r="J42" s="15" t="s">
        <v>632</v>
      </c>
      <c r="K42" s="15" t="s">
        <v>669</v>
      </c>
      <c r="L42" s="15" t="s">
        <v>633</v>
      </c>
    </row>
    <row r="43" s="1" customFormat="1" spans="1:12">
      <c r="A43" s="33"/>
      <c r="B43" s="13" t="s">
        <v>2012</v>
      </c>
      <c r="C43" s="13" t="s">
        <v>338</v>
      </c>
      <c r="D43" s="10" t="s">
        <v>2013</v>
      </c>
      <c r="E43" s="25" t="s">
        <v>266</v>
      </c>
      <c r="F43" s="26"/>
      <c r="G43" s="26" t="s">
        <v>2161</v>
      </c>
      <c r="H43" s="15"/>
      <c r="I43" s="15"/>
      <c r="J43" s="15" t="s">
        <v>632</v>
      </c>
      <c r="K43" s="15" t="s">
        <v>803</v>
      </c>
      <c r="L43" s="15" t="s">
        <v>633</v>
      </c>
    </row>
    <row r="44" s="1" customFormat="1" spans="1:12">
      <c r="A44" s="33"/>
      <c r="B44" s="13" t="s">
        <v>2015</v>
      </c>
      <c r="C44" s="13" t="s">
        <v>338</v>
      </c>
      <c r="D44" s="10" t="s">
        <v>2016</v>
      </c>
      <c r="E44" s="25" t="s">
        <v>266</v>
      </c>
      <c r="F44" s="26"/>
      <c r="G44" s="26" t="s">
        <v>2162</v>
      </c>
      <c r="H44" s="15"/>
      <c r="I44" s="15"/>
      <c r="J44" s="15" t="s">
        <v>632</v>
      </c>
      <c r="K44" s="15" t="s">
        <v>803</v>
      </c>
      <c r="L44" s="15" t="s">
        <v>633</v>
      </c>
    </row>
    <row r="45" s="1" customFormat="1" spans="1:12">
      <c r="A45" s="33"/>
      <c r="B45" s="13" t="s">
        <v>2018</v>
      </c>
      <c r="C45" s="13" t="s">
        <v>338</v>
      </c>
      <c r="D45" s="10" t="s">
        <v>2019</v>
      </c>
      <c r="E45" s="25" t="s">
        <v>266</v>
      </c>
      <c r="F45" s="26"/>
      <c r="G45" s="26" t="s">
        <v>2163</v>
      </c>
      <c r="H45" s="15"/>
      <c r="I45" s="15"/>
      <c r="J45" s="15" t="s">
        <v>632</v>
      </c>
      <c r="K45" s="15" t="s">
        <v>803</v>
      </c>
      <c r="L45" s="15" t="s">
        <v>633</v>
      </c>
    </row>
    <row r="46" s="1" customFormat="1" spans="1:12">
      <c r="A46" s="33"/>
      <c r="B46" s="13" t="s">
        <v>2021</v>
      </c>
      <c r="C46" s="13" t="s">
        <v>338</v>
      </c>
      <c r="D46" s="10" t="s">
        <v>2022</v>
      </c>
      <c r="E46" s="25" t="s">
        <v>266</v>
      </c>
      <c r="F46" s="26"/>
      <c r="G46" s="26" t="s">
        <v>2164</v>
      </c>
      <c r="H46" s="15"/>
      <c r="I46" s="15"/>
      <c r="J46" s="15" t="s">
        <v>632</v>
      </c>
      <c r="K46" s="15" t="s">
        <v>803</v>
      </c>
      <c r="L46" s="15" t="s">
        <v>633</v>
      </c>
    </row>
    <row r="47" s="1" customFormat="1" spans="1:12">
      <c r="A47" s="33"/>
      <c r="B47" s="13" t="s">
        <v>2024</v>
      </c>
      <c r="C47" s="13" t="s">
        <v>338</v>
      </c>
      <c r="D47" s="10" t="s">
        <v>2025</v>
      </c>
      <c r="E47" s="25" t="s">
        <v>266</v>
      </c>
      <c r="F47" s="26"/>
      <c r="G47" s="26" t="s">
        <v>2165</v>
      </c>
      <c r="H47" s="15"/>
      <c r="I47" s="15"/>
      <c r="J47" s="15" t="s">
        <v>632</v>
      </c>
      <c r="K47" s="15" t="s">
        <v>803</v>
      </c>
      <c r="L47" s="15" t="s">
        <v>633</v>
      </c>
    </row>
    <row r="48" s="1" customFormat="1" spans="1:12">
      <c r="A48" s="33"/>
      <c r="B48" s="13" t="s">
        <v>2027</v>
      </c>
      <c r="C48" s="13" t="s">
        <v>338</v>
      </c>
      <c r="D48" s="10" t="s">
        <v>2028</v>
      </c>
      <c r="E48" s="25" t="s">
        <v>266</v>
      </c>
      <c r="F48" s="26"/>
      <c r="G48" s="26" t="s">
        <v>2166</v>
      </c>
      <c r="H48" s="15"/>
      <c r="I48" s="15"/>
      <c r="J48" s="15" t="s">
        <v>632</v>
      </c>
      <c r="K48" s="15" t="s">
        <v>803</v>
      </c>
      <c r="L48" s="15" t="s">
        <v>633</v>
      </c>
    </row>
    <row r="49" s="1" customFormat="1" spans="1:12">
      <c r="A49" s="33"/>
      <c r="B49" s="13" t="s">
        <v>730</v>
      </c>
      <c r="C49" s="13" t="s">
        <v>338</v>
      </c>
      <c r="D49" s="10" t="s">
        <v>731</v>
      </c>
      <c r="E49" s="25" t="s">
        <v>266</v>
      </c>
      <c r="F49" s="26"/>
      <c r="G49" s="26" t="s">
        <v>2407</v>
      </c>
      <c r="H49" s="15"/>
      <c r="I49" s="15"/>
      <c r="J49" s="15" t="s">
        <v>632</v>
      </c>
      <c r="K49" s="15" t="s">
        <v>404</v>
      </c>
      <c r="L49" s="15" t="s">
        <v>633</v>
      </c>
    </row>
    <row r="50" s="1" customFormat="1" spans="1:12">
      <c r="A50" s="33"/>
      <c r="B50" s="13" t="s">
        <v>1091</v>
      </c>
      <c r="C50" s="13" t="s">
        <v>338</v>
      </c>
      <c r="D50" s="10" t="s">
        <v>1092</v>
      </c>
      <c r="E50" s="25" t="s">
        <v>266</v>
      </c>
      <c r="F50" s="26"/>
      <c r="G50" s="26" t="s">
        <v>1835</v>
      </c>
      <c r="H50" s="15"/>
      <c r="I50" s="15"/>
      <c r="J50" s="15" t="s">
        <v>632</v>
      </c>
      <c r="K50" s="15" t="s">
        <v>803</v>
      </c>
      <c r="L50" s="15" t="s">
        <v>633</v>
      </c>
    </row>
    <row r="51" s="1" customFormat="1" spans="1:12">
      <c r="A51" s="33"/>
      <c r="B51" s="13" t="s">
        <v>1093</v>
      </c>
      <c r="C51" s="13" t="s">
        <v>338</v>
      </c>
      <c r="D51" s="10" t="s">
        <v>1094</v>
      </c>
      <c r="E51" s="25" t="s">
        <v>266</v>
      </c>
      <c r="F51" s="26"/>
      <c r="G51" s="26" t="s">
        <v>1836</v>
      </c>
      <c r="H51" s="15"/>
      <c r="I51" s="15"/>
      <c r="J51" s="15" t="s">
        <v>632</v>
      </c>
      <c r="K51" s="15" t="s">
        <v>803</v>
      </c>
      <c r="L51" s="15" t="s">
        <v>633</v>
      </c>
    </row>
    <row r="52" s="1" customFormat="1" spans="1:12">
      <c r="A52" s="33"/>
      <c r="B52" s="13" t="s">
        <v>1095</v>
      </c>
      <c r="C52" s="13" t="s">
        <v>338</v>
      </c>
      <c r="D52" s="10" t="s">
        <v>1096</v>
      </c>
      <c r="E52" s="25" t="s">
        <v>266</v>
      </c>
      <c r="F52" s="26"/>
      <c r="G52" s="26" t="s">
        <v>1837</v>
      </c>
      <c r="H52" s="15"/>
      <c r="I52" s="15"/>
      <c r="J52" s="15" t="s">
        <v>632</v>
      </c>
      <c r="K52" s="15" t="s">
        <v>803</v>
      </c>
      <c r="L52" s="15" t="s">
        <v>633</v>
      </c>
    </row>
    <row r="53" s="1" customFormat="1" spans="1:12">
      <c r="A53" s="33"/>
      <c r="B53" s="13" t="s">
        <v>1097</v>
      </c>
      <c r="C53" s="13" t="s">
        <v>338</v>
      </c>
      <c r="D53" s="10" t="s">
        <v>1098</v>
      </c>
      <c r="E53" s="25" t="s">
        <v>266</v>
      </c>
      <c r="F53" s="26"/>
      <c r="G53" s="26" t="s">
        <v>1838</v>
      </c>
      <c r="H53" s="15"/>
      <c r="I53" s="15"/>
      <c r="J53" s="15" t="s">
        <v>632</v>
      </c>
      <c r="K53" s="15" t="s">
        <v>803</v>
      </c>
      <c r="L53" s="15" t="s">
        <v>633</v>
      </c>
    </row>
    <row r="54" s="1" customFormat="1" spans="1:12">
      <c r="A54" s="33"/>
      <c r="B54" s="13" t="s">
        <v>1099</v>
      </c>
      <c r="C54" s="13" t="s">
        <v>338</v>
      </c>
      <c r="D54" s="10" t="s">
        <v>1100</v>
      </c>
      <c r="E54" s="25" t="s">
        <v>266</v>
      </c>
      <c r="F54" s="26"/>
      <c r="G54" s="26" t="s">
        <v>1839</v>
      </c>
      <c r="H54" s="15"/>
      <c r="I54" s="15"/>
      <c r="J54" s="15" t="s">
        <v>632</v>
      </c>
      <c r="K54" s="15" t="s">
        <v>803</v>
      </c>
      <c r="L54" s="15" t="s">
        <v>633</v>
      </c>
    </row>
    <row r="55" s="1" customFormat="1" spans="1:12">
      <c r="A55" s="33"/>
      <c r="B55" s="13" t="s">
        <v>751</v>
      </c>
      <c r="C55" s="13" t="s">
        <v>338</v>
      </c>
      <c r="D55" s="10" t="s">
        <v>752</v>
      </c>
      <c r="E55" s="25" t="s">
        <v>266</v>
      </c>
      <c r="F55" s="26"/>
      <c r="G55" s="26" t="s">
        <v>2408</v>
      </c>
      <c r="H55" s="15"/>
      <c r="I55" s="15"/>
      <c r="J55" s="15" t="s">
        <v>632</v>
      </c>
      <c r="K55" s="15" t="s">
        <v>404</v>
      </c>
      <c r="L55" s="15" t="s">
        <v>633</v>
      </c>
    </row>
    <row r="56" s="1" customFormat="1" spans="1:12">
      <c r="A56" s="33"/>
      <c r="B56" s="13" t="s">
        <v>1104</v>
      </c>
      <c r="C56" s="13" t="s">
        <v>338</v>
      </c>
      <c r="D56" s="10" t="s">
        <v>1105</v>
      </c>
      <c r="E56" s="25" t="s">
        <v>266</v>
      </c>
      <c r="F56" s="26"/>
      <c r="G56" s="26" t="s">
        <v>1841</v>
      </c>
      <c r="H56" s="15"/>
      <c r="I56" s="15"/>
      <c r="J56" s="15" t="s">
        <v>632</v>
      </c>
      <c r="K56" s="15" t="s">
        <v>803</v>
      </c>
      <c r="L56" s="15" t="s">
        <v>633</v>
      </c>
    </row>
    <row r="57" s="1" customFormat="1" spans="1:12">
      <c r="A57" s="33"/>
      <c r="B57" s="13" t="s">
        <v>1106</v>
      </c>
      <c r="C57" s="13" t="s">
        <v>338</v>
      </c>
      <c r="D57" s="10" t="s">
        <v>1107</v>
      </c>
      <c r="E57" s="25" t="s">
        <v>266</v>
      </c>
      <c r="F57" s="26"/>
      <c r="G57" s="26" t="s">
        <v>1842</v>
      </c>
      <c r="H57" s="15"/>
      <c r="I57" s="15"/>
      <c r="J57" s="15" t="s">
        <v>632</v>
      </c>
      <c r="K57" s="15" t="s">
        <v>803</v>
      </c>
      <c r="L57" s="15" t="s">
        <v>633</v>
      </c>
    </row>
    <row r="58" s="1" customFormat="1" spans="1:12">
      <c r="A58" s="33"/>
      <c r="B58" s="13" t="s">
        <v>1108</v>
      </c>
      <c r="C58" s="13" t="s">
        <v>338</v>
      </c>
      <c r="D58" s="10" t="s">
        <v>1109</v>
      </c>
      <c r="E58" s="25" t="s">
        <v>266</v>
      </c>
      <c r="F58" s="26"/>
      <c r="G58" s="26" t="s">
        <v>1843</v>
      </c>
      <c r="H58" s="15"/>
      <c r="I58" s="15"/>
      <c r="J58" s="15" t="s">
        <v>632</v>
      </c>
      <c r="K58" s="15" t="s">
        <v>803</v>
      </c>
      <c r="L58" s="15" t="s">
        <v>633</v>
      </c>
    </row>
    <row r="59" s="1" customFormat="1" spans="1:12">
      <c r="A59" s="33"/>
      <c r="B59" s="13" t="s">
        <v>1110</v>
      </c>
      <c r="C59" s="13" t="s">
        <v>338</v>
      </c>
      <c r="D59" s="10" t="s">
        <v>1111</v>
      </c>
      <c r="E59" s="25" t="s">
        <v>266</v>
      </c>
      <c r="F59" s="26"/>
      <c r="G59" s="26" t="s">
        <v>1844</v>
      </c>
      <c r="H59" s="15"/>
      <c r="I59" s="15"/>
      <c r="J59" s="15" t="s">
        <v>632</v>
      </c>
      <c r="K59" s="15" t="s">
        <v>803</v>
      </c>
      <c r="L59" s="15" t="s">
        <v>633</v>
      </c>
    </row>
    <row r="60" s="1" customFormat="1" spans="1:12">
      <c r="A60" s="33"/>
      <c r="B60" s="13" t="s">
        <v>1112</v>
      </c>
      <c r="C60" s="13" t="s">
        <v>338</v>
      </c>
      <c r="D60" s="10" t="s">
        <v>1113</v>
      </c>
      <c r="E60" s="25" t="s">
        <v>266</v>
      </c>
      <c r="F60" s="26"/>
      <c r="G60" s="26" t="s">
        <v>1845</v>
      </c>
      <c r="H60" s="15"/>
      <c r="I60" s="15"/>
      <c r="J60" s="15" t="s">
        <v>632</v>
      </c>
      <c r="K60" s="15" t="s">
        <v>803</v>
      </c>
      <c r="L60" s="15" t="s">
        <v>633</v>
      </c>
    </row>
    <row r="61" s="1" customFormat="1" spans="1:12">
      <c r="A61" s="33"/>
      <c r="B61" s="13" t="s">
        <v>772</v>
      </c>
      <c r="C61" s="13" t="s">
        <v>338</v>
      </c>
      <c r="D61" s="10" t="s">
        <v>1813</v>
      </c>
      <c r="E61" s="25" t="s">
        <v>266</v>
      </c>
      <c r="F61" s="26"/>
      <c r="G61" s="26" t="s">
        <v>2409</v>
      </c>
      <c r="H61" s="15"/>
      <c r="I61" s="15"/>
      <c r="J61" s="15" t="s">
        <v>632</v>
      </c>
      <c r="K61" s="15" t="s">
        <v>404</v>
      </c>
      <c r="L61" s="15" t="s">
        <v>633</v>
      </c>
    </row>
    <row r="62" s="1" customFormat="1" spans="1:12">
      <c r="A62" s="33"/>
      <c r="B62" s="13" t="s">
        <v>1279</v>
      </c>
      <c r="C62" s="13" t="s">
        <v>338</v>
      </c>
      <c r="D62" s="10" t="s">
        <v>1814</v>
      </c>
      <c r="E62" s="25" t="s">
        <v>266</v>
      </c>
      <c r="F62" s="26"/>
      <c r="G62" s="26" t="s">
        <v>1847</v>
      </c>
      <c r="H62" s="15"/>
      <c r="I62" s="15"/>
      <c r="J62" s="15" t="s">
        <v>632</v>
      </c>
      <c r="K62" s="15" t="s">
        <v>803</v>
      </c>
      <c r="L62" s="15" t="s">
        <v>633</v>
      </c>
    </row>
    <row r="63" s="1" customFormat="1" spans="1:12">
      <c r="A63" s="33"/>
      <c r="B63" s="13" t="s">
        <v>1280</v>
      </c>
      <c r="C63" s="13" t="s">
        <v>338</v>
      </c>
      <c r="D63" s="10" t="s">
        <v>1815</v>
      </c>
      <c r="E63" s="25" t="s">
        <v>266</v>
      </c>
      <c r="F63" s="26"/>
      <c r="G63" s="26" t="s">
        <v>1848</v>
      </c>
      <c r="H63" s="15"/>
      <c r="I63" s="15"/>
      <c r="J63" s="15" t="s">
        <v>632</v>
      </c>
      <c r="K63" s="15" t="s">
        <v>803</v>
      </c>
      <c r="L63" s="15" t="s">
        <v>633</v>
      </c>
    </row>
    <row r="64" s="1" customFormat="1" spans="1:12">
      <c r="A64" s="33"/>
      <c r="B64" s="13" t="s">
        <v>1281</v>
      </c>
      <c r="C64" s="13" t="s">
        <v>338</v>
      </c>
      <c r="D64" s="10" t="s">
        <v>1816</v>
      </c>
      <c r="E64" s="25" t="s">
        <v>266</v>
      </c>
      <c r="F64" s="26"/>
      <c r="G64" s="26" t="s">
        <v>1849</v>
      </c>
      <c r="H64" s="15"/>
      <c r="I64" s="15"/>
      <c r="J64" s="15" t="s">
        <v>632</v>
      </c>
      <c r="K64" s="15" t="s">
        <v>803</v>
      </c>
      <c r="L64" s="15" t="s">
        <v>633</v>
      </c>
    </row>
    <row r="65" s="1" customFormat="1" spans="1:12">
      <c r="A65" s="33"/>
      <c r="B65" s="13" t="s">
        <v>1282</v>
      </c>
      <c r="C65" s="13" t="s">
        <v>338</v>
      </c>
      <c r="D65" s="10" t="s">
        <v>1817</v>
      </c>
      <c r="E65" s="25" t="s">
        <v>266</v>
      </c>
      <c r="F65" s="26"/>
      <c r="G65" s="26" t="s">
        <v>1850</v>
      </c>
      <c r="H65" s="15"/>
      <c r="I65" s="15"/>
      <c r="J65" s="15" t="s">
        <v>632</v>
      </c>
      <c r="K65" s="15" t="s">
        <v>803</v>
      </c>
      <c r="L65" s="15" t="s">
        <v>633</v>
      </c>
    </row>
    <row r="66" s="1" customFormat="1" spans="1:12">
      <c r="A66" s="33"/>
      <c r="B66" s="13" t="s">
        <v>1283</v>
      </c>
      <c r="C66" s="13" t="s">
        <v>338</v>
      </c>
      <c r="D66" s="10" t="s">
        <v>1818</v>
      </c>
      <c r="E66" s="25" t="s">
        <v>266</v>
      </c>
      <c r="F66" s="26"/>
      <c r="G66" s="26" t="s">
        <v>1851</v>
      </c>
      <c r="H66" s="15"/>
      <c r="I66" s="15"/>
      <c r="J66" s="15" t="s">
        <v>632</v>
      </c>
      <c r="K66" s="15" t="s">
        <v>803</v>
      </c>
      <c r="L66" s="15" t="s">
        <v>633</v>
      </c>
    </row>
    <row r="67" s="1" customFormat="1" spans="1:12">
      <c r="A67" s="33"/>
      <c r="B67" s="13" t="s">
        <v>2030</v>
      </c>
      <c r="C67" s="13" t="s">
        <v>338</v>
      </c>
      <c r="D67" s="10" t="s">
        <v>2031</v>
      </c>
      <c r="E67" s="25" t="s">
        <v>266</v>
      </c>
      <c r="F67" s="26"/>
      <c r="G67" s="26" t="s">
        <v>2410</v>
      </c>
      <c r="H67" s="15"/>
      <c r="I67" s="15"/>
      <c r="J67" s="15" t="s">
        <v>632</v>
      </c>
      <c r="K67" s="15" t="s">
        <v>803</v>
      </c>
      <c r="L67" s="15" t="s">
        <v>633</v>
      </c>
    </row>
    <row r="68" s="1" customFormat="1" spans="1:12">
      <c r="A68" s="33"/>
      <c r="B68" s="13" t="s">
        <v>2033</v>
      </c>
      <c r="C68" s="13" t="s">
        <v>338</v>
      </c>
      <c r="D68" s="10" t="s">
        <v>2034</v>
      </c>
      <c r="E68" s="25" t="s">
        <v>266</v>
      </c>
      <c r="F68" s="26"/>
      <c r="G68" s="26" t="s">
        <v>2168</v>
      </c>
      <c r="H68" s="15"/>
      <c r="I68" s="15"/>
      <c r="J68" s="15" t="s">
        <v>632</v>
      </c>
      <c r="K68" s="15" t="s">
        <v>803</v>
      </c>
      <c r="L68" s="15" t="s">
        <v>633</v>
      </c>
    </row>
    <row r="69" s="1" customFormat="1" spans="1:12">
      <c r="A69" s="33"/>
      <c r="B69" s="13" t="s">
        <v>2036</v>
      </c>
      <c r="C69" s="13" t="s">
        <v>338</v>
      </c>
      <c r="D69" s="10" t="s">
        <v>2037</v>
      </c>
      <c r="E69" s="25" t="s">
        <v>266</v>
      </c>
      <c r="F69" s="26"/>
      <c r="G69" s="26" t="s">
        <v>2169</v>
      </c>
      <c r="H69" s="15"/>
      <c r="I69" s="15"/>
      <c r="J69" s="15" t="s">
        <v>632</v>
      </c>
      <c r="K69" s="15" t="s">
        <v>803</v>
      </c>
      <c r="L69" s="15" t="s">
        <v>633</v>
      </c>
    </row>
    <row r="70" s="1" customFormat="1" spans="1:12">
      <c r="A70" s="33"/>
      <c r="B70" s="13" t="s">
        <v>2039</v>
      </c>
      <c r="C70" s="13" t="s">
        <v>338</v>
      </c>
      <c r="D70" s="10" t="s">
        <v>2040</v>
      </c>
      <c r="E70" s="25" t="s">
        <v>266</v>
      </c>
      <c r="F70" s="26"/>
      <c r="G70" s="26" t="s">
        <v>2170</v>
      </c>
      <c r="H70" s="15"/>
      <c r="I70" s="15"/>
      <c r="J70" s="15" t="s">
        <v>632</v>
      </c>
      <c r="K70" s="15" t="s">
        <v>803</v>
      </c>
      <c r="L70" s="15" t="s">
        <v>633</v>
      </c>
    </row>
    <row r="71" s="1" customFormat="1" spans="1:12">
      <c r="A71" s="33"/>
      <c r="B71" s="13" t="s">
        <v>2042</v>
      </c>
      <c r="C71" s="13" t="s">
        <v>338</v>
      </c>
      <c r="D71" s="10" t="s">
        <v>2043</v>
      </c>
      <c r="E71" s="25" t="s">
        <v>266</v>
      </c>
      <c r="F71" s="26"/>
      <c r="G71" s="26" t="s">
        <v>2171</v>
      </c>
      <c r="H71" s="15"/>
      <c r="I71" s="15"/>
      <c r="J71" s="15" t="s">
        <v>632</v>
      </c>
      <c r="K71" s="15" t="s">
        <v>803</v>
      </c>
      <c r="L71" s="15" t="s">
        <v>633</v>
      </c>
    </row>
    <row r="72" s="1" customFormat="1" spans="1:12">
      <c r="A72" s="33"/>
      <c r="B72" s="13" t="s">
        <v>2045</v>
      </c>
      <c r="C72" s="13" t="s">
        <v>338</v>
      </c>
      <c r="D72" s="10" t="s">
        <v>2046</v>
      </c>
      <c r="E72" s="25" t="s">
        <v>266</v>
      </c>
      <c r="F72" s="26"/>
      <c r="G72" s="26" t="s">
        <v>2172</v>
      </c>
      <c r="H72" s="15"/>
      <c r="I72" s="15"/>
      <c r="J72" s="15" t="s">
        <v>632</v>
      </c>
      <c r="K72" s="15" t="s">
        <v>803</v>
      </c>
      <c r="L72" s="15" t="s">
        <v>633</v>
      </c>
    </row>
    <row r="73" s="1" customFormat="1" spans="1:12">
      <c r="A73" s="33"/>
      <c r="B73" s="13" t="s">
        <v>2089</v>
      </c>
      <c r="C73" s="13" t="s">
        <v>338</v>
      </c>
      <c r="D73" s="10" t="s">
        <v>2090</v>
      </c>
      <c r="E73" s="25" t="s">
        <v>266</v>
      </c>
      <c r="F73" s="26"/>
      <c r="G73" s="26" t="s">
        <v>2411</v>
      </c>
      <c r="H73" s="15"/>
      <c r="I73" s="15"/>
      <c r="J73" s="15" t="s">
        <v>632</v>
      </c>
      <c r="K73" s="15" t="s">
        <v>669</v>
      </c>
      <c r="L73" s="15" t="s">
        <v>670</v>
      </c>
    </row>
    <row r="74" s="1" customFormat="1" spans="1:12">
      <c r="A74" s="33"/>
      <c r="B74" s="13" t="s">
        <v>2092</v>
      </c>
      <c r="C74" s="13" t="s">
        <v>338</v>
      </c>
      <c r="D74" s="10" t="s">
        <v>2354</v>
      </c>
      <c r="E74" s="25" t="s">
        <v>266</v>
      </c>
      <c r="F74" s="26"/>
      <c r="G74" s="26" t="s">
        <v>2187</v>
      </c>
      <c r="H74" s="15"/>
      <c r="I74" s="15"/>
      <c r="J74" s="15" t="s">
        <v>632</v>
      </c>
      <c r="K74" s="15" t="s">
        <v>803</v>
      </c>
      <c r="L74" s="15" t="s">
        <v>633</v>
      </c>
    </row>
    <row r="75" s="1" customFormat="1" spans="1:12">
      <c r="A75" s="33"/>
      <c r="B75" s="13" t="s">
        <v>2095</v>
      </c>
      <c r="C75" s="13" t="s">
        <v>338</v>
      </c>
      <c r="D75" s="10" t="s">
        <v>2357</v>
      </c>
      <c r="E75" s="25" t="s">
        <v>266</v>
      </c>
      <c r="F75" s="26"/>
      <c r="G75" s="26" t="s">
        <v>2188</v>
      </c>
      <c r="H75" s="15"/>
      <c r="I75" s="15"/>
      <c r="J75" s="15" t="s">
        <v>632</v>
      </c>
      <c r="K75" s="15" t="s">
        <v>803</v>
      </c>
      <c r="L75" s="15" t="s">
        <v>633</v>
      </c>
    </row>
    <row r="76" s="1" customFormat="1" spans="1:12">
      <c r="A76" s="33"/>
      <c r="B76" s="13" t="s">
        <v>2098</v>
      </c>
      <c r="C76" s="13" t="s">
        <v>338</v>
      </c>
      <c r="D76" s="10" t="s">
        <v>2360</v>
      </c>
      <c r="E76" s="25" t="s">
        <v>266</v>
      </c>
      <c r="F76" s="26"/>
      <c r="G76" s="26" t="s">
        <v>2189</v>
      </c>
      <c r="H76" s="15"/>
      <c r="I76" s="15"/>
      <c r="J76" s="15" t="s">
        <v>632</v>
      </c>
      <c r="K76" s="15" t="s">
        <v>803</v>
      </c>
      <c r="L76" s="15" t="s">
        <v>633</v>
      </c>
    </row>
    <row r="77" s="1" customFormat="1" spans="1:12">
      <c r="A77" s="33"/>
      <c r="B77" s="13" t="s">
        <v>2101</v>
      </c>
      <c r="C77" s="13" t="s">
        <v>338</v>
      </c>
      <c r="D77" s="10" t="s">
        <v>2363</v>
      </c>
      <c r="E77" s="25" t="s">
        <v>266</v>
      </c>
      <c r="F77" s="26"/>
      <c r="G77" s="26" t="s">
        <v>2190</v>
      </c>
      <c r="H77" s="15"/>
      <c r="I77" s="15"/>
      <c r="J77" s="15" t="s">
        <v>632</v>
      </c>
      <c r="K77" s="15" t="s">
        <v>803</v>
      </c>
      <c r="L77" s="15" t="s">
        <v>633</v>
      </c>
    </row>
    <row r="78" s="1" customFormat="1" spans="1:12">
      <c r="A78" s="33"/>
      <c r="B78" s="13" t="s">
        <v>2104</v>
      </c>
      <c r="C78" s="13" t="s">
        <v>338</v>
      </c>
      <c r="D78" s="10" t="s">
        <v>2366</v>
      </c>
      <c r="E78" s="25" t="s">
        <v>266</v>
      </c>
      <c r="F78" s="26"/>
      <c r="G78" s="26" t="s">
        <v>2191</v>
      </c>
      <c r="H78" s="15"/>
      <c r="I78" s="15"/>
      <c r="J78" s="15" t="s">
        <v>632</v>
      </c>
      <c r="K78" s="15" t="s">
        <v>803</v>
      </c>
      <c r="L78" s="15" t="s">
        <v>633</v>
      </c>
    </row>
    <row r="79" s="1" customFormat="1" spans="1:12">
      <c r="A79" s="33"/>
      <c r="B79" s="13" t="s">
        <v>2391</v>
      </c>
      <c r="C79" s="13" t="s">
        <v>338</v>
      </c>
      <c r="D79" s="10" t="s">
        <v>2392</v>
      </c>
      <c r="E79" s="25" t="s">
        <v>266</v>
      </c>
      <c r="F79" s="26"/>
      <c r="G79" s="26" t="s">
        <v>2412</v>
      </c>
      <c r="H79" s="15"/>
      <c r="I79" s="15"/>
      <c r="J79" s="15" t="s">
        <v>632</v>
      </c>
      <c r="K79" s="15" t="s">
        <v>1902</v>
      </c>
      <c r="L79" s="15" t="s">
        <v>633</v>
      </c>
    </row>
    <row r="80" s="1" customFormat="1" spans="1:12">
      <c r="A80" s="33"/>
      <c r="B80" s="13" t="s">
        <v>2393</v>
      </c>
      <c r="C80" s="13" t="s">
        <v>338</v>
      </c>
      <c r="D80" s="10" t="s">
        <v>2394</v>
      </c>
      <c r="E80" s="25" t="s">
        <v>266</v>
      </c>
      <c r="F80" s="26"/>
      <c r="G80" s="26" t="s">
        <v>2413</v>
      </c>
      <c r="H80" s="15"/>
      <c r="I80" s="15"/>
      <c r="J80" s="15" t="s">
        <v>632</v>
      </c>
      <c r="K80" s="15" t="s">
        <v>803</v>
      </c>
      <c r="L80" s="15" t="s">
        <v>2390</v>
      </c>
    </row>
    <row r="81" s="1" customFormat="1" spans="1:12">
      <c r="A81" s="33"/>
      <c r="B81" s="13" t="s">
        <v>2395</v>
      </c>
      <c r="C81" s="13" t="s">
        <v>338</v>
      </c>
      <c r="D81" s="10" t="s">
        <v>2396</v>
      </c>
      <c r="E81" s="25" t="s">
        <v>266</v>
      </c>
      <c r="F81" s="26"/>
      <c r="G81" s="26" t="s">
        <v>2414</v>
      </c>
      <c r="H81" s="15"/>
      <c r="I81" s="15"/>
      <c r="J81" s="15" t="s">
        <v>632</v>
      </c>
      <c r="K81" s="15" t="s">
        <v>803</v>
      </c>
      <c r="L81" s="15" t="s">
        <v>2390</v>
      </c>
    </row>
    <row r="82" s="1" customFormat="1" spans="1:12">
      <c r="A82" s="33"/>
      <c r="B82" s="13" t="s">
        <v>2397</v>
      </c>
      <c r="C82" s="13" t="s">
        <v>338</v>
      </c>
      <c r="D82" s="10" t="s">
        <v>2398</v>
      </c>
      <c r="E82" s="25" t="s">
        <v>266</v>
      </c>
      <c r="F82" s="26"/>
      <c r="G82" s="26" t="s">
        <v>2415</v>
      </c>
      <c r="H82" s="15"/>
      <c r="I82" s="15"/>
      <c r="J82" s="15" t="s">
        <v>632</v>
      </c>
      <c r="K82" s="15" t="s">
        <v>803</v>
      </c>
      <c r="L82" s="15" t="s">
        <v>2390</v>
      </c>
    </row>
    <row r="83" s="1" customFormat="1" spans="1:12">
      <c r="A83" s="33"/>
      <c r="B83" s="13" t="s">
        <v>2399</v>
      </c>
      <c r="C83" s="13" t="s">
        <v>338</v>
      </c>
      <c r="D83" s="10" t="s">
        <v>2400</v>
      </c>
      <c r="E83" s="25" t="s">
        <v>266</v>
      </c>
      <c r="F83" s="26"/>
      <c r="G83" s="26" t="s">
        <v>2416</v>
      </c>
      <c r="H83" s="15"/>
      <c r="I83" s="15"/>
      <c r="J83" s="15" t="s">
        <v>632</v>
      </c>
      <c r="K83" s="15" t="s">
        <v>803</v>
      </c>
      <c r="L83" s="15" t="s">
        <v>2390</v>
      </c>
    </row>
    <row r="84" s="1" customFormat="1" spans="1:12">
      <c r="A84" s="33"/>
      <c r="B84" s="13" t="s">
        <v>2401</v>
      </c>
      <c r="C84" s="13" t="s">
        <v>338</v>
      </c>
      <c r="D84" s="10" t="s">
        <v>2402</v>
      </c>
      <c r="E84" s="25" t="s">
        <v>266</v>
      </c>
      <c r="F84" s="26"/>
      <c r="G84" s="26" t="s">
        <v>2417</v>
      </c>
      <c r="H84" s="15"/>
      <c r="I84" s="15"/>
      <c r="J84" s="15" t="s">
        <v>632</v>
      </c>
      <c r="K84" s="15" t="s">
        <v>803</v>
      </c>
      <c r="L84" s="15" t="s">
        <v>2390</v>
      </c>
    </row>
    <row r="85" s="2" customFormat="1" spans="2:17">
      <c r="B85" s="17" t="s">
        <v>594</v>
      </c>
      <c r="C85" s="18" t="s">
        <v>307</v>
      </c>
      <c r="D85" s="18" t="s">
        <v>595</v>
      </c>
      <c r="E85" s="28" t="s">
        <v>932</v>
      </c>
      <c r="F85" s="28"/>
      <c r="G85" s="28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s="2" customFormat="1" spans="2:17">
      <c r="B86" s="17" t="s">
        <v>596</v>
      </c>
      <c r="C86" s="18" t="s">
        <v>291</v>
      </c>
      <c r="D86" s="18" t="s">
        <v>597</v>
      </c>
      <c r="E86" s="28" t="s">
        <v>932</v>
      </c>
      <c r="F86" s="28"/>
      <c r="G86" s="28" t="s">
        <v>932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</row>
  </sheetData>
  <autoFilter xmlns:etc="http://www.wps.cn/officeDocument/2017/etCustomData" ref="A12:Q86" etc:filterBottomFollowUsedRange="0">
    <extLst/>
  </autoFilter>
  <mergeCells count="4">
    <mergeCell ref="B2:H2"/>
    <mergeCell ref="B3:H3"/>
    <mergeCell ref="B7:H7"/>
    <mergeCell ref="B11:L11"/>
  </mergeCells>
  <pageMargins left="0.7" right="0.7" top="0.75" bottom="0.75" header="0.3" footer="0.3"/>
  <pageSetup paperSize="9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3"/>
  <sheetViews>
    <sheetView zoomScale="85" zoomScaleNormal="85" workbookViewId="0">
      <pane ySplit="5" topLeftCell="A12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3.775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3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2418</v>
      </c>
      <c r="C5" s="10" t="s">
        <v>239</v>
      </c>
      <c r="D5" s="14" t="s">
        <v>240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13.2" customHeight="1" spans="2:8">
      <c r="B9" s="13"/>
      <c r="C9" s="10" t="s">
        <v>2419</v>
      </c>
      <c r="D9" s="14" t="s">
        <v>2420</v>
      </c>
      <c r="E9" s="13" t="s">
        <v>266</v>
      </c>
      <c r="F9" s="24"/>
      <c r="G9" s="32" t="s">
        <v>2421</v>
      </c>
      <c r="H9" s="23" t="s">
        <v>44</v>
      </c>
    </row>
    <row r="10" spans="2:8">
      <c r="B10" s="13"/>
      <c r="C10" s="10" t="s">
        <v>2422</v>
      </c>
      <c r="D10" s="14" t="s">
        <v>2423</v>
      </c>
      <c r="E10" s="13" t="s">
        <v>269</v>
      </c>
      <c r="F10" s="24"/>
      <c r="G10" s="32"/>
      <c r="H10" s="23" t="s">
        <v>44</v>
      </c>
    </row>
    <row r="11" spans="2:8">
      <c r="B11" s="13"/>
      <c r="C11" s="10" t="s">
        <v>2424</v>
      </c>
      <c r="D11" s="10" t="s">
        <v>2425</v>
      </c>
      <c r="E11" s="13" t="s">
        <v>273</v>
      </c>
      <c r="F11" s="24"/>
      <c r="G11" s="32"/>
      <c r="H11" s="23"/>
    </row>
    <row r="12" spans="2:8">
      <c r="B12" s="13"/>
      <c r="C12" s="10" t="s">
        <v>2426</v>
      </c>
      <c r="D12" s="14" t="s">
        <v>2427</v>
      </c>
      <c r="E12" s="13" t="s">
        <v>277</v>
      </c>
      <c r="F12" s="24"/>
      <c r="G12" s="32"/>
      <c r="H12" s="14"/>
    </row>
    <row r="13" spans="2:8">
      <c r="B13" s="13"/>
      <c r="C13" s="10" t="s">
        <v>73</v>
      </c>
      <c r="D13" s="14" t="s">
        <v>74</v>
      </c>
      <c r="E13" s="13" t="s">
        <v>2428</v>
      </c>
      <c r="F13" s="24"/>
      <c r="G13" s="32"/>
      <c r="H13" s="23"/>
    </row>
    <row r="14" spans="2:8">
      <c r="B14" s="13"/>
      <c r="C14" s="10" t="s">
        <v>2429</v>
      </c>
      <c r="D14" s="14" t="s">
        <v>2430</v>
      </c>
      <c r="E14" s="13" t="s">
        <v>2431</v>
      </c>
      <c r="F14" s="24"/>
      <c r="G14" s="32"/>
      <c r="H14" s="23"/>
    </row>
    <row r="15" spans="2:8">
      <c r="B15" s="13"/>
      <c r="C15" s="10" t="s">
        <v>209</v>
      </c>
      <c r="D15" s="14" t="s">
        <v>210</v>
      </c>
      <c r="E15" s="13" t="s">
        <v>2432</v>
      </c>
      <c r="F15" s="24"/>
      <c r="G15" s="32"/>
      <c r="H15" s="23"/>
    </row>
    <row r="16" spans="2:8">
      <c r="B16" s="13"/>
      <c r="C16" s="10" t="s">
        <v>2433</v>
      </c>
      <c r="D16" s="14" t="s">
        <v>2434</v>
      </c>
      <c r="E16" s="13" t="s">
        <v>2435</v>
      </c>
      <c r="F16" s="24"/>
      <c r="G16" s="32"/>
      <c r="H16" s="23"/>
    </row>
    <row r="17" spans="2:2">
      <c r="B17" s="3" t="s">
        <v>279</v>
      </c>
    </row>
    <row r="18" ht="13.5" spans="2:12">
      <c r="B18" s="7" t="s">
        <v>279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3.5" spans="2:12">
      <c r="B19" s="8" t="s">
        <v>280</v>
      </c>
      <c r="C19" s="8" t="s">
        <v>281</v>
      </c>
      <c r="D19" s="8" t="s">
        <v>282</v>
      </c>
      <c r="E19" s="8" t="s">
        <v>283</v>
      </c>
      <c r="F19" s="12" t="s">
        <v>284</v>
      </c>
      <c r="G19" s="12" t="s">
        <v>285</v>
      </c>
      <c r="H19" s="8" t="s">
        <v>286</v>
      </c>
      <c r="I19" s="8" t="s">
        <v>17</v>
      </c>
      <c r="J19" s="8" t="s">
        <v>287</v>
      </c>
      <c r="K19" s="8" t="s">
        <v>288</v>
      </c>
      <c r="L19" s="8" t="s">
        <v>289</v>
      </c>
    </row>
    <row r="20" s="1" customFormat="1" spans="2:12">
      <c r="B20" s="15" t="s">
        <v>2436</v>
      </c>
      <c r="C20" s="15" t="s">
        <v>307</v>
      </c>
      <c r="D20" s="15" t="s">
        <v>614</v>
      </c>
      <c r="E20" s="25" t="s">
        <v>269</v>
      </c>
      <c r="F20" s="26" t="s">
        <v>594</v>
      </c>
      <c r="G20" s="24" t="s">
        <v>293</v>
      </c>
      <c r="H20" s="27"/>
      <c r="I20" s="15"/>
      <c r="J20" s="15" t="s">
        <v>604</v>
      </c>
      <c r="K20" s="15" t="s">
        <v>294</v>
      </c>
      <c r="L20" s="30" t="s">
        <v>294</v>
      </c>
    </row>
    <row r="21" s="1" customFormat="1" spans="2:12">
      <c r="B21" s="15" t="s">
        <v>2437</v>
      </c>
      <c r="C21" s="15" t="s">
        <v>291</v>
      </c>
      <c r="D21" s="15" t="s">
        <v>523</v>
      </c>
      <c r="E21" s="25" t="s">
        <v>269</v>
      </c>
      <c r="F21" s="26" t="s">
        <v>522</v>
      </c>
      <c r="G21" s="24" t="s">
        <v>293</v>
      </c>
      <c r="H21" s="27"/>
      <c r="I21" s="15"/>
      <c r="J21" s="15" t="s">
        <v>604</v>
      </c>
      <c r="K21" s="15" t="s">
        <v>294</v>
      </c>
      <c r="L21" s="30" t="s">
        <v>294</v>
      </c>
    </row>
    <row r="22" s="1" customFormat="1" spans="2:12">
      <c r="B22" s="15" t="s">
        <v>602</v>
      </c>
      <c r="C22" s="15" t="s">
        <v>291</v>
      </c>
      <c r="D22" s="15" t="s">
        <v>603</v>
      </c>
      <c r="E22" s="25" t="s">
        <v>269</v>
      </c>
      <c r="F22" s="26" t="s">
        <v>596</v>
      </c>
      <c r="G22" s="24" t="s">
        <v>293</v>
      </c>
      <c r="H22" s="27"/>
      <c r="I22" s="15"/>
      <c r="J22" s="15" t="s">
        <v>604</v>
      </c>
      <c r="K22" s="15" t="s">
        <v>294</v>
      </c>
      <c r="L22" s="30" t="s">
        <v>294</v>
      </c>
    </row>
    <row r="23" s="1" customFormat="1" spans="2:12">
      <c r="B23" s="15" t="s">
        <v>2438</v>
      </c>
      <c r="C23" s="15" t="s">
        <v>291</v>
      </c>
      <c r="D23" s="15" t="s">
        <v>2439</v>
      </c>
      <c r="E23" s="25" t="s">
        <v>269</v>
      </c>
      <c r="F23" s="26" t="s">
        <v>2438</v>
      </c>
      <c r="G23" s="24" t="s">
        <v>293</v>
      </c>
      <c r="H23" s="27"/>
      <c r="I23" s="15"/>
      <c r="J23" s="15" t="s">
        <v>604</v>
      </c>
      <c r="K23" s="15" t="s">
        <v>294</v>
      </c>
      <c r="L23" s="30" t="s">
        <v>294</v>
      </c>
    </row>
    <row r="24" s="1" customFormat="1" spans="2:12">
      <c r="B24" s="15" t="s">
        <v>2440</v>
      </c>
      <c r="C24" s="15" t="s">
        <v>291</v>
      </c>
      <c r="D24" s="15" t="s">
        <v>1793</v>
      </c>
      <c r="E24" s="25" t="s">
        <v>269</v>
      </c>
      <c r="F24" s="26" t="s">
        <v>524</v>
      </c>
      <c r="G24" s="24" t="s">
        <v>293</v>
      </c>
      <c r="H24" s="27"/>
      <c r="I24" s="15"/>
      <c r="J24" s="15" t="s">
        <v>604</v>
      </c>
      <c r="K24" s="15" t="s">
        <v>294</v>
      </c>
      <c r="L24" s="30" t="s">
        <v>294</v>
      </c>
    </row>
    <row r="25" s="1" customFormat="1" spans="2:12">
      <c r="B25" s="15" t="s">
        <v>2441</v>
      </c>
      <c r="C25" s="15" t="s">
        <v>307</v>
      </c>
      <c r="D25" s="15" t="s">
        <v>1792</v>
      </c>
      <c r="E25" s="25" t="s">
        <v>269</v>
      </c>
      <c r="F25" s="26" t="s">
        <v>517</v>
      </c>
      <c r="G25" s="24" t="s">
        <v>293</v>
      </c>
      <c r="H25" s="27"/>
      <c r="I25" s="15"/>
      <c r="J25" s="15" t="s">
        <v>604</v>
      </c>
      <c r="K25" s="15" t="s">
        <v>294</v>
      </c>
      <c r="L25" s="30" t="s">
        <v>294</v>
      </c>
    </row>
    <row r="26" s="1" customFormat="1" spans="2:12">
      <c r="B26" s="15" t="s">
        <v>2442</v>
      </c>
      <c r="C26" s="15" t="s">
        <v>291</v>
      </c>
      <c r="D26" s="15" t="s">
        <v>515</v>
      </c>
      <c r="E26" s="25" t="s">
        <v>266</v>
      </c>
      <c r="F26" s="26"/>
      <c r="G26" s="24" t="s">
        <v>2443</v>
      </c>
      <c r="H26" s="27"/>
      <c r="I26" s="15"/>
      <c r="J26" s="15" t="s">
        <v>604</v>
      </c>
      <c r="K26" s="15" t="s">
        <v>294</v>
      </c>
      <c r="L26" s="30" t="s">
        <v>294</v>
      </c>
    </row>
    <row r="27" s="1" customFormat="1" spans="2:12">
      <c r="B27" s="15" t="s">
        <v>2444</v>
      </c>
      <c r="C27" s="15" t="s">
        <v>291</v>
      </c>
      <c r="D27" s="15" t="s">
        <v>1315</v>
      </c>
      <c r="E27" s="25" t="s">
        <v>269</v>
      </c>
      <c r="F27" s="26"/>
      <c r="G27" s="24" t="s">
        <v>1314</v>
      </c>
      <c r="H27" s="27"/>
      <c r="I27" s="15"/>
      <c r="J27" s="15" t="s">
        <v>604</v>
      </c>
      <c r="K27" s="15" t="s">
        <v>294</v>
      </c>
      <c r="L27" s="30" t="s">
        <v>294</v>
      </c>
    </row>
    <row r="28" s="1" customFormat="1" spans="2:12">
      <c r="B28" s="15" t="s">
        <v>2445</v>
      </c>
      <c r="C28" s="15" t="s">
        <v>307</v>
      </c>
      <c r="D28" s="15" t="s">
        <v>2446</v>
      </c>
      <c r="E28" s="25"/>
      <c r="F28" s="24"/>
      <c r="G28" s="24" t="s">
        <v>2447</v>
      </c>
      <c r="H28" s="27"/>
      <c r="I28" s="15"/>
      <c r="J28" s="15" t="s">
        <v>632</v>
      </c>
      <c r="K28" s="15" t="s">
        <v>294</v>
      </c>
      <c r="L28" s="30">
        <v>1</v>
      </c>
    </row>
    <row r="29" s="1" customFormat="1" spans="2:12">
      <c r="B29" s="15" t="s">
        <v>2448</v>
      </c>
      <c r="C29" s="15" t="s">
        <v>307</v>
      </c>
      <c r="D29" s="15" t="s">
        <v>2449</v>
      </c>
      <c r="E29" s="25"/>
      <c r="F29" s="26"/>
      <c r="G29" s="24" t="s">
        <v>2447</v>
      </c>
      <c r="H29" s="27"/>
      <c r="I29" s="15"/>
      <c r="J29" s="15" t="s">
        <v>632</v>
      </c>
      <c r="K29" s="15" t="s">
        <v>294</v>
      </c>
      <c r="L29" s="30">
        <v>1</v>
      </c>
    </row>
    <row r="30" s="1" customFormat="1" ht="26" spans="2:12">
      <c r="B30" s="15" t="s">
        <v>2450</v>
      </c>
      <c r="C30" s="15" t="s">
        <v>307</v>
      </c>
      <c r="D30" s="15" t="s">
        <v>2451</v>
      </c>
      <c r="E30" s="25" t="s">
        <v>266</v>
      </c>
      <c r="F30" s="26"/>
      <c r="G30" s="24" t="s">
        <v>2452</v>
      </c>
      <c r="H30" s="27"/>
      <c r="I30" s="15"/>
      <c r="J30" s="15" t="s">
        <v>632</v>
      </c>
      <c r="K30" s="15" t="s">
        <v>294</v>
      </c>
      <c r="L30" s="30" t="s">
        <v>626</v>
      </c>
    </row>
    <row r="31" s="1" customFormat="1" ht="26" spans="2:12">
      <c r="B31" s="15" t="s">
        <v>2453</v>
      </c>
      <c r="C31" s="15" t="s">
        <v>307</v>
      </c>
      <c r="D31" s="15" t="s">
        <v>2454</v>
      </c>
      <c r="E31" s="25" t="s">
        <v>266</v>
      </c>
      <c r="F31" s="26"/>
      <c r="G31" s="24" t="s">
        <v>2455</v>
      </c>
      <c r="H31" s="27"/>
      <c r="I31" s="15"/>
      <c r="J31" s="15" t="s">
        <v>632</v>
      </c>
      <c r="K31" s="15" t="s">
        <v>294</v>
      </c>
      <c r="L31" s="30" t="s">
        <v>626</v>
      </c>
    </row>
    <row r="32" s="1" customFormat="1" spans="2:12">
      <c r="B32" s="15" t="s">
        <v>2456</v>
      </c>
      <c r="C32" s="15" t="s">
        <v>307</v>
      </c>
      <c r="D32" s="15" t="s">
        <v>2457</v>
      </c>
      <c r="E32" s="25" t="s">
        <v>273</v>
      </c>
      <c r="F32" s="26"/>
      <c r="G32" s="24" t="s">
        <v>2458</v>
      </c>
      <c r="H32" s="27"/>
      <c r="I32" s="15"/>
      <c r="J32" s="15" t="s">
        <v>632</v>
      </c>
      <c r="K32" s="15" t="s">
        <v>294</v>
      </c>
      <c r="L32" s="30" t="s">
        <v>626</v>
      </c>
    </row>
    <row r="33" s="1" customFormat="1" spans="2:12">
      <c r="B33" s="15" t="s">
        <v>2459</v>
      </c>
      <c r="C33" s="15" t="s">
        <v>307</v>
      </c>
      <c r="D33" s="15" t="s">
        <v>2460</v>
      </c>
      <c r="E33" s="25" t="s">
        <v>277</v>
      </c>
      <c r="F33" s="26"/>
      <c r="G33" s="24" t="s">
        <v>2458</v>
      </c>
      <c r="H33" s="27"/>
      <c r="I33" s="15"/>
      <c r="J33" s="15" t="s">
        <v>632</v>
      </c>
      <c r="K33" s="15" t="s">
        <v>294</v>
      </c>
      <c r="L33" s="30" t="s">
        <v>626</v>
      </c>
    </row>
    <row r="34" s="1" customFormat="1" spans="2:12">
      <c r="B34" s="15" t="s">
        <v>2461</v>
      </c>
      <c r="C34" s="15" t="s">
        <v>307</v>
      </c>
      <c r="D34" s="15" t="s">
        <v>2462</v>
      </c>
      <c r="E34" s="25"/>
      <c r="F34" s="26"/>
      <c r="G34" s="24" t="s">
        <v>1451</v>
      </c>
      <c r="H34" s="27"/>
      <c r="I34" s="15"/>
      <c r="J34" s="15" t="s">
        <v>632</v>
      </c>
      <c r="K34" s="15" t="s">
        <v>294</v>
      </c>
      <c r="L34" s="30" t="s">
        <v>626</v>
      </c>
    </row>
    <row r="35" s="1" customFormat="1" spans="2:12">
      <c r="B35" s="15" t="s">
        <v>2463</v>
      </c>
      <c r="C35" s="15" t="s">
        <v>307</v>
      </c>
      <c r="D35" s="15" t="s">
        <v>2464</v>
      </c>
      <c r="E35" s="25" t="s">
        <v>2431</v>
      </c>
      <c r="F35" s="26"/>
      <c r="G35" s="24" t="s">
        <v>2458</v>
      </c>
      <c r="H35" s="27"/>
      <c r="I35" s="15"/>
      <c r="J35" s="15" t="s">
        <v>632</v>
      </c>
      <c r="K35" s="15" t="s">
        <v>294</v>
      </c>
      <c r="L35" s="30" t="s">
        <v>626</v>
      </c>
    </row>
    <row r="36" s="1" customFormat="1" spans="2:12">
      <c r="B36" s="15" t="s">
        <v>2465</v>
      </c>
      <c r="C36" s="15" t="s">
        <v>307</v>
      </c>
      <c r="D36" s="15" t="s">
        <v>2466</v>
      </c>
      <c r="E36" s="25" t="s">
        <v>2435</v>
      </c>
      <c r="F36" s="26"/>
      <c r="G36" s="24" t="s">
        <v>2458</v>
      </c>
      <c r="H36" s="27"/>
      <c r="I36" s="15"/>
      <c r="J36" s="15" t="s">
        <v>632</v>
      </c>
      <c r="K36" s="15" t="s">
        <v>294</v>
      </c>
      <c r="L36" s="30" t="s">
        <v>626</v>
      </c>
    </row>
    <row r="37" s="1" customFormat="1" spans="2:12">
      <c r="B37" s="15" t="s">
        <v>2467</v>
      </c>
      <c r="C37" s="15" t="s">
        <v>307</v>
      </c>
      <c r="D37" s="15" t="s">
        <v>2468</v>
      </c>
      <c r="E37" s="25" t="s">
        <v>2428</v>
      </c>
      <c r="F37" s="26"/>
      <c r="G37" s="24" t="s">
        <v>2458</v>
      </c>
      <c r="H37" s="27"/>
      <c r="I37" s="15"/>
      <c r="J37" s="15" t="s">
        <v>632</v>
      </c>
      <c r="K37" s="15" t="s">
        <v>294</v>
      </c>
      <c r="L37" s="30" t="s">
        <v>626</v>
      </c>
    </row>
    <row r="38" s="1" customFormat="1" spans="2:12">
      <c r="B38" s="15" t="s">
        <v>2469</v>
      </c>
      <c r="C38" s="15" t="s">
        <v>307</v>
      </c>
      <c r="D38" s="15" t="s">
        <v>2470</v>
      </c>
      <c r="E38" s="25" t="s">
        <v>2432</v>
      </c>
      <c r="F38" s="26"/>
      <c r="G38" s="24" t="s">
        <v>2458</v>
      </c>
      <c r="H38" s="27"/>
      <c r="I38" s="15"/>
      <c r="J38" s="15" t="s">
        <v>632</v>
      </c>
      <c r="K38" s="15" t="s">
        <v>294</v>
      </c>
      <c r="L38" s="30" t="s">
        <v>626</v>
      </c>
    </row>
    <row r="39" s="1" customFormat="1" spans="2:12">
      <c r="B39" s="15" t="s">
        <v>2471</v>
      </c>
      <c r="C39" s="15" t="s">
        <v>307</v>
      </c>
      <c r="D39" s="15" t="s">
        <v>2472</v>
      </c>
      <c r="E39" s="25"/>
      <c r="F39" s="26"/>
      <c r="G39" s="24" t="s">
        <v>1451</v>
      </c>
      <c r="H39" s="27"/>
      <c r="I39" s="15"/>
      <c r="J39" s="15" t="s">
        <v>632</v>
      </c>
      <c r="K39" s="15" t="s">
        <v>294</v>
      </c>
      <c r="L39" s="30" t="s">
        <v>626</v>
      </c>
    </row>
    <row r="40" s="1" customFormat="1" spans="2:12">
      <c r="B40" s="15" t="s">
        <v>2473</v>
      </c>
      <c r="C40" s="15" t="s">
        <v>291</v>
      </c>
      <c r="D40" s="15" t="s">
        <v>2474</v>
      </c>
      <c r="E40" s="25" t="s">
        <v>269</v>
      </c>
      <c r="F40" s="26" t="s">
        <v>2473</v>
      </c>
      <c r="G40" s="24" t="s">
        <v>293</v>
      </c>
      <c r="H40" s="27"/>
      <c r="I40" s="15"/>
      <c r="J40" s="15" t="s">
        <v>604</v>
      </c>
      <c r="K40" s="15" t="s">
        <v>294</v>
      </c>
      <c r="L40" s="30" t="s">
        <v>294</v>
      </c>
    </row>
    <row r="41" s="1" customFormat="1" spans="2:12">
      <c r="B41" s="15" t="s">
        <v>1266</v>
      </c>
      <c r="C41" s="15" t="s">
        <v>666</v>
      </c>
      <c r="D41" s="15" t="s">
        <v>2475</v>
      </c>
      <c r="E41" s="25" t="s">
        <v>266</v>
      </c>
      <c r="F41" s="26"/>
      <c r="G41" s="24" t="s">
        <v>2476</v>
      </c>
      <c r="H41" s="27"/>
      <c r="I41" s="15"/>
      <c r="J41" s="15" t="s">
        <v>632</v>
      </c>
      <c r="K41" s="15" t="s">
        <v>2477</v>
      </c>
      <c r="L41" s="30" t="s">
        <v>633</v>
      </c>
    </row>
    <row r="42" s="2" customFormat="1" spans="2:17">
      <c r="B42" s="17" t="s">
        <v>594</v>
      </c>
      <c r="C42" s="18" t="s">
        <v>307</v>
      </c>
      <c r="D42" s="19" t="s">
        <v>595</v>
      </c>
      <c r="E42" s="28"/>
      <c r="F42" s="28"/>
      <c r="G42" s="28" t="s">
        <v>932</v>
      </c>
      <c r="H42" s="28"/>
      <c r="I42" s="17"/>
      <c r="J42" s="17"/>
      <c r="K42" s="17"/>
      <c r="L42" s="31"/>
      <c r="M42" s="17"/>
      <c r="N42" s="17"/>
      <c r="O42" s="17"/>
      <c r="P42" s="17"/>
      <c r="Q42" s="17"/>
    </row>
    <row r="43" s="2" customFormat="1" spans="2:17">
      <c r="B43" s="17" t="s">
        <v>596</v>
      </c>
      <c r="C43" s="18" t="s">
        <v>291</v>
      </c>
      <c r="D43" s="19" t="s">
        <v>597</v>
      </c>
      <c r="E43" s="28"/>
      <c r="F43" s="28"/>
      <c r="G43" s="28" t="s">
        <v>932</v>
      </c>
      <c r="H43" s="28"/>
      <c r="I43" s="17"/>
      <c r="J43" s="17"/>
      <c r="K43" s="17"/>
      <c r="L43" s="31"/>
      <c r="M43" s="17"/>
      <c r="N43" s="17"/>
      <c r="O43" s="17"/>
      <c r="P43" s="17"/>
      <c r="Q43" s="17"/>
    </row>
  </sheetData>
  <mergeCells count="5">
    <mergeCell ref="B2:H2"/>
    <mergeCell ref="B3:H3"/>
    <mergeCell ref="B7:H7"/>
    <mergeCell ref="B18:L18"/>
    <mergeCell ref="G9:G16"/>
  </mergeCells>
  <pageMargins left="0.7" right="0.7" top="0.75" bottom="0.75" header="0.3" footer="0.3"/>
  <pageSetup paperSize="9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3"/>
  <sheetViews>
    <sheetView zoomScale="85" zoomScaleNormal="85" workbookViewId="0">
      <pane ySplit="5" topLeftCell="A6" activePane="bottomLeft" state="frozen"/>
      <selection/>
      <selection pane="bottomLeft" activeCell="C14" sqref="C14:C18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28.1083333333333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3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2418</v>
      </c>
      <c r="C5" s="10" t="s">
        <v>243</v>
      </c>
      <c r="D5" s="11" t="s">
        <v>244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26" spans="2:8">
      <c r="B9" s="13"/>
      <c r="C9" s="10" t="s">
        <v>239</v>
      </c>
      <c r="D9" s="14" t="s">
        <v>240</v>
      </c>
      <c r="E9" s="13" t="s">
        <v>266</v>
      </c>
      <c r="F9" s="24"/>
      <c r="G9" s="22" t="s">
        <v>2478</v>
      </c>
      <c r="H9" s="23" t="s">
        <v>44</v>
      </c>
    </row>
    <row r="10" spans="2:8">
      <c r="B10" s="13"/>
      <c r="C10" s="10"/>
      <c r="D10" s="14"/>
      <c r="E10" s="13"/>
      <c r="F10" s="24"/>
      <c r="G10" s="24"/>
      <c r="H10" s="23"/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15" t="s">
        <v>613</v>
      </c>
      <c r="C14" s="15" t="s">
        <v>307</v>
      </c>
      <c r="D14" s="15" t="s">
        <v>614</v>
      </c>
      <c r="E14" s="25" t="s">
        <v>266</v>
      </c>
      <c r="F14" s="26" t="s">
        <v>594</v>
      </c>
      <c r="G14" s="24" t="s">
        <v>293</v>
      </c>
      <c r="H14" s="27"/>
      <c r="I14" s="15"/>
      <c r="J14" s="15" t="s">
        <v>604</v>
      </c>
      <c r="K14" s="15" t="s">
        <v>294</v>
      </c>
      <c r="L14" s="30" t="s">
        <v>294</v>
      </c>
    </row>
    <row r="15" s="1" customFormat="1" spans="2:12">
      <c r="B15" s="15" t="s">
        <v>2437</v>
      </c>
      <c r="C15" s="15" t="s">
        <v>291</v>
      </c>
      <c r="D15" s="15" t="s">
        <v>523</v>
      </c>
      <c r="E15" s="25" t="s">
        <v>266</v>
      </c>
      <c r="F15" s="15" t="s">
        <v>2437</v>
      </c>
      <c r="G15" s="24" t="s">
        <v>293</v>
      </c>
      <c r="H15" s="27"/>
      <c r="I15" s="15"/>
      <c r="J15" s="15" t="s">
        <v>604</v>
      </c>
      <c r="K15" s="15" t="s">
        <v>294</v>
      </c>
      <c r="L15" s="30" t="s">
        <v>294</v>
      </c>
    </row>
    <row r="16" s="1" customFormat="1" spans="2:12">
      <c r="B16" s="15" t="s">
        <v>602</v>
      </c>
      <c r="C16" s="15" t="s">
        <v>291</v>
      </c>
      <c r="D16" s="15" t="s">
        <v>603</v>
      </c>
      <c r="E16" s="25" t="s">
        <v>266</v>
      </c>
      <c r="F16" s="26" t="s">
        <v>596</v>
      </c>
      <c r="G16" s="24" t="s">
        <v>293</v>
      </c>
      <c r="H16" s="27"/>
      <c r="I16" s="15"/>
      <c r="J16" s="15" t="s">
        <v>604</v>
      </c>
      <c r="K16" s="15" t="s">
        <v>294</v>
      </c>
      <c r="L16" s="30" t="s">
        <v>294</v>
      </c>
    </row>
    <row r="17" s="1" customFormat="1" spans="2:12">
      <c r="B17" s="15" t="s">
        <v>2479</v>
      </c>
      <c r="C17" s="15" t="s">
        <v>307</v>
      </c>
      <c r="D17" s="15" t="s">
        <v>2480</v>
      </c>
      <c r="E17" s="25" t="s">
        <v>266</v>
      </c>
      <c r="F17" s="26"/>
      <c r="G17" s="24" t="s">
        <v>2481</v>
      </c>
      <c r="H17" s="27"/>
      <c r="I17" s="15"/>
      <c r="J17" s="15" t="s">
        <v>632</v>
      </c>
      <c r="K17" s="15" t="s">
        <v>294</v>
      </c>
      <c r="L17" s="30" t="s">
        <v>633</v>
      </c>
    </row>
    <row r="18" s="1" customFormat="1" spans="2:12">
      <c r="B18" s="15" t="s">
        <v>2482</v>
      </c>
      <c r="C18" s="15" t="s">
        <v>307</v>
      </c>
      <c r="D18" s="15" t="s">
        <v>2483</v>
      </c>
      <c r="E18" s="25" t="s">
        <v>266</v>
      </c>
      <c r="F18" s="26"/>
      <c r="G18" s="24" t="s">
        <v>2484</v>
      </c>
      <c r="H18" s="27"/>
      <c r="I18" s="15"/>
      <c r="J18" s="15" t="s">
        <v>632</v>
      </c>
      <c r="K18" s="15" t="s">
        <v>294</v>
      </c>
      <c r="L18" s="30" t="s">
        <v>633</v>
      </c>
    </row>
    <row r="19" s="1" customFormat="1" spans="2:12">
      <c r="B19" s="15" t="s">
        <v>2485</v>
      </c>
      <c r="C19" s="15" t="s">
        <v>307</v>
      </c>
      <c r="D19" s="15" t="s">
        <v>2486</v>
      </c>
      <c r="E19" s="25" t="s">
        <v>266</v>
      </c>
      <c r="F19" s="26"/>
      <c r="G19" s="24" t="s">
        <v>2487</v>
      </c>
      <c r="H19" s="27"/>
      <c r="I19" s="15"/>
      <c r="J19" s="15" t="s">
        <v>632</v>
      </c>
      <c r="K19" s="15" t="s">
        <v>294</v>
      </c>
      <c r="L19" s="30" t="s">
        <v>633</v>
      </c>
    </row>
    <row r="20" s="1" customFormat="1" spans="2:12">
      <c r="B20" s="15" t="s">
        <v>2488</v>
      </c>
      <c r="C20" s="15" t="s">
        <v>307</v>
      </c>
      <c r="D20" s="15" t="s">
        <v>2489</v>
      </c>
      <c r="E20" s="25" t="s">
        <v>266</v>
      </c>
      <c r="F20" s="26"/>
      <c r="G20" s="24" t="s">
        <v>2490</v>
      </c>
      <c r="H20" s="27"/>
      <c r="I20" s="15"/>
      <c r="J20" s="15" t="s">
        <v>632</v>
      </c>
      <c r="K20" s="15" t="s">
        <v>294</v>
      </c>
      <c r="L20" s="30" t="s">
        <v>633</v>
      </c>
    </row>
    <row r="21" s="1" customFormat="1" spans="2:12">
      <c r="B21" s="15" t="s">
        <v>2491</v>
      </c>
      <c r="C21" s="15" t="s">
        <v>307</v>
      </c>
      <c r="D21" s="15" t="s">
        <v>2492</v>
      </c>
      <c r="E21" s="25" t="s">
        <v>266</v>
      </c>
      <c r="F21" s="26"/>
      <c r="G21" s="24" t="s">
        <v>2493</v>
      </c>
      <c r="H21" s="27"/>
      <c r="I21" s="15"/>
      <c r="J21" s="15" t="s">
        <v>632</v>
      </c>
      <c r="K21" s="15" t="s">
        <v>294</v>
      </c>
      <c r="L21" s="30" t="s">
        <v>633</v>
      </c>
    </row>
    <row r="22" s="1" customFormat="1" spans="2:12">
      <c r="B22" s="15" t="s">
        <v>2494</v>
      </c>
      <c r="C22" s="15" t="s">
        <v>307</v>
      </c>
      <c r="D22" s="15" t="s">
        <v>2495</v>
      </c>
      <c r="E22" s="25" t="s">
        <v>266</v>
      </c>
      <c r="F22" s="24"/>
      <c r="G22" s="24" t="s">
        <v>2496</v>
      </c>
      <c r="H22" s="27"/>
      <c r="I22" s="15"/>
      <c r="J22" s="15" t="s">
        <v>632</v>
      </c>
      <c r="K22" s="15" t="s">
        <v>294</v>
      </c>
      <c r="L22" s="30" t="s">
        <v>633</v>
      </c>
    </row>
    <row r="23" s="1" customFormat="1" spans="2:12">
      <c r="B23" s="15" t="s">
        <v>2497</v>
      </c>
      <c r="C23" s="15" t="s">
        <v>307</v>
      </c>
      <c r="D23" s="15" t="s">
        <v>2498</v>
      </c>
      <c r="E23" s="25" t="s">
        <v>266</v>
      </c>
      <c r="F23" s="26"/>
      <c r="G23" s="24" t="s">
        <v>2499</v>
      </c>
      <c r="H23" s="27"/>
      <c r="I23" s="15"/>
      <c r="J23" s="15" t="s">
        <v>632</v>
      </c>
      <c r="K23" s="15" t="s">
        <v>294</v>
      </c>
      <c r="L23" s="30" t="s">
        <v>633</v>
      </c>
    </row>
    <row r="24" s="1" customFormat="1" spans="2:12">
      <c r="B24" s="15" t="s">
        <v>2500</v>
      </c>
      <c r="C24" s="15" t="s">
        <v>307</v>
      </c>
      <c r="D24" s="15" t="s">
        <v>2501</v>
      </c>
      <c r="E24" s="25" t="s">
        <v>266</v>
      </c>
      <c r="F24" s="26"/>
      <c r="G24" s="24" t="s">
        <v>2502</v>
      </c>
      <c r="H24" s="27"/>
      <c r="I24" s="15"/>
      <c r="J24" s="15" t="s">
        <v>632</v>
      </c>
      <c r="K24" s="15" t="s">
        <v>294</v>
      </c>
      <c r="L24" s="30" t="s">
        <v>633</v>
      </c>
    </row>
    <row r="25" s="1" customFormat="1" spans="2:12">
      <c r="B25" s="15" t="s">
        <v>2503</v>
      </c>
      <c r="C25" s="15" t="s">
        <v>307</v>
      </c>
      <c r="D25" s="15" t="s">
        <v>2504</v>
      </c>
      <c r="E25" s="25" t="s">
        <v>266</v>
      </c>
      <c r="F25" s="26"/>
      <c r="G25" s="24" t="s">
        <v>2505</v>
      </c>
      <c r="H25" s="27"/>
      <c r="I25" s="15"/>
      <c r="J25" s="15" t="s">
        <v>632</v>
      </c>
      <c r="K25" s="15" t="s">
        <v>294</v>
      </c>
      <c r="L25" s="30" t="s">
        <v>633</v>
      </c>
    </row>
    <row r="26" s="1" customFormat="1" spans="2:12">
      <c r="B26" s="15" t="s">
        <v>2506</v>
      </c>
      <c r="C26" s="15" t="s">
        <v>666</v>
      </c>
      <c r="D26" s="15" t="s">
        <v>2507</v>
      </c>
      <c r="E26" s="25" t="s">
        <v>266</v>
      </c>
      <c r="F26" s="26"/>
      <c r="G26" s="24" t="s">
        <v>2508</v>
      </c>
      <c r="H26" s="27"/>
      <c r="I26" s="15"/>
      <c r="J26" s="15" t="s">
        <v>632</v>
      </c>
      <c r="K26" s="15" t="s">
        <v>294</v>
      </c>
      <c r="L26" s="30" t="s">
        <v>2229</v>
      </c>
    </row>
    <row r="27" s="1" customFormat="1" spans="2:12">
      <c r="B27" s="15" t="s">
        <v>2509</v>
      </c>
      <c r="C27" s="15" t="s">
        <v>666</v>
      </c>
      <c r="D27" s="15" t="s">
        <v>2510</v>
      </c>
      <c r="E27" s="25" t="s">
        <v>266</v>
      </c>
      <c r="F27" s="26"/>
      <c r="G27" s="24" t="s">
        <v>2511</v>
      </c>
      <c r="H27" s="27"/>
      <c r="I27" s="15"/>
      <c r="J27" s="15" t="s">
        <v>632</v>
      </c>
      <c r="K27" s="15" t="s">
        <v>294</v>
      </c>
      <c r="L27" s="30" t="s">
        <v>2229</v>
      </c>
    </row>
    <row r="28" s="1" customFormat="1" spans="2:12">
      <c r="B28" s="15" t="s">
        <v>2512</v>
      </c>
      <c r="C28" s="15" t="s">
        <v>666</v>
      </c>
      <c r="D28" s="15" t="s">
        <v>2513</v>
      </c>
      <c r="E28" s="25" t="s">
        <v>266</v>
      </c>
      <c r="F28" s="26"/>
      <c r="G28" s="24" t="s">
        <v>2514</v>
      </c>
      <c r="H28" s="27"/>
      <c r="I28" s="15"/>
      <c r="J28" s="15" t="s">
        <v>632</v>
      </c>
      <c r="K28" s="15" t="s">
        <v>294</v>
      </c>
      <c r="L28" s="30" t="s">
        <v>2229</v>
      </c>
    </row>
    <row r="29" s="1" customFormat="1" spans="2:12">
      <c r="B29" s="15" t="s">
        <v>2515</v>
      </c>
      <c r="C29" s="15" t="s">
        <v>666</v>
      </c>
      <c r="D29" s="15" t="s">
        <v>2516</v>
      </c>
      <c r="E29" s="25" t="s">
        <v>266</v>
      </c>
      <c r="F29" s="26"/>
      <c r="G29" s="24" t="s">
        <v>2517</v>
      </c>
      <c r="H29" s="27"/>
      <c r="I29" s="15"/>
      <c r="J29" s="15" t="s">
        <v>632</v>
      </c>
      <c r="K29" s="15" t="s">
        <v>294</v>
      </c>
      <c r="L29" s="30" t="s">
        <v>2229</v>
      </c>
    </row>
    <row r="30" s="1" customFormat="1" spans="2:12">
      <c r="B30" s="15" t="s">
        <v>2518</v>
      </c>
      <c r="C30" s="15" t="s">
        <v>666</v>
      </c>
      <c r="D30" s="15" t="s">
        <v>2519</v>
      </c>
      <c r="E30" s="25" t="s">
        <v>266</v>
      </c>
      <c r="F30" s="26"/>
      <c r="G30" s="24" t="s">
        <v>2520</v>
      </c>
      <c r="H30" s="27"/>
      <c r="I30" s="15"/>
      <c r="J30" s="15" t="s">
        <v>632</v>
      </c>
      <c r="K30" s="15" t="s">
        <v>294</v>
      </c>
      <c r="L30" s="30" t="s">
        <v>2229</v>
      </c>
    </row>
    <row r="31" s="1" customFormat="1" spans="2:12">
      <c r="B31" s="15" t="s">
        <v>2521</v>
      </c>
      <c r="C31" s="15" t="s">
        <v>666</v>
      </c>
      <c r="D31" s="15" t="s">
        <v>2522</v>
      </c>
      <c r="E31" s="25" t="s">
        <v>266</v>
      </c>
      <c r="F31" s="26"/>
      <c r="G31" s="24" t="s">
        <v>2523</v>
      </c>
      <c r="H31" s="27"/>
      <c r="I31" s="15"/>
      <c r="J31" s="15" t="s">
        <v>632</v>
      </c>
      <c r="K31" s="15" t="s">
        <v>294</v>
      </c>
      <c r="L31" s="30" t="s">
        <v>2229</v>
      </c>
    </row>
    <row r="32" s="2" customFormat="1" spans="2:17">
      <c r="B32" s="17" t="s">
        <v>594</v>
      </c>
      <c r="C32" s="18" t="s">
        <v>307</v>
      </c>
      <c r="D32" s="19" t="s">
        <v>595</v>
      </c>
      <c r="E32" s="28"/>
      <c r="F32" s="28"/>
      <c r="G32" s="28"/>
      <c r="H32" s="28"/>
      <c r="I32" s="17"/>
      <c r="J32" s="17"/>
      <c r="K32" s="17"/>
      <c r="L32" s="31"/>
      <c r="M32" s="17"/>
      <c r="N32" s="17"/>
      <c r="O32" s="17"/>
      <c r="P32" s="17"/>
      <c r="Q32" s="17"/>
    </row>
    <row r="33" s="2" customFormat="1" spans="2:17">
      <c r="B33" s="17" t="s">
        <v>596</v>
      </c>
      <c r="C33" s="18" t="s">
        <v>291</v>
      </c>
      <c r="D33" s="19" t="s">
        <v>597</v>
      </c>
      <c r="E33" s="28"/>
      <c r="F33" s="28"/>
      <c r="G33" s="28" t="s">
        <v>932</v>
      </c>
      <c r="H33" s="28"/>
      <c r="I33" s="17"/>
      <c r="J33" s="17"/>
      <c r="K33" s="17"/>
      <c r="L33" s="31"/>
      <c r="M33" s="17"/>
      <c r="N33" s="17"/>
      <c r="O33" s="17"/>
      <c r="P33" s="17"/>
      <c r="Q33" s="17"/>
    </row>
  </sheetData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0"/>
  <sheetViews>
    <sheetView zoomScale="85" zoomScaleNormal="85" workbookViewId="0">
      <pane ySplit="5" topLeftCell="A9" activePane="bottomLeft" state="frozen"/>
      <selection/>
      <selection pane="bottomLeft" activeCell="D20" sqref="D20"/>
    </sheetView>
  </sheetViews>
  <sheetFormatPr defaultColWidth="9" defaultRowHeight="13"/>
  <cols>
    <col min="1" max="1" width="1.33333333333333" style="3" customWidth="1"/>
    <col min="2" max="2" width="36.1083333333333" style="3" customWidth="1"/>
    <col min="3" max="3" width="31.2166666666667" style="3" customWidth="1"/>
    <col min="4" max="4" width="32.2166666666667" style="3" customWidth="1"/>
    <col min="5" max="5" width="10.1083333333333" style="3" customWidth="1"/>
    <col min="6" max="6" width="15.4416666666667" style="3" customWidth="1"/>
    <col min="7" max="7" width="50.775" style="3" customWidth="1"/>
    <col min="8" max="8" width="14.4416666666667" style="3" customWidth="1"/>
    <col min="9" max="9" width="19.6666666666667" style="3" customWidth="1"/>
    <col min="10" max="10" width="8.10833333333333" style="3" customWidth="1"/>
    <col min="11" max="11" width="8.44166666666667" style="3" customWidth="1"/>
    <col min="12" max="12" width="13.5583333333333" style="3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2418</v>
      </c>
      <c r="C5" s="10" t="s">
        <v>246</v>
      </c>
      <c r="D5" s="11" t="s">
        <v>247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26" spans="2:8">
      <c r="B9" s="13"/>
      <c r="C9" s="10" t="s">
        <v>239</v>
      </c>
      <c r="D9" s="14" t="s">
        <v>240</v>
      </c>
      <c r="E9" s="13" t="s">
        <v>266</v>
      </c>
      <c r="F9" s="24"/>
      <c r="G9" s="22" t="s">
        <v>2478</v>
      </c>
      <c r="H9" s="23" t="s">
        <v>44</v>
      </c>
    </row>
    <row r="10" spans="2:8">
      <c r="B10" s="13"/>
      <c r="C10" s="10"/>
      <c r="D10" s="14"/>
      <c r="E10" s="13"/>
      <c r="F10" s="24"/>
      <c r="G10" s="24"/>
      <c r="H10" s="23"/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15" t="s">
        <v>613</v>
      </c>
      <c r="C14" s="15" t="s">
        <v>307</v>
      </c>
      <c r="D14" s="15" t="s">
        <v>614</v>
      </c>
      <c r="E14" s="25" t="s">
        <v>266</v>
      </c>
      <c r="F14" s="26" t="s">
        <v>594</v>
      </c>
      <c r="G14" s="24" t="s">
        <v>293</v>
      </c>
      <c r="H14" s="27"/>
      <c r="I14" s="15"/>
      <c r="J14" s="15" t="s">
        <v>604</v>
      </c>
      <c r="K14" s="15" t="s">
        <v>294</v>
      </c>
      <c r="L14" s="30" t="s">
        <v>294</v>
      </c>
    </row>
    <row r="15" s="1" customFormat="1" spans="2:12">
      <c r="B15" s="15" t="s">
        <v>2437</v>
      </c>
      <c r="C15" s="15" t="s">
        <v>291</v>
      </c>
      <c r="D15" s="15" t="s">
        <v>523</v>
      </c>
      <c r="E15" s="25" t="s">
        <v>266</v>
      </c>
      <c r="F15" s="26" t="s">
        <v>2437</v>
      </c>
      <c r="G15" s="24" t="s">
        <v>293</v>
      </c>
      <c r="H15" s="27"/>
      <c r="I15" s="15"/>
      <c r="J15" s="15" t="s">
        <v>604</v>
      </c>
      <c r="K15" s="15" t="s">
        <v>294</v>
      </c>
      <c r="L15" s="30" t="s">
        <v>294</v>
      </c>
    </row>
    <row r="16" s="1" customFormat="1" spans="2:12">
      <c r="B16" s="15" t="s">
        <v>602</v>
      </c>
      <c r="C16" s="15" t="s">
        <v>291</v>
      </c>
      <c r="D16" s="15" t="s">
        <v>603</v>
      </c>
      <c r="E16" s="25" t="s">
        <v>266</v>
      </c>
      <c r="F16" s="26" t="s">
        <v>596</v>
      </c>
      <c r="G16" s="24" t="s">
        <v>293</v>
      </c>
      <c r="H16" s="27"/>
      <c r="I16" s="15"/>
      <c r="J16" s="15" t="s">
        <v>604</v>
      </c>
      <c r="K16" s="15" t="s">
        <v>294</v>
      </c>
      <c r="L16" s="30" t="s">
        <v>294</v>
      </c>
    </row>
    <row r="17" s="1" customFormat="1" spans="2:12">
      <c r="B17" s="15" t="s">
        <v>2438</v>
      </c>
      <c r="C17" s="15" t="s">
        <v>291</v>
      </c>
      <c r="D17" s="15" t="s">
        <v>2439</v>
      </c>
      <c r="E17" s="25" t="s">
        <v>266</v>
      </c>
      <c r="F17" s="15" t="s">
        <v>2438</v>
      </c>
      <c r="G17" s="24" t="s">
        <v>293</v>
      </c>
      <c r="H17" s="27"/>
      <c r="I17" s="15"/>
      <c r="J17" s="15" t="s">
        <v>604</v>
      </c>
      <c r="K17" s="15" t="s">
        <v>294</v>
      </c>
      <c r="L17" s="30" t="s">
        <v>294</v>
      </c>
    </row>
    <row r="18" s="1" customFormat="1" spans="2:12">
      <c r="B18" s="15" t="s">
        <v>2479</v>
      </c>
      <c r="C18" s="15" t="s">
        <v>307</v>
      </c>
      <c r="D18" s="15" t="s">
        <v>2480</v>
      </c>
      <c r="E18" s="25" t="s">
        <v>266</v>
      </c>
      <c r="F18" s="26"/>
      <c r="G18" s="24" t="s">
        <v>2481</v>
      </c>
      <c r="H18" s="27"/>
      <c r="I18" s="15"/>
      <c r="J18" s="15" t="s">
        <v>632</v>
      </c>
      <c r="K18" s="15" t="s">
        <v>294</v>
      </c>
      <c r="L18" s="30" t="s">
        <v>633</v>
      </c>
    </row>
    <row r="19" s="1" customFormat="1" spans="2:12">
      <c r="B19" s="15" t="s">
        <v>2482</v>
      </c>
      <c r="C19" s="15" t="s">
        <v>307</v>
      </c>
      <c r="D19" s="15" t="s">
        <v>2483</v>
      </c>
      <c r="E19" s="25" t="s">
        <v>266</v>
      </c>
      <c r="F19" s="26"/>
      <c r="G19" s="24" t="s">
        <v>2484</v>
      </c>
      <c r="H19" s="27"/>
      <c r="I19" s="15"/>
      <c r="J19" s="15" t="s">
        <v>632</v>
      </c>
      <c r="K19" s="15" t="s">
        <v>294</v>
      </c>
      <c r="L19" s="30" t="s">
        <v>633</v>
      </c>
    </row>
    <row r="20" s="1" customFormat="1" spans="2:12">
      <c r="B20" s="15" t="s">
        <v>2485</v>
      </c>
      <c r="C20" s="15" t="s">
        <v>307</v>
      </c>
      <c r="D20" s="15" t="s">
        <v>2486</v>
      </c>
      <c r="E20" s="25" t="s">
        <v>266</v>
      </c>
      <c r="F20" s="26"/>
      <c r="G20" s="24" t="s">
        <v>2487</v>
      </c>
      <c r="H20" s="27"/>
      <c r="I20" s="15"/>
      <c r="J20" s="15" t="s">
        <v>632</v>
      </c>
      <c r="K20" s="15" t="s">
        <v>294</v>
      </c>
      <c r="L20" s="30" t="s">
        <v>633</v>
      </c>
    </row>
    <row r="21" s="1" customFormat="1" spans="2:12">
      <c r="B21" s="15" t="s">
        <v>2488</v>
      </c>
      <c r="C21" s="15" t="s">
        <v>307</v>
      </c>
      <c r="D21" s="15" t="s">
        <v>2489</v>
      </c>
      <c r="E21" s="25" t="s">
        <v>266</v>
      </c>
      <c r="F21" s="26"/>
      <c r="G21" s="24" t="s">
        <v>2490</v>
      </c>
      <c r="H21" s="27"/>
      <c r="I21" s="15"/>
      <c r="J21" s="15" t="s">
        <v>632</v>
      </c>
      <c r="K21" s="15" t="s">
        <v>294</v>
      </c>
      <c r="L21" s="30" t="s">
        <v>633</v>
      </c>
    </row>
    <row r="22" s="1" customFormat="1" spans="2:12">
      <c r="B22" s="15" t="s">
        <v>2524</v>
      </c>
      <c r="C22" s="15" t="s">
        <v>307</v>
      </c>
      <c r="D22" s="15" t="s">
        <v>2525</v>
      </c>
      <c r="E22" s="25" t="s">
        <v>266</v>
      </c>
      <c r="F22" s="26"/>
      <c r="G22" s="24" t="s">
        <v>2526</v>
      </c>
      <c r="H22" s="27"/>
      <c r="I22" s="15"/>
      <c r="J22" s="15" t="s">
        <v>632</v>
      </c>
      <c r="K22" s="15" t="s">
        <v>294</v>
      </c>
      <c r="L22" s="30" t="s">
        <v>633</v>
      </c>
    </row>
    <row r="23" s="1" customFormat="1" spans="2:12">
      <c r="B23" s="15" t="s">
        <v>2527</v>
      </c>
      <c r="C23" s="15" t="s">
        <v>307</v>
      </c>
      <c r="D23" s="15" t="s">
        <v>2528</v>
      </c>
      <c r="E23" s="25" t="s">
        <v>266</v>
      </c>
      <c r="F23" s="26"/>
      <c r="G23" s="24" t="s">
        <v>2529</v>
      </c>
      <c r="H23" s="27"/>
      <c r="I23" s="15"/>
      <c r="J23" s="15" t="s">
        <v>632</v>
      </c>
      <c r="K23" s="15" t="s">
        <v>294</v>
      </c>
      <c r="L23" s="30" t="s">
        <v>633</v>
      </c>
    </row>
    <row r="24" s="1" customFormat="1" spans="2:12">
      <c r="B24" s="15" t="s">
        <v>2530</v>
      </c>
      <c r="C24" s="15" t="s">
        <v>307</v>
      </c>
      <c r="D24" s="15" t="s">
        <v>2531</v>
      </c>
      <c r="E24" s="25" t="s">
        <v>266</v>
      </c>
      <c r="F24" s="26"/>
      <c r="G24" s="24" t="s">
        <v>2532</v>
      </c>
      <c r="H24" s="27"/>
      <c r="I24" s="15"/>
      <c r="J24" s="15" t="s">
        <v>632</v>
      </c>
      <c r="K24" s="15" t="s">
        <v>294</v>
      </c>
      <c r="L24" s="30" t="s">
        <v>633</v>
      </c>
    </row>
    <row r="25" s="1" customFormat="1" spans="2:12">
      <c r="B25" s="15" t="s">
        <v>2506</v>
      </c>
      <c r="C25" s="15" t="s">
        <v>307</v>
      </c>
      <c r="D25" s="15" t="s">
        <v>2507</v>
      </c>
      <c r="E25" s="25" t="s">
        <v>266</v>
      </c>
      <c r="F25" s="26"/>
      <c r="G25" s="24" t="s">
        <v>2508</v>
      </c>
      <c r="H25" s="27"/>
      <c r="I25" s="15"/>
      <c r="J25" s="15" t="s">
        <v>632</v>
      </c>
      <c r="K25" s="15" t="s">
        <v>294</v>
      </c>
      <c r="L25" s="30" t="s">
        <v>2229</v>
      </c>
    </row>
    <row r="26" s="1" customFormat="1" spans="2:12">
      <c r="B26" s="15" t="s">
        <v>2533</v>
      </c>
      <c r="C26" s="15" t="s">
        <v>666</v>
      </c>
      <c r="D26" s="15" t="s">
        <v>2534</v>
      </c>
      <c r="E26" s="25" t="s">
        <v>266</v>
      </c>
      <c r="F26" s="26"/>
      <c r="G26" s="24" t="s">
        <v>2535</v>
      </c>
      <c r="H26" s="27"/>
      <c r="I26" s="15"/>
      <c r="J26" s="15" t="s">
        <v>632</v>
      </c>
      <c r="K26" s="15" t="s">
        <v>294</v>
      </c>
      <c r="L26" s="30" t="s">
        <v>2229</v>
      </c>
    </row>
    <row r="27" s="1" customFormat="1" spans="2:12">
      <c r="B27" s="15" t="s">
        <v>2536</v>
      </c>
      <c r="C27" s="15" t="s">
        <v>666</v>
      </c>
      <c r="D27" s="15" t="s">
        <v>2537</v>
      </c>
      <c r="E27" s="25" t="s">
        <v>266</v>
      </c>
      <c r="F27" s="26"/>
      <c r="G27" s="24" t="s">
        <v>2538</v>
      </c>
      <c r="H27" s="27"/>
      <c r="I27" s="15"/>
      <c r="J27" s="15" t="s">
        <v>632</v>
      </c>
      <c r="K27" s="15" t="s">
        <v>294</v>
      </c>
      <c r="L27" s="30" t="s">
        <v>2229</v>
      </c>
    </row>
    <row r="28" s="1" customFormat="1" spans="2:12">
      <c r="B28" s="15" t="s">
        <v>2539</v>
      </c>
      <c r="C28" s="15" t="s">
        <v>666</v>
      </c>
      <c r="D28" s="15" t="s">
        <v>2540</v>
      </c>
      <c r="E28" s="25" t="s">
        <v>266</v>
      </c>
      <c r="F28" s="26"/>
      <c r="G28" s="24" t="s">
        <v>2541</v>
      </c>
      <c r="H28" s="27"/>
      <c r="I28" s="15"/>
      <c r="J28" s="15" t="s">
        <v>632</v>
      </c>
      <c r="K28" s="15" t="s">
        <v>294</v>
      </c>
      <c r="L28" s="30" t="s">
        <v>2229</v>
      </c>
    </row>
    <row r="29" s="2" customFormat="1" spans="2:17">
      <c r="B29" s="17" t="s">
        <v>594</v>
      </c>
      <c r="C29" s="18" t="s">
        <v>307</v>
      </c>
      <c r="D29" s="19" t="s">
        <v>595</v>
      </c>
      <c r="E29" s="28"/>
      <c r="F29" s="28"/>
      <c r="G29" s="28"/>
      <c r="H29" s="28"/>
      <c r="I29" s="17"/>
      <c r="J29" s="17"/>
      <c r="K29" s="17"/>
      <c r="L29" s="31"/>
      <c r="M29" s="17"/>
      <c r="N29" s="17"/>
      <c r="O29" s="17"/>
      <c r="P29" s="17"/>
      <c r="Q29" s="17"/>
    </row>
    <row r="30" s="2" customFormat="1" spans="2:17">
      <c r="B30" s="17" t="s">
        <v>596</v>
      </c>
      <c r="C30" s="18" t="s">
        <v>291</v>
      </c>
      <c r="D30" s="19" t="s">
        <v>597</v>
      </c>
      <c r="E30" s="28"/>
      <c r="F30" s="28"/>
      <c r="G30" s="28" t="s">
        <v>932</v>
      </c>
      <c r="H30" s="28"/>
      <c r="I30" s="17"/>
      <c r="J30" s="17"/>
      <c r="K30" s="17"/>
      <c r="L30" s="31"/>
      <c r="M30" s="17"/>
      <c r="N30" s="17"/>
      <c r="O30" s="17"/>
      <c r="P30" s="17"/>
      <c r="Q30" s="17"/>
    </row>
  </sheetData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6"/>
  <sheetViews>
    <sheetView zoomScale="85" zoomScaleNormal="85" workbookViewId="0">
      <pane ySplit="5" topLeftCell="A6" activePane="bottomLeft" state="frozen"/>
      <selection/>
      <selection pane="bottomLeft" activeCell="B1" sqref="B1"/>
    </sheetView>
  </sheetViews>
  <sheetFormatPr defaultColWidth="9" defaultRowHeight="13"/>
  <cols>
    <col min="1" max="1" width="1.33333333333333" style="3" customWidth="1"/>
    <col min="2" max="2" width="27.3333333333333" style="3" customWidth="1"/>
    <col min="3" max="3" width="31.2166666666667" style="3" customWidth="1"/>
    <col min="4" max="4" width="30.2166666666667" style="3" customWidth="1"/>
    <col min="5" max="5" width="10.1083333333333" style="3" customWidth="1"/>
    <col min="6" max="6" width="25.1083333333333" style="3" customWidth="1"/>
    <col min="7" max="7" width="51.3333333333333" style="3" customWidth="1"/>
    <col min="8" max="8" width="14.4416666666667" style="3" customWidth="1"/>
    <col min="9" max="9" width="9.775" style="3" customWidth="1"/>
    <col min="10" max="10" width="8.10833333333333" style="3" customWidth="1"/>
    <col min="11" max="11" width="8.44166666666667" style="3" customWidth="1"/>
    <col min="12" max="12" width="13.5583333333333" style="3" customWidth="1"/>
    <col min="13" max="16384" width="9" style="4"/>
  </cols>
  <sheetData>
    <row r="1" spans="2:2">
      <c r="B1" s="5" t="str">
        <f>HYPERLINK("#导航!a2","返回")</f>
        <v>返回</v>
      </c>
    </row>
    <row r="2" spans="2:8">
      <c r="B2" s="6"/>
      <c r="C2" s="6"/>
      <c r="D2" s="6"/>
      <c r="E2" s="6"/>
      <c r="F2" s="6"/>
      <c r="G2" s="6"/>
      <c r="H2" s="6"/>
    </row>
    <row r="3" ht="13.5" spans="2:8">
      <c r="B3" s="7" t="s">
        <v>251</v>
      </c>
      <c r="C3" s="7"/>
      <c r="D3" s="7"/>
      <c r="E3" s="7"/>
      <c r="F3" s="7"/>
      <c r="G3" s="7"/>
      <c r="H3" s="7"/>
    </row>
    <row r="4" ht="13.5" spans="2:8">
      <c r="B4" s="8" t="s">
        <v>4</v>
      </c>
      <c r="C4" s="8" t="s">
        <v>252</v>
      </c>
      <c r="D4" s="8" t="s">
        <v>253</v>
      </c>
      <c r="E4" s="8" t="s">
        <v>254</v>
      </c>
      <c r="F4" s="12" t="s">
        <v>255</v>
      </c>
      <c r="G4" s="12" t="s">
        <v>7</v>
      </c>
      <c r="H4" s="8" t="s">
        <v>256</v>
      </c>
    </row>
    <row r="5" spans="2:14">
      <c r="B5" s="9" t="s">
        <v>2418</v>
      </c>
      <c r="C5" s="10" t="s">
        <v>249</v>
      </c>
      <c r="D5" s="11" t="s">
        <v>250</v>
      </c>
      <c r="E5" s="13" t="s">
        <v>602</v>
      </c>
      <c r="F5" s="20"/>
      <c r="G5" s="13"/>
      <c r="H5" s="13"/>
      <c r="N5" s="3"/>
    </row>
    <row r="6" spans="2:8">
      <c r="B6" s="6"/>
      <c r="C6" s="6"/>
      <c r="D6" s="6"/>
      <c r="E6" s="6"/>
      <c r="F6" s="21"/>
      <c r="G6" s="21"/>
      <c r="H6" s="6"/>
    </row>
    <row r="7" ht="13.5" spans="2:8">
      <c r="B7" s="7" t="s">
        <v>258</v>
      </c>
      <c r="C7" s="7"/>
      <c r="D7" s="7"/>
      <c r="E7" s="7"/>
      <c r="F7" s="7"/>
      <c r="G7" s="7"/>
      <c r="H7" s="7"/>
    </row>
    <row r="8" ht="13.5" spans="2:8">
      <c r="B8" s="12" t="s">
        <v>259</v>
      </c>
      <c r="C8" s="12" t="s">
        <v>260</v>
      </c>
      <c r="D8" s="12" t="s">
        <v>261</v>
      </c>
      <c r="E8" s="12" t="s">
        <v>262</v>
      </c>
      <c r="F8" s="12" t="s">
        <v>263</v>
      </c>
      <c r="G8" s="12" t="s">
        <v>17</v>
      </c>
      <c r="H8" s="12" t="s">
        <v>264</v>
      </c>
    </row>
    <row r="9" ht="52" spans="2:9">
      <c r="B9" s="13"/>
      <c r="C9" s="10" t="s">
        <v>239</v>
      </c>
      <c r="D9" s="14" t="s">
        <v>240</v>
      </c>
      <c r="E9" s="13" t="s">
        <v>266</v>
      </c>
      <c r="F9" s="22" t="s">
        <v>2478</v>
      </c>
      <c r="G9" s="22" t="s">
        <v>2542</v>
      </c>
      <c r="H9" s="23" t="s">
        <v>44</v>
      </c>
      <c r="I9" s="29"/>
    </row>
    <row r="10" spans="2:8">
      <c r="B10" s="13"/>
      <c r="C10" s="10" t="s">
        <v>249</v>
      </c>
      <c r="D10" s="11" t="s">
        <v>250</v>
      </c>
      <c r="E10" s="13" t="s">
        <v>269</v>
      </c>
      <c r="F10" s="24"/>
      <c r="G10" s="22" t="s">
        <v>2543</v>
      </c>
      <c r="H10" s="23"/>
    </row>
    <row r="11" spans="2:2">
      <c r="B11" s="3" t="s">
        <v>279</v>
      </c>
    </row>
    <row r="12" ht="13.5" spans="2:12">
      <c r="B12" s="7" t="s">
        <v>279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3.5" spans="2:12">
      <c r="B13" s="8" t="s">
        <v>280</v>
      </c>
      <c r="C13" s="8" t="s">
        <v>281</v>
      </c>
      <c r="D13" s="8" t="s">
        <v>282</v>
      </c>
      <c r="E13" s="8" t="s">
        <v>283</v>
      </c>
      <c r="F13" s="12" t="s">
        <v>284</v>
      </c>
      <c r="G13" s="12" t="s">
        <v>285</v>
      </c>
      <c r="H13" s="8" t="s">
        <v>286</v>
      </c>
      <c r="I13" s="8" t="s">
        <v>17</v>
      </c>
      <c r="J13" s="8" t="s">
        <v>287</v>
      </c>
      <c r="K13" s="8" t="s">
        <v>288</v>
      </c>
      <c r="L13" s="8" t="s">
        <v>289</v>
      </c>
    </row>
    <row r="14" s="1" customFormat="1" spans="2:12">
      <c r="B14" s="15" t="s">
        <v>613</v>
      </c>
      <c r="C14" s="15" t="s">
        <v>307</v>
      </c>
      <c r="D14" s="15" t="s">
        <v>614</v>
      </c>
      <c r="E14" s="25" t="s">
        <v>266</v>
      </c>
      <c r="F14" s="26" t="s">
        <v>594</v>
      </c>
      <c r="G14" s="24" t="s">
        <v>293</v>
      </c>
      <c r="H14" s="27"/>
      <c r="I14" s="15"/>
      <c r="J14" s="15" t="s">
        <v>632</v>
      </c>
      <c r="K14" s="15" t="s">
        <v>294</v>
      </c>
      <c r="L14" s="30" t="s">
        <v>615</v>
      </c>
    </row>
    <row r="15" s="1" customFormat="1" spans="2:12">
      <c r="B15" s="15" t="s">
        <v>2437</v>
      </c>
      <c r="C15" s="15" t="s">
        <v>291</v>
      </c>
      <c r="D15" s="15" t="s">
        <v>523</v>
      </c>
      <c r="E15" s="25" t="s">
        <v>266</v>
      </c>
      <c r="F15" s="26" t="str">
        <f>VLOOKUP(B15,'74'!B:L,1,0)</f>
        <v>province_name</v>
      </c>
      <c r="G15" s="24" t="s">
        <v>293</v>
      </c>
      <c r="H15" s="27"/>
      <c r="I15" s="15"/>
      <c r="J15" s="15" t="s">
        <v>632</v>
      </c>
      <c r="K15" s="15" t="s">
        <v>294</v>
      </c>
      <c r="L15" s="30" t="s">
        <v>294</v>
      </c>
    </row>
    <row r="16" s="1" customFormat="1" spans="2:12">
      <c r="B16" s="15" t="s">
        <v>602</v>
      </c>
      <c r="C16" s="15" t="s">
        <v>291</v>
      </c>
      <c r="D16" s="15" t="s">
        <v>603</v>
      </c>
      <c r="E16" s="25" t="s">
        <v>266</v>
      </c>
      <c r="F16" s="26" t="s">
        <v>596</v>
      </c>
      <c r="G16" s="24" t="s">
        <v>293</v>
      </c>
      <c r="H16" s="27"/>
      <c r="I16" s="15"/>
      <c r="J16" s="15" t="s">
        <v>632</v>
      </c>
      <c r="K16" s="15" t="s">
        <v>294</v>
      </c>
      <c r="L16" s="15" t="s">
        <v>605</v>
      </c>
    </row>
    <row r="17" s="1" customFormat="1" spans="2:12">
      <c r="B17" s="15" t="s">
        <v>2438</v>
      </c>
      <c r="C17" s="15" t="s">
        <v>291</v>
      </c>
      <c r="D17" s="15" t="s">
        <v>2439</v>
      </c>
      <c r="E17" s="25" t="s">
        <v>266</v>
      </c>
      <c r="F17" s="26" t="str">
        <f>VLOOKUP(B17,'74'!B:L,1,0)</f>
        <v>vendor</v>
      </c>
      <c r="G17" s="24" t="s">
        <v>293</v>
      </c>
      <c r="H17" s="27"/>
      <c r="I17" s="15"/>
      <c r="J17" s="15" t="s">
        <v>632</v>
      </c>
      <c r="K17" s="15" t="s">
        <v>294</v>
      </c>
      <c r="L17" s="30" t="s">
        <v>294</v>
      </c>
    </row>
    <row r="18" s="1" customFormat="1" spans="2:12">
      <c r="B18" s="15" t="s">
        <v>2440</v>
      </c>
      <c r="C18" s="15" t="s">
        <v>291</v>
      </c>
      <c r="D18" s="15" t="s">
        <v>1793</v>
      </c>
      <c r="E18" s="25" t="s">
        <v>266</v>
      </c>
      <c r="F18" s="26" t="str">
        <f>VLOOKUP(B18,'74'!B:L,1,0)</f>
        <v>city_name</v>
      </c>
      <c r="G18" s="24" t="s">
        <v>293</v>
      </c>
      <c r="H18" s="27"/>
      <c r="I18" s="15"/>
      <c r="J18" s="15" t="s">
        <v>632</v>
      </c>
      <c r="K18" s="15" t="s">
        <v>294</v>
      </c>
      <c r="L18" s="30" t="s">
        <v>294</v>
      </c>
    </row>
    <row r="19" s="1" customFormat="1" spans="2:12">
      <c r="B19" s="15" t="s">
        <v>2441</v>
      </c>
      <c r="C19" s="15" t="s">
        <v>291</v>
      </c>
      <c r="D19" s="15" t="s">
        <v>1792</v>
      </c>
      <c r="E19" s="25" t="s">
        <v>266</v>
      </c>
      <c r="F19" s="26" t="str">
        <f>VLOOKUP(B19,'74'!B:L,1,0)</f>
        <v>city_code</v>
      </c>
      <c r="G19" s="24" t="s">
        <v>293</v>
      </c>
      <c r="H19" s="27"/>
      <c r="I19" s="15"/>
      <c r="J19" s="15" t="s">
        <v>632</v>
      </c>
      <c r="K19" s="15" t="s">
        <v>294</v>
      </c>
      <c r="L19" s="30" t="s">
        <v>294</v>
      </c>
    </row>
    <row r="20" s="1" customFormat="1" spans="2:12">
      <c r="B20" s="15" t="s">
        <v>2442</v>
      </c>
      <c r="C20" s="15" t="s">
        <v>291</v>
      </c>
      <c r="D20" s="15" t="s">
        <v>515</v>
      </c>
      <c r="E20" s="25" t="s">
        <v>266</v>
      </c>
      <c r="F20" s="26" t="str">
        <f>VLOOKUP(B20,'74'!B:L,1,0)</f>
        <v>cell_key</v>
      </c>
      <c r="G20" s="24" t="s">
        <v>293</v>
      </c>
      <c r="H20" s="27"/>
      <c r="I20" s="15"/>
      <c r="J20" s="15" t="s">
        <v>632</v>
      </c>
      <c r="K20" s="15" t="s">
        <v>294</v>
      </c>
      <c r="L20" s="30" t="s">
        <v>294</v>
      </c>
    </row>
    <row r="21" s="1" customFormat="1" spans="2:12">
      <c r="B21" s="15" t="s">
        <v>2444</v>
      </c>
      <c r="C21" s="15" t="s">
        <v>291</v>
      </c>
      <c r="D21" s="15" t="s">
        <v>1315</v>
      </c>
      <c r="E21" s="25" t="s">
        <v>266</v>
      </c>
      <c r="F21" s="26" t="str">
        <f>VLOOKUP(B21,'74'!B:L,1,0)</f>
        <v>cell_name</v>
      </c>
      <c r="G21" s="24" t="s">
        <v>293</v>
      </c>
      <c r="H21" s="27"/>
      <c r="I21" s="15"/>
      <c r="J21" s="15" t="s">
        <v>632</v>
      </c>
      <c r="K21" s="15" t="s">
        <v>294</v>
      </c>
      <c r="L21" s="30" t="s">
        <v>294</v>
      </c>
    </row>
    <row r="22" s="1" customFormat="1" spans="2:12">
      <c r="B22" s="15" t="s">
        <v>2450</v>
      </c>
      <c r="C22" s="15" t="s">
        <v>307</v>
      </c>
      <c r="D22" s="15" t="s">
        <v>2451</v>
      </c>
      <c r="E22" s="25" t="s">
        <v>266</v>
      </c>
      <c r="F22" s="26" t="str">
        <f>VLOOKUP(B22,'74'!B:L,1,0)</f>
        <v>is_pm_flux_cell</v>
      </c>
      <c r="G22" s="24" t="s">
        <v>293</v>
      </c>
      <c r="H22" s="27"/>
      <c r="I22" s="15"/>
      <c r="J22" s="15" t="s">
        <v>632</v>
      </c>
      <c r="K22" s="15" t="s">
        <v>294</v>
      </c>
      <c r="L22" s="30" t="s">
        <v>626</v>
      </c>
    </row>
    <row r="23" s="1" customFormat="1" spans="2:12">
      <c r="B23" s="15" t="s">
        <v>2456</v>
      </c>
      <c r="C23" s="15" t="s">
        <v>307</v>
      </c>
      <c r="D23" s="15" t="s">
        <v>2457</v>
      </c>
      <c r="E23" s="25" t="s">
        <v>266</v>
      </c>
      <c r="F23" s="26" t="str">
        <f>VLOOKUP(B23,'74'!B:L,1,0)</f>
        <v>is_mr_cell</v>
      </c>
      <c r="G23" s="24" t="s">
        <v>293</v>
      </c>
      <c r="H23" s="27"/>
      <c r="I23" s="15"/>
      <c r="J23" s="15" t="s">
        <v>632</v>
      </c>
      <c r="K23" s="15" t="s">
        <v>294</v>
      </c>
      <c r="L23" s="30" t="s">
        <v>626</v>
      </c>
    </row>
    <row r="24" s="1" customFormat="1" spans="2:12">
      <c r="B24" s="15" t="s">
        <v>2459</v>
      </c>
      <c r="C24" s="15" t="s">
        <v>307</v>
      </c>
      <c r="D24" s="15" t="s">
        <v>2460</v>
      </c>
      <c r="E24" s="25" t="s">
        <v>266</v>
      </c>
      <c r="F24" s="26" t="str">
        <f>VLOOKUP(B24,'74'!B:L,1,0)</f>
        <v>is_mr_agps_cell</v>
      </c>
      <c r="G24" s="24" t="s">
        <v>293</v>
      </c>
      <c r="H24" s="27"/>
      <c r="I24" s="15"/>
      <c r="J24" s="15" t="s">
        <v>632</v>
      </c>
      <c r="K24" s="15" t="s">
        <v>294</v>
      </c>
      <c r="L24" s="30" t="s">
        <v>626</v>
      </c>
    </row>
    <row r="25" s="1" customFormat="1" spans="2:12">
      <c r="B25" s="15" t="s">
        <v>2461</v>
      </c>
      <c r="C25" s="15" t="s">
        <v>307</v>
      </c>
      <c r="D25" s="15" t="s">
        <v>2462</v>
      </c>
      <c r="E25" s="25" t="s">
        <v>266</v>
      </c>
      <c r="F25" s="26" t="str">
        <f>VLOOKUP(B25,'74'!B:L,1,0)</f>
        <v>is_cdr_cell</v>
      </c>
      <c r="G25" s="24" t="s">
        <v>293</v>
      </c>
      <c r="H25" s="27"/>
      <c r="I25" s="15"/>
      <c r="J25" s="15" t="s">
        <v>632</v>
      </c>
      <c r="K25" s="15" t="s">
        <v>294</v>
      </c>
      <c r="L25" s="30" t="s">
        <v>626</v>
      </c>
    </row>
    <row r="26" s="1" customFormat="1" spans="2:12">
      <c r="B26" s="15" t="s">
        <v>2463</v>
      </c>
      <c r="C26" s="15" t="s">
        <v>307</v>
      </c>
      <c r="D26" s="15" t="s">
        <v>2464</v>
      </c>
      <c r="E26" s="25" t="s">
        <v>266</v>
      </c>
      <c r="F26" s="26" t="str">
        <f>VLOOKUP(B26,'74'!B:L,1,0)</f>
        <v>is_s1mme_cell</v>
      </c>
      <c r="G26" s="24" t="s">
        <v>293</v>
      </c>
      <c r="H26" s="27"/>
      <c r="I26" s="15"/>
      <c r="J26" s="15" t="s">
        <v>632</v>
      </c>
      <c r="K26" s="15" t="s">
        <v>294</v>
      </c>
      <c r="L26" s="30" t="s">
        <v>626</v>
      </c>
    </row>
    <row r="27" s="1" customFormat="1" spans="2:12">
      <c r="B27" s="15" t="s">
        <v>2465</v>
      </c>
      <c r="C27" s="15" t="s">
        <v>307</v>
      </c>
      <c r="D27" s="15" t="s">
        <v>2466</v>
      </c>
      <c r="E27" s="25" t="s">
        <v>266</v>
      </c>
      <c r="F27" s="26" t="str">
        <f>VLOOKUP(B27,'74'!B:L,1,0)</f>
        <v>is_s1u_dns_cell</v>
      </c>
      <c r="G27" s="24" t="s">
        <v>293</v>
      </c>
      <c r="H27" s="27"/>
      <c r="I27" s="15"/>
      <c r="J27" s="15" t="s">
        <v>632</v>
      </c>
      <c r="K27" s="15" t="s">
        <v>294</v>
      </c>
      <c r="L27" s="30" t="s">
        <v>626</v>
      </c>
    </row>
    <row r="28" s="1" customFormat="1" spans="2:12">
      <c r="B28" s="15" t="s">
        <v>2467</v>
      </c>
      <c r="C28" s="15" t="s">
        <v>307</v>
      </c>
      <c r="D28" s="15" t="s">
        <v>2468</v>
      </c>
      <c r="E28" s="25" t="s">
        <v>266</v>
      </c>
      <c r="F28" s="26" t="str">
        <f>VLOOKUP(B28,'74'!B:L,1,0)</f>
        <v>is_s1u_http_cell</v>
      </c>
      <c r="G28" s="24" t="s">
        <v>293</v>
      </c>
      <c r="H28" s="27"/>
      <c r="I28" s="15"/>
      <c r="J28" s="15" t="s">
        <v>632</v>
      </c>
      <c r="K28" s="15" t="s">
        <v>294</v>
      </c>
      <c r="L28" s="30" t="s">
        <v>626</v>
      </c>
    </row>
    <row r="29" s="1" customFormat="1" spans="2:12">
      <c r="B29" s="15" t="s">
        <v>2469</v>
      </c>
      <c r="C29" s="16" t="s">
        <v>307</v>
      </c>
      <c r="D29" s="15" t="s">
        <v>2470</v>
      </c>
      <c r="E29" s="25" t="s">
        <v>266</v>
      </c>
      <c r="F29" s="26" t="str">
        <f>VLOOKUP(B29,'74'!B:L,1,0)</f>
        <v>is_s1u_video_cell</v>
      </c>
      <c r="G29" s="24" t="s">
        <v>293</v>
      </c>
      <c r="H29" s="27"/>
      <c r="I29" s="15"/>
      <c r="J29" s="15" t="s">
        <v>632</v>
      </c>
      <c r="K29" s="15" t="s">
        <v>294</v>
      </c>
      <c r="L29" s="30" t="s">
        <v>626</v>
      </c>
    </row>
    <row r="30" s="1" customFormat="1" spans="2:12">
      <c r="B30" s="15" t="s">
        <v>2471</v>
      </c>
      <c r="C30" s="16" t="s">
        <v>307</v>
      </c>
      <c r="D30" s="15" t="s">
        <v>2472</v>
      </c>
      <c r="E30" s="25" t="s">
        <v>266</v>
      </c>
      <c r="F30" s="26" t="str">
        <f>VLOOKUP(B30,'74'!B:L,1,0)</f>
        <v>is_s1u_https_cell</v>
      </c>
      <c r="G30" s="24" t="s">
        <v>293</v>
      </c>
      <c r="H30" s="27"/>
      <c r="I30" s="15"/>
      <c r="J30" s="15" t="s">
        <v>632</v>
      </c>
      <c r="K30" s="15" t="s">
        <v>294</v>
      </c>
      <c r="L30" s="30" t="s">
        <v>626</v>
      </c>
    </row>
    <row r="31" s="1" customFormat="1" spans="2:12">
      <c r="B31" s="15" t="s">
        <v>2473</v>
      </c>
      <c r="C31" s="16" t="s">
        <v>291</v>
      </c>
      <c r="D31" s="15" t="s">
        <v>2474</v>
      </c>
      <c r="E31" s="25" t="s">
        <v>266</v>
      </c>
      <c r="F31" s="26" t="str">
        <f>VLOOKUP(B31,'74'!B:L,1,0)</f>
        <v>bandclass</v>
      </c>
      <c r="G31" s="24" t="s">
        <v>293</v>
      </c>
      <c r="H31" s="27"/>
      <c r="I31" s="15"/>
      <c r="J31" s="15" t="s">
        <v>632</v>
      </c>
      <c r="K31" s="15" t="s">
        <v>294</v>
      </c>
      <c r="L31" s="30" t="s">
        <v>294</v>
      </c>
    </row>
    <row r="32" s="1" customFormat="1" spans="2:12">
      <c r="B32" s="15" t="s">
        <v>1266</v>
      </c>
      <c r="C32" s="16" t="s">
        <v>666</v>
      </c>
      <c r="D32" s="15" t="s">
        <v>2475</v>
      </c>
      <c r="E32" s="25" t="s">
        <v>266</v>
      </c>
      <c r="F32" s="26" t="str">
        <f>VLOOKUP(B32,'74'!B:L,1,0)</f>
        <v>flux</v>
      </c>
      <c r="G32" s="24" t="s">
        <v>293</v>
      </c>
      <c r="H32" s="27"/>
      <c r="I32" s="15"/>
      <c r="J32" s="15" t="s">
        <v>632</v>
      </c>
      <c r="K32" s="15" t="s">
        <v>294</v>
      </c>
      <c r="L32" s="30" t="s">
        <v>633</v>
      </c>
    </row>
    <row r="33" s="1" customFormat="1" ht="26" spans="2:12">
      <c r="B33" s="15" t="s">
        <v>2544</v>
      </c>
      <c r="C33" s="16" t="s">
        <v>291</v>
      </c>
      <c r="D33" s="15" t="s">
        <v>2545</v>
      </c>
      <c r="E33" s="25" t="s">
        <v>2546</v>
      </c>
      <c r="F33" s="26"/>
      <c r="G33" s="24" t="s">
        <v>2547</v>
      </c>
      <c r="H33" s="27"/>
      <c r="I33" s="15"/>
      <c r="J33" s="15" t="s">
        <v>632</v>
      </c>
      <c r="K33" s="15" t="s">
        <v>294</v>
      </c>
      <c r="L33" s="15" t="s">
        <v>605</v>
      </c>
    </row>
    <row r="34" s="1" customFormat="1" ht="26" spans="2:12">
      <c r="B34" s="15" t="s">
        <v>2548</v>
      </c>
      <c r="C34" s="16" t="s">
        <v>307</v>
      </c>
      <c r="D34" s="15" t="s">
        <v>2549</v>
      </c>
      <c r="E34" s="25" t="s">
        <v>2546</v>
      </c>
      <c r="F34" s="26"/>
      <c r="G34" s="24" t="s">
        <v>2550</v>
      </c>
      <c r="H34" s="27"/>
      <c r="I34" s="15"/>
      <c r="J34" s="15" t="s">
        <v>632</v>
      </c>
      <c r="K34" s="15" t="s">
        <v>294</v>
      </c>
      <c r="L34" s="30" t="s">
        <v>2551</v>
      </c>
    </row>
    <row r="35" s="1" customFormat="1" ht="26" spans="2:12">
      <c r="B35" s="15" t="s">
        <v>2552</v>
      </c>
      <c r="C35" s="16" t="s">
        <v>291</v>
      </c>
      <c r="D35" s="15" t="s">
        <v>2553</v>
      </c>
      <c r="E35" s="25" t="s">
        <v>2546</v>
      </c>
      <c r="F35" s="26"/>
      <c r="G35" s="24" t="s">
        <v>2554</v>
      </c>
      <c r="H35" s="27"/>
      <c r="I35" s="15"/>
      <c r="J35" s="15" t="s">
        <v>632</v>
      </c>
      <c r="K35" s="15" t="s">
        <v>294</v>
      </c>
      <c r="L35" s="15" t="s">
        <v>605</v>
      </c>
    </row>
    <row r="36" s="1" customFormat="1" ht="26" spans="2:12">
      <c r="B36" s="15" t="s">
        <v>2555</v>
      </c>
      <c r="C36" s="16" t="s">
        <v>307</v>
      </c>
      <c r="D36" s="15" t="s">
        <v>2556</v>
      </c>
      <c r="E36" s="25" t="s">
        <v>2546</v>
      </c>
      <c r="F36" s="26"/>
      <c r="G36" s="24" t="s">
        <v>2557</v>
      </c>
      <c r="H36" s="27"/>
      <c r="I36" s="15"/>
      <c r="J36" s="15" t="s">
        <v>632</v>
      </c>
      <c r="K36" s="15" t="s">
        <v>294</v>
      </c>
      <c r="L36" s="30" t="s">
        <v>2551</v>
      </c>
    </row>
    <row r="37" s="1" customFormat="1" ht="26" spans="2:12">
      <c r="B37" s="15" t="s">
        <v>2558</v>
      </c>
      <c r="C37" s="16" t="s">
        <v>291</v>
      </c>
      <c r="D37" s="15" t="s">
        <v>2559</v>
      </c>
      <c r="E37" s="25" t="s">
        <v>2546</v>
      </c>
      <c r="F37" s="26"/>
      <c r="G37" s="24" t="s">
        <v>2560</v>
      </c>
      <c r="H37" s="27"/>
      <c r="I37" s="15"/>
      <c r="J37" s="15" t="s">
        <v>632</v>
      </c>
      <c r="K37" s="15" t="s">
        <v>294</v>
      </c>
      <c r="L37" s="15" t="s">
        <v>605</v>
      </c>
    </row>
    <row r="38" s="1" customFormat="1" ht="26" spans="2:12">
      <c r="B38" s="15" t="s">
        <v>2561</v>
      </c>
      <c r="C38" s="16" t="s">
        <v>307</v>
      </c>
      <c r="D38" s="15" t="s">
        <v>2562</v>
      </c>
      <c r="E38" s="25" t="s">
        <v>2546</v>
      </c>
      <c r="F38" s="26"/>
      <c r="G38" s="24" t="s">
        <v>2563</v>
      </c>
      <c r="H38" s="27"/>
      <c r="I38" s="15"/>
      <c r="J38" s="15" t="s">
        <v>632</v>
      </c>
      <c r="K38" s="15" t="s">
        <v>294</v>
      </c>
      <c r="L38" s="30" t="s">
        <v>2551</v>
      </c>
    </row>
    <row r="39" s="1" customFormat="1" ht="26" spans="2:12">
      <c r="B39" s="15" t="s">
        <v>2564</v>
      </c>
      <c r="C39" s="16" t="s">
        <v>291</v>
      </c>
      <c r="D39" s="15" t="s">
        <v>2565</v>
      </c>
      <c r="E39" s="25" t="s">
        <v>2546</v>
      </c>
      <c r="F39" s="26"/>
      <c r="G39" s="24" t="s">
        <v>2566</v>
      </c>
      <c r="H39" s="27"/>
      <c r="I39" s="15"/>
      <c r="J39" s="15" t="s">
        <v>632</v>
      </c>
      <c r="K39" s="15" t="s">
        <v>294</v>
      </c>
      <c r="L39" s="15" t="s">
        <v>605</v>
      </c>
    </row>
    <row r="40" s="1" customFormat="1" ht="26" spans="2:12">
      <c r="B40" s="15" t="s">
        <v>2567</v>
      </c>
      <c r="C40" s="16" t="s">
        <v>307</v>
      </c>
      <c r="D40" s="15" t="s">
        <v>2568</v>
      </c>
      <c r="E40" s="25" t="s">
        <v>2546</v>
      </c>
      <c r="F40" s="26"/>
      <c r="G40" s="24" t="s">
        <v>2569</v>
      </c>
      <c r="H40" s="27"/>
      <c r="I40" s="15"/>
      <c r="J40" s="15" t="s">
        <v>632</v>
      </c>
      <c r="K40" s="15" t="s">
        <v>294</v>
      </c>
      <c r="L40" s="30" t="s">
        <v>2551</v>
      </c>
    </row>
    <row r="41" s="1" customFormat="1" ht="26" spans="2:12">
      <c r="B41" s="15" t="s">
        <v>2570</v>
      </c>
      <c r="C41" s="16" t="s">
        <v>291</v>
      </c>
      <c r="D41" s="15" t="s">
        <v>2571</v>
      </c>
      <c r="E41" s="25" t="s">
        <v>2546</v>
      </c>
      <c r="F41" s="26"/>
      <c r="G41" s="24" t="s">
        <v>2572</v>
      </c>
      <c r="H41" s="27"/>
      <c r="I41" s="15"/>
      <c r="J41" s="15" t="s">
        <v>632</v>
      </c>
      <c r="K41" s="15" t="s">
        <v>294</v>
      </c>
      <c r="L41" s="15" t="s">
        <v>605</v>
      </c>
    </row>
    <row r="42" s="1" customFormat="1" ht="26" spans="2:12">
      <c r="B42" s="15" t="s">
        <v>2573</v>
      </c>
      <c r="C42" s="16" t="s">
        <v>307</v>
      </c>
      <c r="D42" s="15" t="s">
        <v>2574</v>
      </c>
      <c r="E42" s="25" t="s">
        <v>2546</v>
      </c>
      <c r="F42" s="26"/>
      <c r="G42" s="24" t="s">
        <v>2575</v>
      </c>
      <c r="H42" s="27"/>
      <c r="I42" s="15"/>
      <c r="J42" s="15" t="s">
        <v>632</v>
      </c>
      <c r="K42" s="15" t="s">
        <v>294</v>
      </c>
      <c r="L42" s="30" t="s">
        <v>2551</v>
      </c>
    </row>
    <row r="43" s="1" customFormat="1" ht="26" spans="2:12">
      <c r="B43" s="15" t="s">
        <v>2576</v>
      </c>
      <c r="C43" s="16" t="s">
        <v>291</v>
      </c>
      <c r="D43" s="15" t="s">
        <v>2577</v>
      </c>
      <c r="E43" s="25" t="s">
        <v>2546</v>
      </c>
      <c r="F43" s="26"/>
      <c r="G43" s="24" t="s">
        <v>2578</v>
      </c>
      <c r="H43" s="27"/>
      <c r="I43" s="15"/>
      <c r="J43" s="15" t="s">
        <v>632</v>
      </c>
      <c r="K43" s="15" t="s">
        <v>294</v>
      </c>
      <c r="L43" s="15" t="s">
        <v>605</v>
      </c>
    </row>
    <row r="44" s="1" customFormat="1" ht="26" spans="2:12">
      <c r="B44" s="15" t="s">
        <v>2579</v>
      </c>
      <c r="C44" s="16" t="s">
        <v>307</v>
      </c>
      <c r="D44" s="15" t="s">
        <v>2580</v>
      </c>
      <c r="E44" s="25" t="s">
        <v>2546</v>
      </c>
      <c r="F44" s="26"/>
      <c r="G44" s="24" t="s">
        <v>2581</v>
      </c>
      <c r="H44" s="27"/>
      <c r="I44" s="15"/>
      <c r="J44" s="15" t="s">
        <v>632</v>
      </c>
      <c r="K44" s="15" t="s">
        <v>294</v>
      </c>
      <c r="L44" s="30" t="s">
        <v>2551</v>
      </c>
    </row>
    <row r="45" s="2" customFormat="1" spans="2:17">
      <c r="B45" s="17" t="s">
        <v>594</v>
      </c>
      <c r="C45" s="18" t="s">
        <v>307</v>
      </c>
      <c r="D45" s="19" t="s">
        <v>595</v>
      </c>
      <c r="E45" s="28"/>
      <c r="F45" s="28"/>
      <c r="G45" s="28"/>
      <c r="H45" s="28"/>
      <c r="I45" s="17"/>
      <c r="J45" s="17"/>
      <c r="K45" s="17"/>
      <c r="L45" s="31"/>
      <c r="M45" s="17"/>
      <c r="N45" s="17"/>
      <c r="O45" s="17"/>
      <c r="P45" s="17"/>
      <c r="Q45" s="17"/>
    </row>
    <row r="46" s="2" customFormat="1" spans="2:17">
      <c r="B46" s="17" t="s">
        <v>596</v>
      </c>
      <c r="C46" s="18" t="s">
        <v>291</v>
      </c>
      <c r="D46" s="19" t="s">
        <v>597</v>
      </c>
      <c r="E46" s="28"/>
      <c r="F46" s="28"/>
      <c r="G46" s="28" t="s">
        <v>932</v>
      </c>
      <c r="H46" s="28"/>
      <c r="I46" s="17"/>
      <c r="J46" s="17"/>
      <c r="K46" s="17"/>
      <c r="L46" s="31"/>
      <c r="M46" s="17"/>
      <c r="N46" s="17"/>
      <c r="O46" s="17"/>
      <c r="P46" s="17"/>
      <c r="Q46" s="17"/>
    </row>
  </sheetData>
  <mergeCells count="4">
    <mergeCell ref="B2:H2"/>
    <mergeCell ref="B3:H3"/>
    <mergeCell ref="B7:H7"/>
    <mergeCell ref="B12:L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77</vt:i4>
      </vt:variant>
    </vt:vector>
  </HeadingPairs>
  <TitlesOfParts>
    <vt:vector size="77" baseType="lpstr">
      <vt:lpstr>导航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LRH</dc:creator>
  <cp:lastModifiedBy>J T</cp:lastModifiedBy>
  <dcterms:created xsi:type="dcterms:W3CDTF">2015-06-05T18:19:00Z</dcterms:created>
  <dcterms:modified xsi:type="dcterms:W3CDTF">2025-09-01T06:36:00Z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819565F349EA4A4C9C259F3C5D9DBBE7_12</vt:lpwstr>
  </property>
  <property fmtid="{D5CDD505-2E9C-101B-9397-08002B2CF9AE}" pid="3" name="KSOProductBuildVer">
    <vt:lpwstr>2052-12.1.0.22525</vt:lpwstr>
  </property>
</Properties>
</file>