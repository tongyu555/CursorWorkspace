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never"/>
  <mc:AlternateContent xmlns:mc="http://schemas.openxmlformats.org/markup-compatibility/2006">
    <mc:Choice Requires="x15">
      <x15ac:absPath xmlns:x15ac="http://schemas.microsoft.com/office/spreadsheetml/2010/11/ac" url="D:\0000. 25年工作\2. 网络数据处理系统\51.AI Models数据整理\模型清单\AI Models模型清单\"/>
    </mc:Choice>
  </mc:AlternateContent>
  <xr:revisionPtr revIDLastSave="0" documentId="13_ncr:1_{B1592FAE-2080-41F1-AC6D-BEA1ACFE6DD6}" xr6:coauthVersionLast="47" xr6:coauthVersionMax="47" xr10:uidLastSave="{00000000-0000-0000-0000-000000000000}"/>
  <bookViews>
    <workbookView xWindow="-108" yWindow="-108" windowWidth="23256" windowHeight="13896" tabRatio="938" xr2:uid="{00000000-000D-0000-FFFF-FFFF00000000}"/>
  </bookViews>
  <sheets>
    <sheet name="导航" sheetId="3" r:id="rId1"/>
    <sheet name="1" sheetId="282" r:id="rId2"/>
    <sheet name="2" sheetId="199" r:id="rId3"/>
    <sheet name="3" sheetId="205" r:id="rId4"/>
    <sheet name="4" sheetId="206" r:id="rId5"/>
    <sheet name="5" sheetId="207" r:id="rId6"/>
    <sheet name="6" sheetId="208" r:id="rId7"/>
    <sheet name="7" sheetId="241" r:id="rId8"/>
    <sheet name="8" sheetId="210" r:id="rId9"/>
    <sheet name="9" sheetId="212" r:id="rId10"/>
    <sheet name="10" sheetId="215" r:id="rId11"/>
    <sheet name="11" sheetId="238" r:id="rId12"/>
    <sheet name="12" sheetId="240" r:id="rId13"/>
    <sheet name="13" sheetId="243" r:id="rId14"/>
    <sheet name="14" sheetId="244" r:id="rId15"/>
    <sheet name="15" sheetId="246" r:id="rId16"/>
    <sheet name="16" sheetId="247" r:id="rId17"/>
    <sheet name="17" sheetId="248" r:id="rId18"/>
    <sheet name="18" sheetId="249" r:id="rId19"/>
    <sheet name="19" sheetId="250" r:id="rId20"/>
    <sheet name="20" sheetId="251" r:id="rId21"/>
    <sheet name="21" sheetId="252" r:id="rId22"/>
    <sheet name="22" sheetId="253" r:id="rId23"/>
    <sheet name="23" sheetId="254" r:id="rId24"/>
    <sheet name="24" sheetId="255" r:id="rId25"/>
    <sheet name="25" sheetId="256" r:id="rId26"/>
    <sheet name="26" sheetId="257" r:id="rId27"/>
    <sheet name="27" sheetId="258" r:id="rId28"/>
    <sheet name="28" sheetId="261" r:id="rId29"/>
    <sheet name="29" sheetId="262" r:id="rId30"/>
    <sheet name="30" sheetId="263" r:id="rId31"/>
    <sheet name="31" sheetId="264" r:id="rId32"/>
    <sheet name="32" sheetId="265" r:id="rId33"/>
    <sheet name="33" sheetId="266" r:id="rId34"/>
    <sheet name="34" sheetId="267" r:id="rId35"/>
    <sheet name="35" sheetId="268" r:id="rId36"/>
    <sheet name="36" sheetId="272" r:id="rId37"/>
    <sheet name="37" sheetId="273" r:id="rId38"/>
    <sheet name="38" sheetId="275" r:id="rId39"/>
    <sheet name="39" sheetId="276" r:id="rId40"/>
    <sheet name="40" sheetId="277" r:id="rId41"/>
    <sheet name="41" sheetId="281" r:id="rId42"/>
  </sheets>
  <definedNames>
    <definedName name="_xlnm._FilterDatabase" localSheetId="1" hidden="1">'1'!$A$28:$N$184</definedName>
    <definedName name="_xlnm._FilterDatabase" localSheetId="10" hidden="1">'10'!$A$13:$O$109</definedName>
    <definedName name="_xlnm._FilterDatabase" localSheetId="11" hidden="1">'11'!$A$34:$O$61</definedName>
    <definedName name="_xlnm._FilterDatabase" localSheetId="12" hidden="1">'12'!$B$11:$L$121</definedName>
    <definedName name="_xlnm._FilterDatabase" localSheetId="13" hidden="1">'13'!$A$14:$N$31</definedName>
    <definedName name="_xlnm._FilterDatabase" localSheetId="14" hidden="1">'14'!$A$14:$N$23</definedName>
    <definedName name="_xlnm._FilterDatabase" localSheetId="15" hidden="1">'15'!$B$11:$L$25</definedName>
    <definedName name="_xlnm._FilterDatabase" localSheetId="16" hidden="1">'16'!$B$11:$L$22</definedName>
    <definedName name="_xlnm._FilterDatabase" localSheetId="17" hidden="1">'17'!$B$12:$L$19</definedName>
    <definedName name="_xlnm._FilterDatabase" localSheetId="18" hidden="1">'18'!$B$12:$L$19</definedName>
    <definedName name="_xlnm._FilterDatabase" localSheetId="19" hidden="1">'19'!$B$11:$L$117</definedName>
    <definedName name="_xlnm._FilterDatabase" localSheetId="2" hidden="1">'2'!$A$17:$Q$125</definedName>
    <definedName name="_xlnm._FilterDatabase" localSheetId="20" hidden="1">'20'!$B$11:$L$112</definedName>
    <definedName name="_xlnm._FilterDatabase" localSheetId="21" hidden="1">'21'!$B$11:$L$114</definedName>
    <definedName name="_xlnm._FilterDatabase" localSheetId="22" hidden="1">'22'!$B$15:$L$43</definedName>
    <definedName name="_xlnm._FilterDatabase" localSheetId="23" hidden="1">'23'!$B$15:$L$26</definedName>
    <definedName name="_xlnm._FilterDatabase" localSheetId="24" hidden="1">'24'!$B$12:$L$24</definedName>
    <definedName name="_xlnm._FilterDatabase" localSheetId="25" hidden="1">'25'!#REF!</definedName>
    <definedName name="_xlnm._FilterDatabase" localSheetId="26" hidden="1">'26'!#REF!</definedName>
    <definedName name="_xlnm._FilterDatabase" localSheetId="27" hidden="1">'27'!$A$14:$Q$62</definedName>
    <definedName name="_xlnm._FilterDatabase" localSheetId="28" hidden="1">'28'!$A$13:$Q$60</definedName>
    <definedName name="_xlnm._FilterDatabase" localSheetId="29" hidden="1">'29'!$A$13:$Q$35</definedName>
    <definedName name="_xlnm._FilterDatabase" localSheetId="3" hidden="1">'3'!$A$13:$Q$60</definedName>
    <definedName name="_xlnm._FilterDatabase" localSheetId="30" hidden="1">'30'!$A$14:$Q$37</definedName>
    <definedName name="_xlnm._FilterDatabase" localSheetId="31" hidden="1">'31'!$A$13:$Q$51</definedName>
    <definedName name="_xlnm._FilterDatabase" localSheetId="32" hidden="1">'32'!$A$13:$Q$47</definedName>
    <definedName name="_xlnm._FilterDatabase" localSheetId="33" hidden="1">'33'!$A$13:$Q$45</definedName>
    <definedName name="_xlnm._FilterDatabase" localSheetId="34" hidden="1">'34'!$A$15:$N$119</definedName>
    <definedName name="_xlnm._FilterDatabase" localSheetId="35" hidden="1">'35'!$A$13:$Q$120</definedName>
    <definedName name="_xlnm._FilterDatabase" localSheetId="36" hidden="1">'36'!$A$13:$Q$118</definedName>
    <definedName name="_xlnm._FilterDatabase" localSheetId="37" hidden="1">'37'!$A$13:$Q$93</definedName>
    <definedName name="_xlnm._FilterDatabase" localSheetId="38" hidden="1">'38'!$A$13:$Q$110</definedName>
    <definedName name="_xlnm._FilterDatabase" localSheetId="39" hidden="1">'39'!$A$13:$Q$107</definedName>
    <definedName name="_xlnm._FilterDatabase" localSheetId="4" hidden="1">'4'!$A$14:$Q$31</definedName>
    <definedName name="_xlnm._FilterDatabase" localSheetId="40" hidden="1">'40'!$A$13:$Q$105</definedName>
    <definedName name="_xlnm._FilterDatabase" localSheetId="41" hidden="1">'41'!$A$15:$Q$37</definedName>
    <definedName name="_xlnm._FilterDatabase" localSheetId="5" hidden="1">'5'!$A$13:$Q$35</definedName>
    <definedName name="_xlnm._FilterDatabase" localSheetId="6" hidden="1">'6'!$A$14:$Q$38</definedName>
    <definedName name="_xlnm._FilterDatabase" localSheetId="7" hidden="1">'7'!$A$13:$Q$57</definedName>
    <definedName name="_xlnm._FilterDatabase" localSheetId="8" hidden="1">'8'!$A$13:$Q$47</definedName>
    <definedName name="_xlnm._FilterDatabase" localSheetId="9" hidden="1">'9'!$A$13:$L$35</definedName>
    <definedName name="_xlnm._FilterDatabase" localSheetId="0" hidden="1">导航!$A$1:$S$42</definedName>
    <definedName name="DT.10" comment="主小区MR详细信息AGPS">#REF!</definedName>
    <definedName name="DT.11" comment="主小区MR详细信息全量室内外">#REF!</definedName>
    <definedName name="OLE_LINK1" localSheetId="3">'3'!$D$40</definedName>
    <definedName name="OLE_LINK1" localSheetId="7">'7'!$D$40</definedName>
    <definedName name="vlookup">#REF!</definedName>
    <definedName name="主小区MR详细信息AGPS" comment="主小区MR详细信息AGPS">#REF!</definedName>
    <definedName name="主小区MR详细信息全量室内外" comment="主小区MR详细信息全量室内外">#REF!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282" l="1"/>
  <c r="B1" i="281"/>
  <c r="B1" i="277"/>
  <c r="B1" i="276"/>
  <c r="B40" i="3"/>
  <c r="B41" i="3"/>
  <c r="B42" i="3"/>
  <c r="B39" i="3"/>
  <c r="B1" i="275"/>
  <c r="B1" i="273"/>
  <c r="B38" i="3"/>
  <c r="B37" i="3"/>
  <c r="B1" i="272"/>
  <c r="F35" i="268"/>
  <c r="F38" i="268"/>
  <c r="F32" i="268"/>
  <c r="F31" i="268"/>
  <c r="F30" i="268"/>
  <c r="B1" i="268"/>
  <c r="B36" i="3"/>
  <c r="F96" i="267"/>
  <c r="F97" i="267"/>
  <c r="F98" i="267"/>
  <c r="F95" i="267"/>
  <c r="F94" i="267"/>
  <c r="F93" i="267"/>
  <c r="F92" i="267"/>
  <c r="F91" i="267"/>
  <c r="F90" i="267"/>
  <c r="F89" i="267"/>
  <c r="F88" i="267"/>
  <c r="F87" i="267"/>
  <c r="F86" i="267"/>
  <c r="F85" i="267"/>
  <c r="F84" i="267"/>
  <c r="F83" i="267"/>
  <c r="F82" i="267"/>
  <c r="F81" i="267"/>
  <c r="F80" i="267"/>
  <c r="F79" i="267"/>
  <c r="F78" i="267"/>
  <c r="F77" i="267"/>
  <c r="F76" i="267"/>
  <c r="F75" i="267"/>
  <c r="F74" i="267"/>
  <c r="F73" i="267"/>
  <c r="F72" i="267"/>
  <c r="F69" i="267"/>
  <c r="F68" i="267"/>
  <c r="F55" i="267"/>
  <c r="F56" i="267"/>
  <c r="F57" i="267"/>
  <c r="F58" i="267"/>
  <c r="F59" i="267"/>
  <c r="F60" i="267"/>
  <c r="F61" i="267"/>
  <c r="F62" i="267"/>
  <c r="F63" i="267"/>
  <c r="F64" i="267"/>
  <c r="F65" i="267"/>
  <c r="F46" i="267"/>
  <c r="F47" i="267"/>
  <c r="F48" i="267"/>
  <c r="F49" i="267"/>
  <c r="F50" i="267"/>
  <c r="F51" i="267"/>
  <c r="F52" i="267"/>
  <c r="F53" i="267"/>
  <c r="F54" i="267"/>
  <c r="F34" i="267"/>
  <c r="F35" i="267"/>
  <c r="F36" i="267"/>
  <c r="F37" i="267"/>
  <c r="F38" i="267"/>
  <c r="F39" i="267"/>
  <c r="F40" i="267"/>
  <c r="F41" i="267"/>
  <c r="F42" i="267"/>
  <c r="F43" i="267"/>
  <c r="F44" i="267"/>
  <c r="F45" i="267"/>
  <c r="F32" i="267"/>
  <c r="F31" i="267"/>
  <c r="F30" i="267"/>
  <c r="F29" i="267"/>
  <c r="F28" i="267"/>
  <c r="F27" i="267"/>
  <c r="F26" i="267"/>
  <c r="F25" i="267"/>
  <c r="F24" i="267"/>
  <c r="F23" i="267"/>
  <c r="F22" i="267"/>
  <c r="F21" i="267"/>
  <c r="F20" i="267"/>
  <c r="F19" i="267"/>
  <c r="F17" i="267"/>
  <c r="F16" i="267"/>
  <c r="B1" i="267"/>
  <c r="B35" i="3"/>
  <c r="B34" i="3"/>
  <c r="B1" i="266"/>
  <c r="B33" i="3"/>
  <c r="B1" i="265"/>
  <c r="B1" i="264"/>
  <c r="B32" i="3"/>
  <c r="B1" i="263"/>
  <c r="B31" i="3"/>
  <c r="B30" i="3"/>
  <c r="B1" i="262"/>
  <c r="B29" i="3"/>
  <c r="B1" i="261"/>
  <c r="B28" i="3"/>
  <c r="B1" i="258"/>
  <c r="B1" i="257"/>
  <c r="B1" i="256"/>
  <c r="B27" i="3"/>
  <c r="B26" i="3"/>
  <c r="B1" i="255"/>
  <c r="B25" i="3"/>
  <c r="F21" i="251"/>
  <c r="F26" i="250"/>
  <c r="F27" i="240"/>
  <c r="B24" i="3"/>
  <c r="B1" i="254"/>
  <c r="B1" i="253"/>
  <c r="B23" i="3"/>
  <c r="B21" i="3"/>
  <c r="B22" i="3"/>
  <c r="B1" i="252"/>
  <c r="B1" i="251"/>
  <c r="F17" i="255"/>
  <c r="B1" i="250"/>
  <c r="B20" i="3"/>
  <c r="B18" i="3"/>
  <c r="B19" i="3"/>
  <c r="B1" i="249"/>
  <c r="B1" i="248"/>
  <c r="B17" i="3"/>
  <c r="B1" i="247"/>
  <c r="B1" i="246"/>
  <c r="B16" i="3"/>
  <c r="B1" i="244"/>
  <c r="B15" i="3"/>
  <c r="B1" i="243"/>
  <c r="B14" i="3"/>
  <c r="F47" i="241"/>
  <c r="F31" i="241"/>
  <c r="B1" i="241"/>
  <c r="F47" i="205"/>
  <c r="B1" i="240"/>
  <c r="B12" i="3"/>
  <c r="B1" i="238"/>
  <c r="B13" i="3"/>
  <c r="F31" i="205"/>
  <c r="H96" i="199"/>
  <c r="F19" i="199"/>
  <c r="F20" i="199"/>
  <c r="F21" i="199"/>
  <c r="F23" i="199"/>
  <c r="F24" i="199"/>
  <c r="F25" i="199"/>
  <c r="F26" i="199"/>
  <c r="F27" i="199"/>
  <c r="F28" i="199"/>
  <c r="F29" i="199"/>
  <c r="F30" i="199"/>
  <c r="F31" i="199"/>
  <c r="F32" i="199"/>
  <c r="F33" i="199"/>
  <c r="F34" i="199"/>
  <c r="F35" i="199"/>
  <c r="F36" i="199"/>
  <c r="F37" i="199"/>
  <c r="F38" i="199"/>
  <c r="F39" i="199"/>
  <c r="F40" i="199"/>
  <c r="F41" i="199"/>
  <c r="F42" i="199"/>
  <c r="F43" i="199"/>
  <c r="F44" i="199"/>
  <c r="F45" i="199"/>
  <c r="F46" i="199"/>
  <c r="F47" i="199"/>
  <c r="F48" i="199"/>
  <c r="F49" i="199"/>
  <c r="F50" i="199"/>
  <c r="F51" i="199"/>
  <c r="F52" i="199"/>
  <c r="F53" i="199"/>
  <c r="F54" i="199"/>
  <c r="F55" i="199"/>
  <c r="F56" i="199"/>
  <c r="F57" i="199"/>
  <c r="F58" i="199"/>
  <c r="F59" i="199"/>
  <c r="F60" i="199"/>
  <c r="F61" i="199"/>
  <c r="F62" i="199"/>
  <c r="F63" i="199"/>
  <c r="F64" i="199"/>
  <c r="F65" i="199"/>
  <c r="F66" i="199"/>
  <c r="F67" i="199"/>
  <c r="F68" i="199"/>
  <c r="F69" i="199"/>
  <c r="F70" i="199"/>
  <c r="F71" i="199"/>
  <c r="F72" i="199"/>
  <c r="F73" i="199"/>
  <c r="F74" i="199"/>
  <c r="F75" i="199"/>
  <c r="F76" i="199"/>
  <c r="F77" i="199"/>
  <c r="F78" i="199"/>
  <c r="F79" i="199"/>
  <c r="F80" i="199"/>
  <c r="F81" i="199"/>
  <c r="F82" i="199"/>
  <c r="F83" i="199"/>
  <c r="F84" i="199"/>
  <c r="F85" i="199"/>
  <c r="F86" i="199"/>
  <c r="F87" i="199"/>
  <c r="F88" i="199"/>
  <c r="F89" i="199"/>
  <c r="F90" i="199"/>
  <c r="F91" i="199"/>
  <c r="F92" i="199"/>
  <c r="F93" i="199"/>
  <c r="F94" i="199"/>
  <c r="F95" i="199"/>
  <c r="F18" i="199"/>
  <c r="B1" i="215"/>
  <c r="B1" i="212"/>
  <c r="B1" i="210"/>
  <c r="B1" i="208"/>
  <c r="B1" i="207"/>
  <c r="B1" i="206"/>
  <c r="B1" i="205"/>
  <c r="B1" i="199"/>
  <c r="B11" i="3"/>
  <c r="B8" i="3"/>
  <c r="B10" i="3"/>
  <c r="B9" i="3"/>
  <c r="B7" i="3"/>
  <c r="B6" i="3"/>
  <c r="B5" i="3"/>
  <c r="B4" i="3"/>
  <c r="B3" i="3"/>
  <c r="B2" i="3"/>
</calcChain>
</file>

<file path=xl/sharedStrings.xml><?xml version="1.0" encoding="utf-8"?>
<sst xmlns="http://schemas.openxmlformats.org/spreadsheetml/2006/main" count="18013" uniqueCount="2532">
  <si>
    <t>p_date</t>
  </si>
  <si>
    <t>p_hour</t>
  </si>
  <si>
    <t>p_quarter</t>
  </si>
  <si>
    <t>维度</t>
  </si>
  <si>
    <t>quarter</t>
  </si>
  <si>
    <t>/</t>
  </si>
  <si>
    <t>hour</t>
  </si>
  <si>
    <t>内部编号</t>
  </si>
  <si>
    <t>索引</t>
  </si>
  <si>
    <t>项目名称</t>
  </si>
  <si>
    <t>数据层级</t>
  </si>
  <si>
    <t>主题域</t>
  </si>
  <si>
    <t>表英文名</t>
  </si>
  <si>
    <t>表中文名</t>
  </si>
  <si>
    <t>数据描述</t>
  </si>
  <si>
    <t>汇聚维度</t>
  </si>
  <si>
    <t>数据时间粒度</t>
  </si>
  <si>
    <t>最小时间分区</t>
  </si>
  <si>
    <t>计算位置</t>
  </si>
  <si>
    <t>是否同步</t>
  </si>
  <si>
    <t>生命周期（存储周期单位：天）</t>
  </si>
  <si>
    <t>前向表</t>
  </si>
  <si>
    <t>支撑应用/系统</t>
  </si>
  <si>
    <t>新建/升级</t>
  </si>
  <si>
    <t>备注</t>
  </si>
  <si>
    <t>同步数据库</t>
  </si>
  <si>
    <t>网络数据处理系统</t>
  </si>
  <si>
    <t>中间层</t>
  </si>
  <si>
    <t>15分钟</t>
  </si>
  <si>
    <t>前置</t>
  </si>
  <si>
    <t>是</t>
  </si>
  <si>
    <t>新建</t>
  </si>
  <si>
    <t>整合层</t>
  </si>
  <si>
    <t>核心</t>
  </si>
  <si>
    <t>小时</t>
  </si>
  <si>
    <t>天</t>
  </si>
  <si>
    <t>用户|小区</t>
  </si>
  <si>
    <t>小区</t>
  </si>
  <si>
    <t>维度层</t>
  </si>
  <si>
    <t>信令感知</t>
  </si>
  <si>
    <t>否</t>
  </si>
  <si>
    <t>45G流程码维表</t>
  </si>
  <si>
    <t>详单</t>
  </si>
  <si>
    <t>用户常驻</t>
  </si>
  <si>
    <t>5G_DPI_N1N2基础维度指标裁剪共享小时表</t>
  </si>
  <si>
    <t>目标表基本信息描述</t>
  </si>
  <si>
    <t>目标表英文名</t>
  </si>
  <si>
    <t>目标表中文名</t>
  </si>
  <si>
    <t>数据频度</t>
  </si>
  <si>
    <t>模型主键</t>
  </si>
  <si>
    <t>推送数据库</t>
  </si>
  <si>
    <t>源表基本信息描述</t>
  </si>
  <si>
    <t>来源系统</t>
  </si>
  <si>
    <t>源表英文名</t>
  </si>
  <si>
    <t>源表中文名</t>
  </si>
  <si>
    <t>别名</t>
  </si>
  <si>
    <t>任务描述</t>
  </si>
  <si>
    <t>是否主表</t>
  </si>
  <si>
    <t>A</t>
  </si>
  <si>
    <t>详细字段信息</t>
  </si>
  <si>
    <t>PDM字段英文名</t>
  </si>
  <si>
    <t>PDM字段类型</t>
  </si>
  <si>
    <t>PDM字段中文名（说明）</t>
  </si>
  <si>
    <t>源表名</t>
  </si>
  <si>
    <t>源字段英文名</t>
  </si>
  <si>
    <t>算法加工逻辑</t>
  </si>
  <si>
    <t>关联与过滤条件</t>
  </si>
  <si>
    <t>字段属性</t>
  </si>
  <si>
    <t>单位</t>
  </si>
  <si>
    <t>取值范围</t>
  </si>
  <si>
    <t>day</t>
  </si>
  <si>
    <t>string</t>
  </si>
  <si>
    <t>日期</t>
  </si>
  <si>
    <t>直取</t>
  </si>
  <si>
    <t>无</t>
  </si>
  <si>
    <t>int</t>
  </si>
  <si>
    <t>interface</t>
  </si>
  <si>
    <t>接口类型</t>
  </si>
  <si>
    <t>provincecode</t>
  </si>
  <si>
    <t>省编码</t>
  </si>
  <si>
    <t>p_provincecode</t>
  </si>
  <si>
    <t>citycode</t>
  </si>
  <si>
    <t>districtcode</t>
  </si>
  <si>
    <t>province</t>
  </si>
  <si>
    <t>省名称</t>
  </si>
  <si>
    <t>city</t>
  </si>
  <si>
    <t>地市名称</t>
  </si>
  <si>
    <t>district</t>
  </si>
  <si>
    <t>区县名称</t>
  </si>
  <si>
    <t>cellname</t>
  </si>
  <si>
    <t>cellkey</t>
  </si>
  <si>
    <t>小区cellkey</t>
  </si>
  <si>
    <t>tai</t>
  </si>
  <si>
    <t>用户imsi</t>
  </si>
  <si>
    <t>msisdn</t>
  </si>
  <si>
    <t>用户号码</t>
  </si>
  <si>
    <t>home_province</t>
  </si>
  <si>
    <t>0,1</t>
  </si>
  <si>
    <t>bigint</t>
  </si>
  <si>
    <t>指标</t>
  </si>
  <si>
    <t>&gt;=0</t>
  </si>
  <si>
    <t>count(1)</t>
  </si>
  <si>
    <t>double</t>
  </si>
  <si>
    <t>省分区</t>
  </si>
  <si>
    <t>天分区</t>
  </si>
  <si>
    <t>小时分区</t>
  </si>
  <si>
    <t>15分钟分区</t>
  </si>
  <si>
    <t>B</t>
  </si>
  <si>
    <t>imsi</t>
  </si>
  <si>
    <t>城市编码</t>
  </si>
  <si>
    <t>区县编码</t>
  </si>
  <si>
    <t>城市名称</t>
  </si>
  <si>
    <t>基站ID</t>
  </si>
  <si>
    <t>cellid</t>
  </si>
  <si>
    <t>小区ID</t>
  </si>
  <si>
    <t>ms</t>
  </si>
  <si>
    <t>记录数</t>
  </si>
  <si>
    <t>&gt;0</t>
  </si>
  <si>
    <t>min_starttime</t>
  </si>
  <si>
    <t>max_endtime</t>
  </si>
  <si>
    <t>sum(record_cnt)</t>
  </si>
  <si>
    <t>次</t>
  </si>
  <si>
    <t>C</t>
  </si>
  <si>
    <t>imei</t>
  </si>
  <si>
    <t>min(min_starttime)</t>
  </si>
  <si>
    <t>max(max_endtime)</t>
  </si>
  <si>
    <t>维表</t>
  </si>
  <si>
    <t>process_class</t>
  </si>
  <si>
    <t>流程分类</t>
  </si>
  <si>
    <t>problem_demarcation</t>
  </si>
  <si>
    <t>问题定界</t>
  </si>
  <si>
    <t>content</t>
  </si>
  <si>
    <t>原因描述</t>
  </si>
  <si>
    <t>normal_flag</t>
  </si>
  <si>
    <t>正常流程标志（1：正常，0：异常）</t>
  </si>
  <si>
    <t>维表数据</t>
  </si>
  <si>
    <t>主键字段</t>
  </si>
  <si>
    <t>SMS</t>
  </si>
  <si>
    <t>绿色字段</t>
  </si>
  <si>
    <t>procedure_type</t>
  </si>
  <si>
    <t>流程类型
procedure_type</t>
  </si>
  <si>
    <t>procedure_type_name</t>
  </si>
  <si>
    <t>流程类型
映射值</t>
  </si>
  <si>
    <t>keyword</t>
  </si>
  <si>
    <t>Keyword_xx取值</t>
  </si>
  <si>
    <t>keyword_desc</t>
  </si>
  <si>
    <t>Keyword
映射值</t>
  </si>
  <si>
    <t>remark</t>
  </si>
  <si>
    <t>Sevice Request</t>
  </si>
  <si>
    <t>main_process_flag</t>
  </si>
  <si>
    <t>是否主要流程</t>
  </si>
  <si>
    <t>process_name</t>
  </si>
  <si>
    <t>流程类型</t>
  </si>
  <si>
    <t>流程名称</t>
  </si>
  <si>
    <t>Attach</t>
  </si>
  <si>
    <t>TAU</t>
  </si>
  <si>
    <t>Detach</t>
  </si>
  <si>
    <t>PDN connectivity</t>
  </si>
  <si>
    <t>S1切出</t>
  </si>
  <si>
    <t>S1切入</t>
  </si>
  <si>
    <t>UE context release</t>
  </si>
  <si>
    <t>E-RAB release</t>
  </si>
  <si>
    <t>Reset</t>
  </si>
  <si>
    <t>Overload start</t>
  </si>
  <si>
    <t>Authentication</t>
  </si>
  <si>
    <t>关联条件：A.procedure_type=B.procedure_type</t>
  </si>
  <si>
    <t>D</t>
  </si>
  <si>
    <t>E</t>
  </si>
  <si>
    <t xml:space="preserve">必填字段。接口类型：
1：S1-U
2：S1-MME
3：S6a
4：S11
6：S5-C
14：L2TP
16：Gm信令面
28：Gm接口VoLTE会话xDR（Gm Session xDR）
29：Gm接口VoLTE切片xDR（Gm Slice xDR）
31：S1-U接口VoLTE切片xDR（S1-U Slice xDR）
35：Radius
50：N1N2
51：N4
52：N5
53：N7
54：N8
55：N10
56：N11
57：N12
58：N14
59：N15
66：N16
60：N22
61：N26
62：N40
63：N13
100：User Plane（5G SA指N3接口）
</t>
  </si>
  <si>
    <t>xdr_id</t>
  </si>
  <si>
    <t>永久用户标识。4G 填写用户IMSI。</t>
  </si>
  <si>
    <t>永久设备标识。4G填写IMEI/IMEISV。保持信令抽取的原样，无需进行IMEI和IMEISV间的转化。</t>
  </si>
  <si>
    <t>用户号码。</t>
  </si>
  <si>
    <t>rat</t>
  </si>
  <si>
    <t>RAT类型：取各接口码流中携带的值。如果接入类型为5G NR，将RAT值改写为10。</t>
  </si>
  <si>
    <t>用户的归属地省份，枚举定义参见附录G。对国际漫入用户时，该字段填写用户归属运营商PLMN。</t>
  </si>
  <si>
    <t>业务流程开始时间，UTC时间，从1970/1/1 00:00:00开始到当前的毫秒数。</t>
  </si>
  <si>
    <t>业务流程结束时间，UTC时间，从1970/1/1 00:00:00开始到当前的毫秒数。</t>
  </si>
  <si>
    <t>procedure_status</t>
  </si>
  <si>
    <t>request_cause</t>
  </si>
  <si>
    <t>标识流程失败响应消息中cause字段所对应的Cause Group。
失败原因类型，对于5G NAS流程：
1：5GMM
2：5GSM
对于NGAP流程：
1：Radio Network Layer
2：Transport Layer
3：NAS
4：Protocol
5：Misc
对于SMS流程：
1：CP Cause
2：RP Cause</t>
  </si>
  <si>
    <t>failure_cause</t>
  </si>
  <si>
    <t>流程失败响应消息中的值。
CauseValue，规范参见：
&gt; 5GMM具体CauseValue取值参见3GPP 24.501第9.11.3.2节Table 9.11.3.2.1；
&gt; 5GSM具体CauseValue取值参见3GPP 24.501第9.11.4.2节Table 9.11.4.2.1；
&gt; NGAP具体CauseValue取值参见3GPP 38.413第9.3.1.2节；
详见5.3.2.2.16</t>
  </si>
  <si>
    <t>辅助流程类型的关键参数信息，具体取值方式参见算法</t>
  </si>
  <si>
    <t>machine_ip_add_type</t>
  </si>
  <si>
    <t>other_tac</t>
  </si>
  <si>
    <t>失败原因类型</t>
  </si>
  <si>
    <t>失败原因</t>
  </si>
  <si>
    <t>procedure_class</t>
  </si>
  <si>
    <t>过程分类</t>
  </si>
  <si>
    <t>is_abnor_release</t>
  </si>
  <si>
    <t>是否异常释放（0：否，1：是）</t>
  </si>
  <si>
    <t>A|C</t>
  </si>
  <si>
    <t>is_normal_release</t>
  </si>
  <si>
    <t>是否正常释放（0：否，1：是）</t>
  </si>
  <si>
    <t>problem_position</t>
  </si>
  <si>
    <t>问题定位</t>
  </si>
  <si>
    <t>cause_description</t>
  </si>
  <si>
    <t>keyword流程描述</t>
  </si>
  <si>
    <t>流程类型编码，具体取值如下：
0： Registration
1： De-registration
2： Service Request
3： UE Configuration Update
4： SMS
30： PDU Session Establishment
31： PDU Session Modification
32： PDU Session Release
60： N2 HO Out
61： N2 HO In
62： N2 HO Cancel
63： Xn HO
64： UE Context Release
73： UE Capability Info Indication
74： UE Radio Capability Check
75： Trace Start
76： Deactivate Trace
77： Cell traffic Trace
78： NG Reset
79： Error indication
80： NG Setup
81： RAN Configuration Update
82： AMF Configuration Update
83： Overload Start
84： Overload Stop</t>
  </si>
  <si>
    <t>abnor_release_cnt</t>
  </si>
  <si>
    <t>异常释放次数</t>
  </si>
  <si>
    <t>sum(is_abnor_release)</t>
  </si>
  <si>
    <t>normal_release_cnt</t>
  </si>
  <si>
    <t>正常释放次数</t>
  </si>
  <si>
    <t>sum(is_normal_release)</t>
  </si>
  <si>
    <t>procedure_normal_cnt</t>
  </si>
  <si>
    <t>正常业务流程次数</t>
  </si>
  <si>
    <t>sum(normal_flag)</t>
  </si>
  <si>
    <t>流程时延</t>
  </si>
  <si>
    <t>最小开始时间(时间戳)</t>
  </si>
  <si>
    <t>min(procedure_start_time)</t>
  </si>
  <si>
    <t>时间戳</t>
  </si>
  <si>
    <t>最大结束时间(时间戳)</t>
  </si>
  <si>
    <t>max(procedure_end_time)</t>
  </si>
  <si>
    <t>省市编码及名称码表</t>
  </si>
  <si>
    <t>按照provincecode先去重，只保留省份编码及省名称</t>
  </si>
  <si>
    <t>province_name</t>
  </si>
  <si>
    <t>关联回填</t>
  </si>
  <si>
    <t>地市编码</t>
  </si>
  <si>
    <t>cell名称</t>
  </si>
  <si>
    <t>用户号码（字符串格式）</t>
  </si>
  <si>
    <t>tinyint</t>
  </si>
  <si>
    <t>接入类型</t>
  </si>
  <si>
    <t>quarter_cnt</t>
  </si>
  <si>
    <t>驻留时刻数</t>
  </si>
  <si>
    <t>count(distinct quarter)</t>
  </si>
  <si>
    <t>1,2,3,4</t>
  </si>
  <si>
    <t>all_total_quarter_cnt</t>
  </si>
  <si>
    <t>全天驻留时刻数</t>
  </si>
  <si>
    <t>sum(quarter_cnt)</t>
  </si>
  <si>
    <t>day_quarter_cnt</t>
  </si>
  <si>
    <t>白天驻留时刻数</t>
  </si>
  <si>
    <t>sum(case when (hour &gt;= 9 and hour &lt;= 11) or (hour &gt;= 14 and hour &lt;= 17)  then quarter_cnt else 0 end)</t>
  </si>
  <si>
    <t>night_quarter_cnt</t>
  </si>
  <si>
    <t>夜晚驻留时刻数</t>
  </si>
  <si>
    <t>[1,40]</t>
  </si>
  <si>
    <t>all_day_record_cnt</t>
  </si>
  <si>
    <t>全天n1n2信令数</t>
  </si>
  <si>
    <t>day_record_cnt</t>
  </si>
  <si>
    <t>白天n1n2信令数</t>
  </si>
  <si>
    <t>sum(case when (hour &gt;= 9 and hour &lt;= 11) or (hour &gt;= 14 and hour &lt;= 17)  then record_cnt else 0 end)</t>
  </si>
  <si>
    <t>night_record_cnt</t>
  </si>
  <si>
    <t>夜晚n1n2信令数</t>
  </si>
  <si>
    <t>sum(case when (hour &gt;= 0 and hour &lt;= 6) or (hour &gt;= 21 and hour &lt;= 23)  then record_cnt else 0 end)</t>
  </si>
  <si>
    <t>is_day_resident_d</t>
  </si>
  <si>
    <t>是否白天常驻（1为常驻，0为非常驻）</t>
  </si>
  <si>
    <t>case when sum(case when (hour &gt;= 9 and hour &lt;= 11) or (hour &gt;= 14 and hour &lt;= 17)  then quarter_cnt else 0 end) &gt;= 6 then 1 else 0 end</t>
  </si>
  <si>
    <t>is_night_resident_d</t>
  </si>
  <si>
    <t>是否夜晚常驻（1为常驻，0为非常驻）</t>
  </si>
  <si>
    <t>case when sum(case when (hour &gt;= 0 and hour &lt;= 6) or (hour &gt;= 21 and hour &lt;= 23)  then quarter_cnt else 0 end) &gt;= 7 then 1 else 0 end</t>
  </si>
  <si>
    <t>只保留满足周粒度常驻的数据，即sum(is_all_resident_d + is_day_resident_d + is_night_resident_d)&gt;0</t>
  </si>
  <si>
    <t>周粒度驻留时刻数</t>
  </si>
  <si>
    <t>sum(all_total_quarter_cnt)</t>
  </si>
  <si>
    <t>周粒度白天驻留时刻数</t>
  </si>
  <si>
    <t>sum(day_quarter_cnt)</t>
  </si>
  <si>
    <t>[1,168]</t>
  </si>
  <si>
    <t>周粒度夜晚驻留时刻数</t>
  </si>
  <si>
    <t>sum(night_quarter_cnt)</t>
  </si>
  <si>
    <t>[1,280]</t>
  </si>
  <si>
    <t>sum(all_day_record_cnt)</t>
  </si>
  <si>
    <t>sum(day_record_cnt)</t>
  </si>
  <si>
    <t>sum(night_record_cnt)</t>
  </si>
  <si>
    <t>是否周粒度常驻（1为常驻，0为非常驻）</t>
  </si>
  <si>
    <t>case when sum(is_all_resident_d) &gt;= 4 then 1 else 0 end</t>
  </si>
  <si>
    <t>是否周粒度白天常驻（1为常驻，0为非常驻）</t>
  </si>
  <si>
    <t>case when sum(is_day_resident_d) &gt;= 4 then 1 else 0 end</t>
  </si>
  <si>
    <t>是否周粒度夜晚常驻（1为常驻，0为非常驻）</t>
  </si>
  <si>
    <t>case when sum(is_night_resident_d) &gt;= 4 then 1 else 0 end</t>
  </si>
  <si>
    <t>sum(abnor_release_cnt)</t>
  </si>
  <si>
    <t>sum(normal_release_cnt)</t>
  </si>
  <si>
    <t>sum(procedure_normal_cnt)</t>
  </si>
  <si>
    <t>异常业务流程次数</t>
  </si>
  <si>
    <t>sum(nvl(record_cnt,0)-nvl(procedure_normal_cnt,0))</t>
  </si>
  <si>
    <t>归属省份编码</t>
  </si>
  <si>
    <t>RAT类型</t>
  </si>
  <si>
    <t>基站IP地址</t>
  </si>
  <si>
    <t>APN</t>
  </si>
  <si>
    <t>IMSI号</t>
  </si>
  <si>
    <t>IMEI号</t>
  </si>
  <si>
    <t>流程失败响应消息</t>
  </si>
  <si>
    <t>失败次数</t>
  </si>
  <si>
    <t>业务请求成功次数</t>
  </si>
  <si>
    <t>业务请求失败次数</t>
  </si>
  <si>
    <t>业务请求超时次数</t>
  </si>
  <si>
    <t>sms_request_cnt</t>
  </si>
  <si>
    <t>sms_succ_cnt</t>
  </si>
  <si>
    <t>sms_fail_cnt</t>
  </si>
  <si>
    <t>sms_timeout_cnt</t>
  </si>
  <si>
    <t>procedure_succ_cnt</t>
  </si>
  <si>
    <t>procedure_fail_cnt</t>
  </si>
  <si>
    <t>procedure_timeout_cnt</t>
  </si>
  <si>
    <t>异常释放次数(掉线)</t>
  </si>
  <si>
    <t/>
  </si>
  <si>
    <t>业务请求总时延</t>
  </si>
  <si>
    <t>sms_request_sum</t>
  </si>
  <si>
    <t>sms_success_sum</t>
  </si>
  <si>
    <t>sms_fail_sum</t>
  </si>
  <si>
    <t>sms_timeout_sum</t>
  </si>
  <si>
    <t>用户imei</t>
  </si>
  <si>
    <t>record_cnt</t>
    <phoneticPr fontId="23" type="noConversion"/>
  </si>
  <si>
    <t>p_provincecode</t>
    <phoneticPr fontId="23" type="noConversion"/>
  </si>
  <si>
    <t>直取</t>
    <phoneticPr fontId="23" type="noConversion"/>
  </si>
  <si>
    <t>p_date</t>
    <phoneticPr fontId="23" type="noConversion"/>
  </si>
  <si>
    <t>维度</t>
    <phoneticPr fontId="23" type="noConversion"/>
  </si>
  <si>
    <t>无</t>
    <phoneticPr fontId="23" type="noConversion"/>
  </si>
  <si>
    <t>指标</t>
    <phoneticPr fontId="23" type="noConversion"/>
  </si>
  <si>
    <t>cellkey</t>
    <phoneticPr fontId="23" type="noConversion"/>
  </si>
  <si>
    <t>imsi</t>
    <phoneticPr fontId="23" type="noConversion"/>
  </si>
  <si>
    <t>procedure_name</t>
    <phoneticPr fontId="23" type="noConversion"/>
  </si>
  <si>
    <t>abnor_release_cnt</t>
    <phoneticPr fontId="23" type="noConversion"/>
  </si>
  <si>
    <t>normal_release_cnt</t>
    <phoneticPr fontId="23" type="noConversion"/>
  </si>
  <si>
    <t>is_all_resident_w</t>
    <phoneticPr fontId="23" type="noConversion"/>
  </si>
  <si>
    <t>is_day_resident_w</t>
    <phoneticPr fontId="23" type="noConversion"/>
  </si>
  <si>
    <t>is_night_resident_w</t>
    <phoneticPr fontId="23" type="noConversion"/>
  </si>
  <si>
    <t>failure_cause</t>
    <phoneticPr fontId="23" type="noConversion"/>
  </si>
  <si>
    <t>procedure_abnor_cnt</t>
    <phoneticPr fontId="23" type="noConversion"/>
  </si>
  <si>
    <t>cfg_s1mme_keyword_type</t>
  </si>
  <si>
    <t>cfg_s1mme_keyword_type</t>
    <phoneticPr fontId="23" type="noConversion"/>
  </si>
  <si>
    <t>s1mme关键字编码</t>
  </si>
  <si>
    <t>s1mme关键字编码</t>
    <phoneticPr fontId="23" type="noConversion"/>
  </si>
  <si>
    <t>新建</t>
    <phoneticPr fontId="23" type="noConversion"/>
  </si>
  <si>
    <t>keyword_type</t>
  </si>
  <si>
    <t>字段名称</t>
  </si>
  <si>
    <t>Keyword</t>
  </si>
  <si>
    <t>EPS attach</t>
  </si>
  <si>
    <t>EPS attach type，参见3GPP 24.301 9.9.3.11</t>
  </si>
  <si>
    <t>combined EPS/IMSI attach</t>
  </si>
  <si>
    <t>EPS RLOS attach (NOTE)</t>
  </si>
  <si>
    <t>EPS emergency attach</t>
  </si>
  <si>
    <t>reserved</t>
  </si>
  <si>
    <t>mobile originating CS fallback or 1xCS fallback</t>
  </si>
  <si>
    <t>Service type，参见3GPP 24.301 9.9.3.27</t>
  </si>
  <si>
    <t>mobile terminating CS fallback or 1xCS fallback</t>
  </si>
  <si>
    <t>mobile originating CS fallback emergency call or 1xCS fallback emergency call</t>
  </si>
  <si>
    <t>unused; shall be interpreted as "mobile originating CS fallback or 1xCS fallback", if received by the network</t>
  </si>
  <si>
    <t>packet services via S1</t>
  </si>
  <si>
    <t>unused; shall be interpreted as "packet services via S1", if received by the network</t>
  </si>
  <si>
    <t>Paging</t>
  </si>
  <si>
    <t>寻呼类型：IMSI</t>
  </si>
  <si>
    <t>寻呼类型：S-TMSI</t>
  </si>
  <si>
    <t>TA updating</t>
  </si>
  <si>
    <t>EPS update type，参见3GPP 24.301 9.9.3.14</t>
  </si>
  <si>
    <t>combined TA/LA updating</t>
  </si>
  <si>
    <t>combined TA/LA updating with IMSI attach</t>
  </si>
  <si>
    <t>periodic updating</t>
  </si>
  <si>
    <t>unused; shall be interpreted as "TA updating", if received by the network.</t>
  </si>
  <si>
    <t>Detach type，参见3GPP 24.301 9.9.3.7</t>
  </si>
  <si>
    <t>协议不全，找不到</t>
  </si>
  <si>
    <t>Request type，参见Table 10.5.173/3GPP TS 24.008</t>
  </si>
  <si>
    <t>EPSbearerresourceallocation</t>
  </si>
  <si>
    <t>0~255</t>
  </si>
  <si>
    <t>EPS bearer 激活或修改Cause</t>
  </si>
  <si>
    <t>EPSbearerresourcemodify</t>
  </si>
  <si>
    <t>EPSbearercontextdeactivation</t>
  </si>
  <si>
    <t>EPSbearercontextmodification</t>
  </si>
  <si>
    <t>DedicatedEPSbearercontextactivation</t>
  </si>
  <si>
    <t>Path Switch（X2切换)</t>
  </si>
  <si>
    <t>X2切换:IntraLTE</t>
  </si>
  <si>
    <t>S1切出：IntraLTE；</t>
  </si>
  <si>
    <t>S1切出：LTEtoUTRAN；</t>
  </si>
  <si>
    <t>S1切出：LTEtoGERAN；</t>
  </si>
  <si>
    <t>S1切入：IntraLTE；</t>
  </si>
  <si>
    <t>S1切入：UTRANtoLTE；</t>
  </si>
  <si>
    <t>S1切入：GERANtoLTE；</t>
  </si>
  <si>
    <t>Keyword1</t>
  </si>
  <si>
    <t>EPS attach type value的取值参见3GPP 24.301第9.9.3.11节</t>
  </si>
  <si>
    <t>ExtendedServiceRequest（CSFB）</t>
  </si>
  <si>
    <t>——</t>
  </si>
  <si>
    <t>CSFB请求</t>
  </si>
  <si>
    <t>Service type value的取值参见3GPP 24.301第9.9.3.27节</t>
  </si>
  <si>
    <t>EPS update type value的取值参见3GPP 24.301第9.9.3.14节</t>
  </si>
  <si>
    <t>Type of detach及Switch off的取值参见3GPP 24.301第9.9.3.7节</t>
  </si>
  <si>
    <t>流程由eNB发起</t>
  </si>
  <si>
    <t>流程由MME发起</t>
  </si>
  <si>
    <t>复位类型：S1 interface</t>
  </si>
  <si>
    <t>复位类型：Part of S1 interface</t>
  </si>
  <si>
    <t>null</t>
  </si>
  <si>
    <t>Traffic Load Reduction Indication，参见3GPP 36.413  9.2.3.36</t>
  </si>
  <si>
    <t>UE鉴权失败，并向网络发送Authentication failure消息</t>
  </si>
  <si>
    <t>网络鉴权失败，并向UE发送Authentication reject消息</t>
  </si>
  <si>
    <t>下行方向</t>
  </si>
  <si>
    <t>上行方向</t>
  </si>
  <si>
    <t>UE capability info indication</t>
  </si>
  <si>
    <t>载波个数</t>
  </si>
  <si>
    <t>对于支持CA的UE，标识下行方向同一频段内所支持的最大载波个数；</t>
  </si>
  <si>
    <t>对于不支持CA的UE，该字段留空。</t>
  </si>
  <si>
    <t>Keyword2</t>
  </si>
  <si>
    <t>EPS only</t>
  </si>
  <si>
    <t>EPS attach result value的取值参见3GPP 24.301第9.9.3.10节</t>
  </si>
  <si>
    <t>CN Domain类型：PS</t>
  </si>
  <si>
    <t>CN Domain类型：CS</t>
  </si>
  <si>
    <t>TA updated</t>
  </si>
  <si>
    <t>EPS update result value的取值参见3GPP 24.301第9.9.3.13节</t>
  </si>
  <si>
    <t>combined TA/LA updated</t>
  </si>
  <si>
    <t>TA updated and ISR activated (NOTE)</t>
  </si>
  <si>
    <t>combined TA/LA updated and ISR activated (NOTE)</t>
  </si>
  <si>
    <t>流程由UE发起（ue to network)</t>
  </si>
  <si>
    <t>流程由网络侧发起(network to ue)</t>
  </si>
  <si>
    <t>PDN连接类型：数据业务</t>
  </si>
  <si>
    <t>PDN连接类型：VoLTE业务</t>
  </si>
  <si>
    <t>S1 handover out</t>
  </si>
  <si>
    <t>标识HANDOVER REQUIRED消息中的“SRVCC HO Indication”IE信息：PS and CS</t>
  </si>
  <si>
    <t>标识HANDOVER REQUIRED消息中的“SRVCC HO Indication”IE信息：CS only</t>
  </si>
  <si>
    <t>Keyword3</t>
  </si>
  <si>
    <t>CS Voice only</t>
  </si>
  <si>
    <t>Voice domain preference for E-UTRAN的取值参见3GPP 24.008 10.5.5.28 Table 10.5.166A</t>
  </si>
  <si>
    <t>IMS PS Voice only</t>
  </si>
  <si>
    <t>CS voice preferred, IMS PS Voice as secondary</t>
  </si>
  <si>
    <t>IMS PS voice preferred, CS Voice as secondary</t>
  </si>
  <si>
    <t>Keyword4</t>
  </si>
  <si>
    <t>no additional information</t>
  </si>
  <si>
    <t>Additional update result value的取值参见3GPP 24.301 9.9.3.0A  Table 9.9.3.0A.1</t>
  </si>
  <si>
    <t>CS Fallback not preferred</t>
  </si>
  <si>
    <t>SMS only</t>
  </si>
  <si>
    <t>MsgFlag</t>
  </si>
  <si>
    <t>NAS: ATTACH REQUEST</t>
  </si>
  <si>
    <t>NAS: ATTACH ACCEPT</t>
  </si>
  <si>
    <t>NAS: ATTACH COMPLETE</t>
  </si>
  <si>
    <t>NAS: ATTACH REJECT</t>
  </si>
  <si>
    <t>NAS: TRACKING AREA UPDATE REQUEST</t>
  </si>
  <si>
    <t>NAS: TRACKING AREA UPDATE ACCEPT</t>
  </si>
  <si>
    <t>NAS: TRACKING AREA UPDATE COMPLETE</t>
  </si>
  <si>
    <t>NAS: TRACKING AREA UPDATE REJECT</t>
  </si>
  <si>
    <t>S1 handover in</t>
  </si>
  <si>
    <t>S1AP: HANDOVER REQUEST</t>
  </si>
  <si>
    <t>S1AP: HANDOVER REQUEST ACK</t>
  </si>
  <si>
    <t>S1AP: HANDOVER FAILURE</t>
  </si>
  <si>
    <t>S1AP: HANDOVER NOTIFY</t>
  </si>
  <si>
    <t>S1AP: UE CONTEXT RELEASE REQUEST</t>
  </si>
  <si>
    <t>S1AP: UE CONTEXT RELEASE COMMAND</t>
  </si>
  <si>
    <t>S1AP: UE CONTEXT RELEASE COMPLETE</t>
  </si>
  <si>
    <t>NAS: AUTHENTICATION REQUEST</t>
  </si>
  <si>
    <t>NAS: AUTHENTICATION RESPONSE</t>
  </si>
  <si>
    <t>NAS: AUTHENTICATION FAILURE</t>
  </si>
  <si>
    <t>NAS: AUTHENTICATION REJECT</t>
  </si>
  <si>
    <t>fact_lte_dpi_s1mme_q</t>
  </si>
  <si>
    <t>fact_lte_dpi_s1mme_q</t>
    <phoneticPr fontId="23" type="noConversion"/>
  </si>
  <si>
    <t>4G_DPI_s1mme整合层15分钟表</t>
    <phoneticPr fontId="23" type="noConversion"/>
  </si>
  <si>
    <t>ods_pscp_s1mme_front_5min</t>
    <phoneticPr fontId="23" type="noConversion"/>
  </si>
  <si>
    <t>4G_DPI_s1mme整合层15分钟表</t>
    <phoneticPr fontId="23" type="noConversion"/>
  </si>
  <si>
    <t>4G_DPI_s1mme贴源层详单表</t>
    <phoneticPr fontId="23" type="noConversion"/>
  </si>
  <si>
    <t>cfg_s1mme_cause_code_list</t>
    <phoneticPr fontId="23" type="noConversion"/>
  </si>
  <si>
    <t>s1mme定界定位编码表</t>
    <phoneticPr fontId="23" type="noConversion"/>
  </si>
  <si>
    <t>lte_cm_projdata_refactor</t>
    <phoneticPr fontId="23" type="noConversion"/>
  </si>
  <si>
    <t>先按cellkey去重</t>
    <phoneticPr fontId="23" type="noConversion"/>
  </si>
  <si>
    <t>过滤条件：net_type = '4G'</t>
    <phoneticPr fontId="23" type="noConversion"/>
  </si>
  <si>
    <t>smallint</t>
  </si>
  <si>
    <t>procedure_starttime</t>
  </si>
  <si>
    <t>procedure_endtime</t>
  </si>
  <si>
    <t>mme_ue_s1apid</t>
  </si>
  <si>
    <t>guti</t>
  </si>
  <si>
    <t>target_id</t>
  </si>
  <si>
    <t>user_ipv4</t>
  </si>
  <si>
    <t>user_ipv6</t>
  </si>
  <si>
    <t>mmeipadd</t>
  </si>
  <si>
    <t>enbipadd</t>
  </si>
  <si>
    <t>mmeport</t>
  </si>
  <si>
    <t>enbport</t>
  </si>
  <si>
    <t>ecgi</t>
  </si>
  <si>
    <t>apn</t>
  </si>
  <si>
    <t>other_eci</t>
  </si>
  <si>
    <t>old_mme_group_id</t>
  </si>
  <si>
    <t>old_mme_code</t>
  </si>
  <si>
    <t>old_m_tmsi</t>
  </si>
  <si>
    <t>mmegroupid</t>
  </si>
  <si>
    <t>mmecode</t>
  </si>
  <si>
    <t>m_tmsi</t>
  </si>
  <si>
    <t>tmsi</t>
  </si>
  <si>
    <t>enb_ues1apid</t>
  </si>
  <si>
    <t>psm_status</t>
  </si>
  <si>
    <t>t3324</t>
  </si>
  <si>
    <t>nbdatamode</t>
  </si>
  <si>
    <t>nbippdntype</t>
  </si>
  <si>
    <t>nbcelevel</t>
  </si>
  <si>
    <t>msgflag</t>
  </si>
  <si>
    <t>request_cause_group</t>
  </si>
  <si>
    <t>failure_cause_group</t>
  </si>
  <si>
    <t>keyword_1</t>
  </si>
  <si>
    <t>keyword_2</t>
  </si>
  <si>
    <t>keyword_3</t>
  </si>
  <si>
    <t>keyword_4</t>
  </si>
  <si>
    <t>bearer_1_request_cause_group</t>
  </si>
  <si>
    <t>bearer_1_request_cause_specific</t>
  </si>
  <si>
    <t>bearer_1_failure_cause_group</t>
  </si>
  <si>
    <t>bearer_1_failure_cause_specific</t>
  </si>
  <si>
    <t>csfb_indication</t>
  </si>
  <si>
    <t>ue_centric</t>
  </si>
  <si>
    <t>ue_srvcc_support</t>
  </si>
  <si>
    <t>csfb_response</t>
  </si>
  <si>
    <t>ue_dcnr</t>
  </si>
  <si>
    <t>gnb_ip_addr</t>
  </si>
  <si>
    <t>nr_restriction</t>
  </si>
  <si>
    <t>lte_band_list</t>
  </si>
  <si>
    <t>nr_band_list</t>
  </si>
  <si>
    <t>nr_band_combination</t>
  </si>
  <si>
    <t>eps_bearer_number</t>
  </si>
  <si>
    <t>bearer_id</t>
  </si>
  <si>
    <t>bearer_type</t>
  </si>
  <si>
    <t>bearer_qci</t>
  </si>
  <si>
    <t>bearerstatus</t>
  </si>
  <si>
    <t>enb_gtp_teid</t>
  </si>
  <si>
    <t>sgw_gtp_teid</t>
  </si>
  <si>
    <t>n1_mode</t>
    <phoneticPr fontId="23" type="noConversion"/>
  </si>
  <si>
    <t>int</t>
    <phoneticPr fontId="23" type="noConversion"/>
  </si>
  <si>
    <t>解析服务器内唯一的XDR编号</t>
  </si>
  <si>
    <t>用户msisdn</t>
  </si>
  <si>
    <t>漫入用户的归属地省份</t>
  </si>
  <si>
    <t>消息流程</t>
  </si>
  <si>
    <t>流程状态:0：成功； 1：失败； 255：超时</t>
  </si>
  <si>
    <t>请求消息中所包含的Cause值类型</t>
  </si>
  <si>
    <t>流程失败响应消息中的Cause值</t>
  </si>
  <si>
    <t>辅助流程类型的关键参数信息</t>
  </si>
  <si>
    <t>MME UE S1AP ID</t>
  </si>
  <si>
    <t>用户全球唯一临时标识 ，全部字段转为10进制</t>
  </si>
  <si>
    <t>解析Target Target Target Target ID ，
如果是Target eNB-ID 则上报 S1 切出 话单中有效</t>
  </si>
  <si>
    <t>终端用户的 IP v4地址 ，如无则填全F</t>
  </si>
  <si>
    <t>终端用户的IP v6 地址，如无则填全 F</t>
  </si>
  <si>
    <t>设备IP地址类型：0x01：IPV4 0x02:IPV6</t>
  </si>
  <si>
    <t>MME信令面IP地址</t>
  </si>
  <si>
    <t>eNB信令面或用户面IP地址</t>
  </si>
  <si>
    <t>MME或SGW端口</t>
  </si>
  <si>
    <t>ENODEB端口</t>
  </si>
  <si>
    <t>UE所在小区的ECGI</t>
  </si>
  <si>
    <t>对端小区的TAC，只在切换过程填写</t>
  </si>
  <si>
    <t>对端小区的ECI，只在切换过程填写</t>
  </si>
  <si>
    <t>原MME组标识，UE的GUTI发生变化时填写否则全F</t>
  </si>
  <si>
    <t>原MME号，UE的GUTI发生变化时填写否则全F</t>
  </si>
  <si>
    <t>UE的原M-TMSI，UE的GUTI发生变化时填写否则全F</t>
  </si>
  <si>
    <t>当前MME组标识</t>
  </si>
  <si>
    <t>当前MME号</t>
  </si>
  <si>
    <t>当前M-TMSI</t>
  </si>
  <si>
    <t>2G/3G系统为UE分配的TMSI，针对联合Attach及TAU过程填写，如无则填全F</t>
  </si>
  <si>
    <t>省电模式状态</t>
  </si>
  <si>
    <t>进入PSM模式定时器</t>
  </si>
  <si>
    <t>TAU周期请求定时器(PSM)</t>
  </si>
  <si>
    <t>信息标识</t>
  </si>
  <si>
    <t>流程的请求消息中所包含的Cause分组</t>
  </si>
  <si>
    <t>流程失败响应消息中的Cause分组</t>
  </si>
  <si>
    <t>关键值1</t>
  </si>
  <si>
    <t>关键值2</t>
  </si>
  <si>
    <t>关键值3</t>
  </si>
  <si>
    <t>关键值4</t>
  </si>
  <si>
    <t>承载1操作请求消息中的cause分组</t>
  </si>
  <si>
    <t>承载1操作请求消息中的cause分值</t>
  </si>
  <si>
    <t>承载操作失败消息中的cause分组</t>
  </si>
  <si>
    <t>承载操作失败消息中的cause分值</t>
  </si>
  <si>
    <t>CSFB指示</t>
  </si>
  <si>
    <t>UE中心</t>
  </si>
  <si>
    <t>UE SRVCC支持能力</t>
  </si>
  <si>
    <t>当终端 SA 开关已打开，则 N1 MODE=1；当终端未打开 SA 开关，则 N1 MODE=0</t>
  </si>
  <si>
    <t>承载的EPS bearer ID取值范围从 0到 15</t>
  </si>
  <si>
    <t>承载的类型： 1.default bearer 2.dedicated bearer</t>
  </si>
  <si>
    <t>承载的QCI，取值范围从 1到 9</t>
  </si>
  <si>
    <t>承载的操作结果：1.建立成功2.建立失败3.修改成功
4.修改失败5.释放成功6.释放失败</t>
  </si>
  <si>
    <t>承载对应的eNB侧GTP-TEID</t>
  </si>
  <si>
    <t>承载对应SGW侧GTP-TEID</t>
  </si>
  <si>
    <t>承载操作请求消息中的cause值</t>
  </si>
  <si>
    <t>承载操作失败消息中的cause值</t>
  </si>
  <si>
    <t>基站TAC</t>
    <phoneticPr fontId="23" type="noConversion"/>
  </si>
  <si>
    <t>APN地址</t>
    <phoneticPr fontId="23" type="noConversion"/>
  </si>
  <si>
    <t>eNODEB UE S1AP ID号</t>
    <phoneticPr fontId="23" type="noConversion"/>
  </si>
  <si>
    <t>基站ID</t>
    <phoneticPr fontId="23" type="noConversion"/>
  </si>
  <si>
    <t>小区ID</t>
    <phoneticPr fontId="23" type="noConversion"/>
  </si>
  <si>
    <t>ciot_support</t>
    <phoneticPr fontId="23" type="noConversion"/>
  </si>
  <si>
    <t>CIOT支持类型。bit0：S1-U Support；bit1：CP-Support；bit2：UP-Support</t>
    <phoneticPr fontId="23" type="noConversion"/>
  </si>
  <si>
    <t>NB模式</t>
    <phoneticPr fontId="23" type="noConversion"/>
  </si>
  <si>
    <t>NB的PDN类型</t>
    <phoneticPr fontId="23" type="noConversion"/>
  </si>
  <si>
    <t>NB等级</t>
    <phoneticPr fontId="23" type="noConversion"/>
  </si>
  <si>
    <t>vops_option</t>
    <phoneticPr fontId="23" type="noConversion"/>
  </si>
  <si>
    <t>网络是否支持IMS VoPS</t>
    <phoneticPr fontId="23" type="noConversion"/>
  </si>
  <si>
    <t>CSFB响应情况</t>
    <phoneticPr fontId="23" type="noConversion"/>
  </si>
  <si>
    <t>是否支持双连接</t>
    <phoneticPr fontId="23" type="noConversion"/>
  </si>
  <si>
    <t>限制NR接入情况</t>
    <phoneticPr fontId="23" type="noConversion"/>
  </si>
  <si>
    <t>支持的LTE频带信息</t>
    <phoneticPr fontId="23" type="noConversion"/>
  </si>
  <si>
    <t>支持的NR频带信息</t>
    <phoneticPr fontId="23" type="noConversion"/>
  </si>
  <si>
    <t>标识UE所支持的NSA锚点与NR小区频段绑定能力</t>
    <phoneticPr fontId="23" type="noConversion"/>
  </si>
  <si>
    <t>承载信息的个数</t>
    <phoneticPr fontId="23" type="noConversion"/>
  </si>
  <si>
    <t>keyword1_desc</t>
  </si>
  <si>
    <t>keyword1流程描述</t>
  </si>
  <si>
    <t>keyword2_desc</t>
  </si>
  <si>
    <t>keyword3_desc</t>
  </si>
  <si>
    <t>keyword3流程描述</t>
  </si>
  <si>
    <t>keyword4_desc</t>
  </si>
  <si>
    <t>keyword4流程描述</t>
  </si>
  <si>
    <t>msgflag_desc</t>
  </si>
  <si>
    <t>msgflag流程描述</t>
  </si>
  <si>
    <t>A</t>
    <phoneticPr fontId="23" type="noConversion"/>
  </si>
  <si>
    <t>cfg_45g_procedure_type</t>
    <phoneticPr fontId="23" type="noConversion"/>
  </si>
  <si>
    <t>failure_cause</t>
    <phoneticPr fontId="23" type="noConversion"/>
  </si>
  <si>
    <t>NULL</t>
  </si>
  <si>
    <t>bearerfailure_cause</t>
    <phoneticPr fontId="23" type="noConversion"/>
  </si>
  <si>
    <t>bearer_request_cause</t>
    <phoneticPr fontId="23" type="noConversion"/>
  </si>
  <si>
    <t>request_cause</t>
    <phoneticPr fontId="23" type="noConversion"/>
  </si>
  <si>
    <t>keyword_desc</t>
    <phoneticPr fontId="23" type="noConversion"/>
  </si>
  <si>
    <t>cause_code</t>
    <phoneticPr fontId="23" type="noConversion"/>
  </si>
  <si>
    <t>关联条件：A.cause_code=C.reason_code</t>
    <phoneticPr fontId="23" type="noConversion"/>
  </si>
  <si>
    <t>enbid</t>
    <phoneticPr fontId="23" type="noConversion"/>
  </si>
  <si>
    <t>concat(enbid,"_",cellid)</t>
    <phoneticPr fontId="23" type="noConversion"/>
  </si>
  <si>
    <t>case when A.procedure_type = 20 and A.procedure_status = 0 and C.content in ('normal-release','user-inactivity') then 1 else 0 end</t>
    <phoneticPr fontId="23" type="noConversion"/>
  </si>
  <si>
    <t>case when A.procedure_type = 20  and C.drop_flag = 1 then 1 else 0 end</t>
    <phoneticPr fontId="23" type="noConversion"/>
  </si>
  <si>
    <t>直取</t>
    <phoneticPr fontId="23" type="noConversion"/>
  </si>
  <si>
    <t>关联条件：concat(A.enbid,"_",A.cellid)=E.reportcellkey</t>
    <phoneticPr fontId="23" type="noConversion"/>
  </si>
  <si>
    <t>小区关联回填</t>
    <phoneticPr fontId="23" type="noConversion"/>
  </si>
  <si>
    <t>keyword</t>
    <phoneticPr fontId="23" type="noConversion"/>
  </si>
  <si>
    <t>直取</t>
    <phoneticPr fontId="23" type="noConversion"/>
  </si>
  <si>
    <t>前置：7；核心：14</t>
    <phoneticPr fontId="23" type="noConversion"/>
  </si>
  <si>
    <t>4G_DPI_s1mme基础维度15分钟汇聚表(含定界定位)</t>
    <phoneticPr fontId="23" type="noConversion"/>
  </si>
  <si>
    <t>aggr_lte_dpi_s1mme_base_q</t>
    <phoneticPr fontId="23" type="noConversion"/>
  </si>
  <si>
    <t>fact_lte_dpi_s1mme_q</t>
    <phoneticPr fontId="23" type="noConversion"/>
  </si>
  <si>
    <t>enbid</t>
  </si>
  <si>
    <t>enodebname</t>
  </si>
  <si>
    <t>enodebname</t>
    <phoneticPr fontId="23" type="noConversion"/>
  </si>
  <si>
    <t>cellname</t>
    <phoneticPr fontId="23" type="noConversion"/>
  </si>
  <si>
    <t>基站名称</t>
    <phoneticPr fontId="23" type="noConversion"/>
  </si>
  <si>
    <t>小区名称</t>
    <phoneticPr fontId="23" type="noConversion"/>
  </si>
  <si>
    <t>imei</t>
    <phoneticPr fontId="23" type="noConversion"/>
  </si>
  <si>
    <t>cause_type</t>
    <phoneticPr fontId="23" type="noConversion"/>
  </si>
  <si>
    <t>failure_cause_group</t>
    <phoneticPr fontId="23" type="noConversion"/>
  </si>
  <si>
    <t>request_cause_group</t>
    <phoneticPr fontId="23" type="noConversion"/>
  </si>
  <si>
    <t>case when failure_cause_group &gt; 0 then failure_cause_group else request_cause_group end</t>
    <phoneticPr fontId="23" type="noConversion"/>
  </si>
  <si>
    <t>case when failure_cause &gt; 0 then failure_cause else request_cause end</t>
    <phoneticPr fontId="23" type="noConversion"/>
  </si>
  <si>
    <t>apn</t>
    <phoneticPr fontId="23" type="noConversion"/>
  </si>
  <si>
    <t>APN地址</t>
  </si>
  <si>
    <t>基站TAC</t>
  </si>
  <si>
    <t>other_eci</t>
    <phoneticPr fontId="23" type="noConversion"/>
  </si>
  <si>
    <t>t3412_ext</t>
    <phoneticPr fontId="23" type="noConversion"/>
  </si>
  <si>
    <t>置空</t>
    <phoneticPr fontId="23" type="noConversion"/>
  </si>
  <si>
    <t>n1_mode</t>
  </si>
  <si>
    <t>指标</t>
    <phoneticPr fontId="23" type="noConversion"/>
  </si>
  <si>
    <t>无</t>
    <phoneticPr fontId="23" type="noConversion"/>
  </si>
  <si>
    <t>0,1,null</t>
    <phoneticPr fontId="23" type="noConversion"/>
  </si>
  <si>
    <t>max(ue_dcnr)</t>
    <phoneticPr fontId="23" type="noConversion"/>
  </si>
  <si>
    <t>max(n1_mode)</t>
    <phoneticPr fontId="23" type="noConversion"/>
  </si>
  <si>
    <t>是否支持双连接</t>
  </si>
  <si>
    <t>tai</t>
    <phoneticPr fontId="23" type="noConversion"/>
  </si>
  <si>
    <t>460-11-58249</t>
    <phoneticPr fontId="23" type="noConversion"/>
  </si>
  <si>
    <t>avg(case when procedure_status = 1 and procedure_end_time &gt;= procedure_start_time and procedure_start_time &gt; 0  then procedure_end_time - procedure_start_time else null end)</t>
    <phoneticPr fontId="23" type="noConversion"/>
  </si>
  <si>
    <t>指标</t>
    <phoneticPr fontId="23" type="noConversion"/>
  </si>
  <si>
    <t>max(enodebname)</t>
    <phoneticPr fontId="23" type="noConversion"/>
  </si>
  <si>
    <t>max(cellname)</t>
    <phoneticPr fontId="23" type="noConversion"/>
  </si>
  <si>
    <t>aggr_lte_resident_usrcel_h</t>
  </si>
  <si>
    <t>aggr_lte_resident_usrcel_h</t>
    <phoneticPr fontId="23" type="noConversion"/>
  </si>
  <si>
    <t>4G_DPI_S1MME用户驻留小区小时表</t>
  </si>
  <si>
    <t>4G_DPI_S1MME用户驻留小区小时表</t>
    <phoneticPr fontId="23" type="noConversion"/>
  </si>
  <si>
    <t>aggr_lte_dpi_s1mme_base_q</t>
  </si>
  <si>
    <t>4G_DPI_s1mme基础维度15分钟汇聚表(含定界定位)</t>
  </si>
  <si>
    <t>imei</t>
    <phoneticPr fontId="23" type="noConversion"/>
  </si>
  <si>
    <t>小区cellkey</t>
    <phoneticPr fontId="23" type="noConversion"/>
  </si>
  <si>
    <t>永久用户标识</t>
    <phoneticPr fontId="23" type="noConversion"/>
  </si>
  <si>
    <t>永久设备标识</t>
    <phoneticPr fontId="23" type="noConversion"/>
  </si>
  <si>
    <t>使用前7天数据进行清洗</t>
    <phoneticPr fontId="23" type="noConversion"/>
  </si>
  <si>
    <t>对应现网共享核心系统的aggr_4g_resident_celusr_wd，字段名称存在变更（字段顺序无变化，相同含义的字段依然占据相同位置），字段与现网对应关系已标记</t>
    <phoneticPr fontId="23" type="noConversion"/>
  </si>
  <si>
    <t>cellkey</t>
    <phoneticPr fontId="23" type="noConversion"/>
  </si>
  <si>
    <t>province</t>
    <phoneticPr fontId="23" type="noConversion"/>
  </si>
  <si>
    <t>cfg_city</t>
    <phoneticPr fontId="23" type="noConversion"/>
  </si>
  <si>
    <t>关联条件：A.p_provincecode = C.provincecode</t>
    <phoneticPr fontId="23" type="noConversion"/>
  </si>
  <si>
    <t>province_name</t>
    <phoneticPr fontId="23" type="noConversion"/>
  </si>
  <si>
    <t>C</t>
    <phoneticPr fontId="23" type="noConversion"/>
  </si>
  <si>
    <t>关联回填</t>
    <phoneticPr fontId="23" type="noConversion"/>
  </si>
  <si>
    <t>1~96</t>
    <phoneticPr fontId="23" type="noConversion"/>
  </si>
  <si>
    <t>[1,24]</t>
    <phoneticPr fontId="23" type="noConversion"/>
  </si>
  <si>
    <t>aggr_lte_resident_usrcel_d</t>
  </si>
  <si>
    <t>aggr_lte_resident_usrcel_d</t>
    <phoneticPr fontId="23" type="noConversion"/>
  </si>
  <si>
    <t>5G_DPI_S1MME用户驻留小区天表</t>
    <phoneticPr fontId="23" type="noConversion"/>
  </si>
  <si>
    <t>B</t>
    <phoneticPr fontId="23" type="noConversion"/>
  </si>
  <si>
    <t>[1,672]</t>
    <phoneticPr fontId="23" type="noConversion"/>
  </si>
  <si>
    <t>all_day_s1mme_cnt</t>
  </si>
  <si>
    <t>day_s1mme_cnt</t>
  </si>
  <si>
    <t>night_s1mme_cnt</t>
  </si>
  <si>
    <t>周粒度s1mme信令数</t>
  </si>
  <si>
    <t>周粒度白天s1mme信令数</t>
  </si>
  <si>
    <t>周粒度夜晚s1mme信令数</t>
  </si>
  <si>
    <t>4G_DPI_S1MME用户驻留小区天表</t>
  </si>
  <si>
    <t>4G_DPI_S1MME用户常驻小区滚动周表</t>
  </si>
  <si>
    <t>4G_DPI_S1MME整合层15分钟表</t>
  </si>
  <si>
    <t>4G_DPI_S1MME基础维度15分钟汇聚表(含定界定位)</t>
  </si>
  <si>
    <t>用户|小区|APN|切片|切换目标小区|流程编码|流程状态|失败原因|keyword|定界|定位</t>
    <phoneticPr fontId="23" type="noConversion"/>
  </si>
  <si>
    <t>对应现网aggr_4g_resident_celusr_h</t>
    <phoneticPr fontId="23" type="noConversion"/>
  </si>
  <si>
    <t>对应现网aggr_4g_resident_celusr_d</t>
    <phoneticPr fontId="23" type="noConversion"/>
  </si>
  <si>
    <t>对应现网共享核心系统的aggr_4g_resident_celusr_wd，字段名称存在变更（字段顺序无变化，相同含义的字段依然占据相同位置），字段与现网对应关系已标记</t>
    <phoneticPr fontId="23" type="noConversion"/>
  </si>
  <si>
    <t>split(cellkey,"_")[0]</t>
    <phoneticPr fontId="23" type="noConversion"/>
  </si>
  <si>
    <t>split(cellkey,"_")[1]</t>
    <phoneticPr fontId="23" type="noConversion"/>
  </si>
  <si>
    <t>aggr_lte_dpi_s1mme_failcause_base_h</t>
    <phoneticPr fontId="23" type="noConversion"/>
  </si>
  <si>
    <t>aggr_lte_s1mme_failcause_base_refactor_h</t>
    <phoneticPr fontId="23" type="noConversion"/>
  </si>
  <si>
    <t>S1MME接口失败原因基础小时表</t>
  </si>
  <si>
    <t>S1MME接口失败原因基础共享小时表</t>
  </si>
  <si>
    <t>对应共享给移动业务感知保障系统aggr_lte_s1mme_failcause_base_h，字段名称及表结构无变化</t>
    <phoneticPr fontId="23" type="noConversion"/>
  </si>
  <si>
    <t>fail_cnt</t>
  </si>
  <si>
    <t>failure_cause_group</t>
    <phoneticPr fontId="23" type="noConversion"/>
  </si>
  <si>
    <t>流程编码类型</t>
    <phoneticPr fontId="23" type="noConversion"/>
  </si>
  <si>
    <t xml:space="preserve">流程状态
0：成功；
1：失败；
255：超时
</t>
    <phoneticPr fontId="23" type="noConversion"/>
  </si>
  <si>
    <t xml:space="preserve">过滤条件：(record_cnt - procedure_normal_cnt &gt; 0) or procedure_status in (1,255) </t>
    <phoneticPr fontId="23" type="noConversion"/>
  </si>
  <si>
    <t>过滤条件：procedure_status in (1,255)</t>
    <phoneticPr fontId="23" type="noConversion"/>
  </si>
  <si>
    <t>MMEIP地址</t>
    <phoneticPr fontId="23" type="noConversion"/>
  </si>
  <si>
    <t>业务请求尝试次数</t>
  </si>
  <si>
    <t>位置区更新请求次数</t>
  </si>
  <si>
    <t>位置区更新成功次数</t>
  </si>
  <si>
    <t>位置区更新失败次数</t>
  </si>
  <si>
    <t>位置区更新超时次数</t>
  </si>
  <si>
    <t>PDN连接建立请求次数</t>
  </si>
  <si>
    <t>PDN连接建立成功次数</t>
  </si>
  <si>
    <t>PDN连接建立失败次数</t>
  </si>
  <si>
    <t>x2切换请求次数</t>
  </si>
  <si>
    <t>Initial_context_setup成功次数</t>
  </si>
  <si>
    <t>Initial_context_setup失败次数</t>
  </si>
  <si>
    <t>UE上下文释放请求次数</t>
  </si>
  <si>
    <t>UE上下文释放成功次数</t>
  </si>
  <si>
    <t>UE上下文释放失败次数</t>
  </si>
  <si>
    <t>UE上下文释放超时次数</t>
  </si>
  <si>
    <t>e-rab修改请求次数</t>
  </si>
  <si>
    <t>e-rab修改成功次数</t>
  </si>
  <si>
    <t>e-rab修改失败次数</t>
  </si>
  <si>
    <t>e-rab修改超时次数</t>
  </si>
  <si>
    <t>控制面业务请求次数</t>
  </si>
  <si>
    <t>控制面业务成功次数</t>
  </si>
  <si>
    <t>控制面业务失败次数</t>
  </si>
  <si>
    <t>控制面业务超时次数</t>
  </si>
  <si>
    <t>NB终端上报覆盖等级值为0的次数</t>
  </si>
  <si>
    <t>NB终端上报覆盖等级值为1的次数</t>
  </si>
  <si>
    <t>NB终端上报覆盖等级值为2的次数</t>
  </si>
  <si>
    <t>NB终端上报覆盖等级值为其他的次数</t>
  </si>
  <si>
    <t>承载建立成功次数</t>
  </si>
  <si>
    <t>承载建立失败次数</t>
  </si>
  <si>
    <t>承载修改成功次数</t>
  </si>
  <si>
    <t>承载修改失败次数</t>
  </si>
  <si>
    <t>承载释放成功次数</t>
  </si>
  <si>
    <t>承载释放失败次数</t>
  </si>
  <si>
    <t>其他承载次数</t>
  </si>
  <si>
    <t>EPS附着请求次数</t>
  </si>
  <si>
    <t>EPS附着成功次数</t>
  </si>
  <si>
    <t>EPS附着失败次数</t>
  </si>
  <si>
    <t>EPS附着用户原因失败次数</t>
  </si>
  <si>
    <t>EPS紧急附着请求次数</t>
  </si>
  <si>
    <t>EPS紧急附着成功次数</t>
  </si>
  <si>
    <t>EPS紧急附着失败次数</t>
  </si>
  <si>
    <t>EPS紧急附着超时次数</t>
  </si>
  <si>
    <t>EPS紧急附着用户原因失败次数</t>
  </si>
  <si>
    <t>业务请求用户原因失败次数</t>
  </si>
  <si>
    <t>寻呼尝试次数</t>
  </si>
  <si>
    <t>寻呼成功次数</t>
  </si>
  <si>
    <t>寻呼失败次数</t>
  </si>
  <si>
    <t>EPS更新尝试次数</t>
  </si>
  <si>
    <t>EPS更新成功次数</t>
  </si>
  <si>
    <t>EPS更新失败次数</t>
  </si>
  <si>
    <t>EPS更新用户原因失败次数</t>
  </si>
  <si>
    <t>周期更新尝试次数</t>
  </si>
  <si>
    <t>周期更新成功次数</t>
  </si>
  <si>
    <t>周期更新失败次数</t>
  </si>
  <si>
    <t>周期更新用户原因失败次数</t>
  </si>
  <si>
    <t>网络去附着请求次数</t>
  </si>
  <si>
    <t>专有承载激活尝试次数</t>
  </si>
  <si>
    <t>专有承载激活成功次数</t>
  </si>
  <si>
    <t>专有承载激活失败次数</t>
  </si>
  <si>
    <t>x2切换成功数</t>
  </si>
  <si>
    <t>x2切换失败数</t>
  </si>
  <si>
    <t>s1切换取消请求次数</t>
  </si>
  <si>
    <t>s1切换取消成功次数</t>
  </si>
  <si>
    <t>s1切换取消失败次数</t>
  </si>
  <si>
    <t>默认承载激活尝试次数</t>
  </si>
  <si>
    <t>默认承载激活成功次数</t>
  </si>
  <si>
    <t>默认承载激活失败次数</t>
  </si>
  <si>
    <t>系统内s1切换出请求次数</t>
  </si>
  <si>
    <t>系统内s1切换出成功数</t>
  </si>
  <si>
    <t>系统内s1切换出失败数</t>
  </si>
  <si>
    <t>aggr_lte_dpi_s1mme_base_h</t>
    <phoneticPr fontId="23" type="noConversion"/>
  </si>
  <si>
    <t>4G_DPI_S1MME基础维度小时汇聚表(无定界定位)</t>
    <phoneticPr fontId="23" type="noConversion"/>
  </si>
  <si>
    <t>4G_DPI_S1MME基础维度指标裁剪共享小时表</t>
    <phoneticPr fontId="23" type="noConversion"/>
  </si>
  <si>
    <t>附着请求次数</t>
    <phoneticPr fontId="23" type="noConversion"/>
  </si>
  <si>
    <t>attach_request_cnt</t>
    <phoneticPr fontId="23" type="noConversion"/>
  </si>
  <si>
    <t>attach_succ_cnt</t>
    <phoneticPr fontId="23" type="noConversion"/>
  </si>
  <si>
    <t>bigint</t>
    <phoneticPr fontId="23" type="noConversion"/>
  </si>
  <si>
    <t>sum(case when procedure_type=1 then record_cnt else 0 end)</t>
    <phoneticPr fontId="23" type="noConversion"/>
  </si>
  <si>
    <t>附着成功次数</t>
    <phoneticPr fontId="23" type="noConversion"/>
  </si>
  <si>
    <t>attach_fail_cnt</t>
    <phoneticPr fontId="23" type="noConversion"/>
  </si>
  <si>
    <t>attach_timeout_cnt</t>
    <phoneticPr fontId="23" type="noConversion"/>
  </si>
  <si>
    <t>附着失败次数</t>
    <phoneticPr fontId="23" type="noConversion"/>
  </si>
  <si>
    <t>附着超时次数</t>
    <phoneticPr fontId="23" type="noConversion"/>
  </si>
  <si>
    <t>procedure_delay</t>
    <phoneticPr fontId="23" type="noConversion"/>
  </si>
  <si>
    <t>eps_attach_request_cnt</t>
    <phoneticPr fontId="23" type="noConversion"/>
  </si>
  <si>
    <t>eps_attach_succ_cnt</t>
    <phoneticPr fontId="23" type="noConversion"/>
  </si>
  <si>
    <t>eps_attach_fail_cnt</t>
    <phoneticPr fontId="23" type="noConversion"/>
  </si>
  <si>
    <t>eps_attach_timeout_cnt</t>
    <phoneticPr fontId="23" type="noConversion"/>
  </si>
  <si>
    <t>EPS附着请求次数</t>
    <phoneticPr fontId="23" type="noConversion"/>
  </si>
  <si>
    <t>EPS附着成功次数</t>
    <phoneticPr fontId="23" type="noConversion"/>
  </si>
  <si>
    <t>EPS附着失败次数</t>
    <phoneticPr fontId="23" type="noConversion"/>
  </si>
  <si>
    <t>EPS附着超时次数</t>
    <phoneticPr fontId="23" type="noConversion"/>
  </si>
  <si>
    <t>sum(case when procedure_type=1 and procedure_status=1 then record_cnt else 0 end)</t>
  </si>
  <si>
    <t>sum(case when procedure_type=1 and keyword=1 then record_cnt else 0 end)</t>
  </si>
  <si>
    <t>sum(case when procedure_type=1 and keyword=1 and procedure_status=0 then record_cnt else 0 end)</t>
  </si>
  <si>
    <t>sum(case when procedure_type=1 and keyword=1 and procedure_status=1 then record_cnt else 0 end)</t>
  </si>
  <si>
    <t>sum(case when procedure_type=1 and keyword=1 and procedure_status=255 then record_cnt else 0 end)</t>
  </si>
  <si>
    <t>eps_emergency_attach_request_cnt</t>
  </si>
  <si>
    <t>eps_emergency_attach_succ_cnt</t>
  </si>
  <si>
    <t>eps_emergency_attach_fail_cnt</t>
  </si>
  <si>
    <t>eps_emergency_attach_timeout_cnt</t>
  </si>
  <si>
    <t>sum(case when procedure_type=1 and keyword=6 then record_cnt else 0 end)</t>
  </si>
  <si>
    <t>sum(case when procedure_type=1 and keyword=6 and procedure_status=0 then record_cnt else 0 end)</t>
  </si>
  <si>
    <t>sum(case when procedure_type=1 and keyword=6 and procedure_status=1 then record_cnt else 0 end)</t>
  </si>
  <si>
    <t>sum(case when procedure_type=1 and keyword=6 and procedure_status=255 then record_cnt else 0 end)</t>
  </si>
  <si>
    <t>ms</t>
    <phoneticPr fontId="23" type="noConversion"/>
  </si>
  <si>
    <t>service_request_cnt</t>
    <phoneticPr fontId="23" type="noConversion"/>
  </si>
  <si>
    <t>service_succ_cnt</t>
    <phoneticPr fontId="23" type="noConversion"/>
  </si>
  <si>
    <t>service_fail_cnt</t>
    <phoneticPr fontId="23" type="noConversion"/>
  </si>
  <si>
    <t>service_timeout_cnt</t>
    <phoneticPr fontId="23" type="noConversion"/>
  </si>
  <si>
    <t>sum(case when procedure_type=2 then record_cnt else 0 end)</t>
  </si>
  <si>
    <t>sum(case when procedure_type=2 and procedure_status=0 then record_cnt else 0 end)</t>
  </si>
  <si>
    <t>sum(case when procedure_type=2 and procedure_status=1 then record_cnt else 0 end)</t>
  </si>
  <si>
    <t>sum(case when procedure_type=2 and procedure_status=255 then record_cnt else 0 end)</t>
  </si>
  <si>
    <t>paging_request_cnt</t>
  </si>
  <si>
    <t>paging_succ_cnt</t>
  </si>
  <si>
    <t>paging_fail_cnt</t>
  </si>
  <si>
    <t>paging_timeout_cnt</t>
  </si>
  <si>
    <t>寻呼请求次数</t>
    <phoneticPr fontId="23" type="noConversion"/>
  </si>
  <si>
    <t>寻呼成功次数</t>
    <phoneticPr fontId="23" type="noConversion"/>
  </si>
  <si>
    <t>寻呼失败次数</t>
    <phoneticPr fontId="23" type="noConversion"/>
  </si>
  <si>
    <t>寻呼超时次数</t>
    <phoneticPr fontId="23" type="noConversion"/>
  </si>
  <si>
    <t>sum(case when procedure_type=4 then record_cnt else 0 end)</t>
  </si>
  <si>
    <t>sum(case when procedure_type=4 and procedure_status=0 then record_cnt else 0 end)</t>
  </si>
  <si>
    <t>sum(case when procedure_type=4 and procedure_status=1 then record_cnt else 0 end)</t>
  </si>
  <si>
    <t>sum(case when procedure_type=4 and procedure_status=255 then record_cnt else 0 end)</t>
  </si>
  <si>
    <t>tau_request_cnt</t>
  </si>
  <si>
    <t>tau_timeout_cnt</t>
  </si>
  <si>
    <t>sum(case when procedure_type=5 then record_cnt else 0 end)</t>
  </si>
  <si>
    <t>sum(case when procedure_type=5 and procedure_status=0 then record_cnt else 0 end)</t>
  </si>
  <si>
    <t>sum(case when procedure_type=5 and procedure_status=1 then record_cnt else 0 end)</t>
  </si>
  <si>
    <t>sum(case when procedure_type=5 and procedure_status=255 then record_cnt else 0 end)</t>
  </si>
  <si>
    <t>sum(case when procedure_type=5 and keyword=0 then record_cnt else 0 end)</t>
  </si>
  <si>
    <t>sum(case when procedure_type=5 and keyword=0 and procedure_status=1 then record_cnt else 0 end)</t>
  </si>
  <si>
    <t>sum(case when procedure_type=5 and keyword=3 then record_cnt else 0 end)</t>
  </si>
  <si>
    <t>sum(case when procedure_type=5 and keyword=3 and procedure_status=0 then record_cnt else 0 end)</t>
  </si>
  <si>
    <t>sum(case when procedure_type=5 and keyword=3 and procedure_status=1 then record_cnt else 0 end)</t>
  </si>
  <si>
    <t>sum(case when procedure_type=5 and keyword=0 and procedure_status=0 then record_cnt else 0 end)</t>
    <phoneticPr fontId="23" type="noConversion"/>
  </si>
  <si>
    <t>sum(case when procedure_type=6 and keyword&lt;16 then record_cnt else 0 end)</t>
  </si>
  <si>
    <t>sum(case when procedure_type=6 and keyword&gt;16 then record_cnt else 0 end)</t>
  </si>
  <si>
    <t>pdn_connectivity_request_cnt</t>
  </si>
  <si>
    <t>pdn_connectivity_timeout_cnt</t>
  </si>
  <si>
    <t>PDN连接成功次数</t>
  </si>
  <si>
    <t>PDN连接失败次数</t>
  </si>
  <si>
    <t>PDN连接超时次数</t>
  </si>
  <si>
    <t>PDN连接请求次数</t>
  </si>
  <si>
    <t>sum(case when procedure_type=7 then record_cnt else 0 end)</t>
  </si>
  <si>
    <t>sum(case when procedure_type=7 and procedure_status=0 then record_cnt else 0 end)</t>
  </si>
  <si>
    <t>sum(case when procedure_type=7 and procedure_status=1 then record_cnt else 0 end)</t>
  </si>
  <si>
    <t>sum(case when procedure_type=7 and procedure_status=255 then record_cnt else 0 end)</t>
  </si>
  <si>
    <t>sum(case when procedure_type=13 then record_cnt else 0 end)</t>
  </si>
  <si>
    <t>sum(case when procedure_type=13 and procedure_status=0 then record_cnt else 0 end)</t>
  </si>
  <si>
    <t>sum(case when procedure_type=13 and procedure_status=1 then record_cnt else 0 end)</t>
  </si>
  <si>
    <t>x2_ho_fail_cnt</t>
    <phoneticPr fontId="23" type="noConversion"/>
  </si>
  <si>
    <t>x2_ho_timeout_cnt</t>
    <phoneticPr fontId="23" type="noConversion"/>
  </si>
  <si>
    <t>X2切换请求次数</t>
  </si>
  <si>
    <t>X2切换成功次数</t>
  </si>
  <si>
    <t>X2切换失败次数</t>
  </si>
  <si>
    <t>X2切换超时次数</t>
  </si>
  <si>
    <t>sum(case when procedure_type=14 then record_cnt else 0 end)</t>
  </si>
  <si>
    <t>sum(case when procedure_type=14 and procedure_status=0 then record_cnt else 0 end)</t>
  </si>
  <si>
    <t>sum(case when procedure_type=14 and procedure_status=1 then record_cnt else 0 end)</t>
  </si>
  <si>
    <t>sum(case when procedure_type=14 and procedure_status=255 then record_cnt else 0 end)</t>
  </si>
  <si>
    <t>s1_ho_out_fail_cnt</t>
  </si>
  <si>
    <t>s1_ho_out_timeout_cnt</t>
  </si>
  <si>
    <t>S1切换出请求次数</t>
  </si>
  <si>
    <t>S1切换出成功次数</t>
  </si>
  <si>
    <t>S1切换出失败次数</t>
  </si>
  <si>
    <t>S1切换出超时次数</t>
  </si>
  <si>
    <t>sum(case when procedure_type=15 then record_cnt else 0 end)</t>
  </si>
  <si>
    <t>sum(case when procedure_type=15 and procedure_status=0 then record_cnt else 0 end)</t>
  </si>
  <si>
    <t>sum(case when procedure_type=15 and procedure_status=1 then record_cnt else 0 end)</t>
  </si>
  <si>
    <t>sum(case when procedure_type=15 and procedure_status=255 then record_cnt else 0 end)</t>
  </si>
  <si>
    <t>s1_ho_intra_out_succ_cnt</t>
  </si>
  <si>
    <t>s1_ho_intra_out_fail_cnt</t>
  </si>
  <si>
    <t>s1_ho_intra_out_timeout_cnt</t>
  </si>
  <si>
    <t>s1_ho_intra_out_request_cnt</t>
    <phoneticPr fontId="23" type="noConversion"/>
  </si>
  <si>
    <t>系统内S1切换出请求次数</t>
  </si>
  <si>
    <t>系统内S1切换出成功次数</t>
  </si>
  <si>
    <t>系统内S1切换出失败次数</t>
  </si>
  <si>
    <t>系统内S1切换出超时次数</t>
  </si>
  <si>
    <t>sum(case when procedure_type=15 and keyword=1 then record_cnt else 0 end)</t>
  </si>
  <si>
    <t>sum(case when procedure_type=15 and keyword=1 and procedure_status=0 then record_cnt else 0 end)</t>
  </si>
  <si>
    <t>sum(case when procedure_type=15 and keyword=1 and procedure_status=1 then record_cnt else 0 end)</t>
  </si>
  <si>
    <t>sum(case when procedure_type=15 and keyword=1 and procedure_status=255 then record_cnt else 0 end)</t>
  </si>
  <si>
    <t>s1_ho_in_request_cnt</t>
  </si>
  <si>
    <t>s1_ho_in_succ_cnt</t>
  </si>
  <si>
    <t>s1_ho_in_fail_cnt</t>
  </si>
  <si>
    <t>s1_ho_in_timeout_cnt</t>
  </si>
  <si>
    <t>S1切换入请求次数</t>
  </si>
  <si>
    <t>S1切换入成功次数</t>
  </si>
  <si>
    <t>S1切换入失败次数</t>
  </si>
  <si>
    <t>S1切换入超时次数</t>
  </si>
  <si>
    <t>sum(case when procedure_type=16 then record_cnt else 0 end)</t>
  </si>
  <si>
    <t>sum(case when procedure_type=16 and procedure_status=0 then record_cnt else 0 end)</t>
  </si>
  <si>
    <t>sum(case when procedure_type=16 and procedure_status=1 then record_cnt else 0 end)</t>
  </si>
  <si>
    <t>sum(case when procedure_type=16 and procedure_status=255 then record_cnt else 0 end)</t>
  </si>
  <si>
    <t>s1_ho_cancel_request_cnt</t>
  </si>
  <si>
    <t>s1_ho_cancel_succ_cnt</t>
  </si>
  <si>
    <t>s1_ho_cancel_fail_cnt</t>
  </si>
  <si>
    <t>s1_ho_cancel_timeout_cnt</t>
  </si>
  <si>
    <t>S1切换取消请求次数</t>
  </si>
  <si>
    <t>S1切换取消成功次数</t>
  </si>
  <si>
    <t>S1切换取消失败次数</t>
  </si>
  <si>
    <t>S1切换取消超时次数</t>
  </si>
  <si>
    <t>sum(case when procedure_type=17 then record_cnt else 0 end)</t>
  </si>
  <si>
    <t>sum(case when procedure_type=17 and procedure_status=0 then record_cnt else 0 end)</t>
  </si>
  <si>
    <t>sum(case when procedure_type=17 and procedure_status=1 then record_cnt else 0 end)</t>
  </si>
  <si>
    <t>sum(case when procedure_type=17 and procedure_status=255 then record_cnt else 0 end)</t>
  </si>
  <si>
    <t>initial_context_setup_request_cnt</t>
  </si>
  <si>
    <t>initial_context_setup_fail_cnt</t>
  </si>
  <si>
    <t>initial_context_setup_timeout_cnt</t>
  </si>
  <si>
    <t>sum(case when procedure_type=18 then record_cnt else 0 end)</t>
  </si>
  <si>
    <t>sum(case when procedure_type=18 and procedure_status=0 then record_cnt else 0 end)</t>
  </si>
  <si>
    <t>sum(case when procedure_type=18 and procedure_status=1 then record_cnt else 0 end)</t>
  </si>
  <si>
    <t>sum(case when procedure_type=18 and procedure_status=255 then record_cnt else 0 end)</t>
  </si>
  <si>
    <t>ue_context_release_request_cnt</t>
  </si>
  <si>
    <t>ue_context_release_fail_cnt</t>
  </si>
  <si>
    <t>ue_context_release_timeout_cnt</t>
  </si>
  <si>
    <t>sum(case when procedure_type=20 then record_cnt else 0 end)</t>
  </si>
  <si>
    <t>sum(case when procedure_type=20 and procedure_status=0 then record_cnt else 0 end)</t>
  </si>
  <si>
    <t>sum(case when procedure_type=20 and procedure_status=1 then record_cnt else 0 end)</t>
  </si>
  <si>
    <t>sum(case when procedure_type=20 and procedure_status=255 then record_cnt else 0 end)</t>
  </si>
  <si>
    <t>短信请求次数</t>
  </si>
  <si>
    <t>短信成功次数</t>
  </si>
  <si>
    <t>短信失败次数</t>
  </si>
  <si>
    <t>短信超时次数</t>
  </si>
  <si>
    <t>sum(case when procedure_type=32 then record_cnt else 0 end)</t>
  </si>
  <si>
    <t>sum(case when procedure_type=32 and procedure_status=0 then record_cnt else 0 end)</t>
  </si>
  <si>
    <t>sum(case when procedure_type=32 and procedure_status=1 then record_cnt else 0 end)</t>
  </si>
  <si>
    <t>sum(case when procedure_type=32 and procedure_status=255 then record_cnt else 0 end)</t>
  </si>
  <si>
    <t>e-rab建立请求次数</t>
    <phoneticPr fontId="23" type="noConversion"/>
  </si>
  <si>
    <t>e-rab建立成功次数</t>
    <phoneticPr fontId="23" type="noConversion"/>
  </si>
  <si>
    <t>e-rab建立失败次数</t>
    <phoneticPr fontId="23" type="noConversion"/>
  </si>
  <si>
    <t>e-rab建立超时次数</t>
    <phoneticPr fontId="23" type="noConversion"/>
  </si>
  <si>
    <t>sum(case when procedure_type=101 then record_cnt else 0 end)</t>
  </si>
  <si>
    <t>sum(case when procedure_type=101 and procedure_status=0 then record_cnt else 0 end)</t>
  </si>
  <si>
    <t>sum(case when procedure_type=101 and procedure_status=1 then record_cnt else 0 end)</t>
  </si>
  <si>
    <t>sum(case when procedure_type=101 and procedure_status=255 then record_cnt else 0 end)</t>
  </si>
  <si>
    <t>erab_modify_request_cnt</t>
  </si>
  <si>
    <t>erab_modify_fail_cnt</t>
  </si>
  <si>
    <t>erab_modify_timeout_cnt</t>
  </si>
  <si>
    <t>sum(case when procedure_type=100 then record_cnt else 0 end)</t>
  </si>
  <si>
    <t>sum(case when procedure_type=100 and procedure_status=0 then record_cnt else 0 end)</t>
  </si>
  <si>
    <t>sum(case when procedure_type=100 and procedure_status=1 then record_cnt else 0 end)</t>
  </si>
  <si>
    <t>sum(case when procedure_type=100 and procedure_status=255 then record_cnt else 0 end)</t>
  </si>
  <si>
    <t>sum(case when procedure_type=102 then record_cnt else 0 end)</t>
  </si>
  <si>
    <t>sum(case when procedure_type=102 and procedure_status=0 then record_cnt else 0 end)</t>
  </si>
  <si>
    <t>sum(case when procedure_type=102 and procedure_status=1 then record_cnt else 0 end)</t>
  </si>
  <si>
    <t>cpservice_request_cnt</t>
  </si>
  <si>
    <t>cpservice_fail_cnt</t>
  </si>
  <si>
    <t>cpservice_timeout_cnt</t>
  </si>
  <si>
    <t>sum(case when procedure_type=103 and procedure_status=1 then record_cnt else 0 end)</t>
  </si>
  <si>
    <t>sum(case when procedure_type=103 and procedure_status=255 then record_cnt else 0 end)</t>
  </si>
  <si>
    <t>sum(case when procedure_type=103 then record_cnt else 0 end)</t>
    <phoneticPr fontId="23" type="noConversion"/>
  </si>
  <si>
    <t>sum(case when procedure_type=103 and procedure_status=0 then record_cnt else 0 end)</t>
    <phoneticPr fontId="23" type="noConversion"/>
  </si>
  <si>
    <t>sum(case when procedure_type not in (20, 103, 29, 30, 31, 1, 5, 109, 7) and procedure_status=0 then record_cnt else 0 end</t>
    <phoneticPr fontId="23" type="noConversion"/>
  </si>
  <si>
    <t>s1mme信令总条数</t>
  </si>
  <si>
    <t>s1mme信令成功条数</t>
  </si>
  <si>
    <t>s1mme信令失败条数</t>
  </si>
  <si>
    <t>s1mme信令超时条数</t>
  </si>
  <si>
    <t>sum(case when procedure_status=0 then  record_cnt else 0 end)</t>
    <phoneticPr fontId="23" type="noConversion"/>
  </si>
  <si>
    <t>sum(case when procedure_status=1 then  record_cnt else 0 end)</t>
    <phoneticPr fontId="23" type="noConversion"/>
  </si>
  <si>
    <t>sum(case when procedure_status=255 then  record_cnt else 0 end)</t>
    <phoneticPr fontId="23" type="noConversion"/>
  </si>
  <si>
    <t>procedure_normal_cnt</t>
    <phoneticPr fontId="23" type="noConversion"/>
  </si>
  <si>
    <t>sum(procedure_normal_cnt)</t>
    <phoneticPr fontId="23" type="noConversion"/>
  </si>
  <si>
    <t>aggr_lte_dpi_s1mme_index_reduce_base_h</t>
  </si>
  <si>
    <t>aggr_lte_dpi_s1mme_index_reduce_base_h</t>
    <phoneticPr fontId="23" type="noConversion"/>
  </si>
  <si>
    <t>aggr_lte_dpi_s1mme_base_h</t>
  </si>
  <si>
    <t>4G_DPI_S1MME基础维度指标裁剪共享小时表</t>
  </si>
  <si>
    <t>eNodeB id</t>
  </si>
  <si>
    <t>eNodeB名称</t>
  </si>
  <si>
    <t>cell id</t>
  </si>
  <si>
    <t>用户IMSI（字符串格式）</t>
  </si>
  <si>
    <t>终端IMEI（字符串格式）</t>
  </si>
  <si>
    <t xml:space="preserve">接口类型为S1-MME时，填写MME信令面IP地址；
IPv4：4字节； IPv6：16字节。
</t>
  </si>
  <si>
    <t xml:space="preserve">根据接口类型为S1-MME或S1-U，填写eNodeB信令面或用户面IP地址：
Ipv4：4字节；Ipv6：16字节
</t>
  </si>
  <si>
    <t>eps_attach_success_sum</t>
  </si>
  <si>
    <t>eps_attach_fail_sum</t>
  </si>
  <si>
    <t>eps_attach_delay_sum</t>
  </si>
  <si>
    <t>EPS附着总时延</t>
  </si>
  <si>
    <t>eps_attach_usrfail_sum</t>
  </si>
  <si>
    <t>eps_emergency_attach_request_sum</t>
  </si>
  <si>
    <t>eps_emergency_attach_success_sum</t>
  </si>
  <si>
    <t>eps_emergency_attach_fail_sum</t>
  </si>
  <si>
    <t>eps_emergency_attach_delay_sum</t>
  </si>
  <si>
    <t>EPS紧急附着总时延</t>
  </si>
  <si>
    <t>eps_emergency_attach_usrfail_sum</t>
  </si>
  <si>
    <t>service_request_sum</t>
  </si>
  <si>
    <t>service_success_sum</t>
  </si>
  <si>
    <t>service_fail_sum</t>
  </si>
  <si>
    <t>service_delay_sum</t>
  </si>
  <si>
    <t>service_usrfail_sum</t>
  </si>
  <si>
    <t>paging_request_sum</t>
  </si>
  <si>
    <t>paging_success_sum</t>
  </si>
  <si>
    <t>paging_fail_sum</t>
  </si>
  <si>
    <t>paging_delay_sum</t>
  </si>
  <si>
    <t>寻呼总时延</t>
  </si>
  <si>
    <t>eps_tau_request_sum</t>
  </si>
  <si>
    <t>eps_tau_success_sum</t>
  </si>
  <si>
    <t>eps_tau_fail_sum</t>
  </si>
  <si>
    <t>eps_tau_delay_sum</t>
  </si>
  <si>
    <t>EPS更新总时延</t>
  </si>
  <si>
    <t>eps_tau_usrfail_sum</t>
  </si>
  <si>
    <t>periodic_tau_request_sum</t>
  </si>
  <si>
    <t>periodic_tau_success_sum</t>
  </si>
  <si>
    <t>periodic_tau_fail_sum</t>
  </si>
  <si>
    <t>periodic_tau_delay_sum</t>
  </si>
  <si>
    <t>周期更新总时延</t>
  </si>
  <si>
    <t>periodic_tau_usrfail_sum</t>
  </si>
  <si>
    <t>ue_detach_request_sum</t>
  </si>
  <si>
    <t>pdn_connectivity_request_sum</t>
  </si>
  <si>
    <t>pdn_connectivity_success_sum</t>
  </si>
  <si>
    <t>pdn_connectivity_fail_sum</t>
  </si>
  <si>
    <t>pdn_connectivity_delay_sum</t>
  </si>
  <si>
    <t>PDN连接建立总时延</t>
  </si>
  <si>
    <t>dedicated_bearer_context_activation_request_sum</t>
  </si>
  <si>
    <t>dedicated_bearer_context_activation_success_sum</t>
  </si>
  <si>
    <t>dedicated_bearer_context_activation_fail_sum</t>
  </si>
  <si>
    <t>专有承载激活总时延</t>
  </si>
  <si>
    <t>x2_ho_request_sum</t>
  </si>
  <si>
    <t>x2_ho_success_sum</t>
  </si>
  <si>
    <t>x2_ho_fail_sum</t>
  </si>
  <si>
    <t>x2_ho_delay_sum</t>
  </si>
  <si>
    <t>x2切换总时延</t>
  </si>
  <si>
    <t>s1_ho_intra_out_request_sum</t>
  </si>
  <si>
    <t>s1_ho_intra_out_success_sum</t>
  </si>
  <si>
    <t>s1_ho_intra_out_fail_sum</t>
  </si>
  <si>
    <t>s1_ho_intra_out_delay_avg</t>
  </si>
  <si>
    <t>系统内s1切换出平均时延</t>
  </si>
  <si>
    <t>s1_ho_cancel_request_sum</t>
  </si>
  <si>
    <t>s1_ho_cancel_success_sum</t>
  </si>
  <si>
    <t>s1_ho_cancel_fail_sum</t>
  </si>
  <si>
    <t>s1_ho_cancel_delay_sum</t>
  </si>
  <si>
    <t>s1切换取消总时延</t>
  </si>
  <si>
    <t>initial_context_setup_request_sum</t>
  </si>
  <si>
    <t>initial_context_setup_success_sum</t>
  </si>
  <si>
    <t>initial_context_setup_fail_sum</t>
  </si>
  <si>
    <t>initial_context_setup_delay_sum</t>
  </si>
  <si>
    <t>ue_context_release_request_sum</t>
  </si>
  <si>
    <t>ue_context_release_success_sum</t>
  </si>
  <si>
    <t>ue_context_release_fail_sum</t>
  </si>
  <si>
    <t>ue_context_release_delay_sum</t>
  </si>
  <si>
    <t>UE上下文释放总时延</t>
  </si>
  <si>
    <t>系统间重定向请求次数</t>
  </si>
  <si>
    <t>default_bearer_context_activation_request_sum</t>
  </si>
  <si>
    <t>default_bearer_context_activation_success_sum</t>
  </si>
  <si>
    <t>default_bearer_context_activation_fail_sum</t>
  </si>
  <si>
    <t>default_bearer_context_activation_delay_sum</t>
  </si>
  <si>
    <t>默认承载激活总时延</t>
  </si>
  <si>
    <t>s1mme_cnt_sum</t>
  </si>
  <si>
    <t>s1mme_success_cnt_sum</t>
  </si>
  <si>
    <t>s1mme_fail_cnt_sum</t>
  </si>
  <si>
    <t>s1mme_timeout_cnt_sum</t>
  </si>
  <si>
    <t>位置区码</t>
    <phoneticPr fontId="23" type="noConversion"/>
  </si>
  <si>
    <t>使用的APN</t>
    <phoneticPr fontId="23" type="noConversion"/>
  </si>
  <si>
    <t>省名称</t>
    <phoneticPr fontId="23" type="noConversion"/>
  </si>
  <si>
    <t>p_hour</t>
    <phoneticPr fontId="23" type="noConversion"/>
  </si>
  <si>
    <t>split("_",cellkey)[0]</t>
    <phoneticPr fontId="23" type="noConversion"/>
  </si>
  <si>
    <t>split("_",cellkey)[1]</t>
    <phoneticPr fontId="23" type="noConversion"/>
  </si>
  <si>
    <t>ecgi</t>
    <phoneticPr fontId="23" type="noConversion"/>
  </si>
  <si>
    <t>dedicated_bearer_context_activation_delay_sum</t>
    <phoneticPr fontId="23" type="noConversion"/>
  </si>
  <si>
    <t>inter_redirect_request_sum</t>
    <phoneticPr fontId="23" type="noConversion"/>
  </si>
  <si>
    <t>对应共享给移动业务感知保障系统aggr_lte_s1mme_base_reduce_h，字段名称无变化，删除了一个下游反馈不用的字段</t>
    <phoneticPr fontId="23" type="noConversion"/>
  </si>
  <si>
    <t>用户|小区|APN</t>
    <phoneticPr fontId="23" type="noConversion"/>
  </si>
  <si>
    <t>用户|小区|DNN|切换目标小区|流程编码|流程状态|失败原因|keyword|定界|定位</t>
    <phoneticPr fontId="23" type="noConversion"/>
  </si>
  <si>
    <t>用户|小区|DNN|流程编码|失败原因</t>
    <phoneticPr fontId="23" type="noConversion"/>
  </si>
  <si>
    <t>用户|小区|DNN|切换目标小区</t>
    <phoneticPr fontId="23" type="noConversion"/>
  </si>
  <si>
    <t>4G_DPI_S1MME用户小区APN维度指标裁剪小时表</t>
  </si>
  <si>
    <t>4G_DPI_S1MME用户小区APN维度指标裁剪小时表</t>
    <phoneticPr fontId="23" type="noConversion"/>
  </si>
  <si>
    <t>对应共享给移动业务感知保障系统aggr_nbiot_s1mme_noc_usrcell_h，字段名称无变化，删除了3个下游反馈不用的字段</t>
    <phoneticPr fontId="23" type="noConversion"/>
  </si>
  <si>
    <t>时间</t>
  </si>
  <si>
    <t>时段</t>
  </si>
  <si>
    <t>位置区码</t>
  </si>
  <si>
    <t>网络接入技术</t>
  </si>
  <si>
    <t>attach_succ_num</t>
  </si>
  <si>
    <t>附着成功次数</t>
  </si>
  <si>
    <t>attach_fail_num</t>
  </si>
  <si>
    <t>附着失败次数</t>
  </si>
  <si>
    <t>attach_tau_succ_num</t>
  </si>
  <si>
    <t>attach_tau_fail_num</t>
  </si>
  <si>
    <t>service_succ_num</t>
  </si>
  <si>
    <t>服务请求建立成功次数</t>
  </si>
  <si>
    <t>service_fail_num</t>
  </si>
  <si>
    <t>服务请求建立失败次数</t>
  </si>
  <si>
    <t>pdn_connect_succ_num</t>
  </si>
  <si>
    <t>对应PGW成功次数</t>
  </si>
  <si>
    <t>pdn_connect_fail_num</t>
  </si>
  <si>
    <t>对应PGW失败次数</t>
  </si>
  <si>
    <t>上下文成功次数</t>
  </si>
  <si>
    <t>上下文失败次数</t>
  </si>
  <si>
    <t>认证鉴权成功次数</t>
  </si>
  <si>
    <t>identity_auth_secure_fail_num</t>
  </si>
  <si>
    <t>认证鉴权失败次数</t>
  </si>
  <si>
    <t>控制面相关成功次数</t>
  </si>
  <si>
    <t>控制面相关失败次数</t>
  </si>
  <si>
    <t>x2_succ_num</t>
  </si>
  <si>
    <t>x2切换成功次数</t>
  </si>
  <si>
    <t>x2_fail_num</t>
  </si>
  <si>
    <t>x2切换失败次数</t>
  </si>
  <si>
    <t>s1_succ_num</t>
  </si>
  <si>
    <t>s1切换成功次数</t>
  </si>
  <si>
    <t>s1_fail_num</t>
  </si>
  <si>
    <t>s1切换失败次数</t>
  </si>
  <si>
    <t>erab_setup_success_sum</t>
  </si>
  <si>
    <t>e-rab建立成功次数</t>
  </si>
  <si>
    <t>erab_setup_fail_sum</t>
  </si>
  <si>
    <t>e-rab建立失败次数</t>
  </si>
  <si>
    <t>erab_modify_success_sum</t>
  </si>
  <si>
    <t>erab_modify_fail_sum</t>
  </si>
  <si>
    <t>other_procedure_succ_num</t>
  </si>
  <si>
    <t>其余流程类型成功次数</t>
  </si>
  <si>
    <t>other_procedure_fail_num</t>
  </si>
  <si>
    <t>其余流程类型失败次数</t>
  </si>
  <si>
    <t>nbcelevel_0_sum</t>
  </si>
  <si>
    <t>nbcelevel_1_sum</t>
  </si>
  <si>
    <t>nbcelevel_2_sum</t>
  </si>
  <si>
    <t>nbcelevel_other_sum</t>
  </si>
  <si>
    <t>bearerstatus_1_sum</t>
  </si>
  <si>
    <t>bearerstatus_2_sum</t>
  </si>
  <si>
    <t>bearerstatus_3_sum</t>
  </si>
  <si>
    <t>bearerstatus_4_sum</t>
  </si>
  <si>
    <t>bearerstatus_5_sum</t>
  </si>
  <si>
    <t>bearerstatus_6_sum</t>
  </si>
  <si>
    <t>bearerstatus_other_sum</t>
  </si>
  <si>
    <t>uecontext_release_succ_num</t>
  </si>
  <si>
    <t>uecontext_release_tau_fail_num</t>
  </si>
  <si>
    <t>cpservice_succ_num</t>
  </si>
  <si>
    <t>cpservice_fail_num</t>
  </si>
  <si>
    <t>sum(attach_succ_cnt)</t>
    <phoneticPr fontId="23" type="noConversion"/>
  </si>
  <si>
    <t>tau_succ_cnt</t>
    <phoneticPr fontId="23" type="noConversion"/>
  </si>
  <si>
    <t>tau_fail_cnt</t>
    <phoneticPr fontId="23" type="noConversion"/>
  </si>
  <si>
    <t>pdn_connectivity_succ_cnt</t>
    <phoneticPr fontId="23" type="noConversion"/>
  </si>
  <si>
    <t>pdn_connectivity_fail_cnt</t>
    <phoneticPr fontId="23" type="noConversion"/>
  </si>
  <si>
    <t>ue_context_release_succ_cnt</t>
    <phoneticPr fontId="23" type="noConversion"/>
  </si>
  <si>
    <t>identity_auth_secure_succ_num</t>
    <phoneticPr fontId="23" type="noConversion"/>
  </si>
  <si>
    <t>cpservice_succ_cnt</t>
    <phoneticPr fontId="23" type="noConversion"/>
  </si>
  <si>
    <t>x2_ho_succ_cnt</t>
    <phoneticPr fontId="23" type="noConversion"/>
  </si>
  <si>
    <t>s1_ho_out_succ_cnt</t>
    <phoneticPr fontId="23" type="noConversion"/>
  </si>
  <si>
    <t>initial_context_setup_succ_cnt</t>
    <phoneticPr fontId="23" type="noConversion"/>
  </si>
  <si>
    <t>erab_setup_succ_cnt</t>
    <phoneticPr fontId="23" type="noConversion"/>
  </si>
  <si>
    <t>erab_setup_fail_cnt</t>
    <phoneticPr fontId="23" type="noConversion"/>
  </si>
  <si>
    <t>erab_setup_timeout_cnt</t>
    <phoneticPr fontId="23" type="noConversion"/>
  </si>
  <si>
    <t>erab_modify_succ_cnt</t>
    <phoneticPr fontId="23" type="noConversion"/>
  </si>
  <si>
    <t>过滤条件：(length(regexp_replace(trim(msisdn),'^86',''))=13 or msisdn like '%141%')</t>
    <phoneticPr fontId="23" type="noConversion"/>
  </si>
  <si>
    <t>aggr_lte_dpi_s1mme_usrcel_h</t>
    <phoneticPr fontId="23" type="noConversion"/>
  </si>
  <si>
    <t>request_cause</t>
    <phoneticPr fontId="23" type="noConversion"/>
  </si>
  <si>
    <t>流程的请求消息中所包含的Cause值</t>
    <phoneticPr fontId="23" type="noConversion"/>
  </si>
  <si>
    <t>标识流程请求消息中cause字段所对应的Cause Group</t>
    <phoneticPr fontId="23" type="noConversion"/>
  </si>
  <si>
    <t>sum(case when procedure_type=1 and procedure_status=0 then record_cnt else 0 end)</t>
    <phoneticPr fontId="23" type="noConversion"/>
  </si>
  <si>
    <t>sum(case when procedure_type=1 and procedure_status=255 then record_cnt else 0 end)</t>
    <phoneticPr fontId="23" type="noConversion"/>
  </si>
  <si>
    <t>sum(case when procedure_type=1 and keyword=6 and procedure_status=1 and failure_cause in ('3','6','7','8','11','12','13','14','15','25','35') then record_cnt else 0 end)</t>
  </si>
  <si>
    <t>sum(case when procedure_type=2 and procedure_status=1 and failure_cause in ('3','6','7','8','11','12','13','14','15','25','35') then record_cnt else 0 end)</t>
  </si>
  <si>
    <t>sum(case when procedure_type=5 and keyword=0 and procedure_status=1 and failure_cause in ('3','6','7','8','11','12','13','14','15','25','35') then record_cnt else 0 end)</t>
  </si>
  <si>
    <t>sum(case when procedure_type=5 and keyword=3 and procedure_status=1 and failure_cause in ('3','6','7','8','11','12','13','14','15','25','35') then record_cnt else 0 end)</t>
  </si>
  <si>
    <t>sum(case when procedure_type=20  and request_cause=28 then record_cnt else 0 end)</t>
  </si>
  <si>
    <t>初始上下文建立成功次数</t>
  </si>
  <si>
    <t>初始上下文建立失败次数</t>
  </si>
  <si>
    <t>初始上下文建立总时延</t>
  </si>
  <si>
    <t>aggr_nbiot_s1mme_apnusrcel_h</t>
    <phoneticPr fontId="23" type="noConversion"/>
  </si>
  <si>
    <t>4G_DPI_S1MME基础维度小时汇聚表</t>
  </si>
  <si>
    <t>aggr_lte_dpi_s1mme_usrcel_h</t>
  </si>
  <si>
    <t>rat</t>
    <phoneticPr fontId="23" type="noConversion"/>
  </si>
  <si>
    <t>详单</t>
    <phoneticPr fontId="23" type="noConversion"/>
  </si>
  <si>
    <t>hour</t>
    <phoneticPr fontId="23" type="noConversion"/>
  </si>
  <si>
    <t>4G_DPI_s1mme基础维度小时汇聚表(含定界定位)</t>
    <phoneticPr fontId="23" type="noConversion"/>
  </si>
  <si>
    <t>4G_DPI_S1MME基础维度15分钟汇聚表(含定界定位)</t>
    <phoneticPr fontId="23" type="noConversion"/>
  </si>
  <si>
    <t>4G_DPI_S1MME基础维度小时汇聚表(含定界定位)</t>
    <phoneticPr fontId="23" type="noConversion"/>
  </si>
  <si>
    <t>sum(case when procedure_type=1 and keyword=1 and procedure_status=0 then procedure_delay*record_cnt else 0 end)</t>
  </si>
  <si>
    <t>sum(case when procedure_type=1 and keyword=1 and procedure_status=1 and failure_cause in ('3','6','7','8','11','12','13','14','15','25','35') then record_cnt else 0 end)</t>
    <phoneticPr fontId="23" type="noConversion"/>
  </si>
  <si>
    <t>sum(case when procedure_type=1 and keyword=6 and procedure_status=0 then procedure_delay*record_cnt else 0 end)</t>
    <phoneticPr fontId="23" type="noConversion"/>
  </si>
  <si>
    <t>sum(procedure_delay*record_cnt)/sum(record_cnt)</t>
    <phoneticPr fontId="23" type="noConversion"/>
  </si>
  <si>
    <t>sum(case when procedure_type=2 and procedure_status=0 then procedure_delay*record_cnt else 0 end)</t>
    <phoneticPr fontId="23" type="noConversion"/>
  </si>
  <si>
    <t>sum(case when procedure_type=4 and procedure_status=0 then procedure_delay*record_cnt else 0 end)</t>
  </si>
  <si>
    <t>sum(case when procedure_type=5 and keyword=0 and procedure_status=0 then procedure_delay*record_cnt else 0 end)</t>
  </si>
  <si>
    <t>sum(case when procedure_type=5 and keyword=3 and procedure_status=0 then procedure_delay*record_cnt else 0 end)</t>
  </si>
  <si>
    <t>sum(case when procedure_type=7 and procedure_status=0 then procedure_delay*record_cnt else 0 end)</t>
  </si>
  <si>
    <t>sum(case when procedure_type=13 and procedure_status=0 then procedure_delay*record_cnt else 0 end)</t>
  </si>
  <si>
    <t>sum(case when procedure_type=14 and procedure_status=0 then procedure_delay*record_cnt else 0 end)</t>
  </si>
  <si>
    <t>sum(case when procedure_type=15 and keyword=1 and procedure_status=0 then procedure_delay*record_cnt else 0 end)/sum(case when procedure_type=15 and keyword=1 and procedure_status=0 then record_cnt else 0 end)</t>
    <phoneticPr fontId="23" type="noConversion"/>
  </si>
  <si>
    <t>sum(case when procedure_type=15 and keyword=1 and procedure_status=0 then record_cnt else 0 end)</t>
    <phoneticPr fontId="23" type="noConversion"/>
  </si>
  <si>
    <t>sum(case when procedure_type=17 and procedure_status=0 then procedure_delay*record_cnt else 0 end)</t>
  </si>
  <si>
    <t>初始上下文建立请求次数</t>
    <phoneticPr fontId="23" type="noConversion"/>
  </si>
  <si>
    <t>sum(case when procedure_type=18 and procedure_status=0 then procedure_delay*record_cnt else 0 end)</t>
  </si>
  <si>
    <t>sum(case when procedure_type=20 and procedure_status=0 then procedure_delay*record_cnt else 0 end)</t>
  </si>
  <si>
    <t>sum(case when procedure_type=102 and procedure_status=0 then procedure_delay*record_cnt else 0 end)</t>
  </si>
  <si>
    <t>sum(case when procedure_type=1 and procedure_status in (1,255) then record_cnt else 0 end)</t>
    <phoneticPr fontId="23" type="noConversion"/>
  </si>
  <si>
    <t>sum(case when procedure_type in (1,5) and procedure_status=0 then record_cnt else 0 end)</t>
    <phoneticPr fontId="23" type="noConversion"/>
  </si>
  <si>
    <t>sum(case when procedure_type in (1,5) and procedure_status in (1,255) then record_cnt else 0 end)</t>
    <phoneticPr fontId="23" type="noConversion"/>
  </si>
  <si>
    <t>sum(case when procedure_type=2 and procedure_status in (1,255) then record_cnt else 0 end)</t>
    <phoneticPr fontId="23" type="noConversion"/>
  </si>
  <si>
    <t>sum(case when procedure_type=7 and procedure_status in (1,255) then record_cnt else 0 end)</t>
    <phoneticPr fontId="23" type="noConversion"/>
  </si>
  <si>
    <t>sum(case when procedure_type=20 and procedure_status in (1,255) then record_cnt else 0 end)</t>
    <phoneticPr fontId="23" type="noConversion"/>
  </si>
  <si>
    <t>sum(case when procedure_type in (29,30,31) and procedure_status=0 then record_cnt else 0 end)</t>
    <phoneticPr fontId="23" type="noConversion"/>
  </si>
  <si>
    <t>sum(case when procedure_type in (29,30,31) and procedure_status in (1,255) then record_cnt else 0 end)</t>
    <phoneticPr fontId="23" type="noConversion"/>
  </si>
  <si>
    <t>sum(case when procedure_type=103 and procedure_status in (1,255) then record_cnt else 0 end)</t>
    <phoneticPr fontId="23" type="noConversion"/>
  </si>
  <si>
    <t>sum(case when procedure_type=14 and procedure_status in (1,255) then record_cnt else 0 end)</t>
    <phoneticPr fontId="23" type="noConversion"/>
  </si>
  <si>
    <t>sum(case when procedure_type in (15,16) and procedure_status=0 then record_cnt else 0 end)</t>
    <phoneticPr fontId="23" type="noConversion"/>
  </si>
  <si>
    <t>sum(case when procedure_type in (15,16) and procedure_status in (1,255) then record_cnt else 0 end)</t>
    <phoneticPr fontId="23" type="noConversion"/>
  </si>
  <si>
    <t>sum(case when procedure_type=18 and procedure_status in (1,255) then record_cnt else 0 end)</t>
    <phoneticPr fontId="23" type="noConversion"/>
  </si>
  <si>
    <t>sum(case when procedure_type=100 and procedure_status in (1,255) then record_cnt else 0 end)</t>
    <phoneticPr fontId="23" type="noConversion"/>
  </si>
  <si>
    <t>sum(case when procedure_type=101 and procedure_status in (1,255) then record_cnt else 0 end)</t>
    <phoneticPr fontId="23" type="noConversion"/>
  </si>
  <si>
    <t>sum(case when procedure_type not in (20, 103, 29, 30, 31, 1, 5, 109, 7) and procedure_status in (1,255) then record_cnt else 0 end</t>
    <phoneticPr fontId="23" type="noConversion"/>
  </si>
  <si>
    <t>sum(case when nbcelevel=0 then record_cnt else 0 end)</t>
    <phoneticPr fontId="23" type="noConversion"/>
  </si>
  <si>
    <t>sum(case when nbcelevel=1 then record_cnt else 0 end)</t>
    <phoneticPr fontId="23" type="noConversion"/>
  </si>
  <si>
    <t>sum(case when nbcelevel=2 then record_cnt else 0 end)</t>
    <phoneticPr fontId="23" type="noConversion"/>
  </si>
  <si>
    <t>sum(case when nbcelevel&gt;=3 then record_cnt else 0 end)</t>
    <phoneticPr fontId="23" type="noConversion"/>
  </si>
  <si>
    <t>sum(case when bearerstatus = 1 record_cnt else 0 end)</t>
    <phoneticPr fontId="23" type="noConversion"/>
  </si>
  <si>
    <t>sum(case when bearerstatus = 2 record_cnt else 0 end)</t>
    <phoneticPr fontId="23" type="noConversion"/>
  </si>
  <si>
    <t>sum(case when bearerstatus = 3 record_cnt else 0 end)</t>
    <phoneticPr fontId="23" type="noConversion"/>
  </si>
  <si>
    <t>sum(case when bearerstatus = 4 record_cnt else 0 end)</t>
    <phoneticPr fontId="23" type="noConversion"/>
  </si>
  <si>
    <t>sum(case when bearerstatus = 5 record_cnt else 0 end)</t>
    <phoneticPr fontId="23" type="noConversion"/>
  </si>
  <si>
    <t>sum(case when bearerstatus = 6 record_cnt else 0 end)</t>
    <phoneticPr fontId="23" type="noConversion"/>
  </si>
  <si>
    <t>sum(case when bearerstatus = 0 record_cnt else 0 end)</t>
    <phoneticPr fontId="23" type="noConversion"/>
  </si>
  <si>
    <t>次</t>
    <phoneticPr fontId="23" type="noConversion"/>
  </si>
  <si>
    <t>&gt;=0</t>
    <phoneticPr fontId="23" type="noConversion"/>
  </si>
  <si>
    <t>aggr_lte_iov_attach_usrcel_refactor_h</t>
    <phoneticPr fontId="23" type="noConversion"/>
  </si>
  <si>
    <t>车联网用户4G_DPI_S1MME用户小区维度附着指标小时表</t>
    <phoneticPr fontId="23" type="noConversion"/>
  </si>
  <si>
    <t>对应共享给车联网aggr_lte_iov_attach_usrcel_h，字段名称及表结构无变化</t>
    <phoneticPr fontId="23" type="noConversion"/>
  </si>
  <si>
    <t>cfg_iov_usr_list</t>
  </si>
  <si>
    <t>车联网用户清单配置表</t>
  </si>
  <si>
    <t>[0,1]</t>
  </si>
  <si>
    <t>ho_req_cnt</t>
  </si>
  <si>
    <t>切换请求次数</t>
  </si>
  <si>
    <t>ho_succ_cnt</t>
  </si>
  <si>
    <t>切换成功次数</t>
  </si>
  <si>
    <t>掉线次数(异常释放次数）</t>
  </si>
  <si>
    <t>attach请求次数</t>
  </si>
  <si>
    <t>attach成功次数</t>
  </si>
  <si>
    <t>attach_suc_rate</t>
  </si>
  <si>
    <t>attach成功率</t>
  </si>
  <si>
    <t>sum(attach_request_cnt)</t>
    <phoneticPr fontId="23" type="noConversion"/>
  </si>
  <si>
    <t>sum(attach_succ_cnt)/sum(attach_request_cnt)</t>
    <phoneticPr fontId="23" type="noConversion"/>
  </si>
  <si>
    <t>x2_ho_request_cnt</t>
    <phoneticPr fontId="23" type="noConversion"/>
  </si>
  <si>
    <t>s1_ho_out_request_cnt</t>
    <phoneticPr fontId="23" type="noConversion"/>
  </si>
  <si>
    <t>sum(nvl(x2_ho_request_cnt,0)+nvl(s1_ho_out_request_cnt,0))</t>
    <phoneticPr fontId="23" type="noConversion"/>
  </si>
  <si>
    <t>sum(nvl(x2_ho_succ_cnt,0)+nvl(s1_ho_out_succ_cnt,0))</t>
    <phoneticPr fontId="23" type="noConversion"/>
  </si>
  <si>
    <t>A inner join B，关联条件：A.msisdn = B.msisdn and A.p_provincecode = B.p_provincecode</t>
    <phoneticPr fontId="23" type="noConversion"/>
  </si>
  <si>
    <t>用户|基站</t>
  </si>
  <si>
    <t>数据量很小，反诈要求保存时间长</t>
  </si>
  <si>
    <t>归属省</t>
  </si>
  <si>
    <t>gnbid</t>
  </si>
  <si>
    <t>5G基站ID</t>
  </si>
  <si>
    <t>split(cellkey,"_")[0]</t>
  </si>
  <si>
    <t>日期分区</t>
  </si>
  <si>
    <t>4G_DPI_S1MME用户小区维度小时表</t>
  </si>
  <si>
    <t>4G_DPI_S1MME用户小区维度小时表</t>
    <phoneticPr fontId="23" type="noConversion"/>
  </si>
  <si>
    <t>剔除基站名称包含“高铁、火车、机场”关键字的基站清单,满足同一基站1小时内接入1万张以上同一归属省电话卡，且电话卡归属省与基站所在省不一致</t>
    <phoneticPr fontId="23" type="noConversion"/>
  </si>
  <si>
    <t>4G电联工参表</t>
    <phoneticPr fontId="23" type="noConversion"/>
  </si>
  <si>
    <t>前置</t>
    <phoneticPr fontId="23" type="noConversion"/>
  </si>
  <si>
    <t>S1MME信令消息数</t>
    <phoneticPr fontId="23" type="noConversion"/>
  </si>
  <si>
    <t>反诈复制卡4G用户接入基站清单</t>
    <phoneticPr fontId="23" type="noConversion"/>
  </si>
  <si>
    <t>aggr_lte_copycard_usrenb_refactor_h</t>
    <phoneticPr fontId="23" type="noConversion"/>
  </si>
  <si>
    <t>S1MME用户小区清单小时表</t>
    <phoneticPr fontId="23" type="noConversion"/>
  </si>
  <si>
    <t>用户|小区</t>
    <phoneticPr fontId="23" type="noConversion"/>
  </si>
  <si>
    <t>否</t>
    <phoneticPr fontId="23" type="noConversion"/>
  </si>
  <si>
    <t>S1MME话单中dcnr与n1mode用户清单</t>
    <phoneticPr fontId="23" type="noConversion"/>
  </si>
  <si>
    <t>用户</t>
    <phoneticPr fontId="23" type="noConversion"/>
  </si>
  <si>
    <t>是</t>
    <phoneticPr fontId="23" type="noConversion"/>
  </si>
  <si>
    <t>dcnr</t>
  </si>
  <si>
    <t>用户的归属地省份</t>
  </si>
  <si>
    <t>当终端 SA 开关已打开，则 N1 MODE=1；当终端未打开 SA 开关，则 N1 MODE=0</t>
    <phoneticPr fontId="23" type="noConversion"/>
  </si>
  <si>
    <t>enodebid</t>
  </si>
  <si>
    <t>5g_user_count</t>
  </si>
  <si>
    <t>5G用户数</t>
    <phoneticPr fontId="23" type="noConversion"/>
  </si>
  <si>
    <t>day</t>
    <phoneticPr fontId="23" type="noConversion"/>
  </si>
  <si>
    <t>split(cellkey,'_')[0]</t>
    <phoneticPr fontId="23" type="noConversion"/>
  </si>
  <si>
    <t>split(cellkey,'_')[1]</t>
    <phoneticPr fontId="23" type="noConversion"/>
  </si>
  <si>
    <t>A inner join B，关联条件：A.msisdn = B.msisdn</t>
    <phoneticPr fontId="23" type="noConversion"/>
  </si>
  <si>
    <t>B表取T-1账期数据，过滤条件：dcnr = 1 and msisdn&gt;''</t>
    <phoneticPr fontId="23" type="noConversion"/>
  </si>
  <si>
    <t>count(distinct msisdn)</t>
    <phoneticPr fontId="23" type="noConversion"/>
  </si>
  <si>
    <t>个</t>
    <phoneticPr fontId="23" type="noConversion"/>
  </si>
  <si>
    <t>S1MME实时位置15分钟表</t>
    <phoneticPr fontId="23" type="noConversion"/>
  </si>
  <si>
    <t>p_quarter</t>
    <phoneticPr fontId="23" type="noConversion"/>
  </si>
  <si>
    <t>15分钟分区</t>
    <phoneticPr fontId="23" type="noConversion"/>
  </si>
  <si>
    <t>regexp_replace(trim(msisdn),'^86','')</t>
    <phoneticPr fontId="23" type="noConversion"/>
  </si>
  <si>
    <t>A inner join B，关联条件：regexp_replace(trim(A.msisdn),'^86','') = B.msisdn</t>
    <phoneticPr fontId="23" type="noConversion"/>
  </si>
  <si>
    <t>4G小区下NSA用户数统计15分钟表</t>
    <phoneticPr fontId="23" type="noConversion"/>
  </si>
  <si>
    <t>quarter</t>
    <phoneticPr fontId="23" type="noConversion"/>
  </si>
  <si>
    <t>4G小区下NSA用户数统计小时表</t>
    <phoneticPr fontId="23" type="noConversion"/>
  </si>
  <si>
    <t>fact_4g_xdr_signal_min</t>
    <phoneticPr fontId="23" type="noConversion"/>
  </si>
  <si>
    <t>B表取T-1账期数据，过滤条件：dcnr = 1</t>
    <phoneticPr fontId="23" type="noConversion"/>
  </si>
  <si>
    <t>小区</t>
    <phoneticPr fontId="23" type="noConversion"/>
  </si>
  <si>
    <t>15分钟</t>
    <phoneticPr fontId="23" type="noConversion"/>
  </si>
  <si>
    <t>否</t>
    <phoneticPr fontId="23" type="noConversion"/>
  </si>
  <si>
    <t>基站节能</t>
    <phoneticPr fontId="23" type="noConversion"/>
  </si>
  <si>
    <t>移动业务感知保障系统</t>
    <phoneticPr fontId="23" type="noConversion"/>
  </si>
  <si>
    <t>核心系统</t>
    <phoneticPr fontId="23" type="noConversion"/>
  </si>
  <si>
    <t>核心系统(基站节能)</t>
    <phoneticPr fontId="23" type="noConversion"/>
  </si>
  <si>
    <t>核心系统(5G登网)</t>
    <phoneticPr fontId="23" type="noConversion"/>
  </si>
  <si>
    <t>应用层</t>
  </si>
  <si>
    <t>中间层</t>
    <phoneticPr fontId="23" type="noConversion"/>
  </si>
  <si>
    <t>质量稽核</t>
  </si>
  <si>
    <t>质量稽核</t>
    <phoneticPr fontId="23" type="noConversion"/>
  </si>
  <si>
    <t>天</t>
    <phoneticPr fontId="23" type="noConversion"/>
  </si>
  <si>
    <t>详单</t>
    <phoneticPr fontId="23" type="noConversion"/>
  </si>
  <si>
    <t>升级</t>
  </si>
  <si>
    <t>升级</t>
    <phoneticPr fontId="23" type="noConversion"/>
  </si>
  <si>
    <t>net_detach_request_sum</t>
    <phoneticPr fontId="23" type="noConversion"/>
  </si>
  <si>
    <t>detach_request_cnt</t>
    <phoneticPr fontId="23" type="noConversion"/>
  </si>
  <si>
    <t>detach_succ_cnt</t>
    <phoneticPr fontId="23" type="noConversion"/>
  </si>
  <si>
    <t>detach_fail_cnt</t>
    <phoneticPr fontId="23" type="noConversion"/>
  </si>
  <si>
    <t>detach_timeout_cnt</t>
    <phoneticPr fontId="23" type="noConversion"/>
  </si>
  <si>
    <t>ue去附着请求次数</t>
    <phoneticPr fontId="23" type="noConversion"/>
  </si>
  <si>
    <t>去附着请求次数</t>
    <phoneticPr fontId="23" type="noConversion"/>
  </si>
  <si>
    <t>去附着成功次数</t>
    <phoneticPr fontId="23" type="noConversion"/>
  </si>
  <si>
    <t>去附着失败次数</t>
    <phoneticPr fontId="23" type="noConversion"/>
  </si>
  <si>
    <t>去附着超时次数</t>
    <phoneticPr fontId="23" type="noConversion"/>
  </si>
  <si>
    <t>sum(case when procedure_type=6 then record_cnt else 0 end)</t>
  </si>
  <si>
    <t>sum(case when procedure_type=6 and procedure_status=0 then record_cnt else 0 end)</t>
  </si>
  <si>
    <t>sum(case when procedure_type=6 and procedure_status=1 then record_cnt else 0 end)</t>
  </si>
  <si>
    <t>sum(case when procedure_type=6 and procedure_status=255 then record_cnt else 0 end)</t>
  </si>
  <si>
    <t>初始上下文建立请求次数</t>
    <phoneticPr fontId="23" type="noConversion"/>
  </si>
  <si>
    <t>初始上下文建立成功次数</t>
    <phoneticPr fontId="23" type="noConversion"/>
  </si>
  <si>
    <t>初始上下文建立失败次数</t>
    <phoneticPr fontId="23" type="noConversion"/>
  </si>
  <si>
    <t>初始上下文建立超时次数</t>
    <phoneticPr fontId="23" type="noConversion"/>
  </si>
  <si>
    <t>erab_setup_request_cnt</t>
    <phoneticPr fontId="23" type="noConversion"/>
  </si>
  <si>
    <t>erab_release_request_cnt</t>
    <phoneticPr fontId="23" type="noConversion"/>
  </si>
  <si>
    <t>erab_release_succ_cnt</t>
    <phoneticPr fontId="23" type="noConversion"/>
  </si>
  <si>
    <t>erab_release_fail_cnt</t>
    <phoneticPr fontId="23" type="noConversion"/>
  </si>
  <si>
    <t>erab_release_timeout_cnt</t>
    <phoneticPr fontId="23" type="noConversion"/>
  </si>
  <si>
    <t>E-RAB释放请求次数</t>
    <phoneticPr fontId="23" type="noConversion"/>
  </si>
  <si>
    <t>E-RAB释放成功次数</t>
    <phoneticPr fontId="23" type="noConversion"/>
  </si>
  <si>
    <t>E-RAB释放失败次数</t>
    <phoneticPr fontId="23" type="noConversion"/>
  </si>
  <si>
    <t>E-RAB释放超时次数</t>
    <phoneticPr fontId="23" type="noConversion"/>
  </si>
  <si>
    <t>sum(case when procedure_type=21 then record_cnt else 0 end)</t>
  </si>
  <si>
    <t>sum(case when procedure_type=21 and procedure_status=0 then record_cnt else 0 end)</t>
  </si>
  <si>
    <t>sum(case when procedure_type=21 and procedure_status=1 then record_cnt else 0 end)</t>
  </si>
  <si>
    <t>sum(case when procedure_type=21 and procedure_status=255 then record_cnt else 0 end)</t>
  </si>
  <si>
    <t>aggr_lte_dpi_s1mme_usrcel_d</t>
    <phoneticPr fontId="23" type="noConversion"/>
  </si>
  <si>
    <t>4G_DPI_S1MME用户小区维度天表</t>
    <phoneticPr fontId="23" type="noConversion"/>
  </si>
  <si>
    <t>4G_DPI_S1MME用户小区维度天表</t>
    <phoneticPr fontId="23" type="noConversion"/>
  </si>
  <si>
    <t>4G_DPI_s1mme基础维度小时汇聚表(含定界定位)</t>
  </si>
  <si>
    <t>sum(record_cnt)</t>
    <phoneticPr fontId="23" type="noConversion"/>
  </si>
  <si>
    <t>sum(attach_request_cnt)</t>
  </si>
  <si>
    <t>sum(attach_succ_cnt)</t>
  </si>
  <si>
    <t>sum(attach_fail_cnt)</t>
  </si>
  <si>
    <t>sum(attach_timeout_cnt)</t>
  </si>
  <si>
    <t>sum(eps_attach_request_cnt)</t>
  </si>
  <si>
    <t>sum(eps_attach_succ_cnt)</t>
  </si>
  <si>
    <t>sum(eps_attach_fail_cnt)</t>
  </si>
  <si>
    <t>sum(eps_attach_timeout_cnt)</t>
  </si>
  <si>
    <t>sum(eps_emergency_attach_request_cnt)</t>
  </si>
  <si>
    <t>sum(eps_emergency_attach_succ_cnt)</t>
  </si>
  <si>
    <t>sum(eps_emergency_attach_fail_cnt)</t>
  </si>
  <si>
    <t>sum(eps_emergency_attach_timeout_cnt)</t>
  </si>
  <si>
    <t>sum(service_request_cnt)</t>
  </si>
  <si>
    <t>sum(service_succ_cnt)</t>
  </si>
  <si>
    <t>sum(service_fail_cnt)</t>
  </si>
  <si>
    <t>sum(service_timeout_cnt)</t>
  </si>
  <si>
    <t>sum(paging_request_cnt)</t>
  </si>
  <si>
    <t>sum(paging_succ_cnt)</t>
  </si>
  <si>
    <t>sum(paging_fail_cnt)</t>
  </si>
  <si>
    <t>sum(paging_timeout_cnt)</t>
  </si>
  <si>
    <t>sum(tau_request_cnt)</t>
  </si>
  <si>
    <t>sum(tau_succ_cnt)</t>
  </si>
  <si>
    <t>sum(tau_fail_cnt)</t>
  </si>
  <si>
    <t>sum(tau_timeout_cnt)</t>
  </si>
  <si>
    <t>sum(detach_request_cnt)</t>
  </si>
  <si>
    <t>sum(detach_succ_cnt)</t>
  </si>
  <si>
    <t>sum(detach_fail_cnt)</t>
  </si>
  <si>
    <t>sum(detach_timeout_cnt)</t>
  </si>
  <si>
    <t>sum(pdn_connectivity_request_cnt)</t>
  </si>
  <si>
    <t>sum(pdn_connectivity_succ_cnt)</t>
  </si>
  <si>
    <t>sum(pdn_connectivity_fail_cnt)</t>
  </si>
  <si>
    <t>sum(pdn_connectivity_timeout_cnt)</t>
  </si>
  <si>
    <t>sum(x2_ho_request_cnt)</t>
  </si>
  <si>
    <t>sum(x2_ho_succ_cnt)</t>
  </si>
  <si>
    <t>sum(x2_ho_fail_cnt)</t>
  </si>
  <si>
    <t>sum(x2_ho_timeout_cnt)</t>
  </si>
  <si>
    <t>sum(s1_ho_out_request_cnt)</t>
  </si>
  <si>
    <t>sum(s1_ho_out_succ_cnt)</t>
  </si>
  <si>
    <t>sum(s1_ho_out_fail_cnt)</t>
  </si>
  <si>
    <t>sum(s1_ho_out_timeout_cnt)</t>
  </si>
  <si>
    <t>sum(s1_ho_intra_out_request_cnt)</t>
  </si>
  <si>
    <t>sum(s1_ho_intra_out_succ_cnt)</t>
  </si>
  <si>
    <t>sum(s1_ho_intra_out_fail_cnt)</t>
  </si>
  <si>
    <t>sum(s1_ho_intra_out_timeout_cnt)</t>
  </si>
  <si>
    <t>sum(s1_ho_in_request_cnt)</t>
  </si>
  <si>
    <t>sum(s1_ho_in_succ_cnt)</t>
  </si>
  <si>
    <t>sum(s1_ho_in_fail_cnt)</t>
  </si>
  <si>
    <t>sum(s1_ho_in_timeout_cnt)</t>
  </si>
  <si>
    <t>sum(s1_ho_cancel_request_cnt)</t>
  </si>
  <si>
    <t>sum(s1_ho_cancel_succ_cnt)</t>
  </si>
  <si>
    <t>sum(s1_ho_cancel_fail_cnt)</t>
  </si>
  <si>
    <t>sum(s1_ho_cancel_timeout_cnt)</t>
  </si>
  <si>
    <t>sum(initial_context_setup_request_cnt)</t>
  </si>
  <si>
    <t>sum(initial_context_setup_succ_cnt)</t>
  </si>
  <si>
    <t>sum(initial_context_setup_fail_cnt)</t>
  </si>
  <si>
    <t>sum(initial_context_setup_timeout_cnt)</t>
  </si>
  <si>
    <t>sum(ue_context_release_request_cnt)</t>
  </si>
  <si>
    <t>sum(ue_context_release_succ_cnt)</t>
  </si>
  <si>
    <t>sum(ue_context_release_fail_cnt)</t>
  </si>
  <si>
    <t>sum(ue_context_release_timeout_cnt)</t>
  </si>
  <si>
    <t>sum(erab_release_request_cnt)</t>
  </si>
  <si>
    <t>sum(erab_release_succ_cnt)</t>
  </si>
  <si>
    <t>sum(erab_release_fail_cnt)</t>
  </si>
  <si>
    <t>sum(erab_release_timeout_cnt)</t>
  </si>
  <si>
    <t>sum(sms_request_cnt)</t>
  </si>
  <si>
    <t>sum(sms_succ_cnt)</t>
  </si>
  <si>
    <t>sum(sms_fail_cnt)</t>
  </si>
  <si>
    <t>sum(sms_timeout_cnt)</t>
  </si>
  <si>
    <t>sum(erab_setup_request_cnt)</t>
  </si>
  <si>
    <t>sum(erab_setup_succ_cnt)</t>
  </si>
  <si>
    <t>sum(erab_setup_fail_cnt)</t>
  </si>
  <si>
    <t>sum(erab_setup_timeout_cnt)</t>
  </si>
  <si>
    <t>sum(erab_modify_request_cnt)</t>
  </si>
  <si>
    <t>sum(erab_modify_succ_cnt)</t>
  </si>
  <si>
    <t>sum(erab_modify_fail_cnt)</t>
  </si>
  <si>
    <t>sum(erab_modify_timeout_cnt)</t>
  </si>
  <si>
    <t>sum(cpservice_request_cnt)</t>
  </si>
  <si>
    <t>sum(cpservice_succ_cnt)</t>
  </si>
  <si>
    <t>sum(cpservice_fail_cnt)</t>
  </si>
  <si>
    <t>sum(cpservice_timeout_cnt)</t>
  </si>
  <si>
    <t>sum(procedure_succ_cnt)</t>
  </si>
  <si>
    <t>sum(procedure_fail_cnt)</t>
  </si>
  <si>
    <t>sum(procedure_timeout_cnt)</t>
  </si>
  <si>
    <t>aggr_lte_dpi_s1mme_cel_d</t>
  </si>
  <si>
    <t>aggr_lte_dpi_s1mme_cel_d</t>
    <phoneticPr fontId="23" type="noConversion"/>
  </si>
  <si>
    <t>aggr_lte_dpi_s1mme_usr_d</t>
    <phoneticPr fontId="23" type="noConversion"/>
  </si>
  <si>
    <t>4G_DPI_S1MME用户维度天表</t>
  </si>
  <si>
    <t>4G_DPI_S1MME用户维度天表</t>
    <phoneticPr fontId="23" type="noConversion"/>
  </si>
  <si>
    <t>4G_DPI_S1MME小区维度天表</t>
    <phoneticPr fontId="23" type="noConversion"/>
  </si>
  <si>
    <t>4G_DPI_S1MME小区维度天表</t>
    <phoneticPr fontId="23" type="noConversion"/>
  </si>
  <si>
    <t>4G_DPI_S1MME用户维度天表</t>
    <phoneticPr fontId="23" type="noConversion"/>
  </si>
  <si>
    <t>dm_qulity_s1mme_cell_refactor_d</t>
  </si>
  <si>
    <t>省</t>
    <phoneticPr fontId="23" type="noConversion"/>
  </si>
  <si>
    <t>S1MME信令工参小区关联率统计</t>
    <phoneticPr fontId="23" type="noConversion"/>
  </si>
  <si>
    <t>应用层</t>
    <phoneticPr fontId="23" type="noConversion"/>
  </si>
  <si>
    <t>账期</t>
  </si>
  <si>
    <t>ct_cell_cnt</t>
  </si>
  <si>
    <t>电信工参小区数</t>
  </si>
  <si>
    <t>cu_cell_cnt</t>
  </si>
  <si>
    <t>联通工参小区数</t>
  </si>
  <si>
    <t>ct_corrected_cell_cnt</t>
  </si>
  <si>
    <t>电信纠偏表小区数</t>
  </si>
  <si>
    <t>cell_cnt</t>
  </si>
  <si>
    <t>电联工参重复小区数</t>
  </si>
  <si>
    <t>mme_cell_cnt</t>
  </si>
  <si>
    <t>MME小区数</t>
  </si>
  <si>
    <t>关联电信小区数</t>
  </si>
  <si>
    <t>mme_cu_cell_cnt</t>
  </si>
  <si>
    <t>关联联通小区数</t>
  </si>
  <si>
    <t>mme_ct_corrected_cell_cnt</t>
  </si>
  <si>
    <t>关联电信纠偏表小区数</t>
  </si>
  <si>
    <t>mme_ctcu_cell_rel_rate</t>
  </si>
  <si>
    <t>电联工参关联率</t>
  </si>
  <si>
    <t>mme_cuct_cell_rate</t>
  </si>
  <si>
    <t>MME小区数/电联工参</t>
  </si>
  <si>
    <t>total_records</t>
  </si>
  <si>
    <t>总信令记录数</t>
  </si>
  <si>
    <t>valid_cell_records</t>
  </si>
  <si>
    <t>小区非空信令记录数</t>
  </si>
  <si>
    <t>ct_cell_records</t>
  </si>
  <si>
    <t>关联电信小区信令记录数</t>
  </si>
  <si>
    <t>cu_cell_records</t>
  </si>
  <si>
    <t>关联联通小区信令记录数</t>
  </si>
  <si>
    <t>ct_corrected_cell_records</t>
  </si>
  <si>
    <t>关联电信纠偏表小区信令记录数</t>
  </si>
  <si>
    <t>mdn_cnt</t>
  </si>
  <si>
    <t>用户数</t>
  </si>
  <si>
    <t>ctcu_cell_mdn_cnt</t>
  </si>
  <si>
    <t>关联电联小区用户数</t>
  </si>
  <si>
    <t>cell_fill_rate</t>
  </si>
  <si>
    <t>小区非空率</t>
  </si>
  <si>
    <t>cell_rel_record_rate</t>
  </si>
  <si>
    <t>关联工参信令占比</t>
  </si>
  <si>
    <t>norel_mdn_rate</t>
  </si>
  <si>
    <t>关联工参丢失用户数占比</t>
  </si>
  <si>
    <t>norel_mdn_cnt</t>
  </si>
  <si>
    <t>关联工参丢失用户数</t>
  </si>
  <si>
    <t>procedure_request_cnt</t>
    <phoneticPr fontId="23" type="noConversion"/>
  </si>
  <si>
    <t>procedure_request_cnt</t>
    <phoneticPr fontId="23" type="noConversion"/>
  </si>
  <si>
    <t>sum(procedure_request_cnt)</t>
    <phoneticPr fontId="23" type="noConversion"/>
  </si>
  <si>
    <t>将输入表由aggr_4gxdr_n1mode_usr_cel_h修改为aggr_lte_dpi_s1mme_usrcel_d，且字段s1mme_message_count使用procedure_request_cnt替换，其余逻辑完全不变</t>
    <phoneticPr fontId="23" type="noConversion"/>
  </si>
  <si>
    <t>日期</t>
    <phoneticPr fontId="23" type="noConversion"/>
  </si>
  <si>
    <t>lte_cm_projdata</t>
    <phoneticPr fontId="23" type="noConversion"/>
  </si>
  <si>
    <t>lte_cm_projdata_corrected</t>
  </si>
  <si>
    <t>lte_cucc_cm_projdata</t>
  </si>
  <si>
    <t>4G电信工参</t>
    <phoneticPr fontId="23" type="noConversion"/>
  </si>
  <si>
    <t>4G纠偏工参</t>
    <phoneticPr fontId="23" type="noConversion"/>
  </si>
  <si>
    <t>4G联通工参</t>
    <phoneticPr fontId="23" type="noConversion"/>
  </si>
  <si>
    <t>D</t>
    <phoneticPr fontId="23" type="noConversion"/>
  </si>
  <si>
    <t>将输入表由lte_cm_projdata_core修改为lte_cm_projdata，其余逻辑不变</t>
    <phoneticPr fontId="23" type="noConversion"/>
  </si>
  <si>
    <t>可复用现网sql逻辑，但需要注意任务执行位置由前置调整为核心</t>
    <phoneticPr fontId="23" type="noConversion"/>
  </si>
  <si>
    <t>count(distinct concat(enodebid, '_', cid))</t>
    <phoneticPr fontId="23" type="noConversion"/>
  </si>
  <si>
    <t>count(distinct concat(enodebid, '_', cellid))</t>
    <phoneticPr fontId="23" type="noConversion"/>
  </si>
  <si>
    <t>B|D</t>
    <phoneticPr fontId="23" type="noConversion"/>
  </si>
  <si>
    <t>重复小区数统计</t>
    <phoneticPr fontId="23" type="noConversion"/>
  </si>
  <si>
    <t>count(distinct cellkey)</t>
    <phoneticPr fontId="23" type="noConversion"/>
  </si>
  <si>
    <t>A|B</t>
    <phoneticPr fontId="23" type="noConversion"/>
  </si>
  <si>
    <t>A|D</t>
    <phoneticPr fontId="23" type="noConversion"/>
  </si>
  <si>
    <t>A|C</t>
    <phoneticPr fontId="23" type="noConversion"/>
  </si>
  <si>
    <t>关联上小区数统计</t>
    <phoneticPr fontId="23" type="noConversion"/>
  </si>
  <si>
    <t>mme_ct_cell_cnt</t>
    <phoneticPr fontId="23" type="noConversion"/>
  </si>
  <si>
    <t>关联上小区数统计除以总小区数</t>
    <phoneticPr fontId="23" type="noConversion"/>
  </si>
  <si>
    <t>A|B|C|D</t>
    <phoneticPr fontId="23" type="noConversion"/>
  </si>
  <si>
    <t>S1MME小区数除以三类工参小区数</t>
    <phoneticPr fontId="23" type="noConversion"/>
  </si>
  <si>
    <t>length(msisdn)=11</t>
    <phoneticPr fontId="23" type="noConversion"/>
  </si>
  <si>
    <t>count(DISTINCT if(ct_cellkey = 1 OR cu_cellkey = 1 OR ct_corrected_cellkey=1, msisdn_valid, NULL))</t>
    <phoneticPr fontId="23" type="noConversion"/>
  </si>
  <si>
    <t>cellkey_record_cnt/total_record</t>
  </si>
  <si>
    <t>(rel_ct_record_cnt+rel_cu_record_cnt+dist_rel_cu_corrected_record_cnt)/total_record</t>
  </si>
  <si>
    <t>(mdn_cnt - rel_mdn_cnt)/mdn_cnt</t>
    <phoneticPr fontId="23" type="noConversion"/>
  </si>
  <si>
    <t>mdn_cnt - rel_mdn_cnt</t>
    <phoneticPr fontId="23" type="noConversion"/>
  </si>
  <si>
    <t>&gt;0</t>
    <phoneticPr fontId="23" type="noConversion"/>
  </si>
  <si>
    <t>[0,1]</t>
    <phoneticPr fontId="23" type="noConversion"/>
  </si>
  <si>
    <t>[0,3]</t>
    <phoneticPr fontId="23" type="noConversion"/>
  </si>
  <si>
    <t>dm_qulity_s1mme_no_cell_refactor_d</t>
    <phoneticPr fontId="23" type="noConversion"/>
  </si>
  <si>
    <t>S1MME信令小区未关联上工参小区清单</t>
    <phoneticPr fontId="23" type="noConversion"/>
  </si>
  <si>
    <t>enbipadd</t>
    <phoneticPr fontId="23" type="noConversion"/>
  </si>
  <si>
    <t>将输入表由aggr_4gxdr_n1mode_usr_cel_h修改为aggr_lte_dpi_s1mme_cel_d。且字段s1mme_message_count使用procedure_request_cnt替换；字段enodebip使用enbipadd替换，其余逻辑完全不变</t>
    <phoneticPr fontId="23" type="noConversion"/>
  </si>
  <si>
    <t>enodebip</t>
  </si>
  <si>
    <t>records</t>
  </si>
  <si>
    <t>ECGI编码</t>
    <phoneticPr fontId="23" type="noConversion"/>
  </si>
  <si>
    <t>S1MME记录数</t>
    <phoneticPr fontId="23" type="noConversion"/>
  </si>
  <si>
    <t>省编码</t>
    <phoneticPr fontId="23" type="noConversion"/>
  </si>
  <si>
    <t>使用A表小区关联BCD表，未关联上的小区清单保留</t>
    <phoneticPr fontId="23" type="noConversion"/>
  </si>
  <si>
    <t>dm_4gdpi_cell_list_d</t>
    <phoneticPr fontId="23" type="noConversion"/>
  </si>
  <si>
    <t>4G_DPI_S1MME小区清单滚动周表</t>
  </si>
  <si>
    <t>4G_DPI_S1MME小区清单滚动周表</t>
    <phoneticPr fontId="23" type="noConversion"/>
  </si>
  <si>
    <t>工参主数据</t>
    <phoneticPr fontId="23" type="noConversion"/>
  </si>
  <si>
    <t>可先不上线，待割接时再上线</t>
    <phoneticPr fontId="23" type="noConversion"/>
  </si>
  <si>
    <t>可复用现网逻辑，但需要将数据调用时间由4天调整为7天</t>
    <phoneticPr fontId="23" type="noConversion"/>
  </si>
  <si>
    <t>将输入表由aggr_4g_resident_celusr_d修改为aggr_lte_dpi_s1mme_cel_d</t>
    <phoneticPr fontId="23" type="noConversion"/>
  </si>
  <si>
    <t>vendor</t>
  </si>
  <si>
    <t>city_name</t>
  </si>
  <si>
    <t>城市编码</t>
    <phoneticPr fontId="23" type="noConversion"/>
  </si>
  <si>
    <t>厂家</t>
    <phoneticPr fontId="23" type="noConversion"/>
  </si>
  <si>
    <t>城市名称</t>
    <phoneticPr fontId="23" type="noConversion"/>
  </si>
  <si>
    <t>45G_DPI数据中mdn与imsi对应关系表</t>
    <phoneticPr fontId="23" type="noConversion"/>
  </si>
  <si>
    <t>45G_DPI数据中mdn与imsi一对多统计结果表</t>
    <phoneticPr fontId="23" type="noConversion"/>
  </si>
  <si>
    <t>45G_DPI数据中mdn与imsi对应关系表</t>
    <phoneticPr fontId="23" type="noConversion"/>
  </si>
  <si>
    <t>对应现网dm_quality_45g_dpi_mdn_imsi_multicnt_refactor_d</t>
    <phoneticPr fontId="23" type="noConversion"/>
  </si>
  <si>
    <t>对应现网dm_quality_45g_dpi_mdn_imsi_refactor_d</t>
    <phoneticPr fontId="23" type="noConversion"/>
  </si>
  <si>
    <t>dm_quality_45g_dpi_mdn_imsi_d</t>
    <phoneticPr fontId="23" type="noConversion"/>
  </si>
  <si>
    <t>45G_DPI数据中mdn与imsi一对多统计结果表</t>
  </si>
  <si>
    <t>aggr_nr_dpi_n1n2_usr_d</t>
  </si>
  <si>
    <t>5G_DPI_N1N2用户维度天表</t>
  </si>
  <si>
    <t>net_type</t>
  </si>
  <si>
    <t>网络类型</t>
    <phoneticPr fontId="23" type="noConversion"/>
  </si>
  <si>
    <t>根据数据来源判断，来源于A则赋值为'5G'，来源于B则赋值为'4G'</t>
    <phoneticPr fontId="23" type="noConversion"/>
  </si>
  <si>
    <t>4G,5G</t>
    <phoneticPr fontId="23" type="noConversion"/>
  </si>
  <si>
    <t>msisdn</t>
    <phoneticPr fontId="23" type="noConversion"/>
  </si>
  <si>
    <t>用户号码</t>
    <phoneticPr fontId="23" type="noConversion"/>
  </si>
  <si>
    <t>用户imsi号</t>
    <phoneticPr fontId="23" type="noConversion"/>
  </si>
  <si>
    <t>A:supi
B:imsi</t>
    <phoneticPr fontId="23" type="noConversion"/>
  </si>
  <si>
    <t>用户号码与imsi一对多号码数量</t>
    <phoneticPr fontId="23" type="noConversion"/>
  </si>
  <si>
    <t>imsi与用户号码一对多imsi数量</t>
    <phoneticPr fontId="23" type="noConversion"/>
  </si>
  <si>
    <t>imsi_set</t>
  </si>
  <si>
    <t>用户号码与imsi一对多时imsi清单</t>
    <phoneticPr fontId="23" type="noConversion"/>
  </si>
  <si>
    <t>imsi清单</t>
    <phoneticPr fontId="23" type="noConversion"/>
  </si>
  <si>
    <t>mdn_set</t>
  </si>
  <si>
    <t>imsi与用户号码一对多时用户号码清单</t>
    <phoneticPr fontId="23" type="noConversion"/>
  </si>
  <si>
    <t>msisdn清单</t>
    <phoneticPr fontId="23" type="noConversion"/>
  </si>
  <si>
    <t>excep_type</t>
    <phoneticPr fontId="23" type="noConversion"/>
  </si>
  <si>
    <t>用户号码与imsi一对多的类型</t>
    <phoneticPr fontId="23" type="noConversion"/>
  </si>
  <si>
    <t>case when mdn_imsi_cnt &gt; 1 and imsi_mdn_cnt &gt; 1 then 'IMSI与MDN多对多' when mdn_imsi_cnt &gt; 1 and imsi_mdn_cnt = 1 then 'IMSI与MDN多对一' when imsi_mdn_cnt &gt; 1 and mdn_imsi_cnt = 1 then 'IMSI与MDN一对多' end</t>
    <phoneticPr fontId="23" type="noConversion"/>
  </si>
  <si>
    <t>IMSI与MDN多对多,IMSI与MDN多对一,IMSI与MDN一对多</t>
    <phoneticPr fontId="23" type="noConversion"/>
  </si>
  <si>
    <t>total_cnt</t>
  </si>
  <si>
    <t>总记录数</t>
    <phoneticPr fontId="23" type="noConversion"/>
  </si>
  <si>
    <t>MDN非空记录数</t>
    <phoneticPr fontId="23" type="noConversion"/>
  </si>
  <si>
    <t>mdn_fill_rate</t>
  </si>
  <si>
    <t>MDN非空率</t>
    <phoneticPr fontId="23" type="noConversion"/>
  </si>
  <si>
    <t>(0,1]</t>
    <phoneticPr fontId="23" type="noConversion"/>
  </si>
  <si>
    <t>用户数</t>
    <phoneticPr fontId="23" type="noConversion"/>
  </si>
  <si>
    <t>用户号码与imsi一一对应用户数</t>
    <phoneticPr fontId="23" type="noConversion"/>
  </si>
  <si>
    <t>mdn_ismi_rate</t>
  </si>
  <si>
    <t>用户号码与imsi一一对应占比</t>
    <phoneticPr fontId="23" type="noConversion"/>
  </si>
  <si>
    <t>用户号码与imsi一一对应用户数 / 总用户数</t>
    <phoneticPr fontId="23" type="noConversion"/>
  </si>
  <si>
    <t>S1MME信令工参小区关联率统计</t>
    <phoneticPr fontId="23" type="noConversion"/>
  </si>
  <si>
    <t>S1MME信令小区未关联上工参小区清单</t>
    <phoneticPr fontId="23" type="noConversion"/>
  </si>
  <si>
    <t>proceduretype_valid_cnt</t>
    <phoneticPr fontId="23" type="noConversion"/>
  </si>
  <si>
    <t>有效流程的记录数</t>
    <phoneticPr fontId="23" type="noConversion"/>
  </si>
  <si>
    <t>sum(case when procedure_type not in (22, 23, 24, 25, 26, 27, 28) then record_cnt else 0 end)</t>
    <phoneticPr fontId="23" type="noConversion"/>
  </si>
  <si>
    <t>sum(proceduretype_valid_cnt)</t>
    <phoneticPr fontId="23" type="noConversion"/>
  </si>
  <si>
    <t>调用A表逻辑不变</t>
    <phoneticPr fontId="23" type="noConversion"/>
  </si>
  <si>
    <t>将输入表由aggr_4gxdr_n1mode_usr_cel_h替换为aggr_lte_dpi_s1mme_usr_d。且字段s1mme_message_count使用proceduretype_valid_cnt替换；去掉过滤条件：procedure_type not in (22, 23, 24, 25, 26, 27, 28)，其余逻辑完全不变</t>
    <phoneticPr fontId="23" type="noConversion"/>
  </si>
  <si>
    <t>A:sum(procedureType_valid_cnt)
B:sum(proceduretype_valid_cnt)</t>
    <phoneticPr fontId="23" type="noConversion"/>
  </si>
  <si>
    <t>A：sum(case when msisdn is not null and msisdn != '' then procedureType_valid_cnt else 0 end)
B：sum(case when msisdn is not null and msisdn != '' then proceduretype_valid_cnt else 0 end)</t>
    <phoneticPr fontId="23" type="noConversion"/>
  </si>
  <si>
    <t>A：sum(case when msisdn is not null and msisdn != '' then procedureType_valid_cnt else 0 end) / sum(procedureType_valid_cnt)
B：sum(case when msisdn is not null and msisdn != '' then proceduretype_valid_cnt else 0 end) / sum(proceduretype_valid_cnt)</t>
    <phoneticPr fontId="23" type="noConversion"/>
  </si>
  <si>
    <t>ods_4gdpi_dns_e2e_telecom_q</t>
    <phoneticPr fontId="23" type="noConversion"/>
  </si>
  <si>
    <t>数据感知</t>
  </si>
  <si>
    <t>yyyy-mm-dd</t>
  </si>
  <si>
    <t>0~23</t>
  </si>
  <si>
    <t>0~3</t>
  </si>
  <si>
    <t>&lt;=101</t>
  </si>
  <si>
    <t>rattype</t>
  </si>
  <si>
    <t>网络类型（4G：6；5G：10）</t>
  </si>
  <si>
    <t>6,10</t>
  </si>
  <si>
    <t>6位数编码</t>
  </si>
  <si>
    <t>市编码</t>
  </si>
  <si>
    <t>关联工参回填</t>
  </si>
  <si>
    <t>区编码</t>
  </si>
  <si>
    <t>用户终端</t>
  </si>
  <si>
    <t>servicetype</t>
    <phoneticPr fontId="23" type="noConversion"/>
  </si>
  <si>
    <t>业务应用</t>
  </si>
  <si>
    <t>servicetype</t>
  </si>
  <si>
    <t>gNB的IPv4或IPv6地址</t>
  </si>
  <si>
    <t>归属省份</t>
  </si>
  <si>
    <t>l4protocol</t>
  </si>
  <si>
    <t>L4协议类型： 0：TCP；1：UDP</t>
  </si>
  <si>
    <t>sourceip_type</t>
    <phoneticPr fontId="23" type="noConversion"/>
  </si>
  <si>
    <t>用户访问外部网络时使用的IP类型（IPv4/IPv6）</t>
  </si>
  <si>
    <t>dnssuctime_sum</t>
  </si>
  <si>
    <t>DNS查询成功时延_求和</t>
  </si>
  <si>
    <t>dnssuc_over2s_cnt</t>
  </si>
  <si>
    <t>DNS查询时延&gt;2s次数</t>
  </si>
  <si>
    <t>replycode1_cnt</t>
  </si>
  <si>
    <t>DNS格式错误次数</t>
  </si>
  <si>
    <t>replycode2_cnt</t>
  </si>
  <si>
    <t>DNS服务器错误次数</t>
  </si>
  <si>
    <t>replycode3_cnt</t>
  </si>
  <si>
    <t>DNS域名错误次数</t>
  </si>
  <si>
    <t>replycode4_cnt</t>
  </si>
  <si>
    <t>DNS未实现次数</t>
  </si>
  <si>
    <t>replycode5_cnt</t>
  </si>
  <si>
    <t>DNS服务器拒绝次数</t>
  </si>
  <si>
    <t>replycode_null_cnt</t>
  </si>
  <si>
    <t>DNS无响应次数</t>
  </si>
  <si>
    <t>xdr_suc_cnt</t>
    <phoneticPr fontId="23" type="noConversion"/>
  </si>
  <si>
    <t>xdr成功条数</t>
  </si>
  <si>
    <t>sum(case when tcpconnectstate=0 or sessionstopflag=1 then 1 else 0 end)</t>
  </si>
  <si>
    <t>abnormal_cnt</t>
  </si>
  <si>
    <t>质差话单数量</t>
  </si>
  <si>
    <t>sum(case when tcpsetupresponsedelay&gt;= 110 or tcpsetupackdelay&gt;=110  or ultcp_retranspacket/outputpacket&gt;=0.15 or dltcp_retranspacket/inputpacket&gt;=0.15  then 1 else 0 end)</t>
  </si>
  <si>
    <t>dns_query_cnt</t>
    <phoneticPr fontId="23" type="noConversion"/>
  </si>
  <si>
    <t>DNS请求次数</t>
  </si>
  <si>
    <t>dns_suc_cnt</t>
    <phoneticPr fontId="23" type="noConversion"/>
  </si>
  <si>
    <t>DNS成功次数</t>
  </si>
  <si>
    <t>sum(case when reply_code=0  then 1 else 0 end)</t>
  </si>
  <si>
    <t>dns_suc_rate</t>
  </si>
  <si>
    <t>DNS查询成功率</t>
  </si>
  <si>
    <t>dns_delay</t>
    <phoneticPr fontId="23" type="noConversion"/>
  </si>
  <si>
    <t>DNS时延</t>
  </si>
  <si>
    <t>dns_delay_custom</t>
    <phoneticPr fontId="23" type="noConversion"/>
  </si>
  <si>
    <t>DNS时延（自定义：剔除时延大于100ms的详单数据）</t>
  </si>
  <si>
    <t>[0,100]</t>
  </si>
  <si>
    <t>dns_delay_cnt_0_50</t>
  </si>
  <si>
    <t>DNS查询时延在(0,50]的次数</t>
  </si>
  <si>
    <t>dns_delay_cnt_50_100</t>
  </si>
  <si>
    <t>DNS查询时延在(50,100]的次数</t>
  </si>
  <si>
    <t>dns_delay_cnt_100_150</t>
  </si>
  <si>
    <t>DNS查询时延在(100,150]的次数</t>
  </si>
  <si>
    <t>dns_delay_cnt_150_200</t>
  </si>
  <si>
    <t>DNS查询时延在(150,200]的次数</t>
  </si>
  <si>
    <t>dns_delay_cnt_greater_200</t>
    <phoneticPr fontId="23" type="noConversion"/>
  </si>
  <si>
    <t>DNS查询时延在(200,200000]的次数</t>
  </si>
  <si>
    <t>aggr_lte_dpi_dns_base_q</t>
    <phoneticPr fontId="23" type="noConversion"/>
  </si>
  <si>
    <t>用户|小区|app|dnn|源IP类型</t>
    <phoneticPr fontId="23" type="noConversion"/>
  </si>
  <si>
    <t>city</t>
    <phoneticPr fontId="23" type="noConversion"/>
  </si>
  <si>
    <t>district</t>
    <phoneticPr fontId="23" type="noConversion"/>
  </si>
  <si>
    <t>4G_DPI_dns贴源层详单表</t>
    <phoneticPr fontId="23" type="noConversion"/>
  </si>
  <si>
    <t>关联条件：concat(floor(cast(split(ecgi, '-')[2] as int)/256),"_",cast(split(ecgi, '-')[2] as int)%256)=B.reportcellkey</t>
    <phoneticPr fontId="23" type="noConversion"/>
  </si>
  <si>
    <t>concat(floor(cast(split(ecgi, '-')[2] as int)/256),"_",cast(split(ecgi, '-')[2] as int)%256)</t>
    <phoneticPr fontId="23" type="noConversion"/>
  </si>
  <si>
    <t>ecgi：
460-11-239188563</t>
    <phoneticPr fontId="23" type="noConversion"/>
  </si>
  <si>
    <t>l4protocol</t>
    <phoneticPr fontId="23" type="noConversion"/>
  </si>
  <si>
    <t>sgwip</t>
  </si>
  <si>
    <t>SGW的IPv4或IPv6地址</t>
    <phoneticPr fontId="23" type="noConversion"/>
  </si>
  <si>
    <t>enbip</t>
  </si>
  <si>
    <t>承载的QCI，取值范围从1到9</t>
    <phoneticPr fontId="23" type="noConversion"/>
  </si>
  <si>
    <t>sum(case when replycode=1  then 1 else 0 end)</t>
  </si>
  <si>
    <t>sum(case when replycode=2  then 1 else 0 end)</t>
  </si>
  <si>
    <t>sum(case when replycode=3  then 1 else 0 end)</t>
  </si>
  <si>
    <t>sum(case when replycode=4  then 1 else 0 end)</t>
  </si>
  <si>
    <t>sum(case when replycode=5  then 1 else 0 end)</t>
  </si>
  <si>
    <t>sum(case when replycode is null  then 1 else 0 end)</t>
  </si>
  <si>
    <t>sum(case when replycode=0 and responsetime- querytime&gt;0 and responsetime- querytime&lt;30000 then responsetime- querytime else null end)</t>
  </si>
  <si>
    <t>sum(case when replycode=0 and responsetime- querytime&gt;2000 then  1 else 0 end)</t>
  </si>
  <si>
    <t>avg(case when responsetime- querytime &lt; 30000 and responsetime- querytime &gt; 0 then responsetime- querytime else null end)</t>
  </si>
  <si>
    <t>avg(case when (responsetime- querytime) &lt; 100 and (responsetime- querytime) &gt; 0 then (responsetime- querytime) else null end)</t>
  </si>
  <si>
    <t>sum(case when responsetime-querytime&gt;0 and responsetime-querytime&lt;=50 then 1 else 0 end)</t>
  </si>
  <si>
    <t>sum(case when responsetime-querytime&gt;50 and responsetime-querytime&lt;=100 then 1 else 0 end)</t>
  </si>
  <si>
    <t>sum(case when responsetime-querytime&gt;100 and responsetime-querytime&lt;=150 then 1 else 0 end)</t>
  </si>
  <si>
    <t>sum(case when responsetime-querytime&gt;150 and responsetime-querytime&lt;=200 then 1 else 0 end)</t>
  </si>
  <si>
    <t>sum(case when responsetime-querytime&gt;200 and responsetime-querytime&lt;=200000 then 1 else 0 end)</t>
  </si>
  <si>
    <t>根据sourceip字段结果识别</t>
    <phoneticPr fontId="23" type="noConversion"/>
  </si>
  <si>
    <t>case when sourceip regexp '^((25[0-5]|2[0-4]\\d|[01]?\\d\\d?)\\.){3}(25[0-5]|2[0-4]\\d|[01]?\\d\\d?)$' then 'ipv4' when sourceIP regexp '^([\\da-fA-F]{1,4}:){7}[\\da-fA-F]{1,4}$' then 'ipv6' else '' end as sourceip_type</t>
    <phoneticPr fontId="23" type="noConversion"/>
  </si>
  <si>
    <t>mmeip</t>
  </si>
  <si>
    <t>mmeip</t>
    <phoneticPr fontId="23" type="noConversion"/>
  </si>
  <si>
    <t>MME的IPv4或IPv6地址</t>
    <phoneticPr fontId="23" type="noConversion"/>
  </si>
  <si>
    <t>l4protocal</t>
    <phoneticPr fontId="23" type="noConversion"/>
  </si>
  <si>
    <t>aggr_lte_dpi_dns_base_h</t>
    <phoneticPr fontId="23" type="noConversion"/>
  </si>
  <si>
    <t>pgwip</t>
  </si>
  <si>
    <t>PGW的IPv4或者IPv6的地址</t>
  </si>
  <si>
    <t>sourceip_type</t>
  </si>
  <si>
    <t>sum(dnssuctime_sum)</t>
  </si>
  <si>
    <t>sum(dnssuc_over2s_cnt)</t>
  </si>
  <si>
    <t>sum(replycode1_cnt)</t>
  </si>
  <si>
    <t>sum(replycode2_cnt)</t>
  </si>
  <si>
    <t>sum(replycode3_cnt)</t>
  </si>
  <si>
    <t>sum(replycode4_cnt)</t>
  </si>
  <si>
    <t>sum(replycode5_cnt)</t>
  </si>
  <si>
    <t>sum(replycode_null_cnt)</t>
  </si>
  <si>
    <t>sum(xdr_suc_cnt)</t>
  </si>
  <si>
    <t>sum(abnormal_cnt)</t>
  </si>
  <si>
    <t>sum(dns_query_cnt)</t>
  </si>
  <si>
    <t>sum(dns_suc_cnt)</t>
  </si>
  <si>
    <t>sum(dns_delay_cnt_0_50)</t>
  </si>
  <si>
    <t>sum(dns_delay_cnt_50_100)</t>
  </si>
  <si>
    <t>sum(dns_delay_cnt_100_150)</t>
  </si>
  <si>
    <t>sum(dns_delay_cnt_150_200)</t>
  </si>
  <si>
    <t>sum(dns_delay_cnt_greater_200)</t>
  </si>
  <si>
    <t>sum(dns_suc_cnt)</t>
    <phoneticPr fontId="23" type="noConversion"/>
  </si>
  <si>
    <t>sum(dns_query_cnt)</t>
    <phoneticPr fontId="23" type="noConversion"/>
  </si>
  <si>
    <t>sum(dns_suc_cnt)/sum(dns_query_cnt)</t>
    <phoneticPr fontId="23" type="noConversion"/>
  </si>
  <si>
    <t>sum(dns_delay*dns_query_cnt)/sum(dns_query_cnt)</t>
    <phoneticPr fontId="23" type="noConversion"/>
  </si>
  <si>
    <t>sum(dns_delay_custom*dns_query_cnt)/sum(dns_query_cnt)</t>
    <phoneticPr fontId="23" type="noConversion"/>
  </si>
  <si>
    <t>小时</t>
    <phoneticPr fontId="23" type="noConversion"/>
  </si>
  <si>
    <t>核心</t>
    <phoneticPr fontId="23" type="noConversion"/>
  </si>
  <si>
    <t>aggr_lte_dpi_dns_usrappcel_q</t>
    <phoneticPr fontId="23" type="noConversion"/>
  </si>
  <si>
    <t>用户|小区|app</t>
    <phoneticPr fontId="23" type="noConversion"/>
  </si>
  <si>
    <t>4G_DPI_dns用户小区app维度15分钟表</t>
    <phoneticPr fontId="23" type="noConversion"/>
  </si>
  <si>
    <t>4G_DPI_dns基础维度小时表</t>
    <phoneticPr fontId="23" type="noConversion"/>
  </si>
  <si>
    <t>4G_DPI_dns基础维度15分钟表</t>
    <phoneticPr fontId="23" type="noConversion"/>
  </si>
  <si>
    <t>4G_DPI_dns用户小区区域app维度天表</t>
    <phoneticPr fontId="23" type="noConversion"/>
  </si>
  <si>
    <t>用户|小区|app|区域</t>
    <phoneticPr fontId="23" type="noConversion"/>
  </si>
  <si>
    <t>aggr_lte_dns_usrappcelarea_d</t>
    <phoneticPr fontId="23" type="noConversion"/>
  </si>
  <si>
    <t>只上线用户级感知省份，对应现网aggr_lte_usrarea_dns_cel_d表，字段名称未修改，与现网表字段名称一致</t>
    <phoneticPr fontId="23" type="noConversion"/>
  </si>
  <si>
    <t>4G MR用户常驻区域聚区结果表</t>
    <phoneticPr fontId="23" type="noConversion"/>
  </si>
  <si>
    <t>4G_DPI_dns基础维度小时表</t>
    <phoneticPr fontId="23" type="noConversion"/>
  </si>
  <si>
    <t>4G_DPI_dns基础维度15分钟表</t>
    <phoneticPr fontId="23" type="noConversion"/>
  </si>
  <si>
    <t>4G_DPI_dns用户小区app维度15分钟表</t>
    <phoneticPr fontId="23" type="noConversion"/>
  </si>
  <si>
    <t>area_id</t>
  </si>
  <si>
    <t>area_regionid</t>
  </si>
  <si>
    <t>area_x_offset_20</t>
  </si>
  <si>
    <t>area_y_offset_20</t>
  </si>
  <si>
    <t>area_lon</t>
  </si>
  <si>
    <t>area_lat</t>
  </si>
  <si>
    <t>dnsqueryreqcount</t>
  </si>
  <si>
    <t>dnsqueryrspcount</t>
  </si>
  <si>
    <t>dnsquerytime_sum</t>
  </si>
  <si>
    <t>dnsquerytime_avg</t>
  </si>
  <si>
    <t>dnsquerytime_seg_1</t>
  </si>
  <si>
    <t>dnsquerytime_seg_2</t>
  </si>
  <si>
    <t>dnsquerytime_seg_3</t>
  </si>
  <si>
    <t>dnsquerytime_seg_4</t>
  </si>
  <si>
    <t>dnsquerytime_seg_5</t>
  </si>
  <si>
    <t>imsi标识</t>
  </si>
  <si>
    <t>区域ID</t>
  </si>
  <si>
    <t>区域栅格ID</t>
  </si>
  <si>
    <t>区域栅格X偏移_20</t>
  </si>
  <si>
    <t>区域栅格Y偏移_20</t>
  </si>
  <si>
    <t>区域经度</t>
  </si>
  <si>
    <t>区域纬度</t>
  </si>
  <si>
    <t>业务小类编码</t>
  </si>
  <si>
    <t>DNS查询请求次数</t>
  </si>
  <si>
    <t>DNS查询成功次数</t>
  </si>
  <si>
    <t>DNS查询时延</t>
  </si>
  <si>
    <t>DNS查询时延_sum</t>
    <phoneticPr fontId="23" type="noConversion"/>
  </si>
  <si>
    <t>sum(dns_delay*dns_query_cnt)</t>
    <phoneticPr fontId="23" type="noConversion"/>
  </si>
  <si>
    <t>A left join B，关联条件：b.cellkey=a.cellkey and b.imsi=a.imsi  and b.hour=a.hour and b.quarter=a.quarter</t>
    <phoneticPr fontId="23" type="noConversion"/>
  </si>
  <si>
    <t>aggr_lte_dpi_dns_usrcel_h</t>
    <phoneticPr fontId="23" type="noConversion"/>
  </si>
  <si>
    <t>4G_DPI_dns用户小区维度小时表</t>
    <phoneticPr fontId="23" type="noConversion"/>
  </si>
  <si>
    <t>aggr_lte_dpi_dns_cel_h</t>
  </si>
  <si>
    <t>4G_DPI_dns小区维度小时表</t>
    <phoneticPr fontId="23" type="noConversion"/>
  </si>
  <si>
    <t>aggr_lte_dpi_dns_cel_h</t>
    <phoneticPr fontId="23" type="noConversion"/>
  </si>
  <si>
    <t>aggr_lte_dpi_dns_cel_d</t>
    <phoneticPr fontId="23" type="noConversion"/>
  </si>
  <si>
    <t>4G_DPI_dns小区维度天表</t>
    <phoneticPr fontId="23" type="noConversion"/>
  </si>
  <si>
    <t>sum(inputoctets)</t>
    <phoneticPr fontId="23" type="noConversion"/>
  </si>
  <si>
    <t>sum(outputoctets)</t>
    <phoneticPr fontId="23" type="noConversion"/>
  </si>
  <si>
    <t>sum(duration)</t>
    <phoneticPr fontId="23" type="noConversion"/>
  </si>
  <si>
    <t>整合层</t>
    <phoneticPr fontId="23" type="noConversion"/>
  </si>
  <si>
    <t>/</t>
    <phoneticPr fontId="23" type="noConversion"/>
  </si>
  <si>
    <t>fact_lte_dpi_https_q</t>
    <phoneticPr fontId="23" type="noConversion"/>
  </si>
  <si>
    <t>4G_DPI_https整合层15分钟表</t>
    <phoneticPr fontId="23" type="noConversion"/>
  </si>
  <si>
    <t>/</t>
    <phoneticPr fontId="23" type="noConversion"/>
  </si>
  <si>
    <t>cfg_topweb_first_screen_host_list</t>
    <phoneticPr fontId="23" type="noConversion"/>
  </si>
  <si>
    <t>TOP网址首屏时延分析URL配置表</t>
    <phoneticPr fontId="23" type="noConversion"/>
  </si>
  <si>
    <t>A.host=C.host</t>
    <phoneticPr fontId="23" type="noConversion"/>
  </si>
  <si>
    <t>destinationip</t>
  </si>
  <si>
    <t>destinationport</t>
  </si>
  <si>
    <t>sourceip</t>
  </si>
  <si>
    <t>sourceport</t>
  </si>
  <si>
    <t>visitedplmnid</t>
  </si>
  <si>
    <t>protocolid</t>
  </si>
  <si>
    <t>starttime</t>
  </si>
  <si>
    <t>endtime</t>
  </si>
  <si>
    <t>duration</t>
  </si>
  <si>
    <t>inputoctets</t>
  </si>
  <si>
    <t>outputoctets</t>
  </si>
  <si>
    <t>inputpacket</t>
  </si>
  <si>
    <t>outputpacket</t>
  </si>
  <si>
    <t>recordclosecause</t>
  </si>
  <si>
    <t>ultcpreorderingpacket</t>
  </si>
  <si>
    <t>dltcpreorderingpacket</t>
  </si>
  <si>
    <t>ultcp_retranspacket</t>
  </si>
  <si>
    <t>dltcp_retranspacket</t>
  </si>
  <si>
    <t>tcpsetupresponsedelay</t>
  </si>
  <si>
    <t>case when tcpsetupresponsedelay&gt;0 and tcpsetupresponsedelay&lt;50000  then tcpsetupresponsedelay else null  end</t>
    <phoneticPr fontId="23" type="noConversion"/>
  </si>
  <si>
    <t>(0,50000)</t>
    <phoneticPr fontId="23" type="noConversion"/>
  </si>
  <si>
    <t>tcpsetupackdelay</t>
  </si>
  <si>
    <t>case when tcpsetupackdelay&gt;0 and tcpsetupackdelay&lt;50000  then tcpsetupackdelay else null  end</t>
    <phoneticPr fontId="23" type="noConversion"/>
  </si>
  <si>
    <t>ulipfragpacks</t>
  </si>
  <si>
    <t>dlipfragpacks</t>
  </si>
  <si>
    <t>delay_setup_firsttransaction</t>
  </si>
  <si>
    <t>case when delay_setup_firsttransaction&gt;0 and delay_setup_firsttransaction&lt;100000 then delay_setup_firsttransaction else null end</t>
    <phoneticPr fontId="23" type="noConversion"/>
  </si>
  <si>
    <t>(0,100000)</t>
    <phoneticPr fontId="23" type="noConversion"/>
  </si>
  <si>
    <t>delay_firsttransaction_firstrespackt</t>
  </si>
  <si>
    <t>case when delay_firsttransaction_firstrespackt&gt;0 and delay_firsttransaction_firstrespackt&lt;100000 then delay_firsttransaction_firstrespackt else null end</t>
    <phoneticPr fontId="23" type="noConversion"/>
  </si>
  <si>
    <t>msssize</t>
  </si>
  <si>
    <t>tcpsynnumber</t>
  </si>
  <si>
    <t>tcpconnectstate</t>
  </si>
  <si>
    <t>sessionstopflag</t>
  </si>
  <si>
    <t>用户访问的目标网站的URL。</t>
  </si>
  <si>
    <t>外部网站的域名</t>
  </si>
  <si>
    <t>host</t>
  </si>
  <si>
    <t>syntime</t>
  </si>
  <si>
    <t>synacktime</t>
  </si>
  <si>
    <t>acktime</t>
  </si>
  <si>
    <t>首个HTTP请求的时间戳</t>
  </si>
  <si>
    <t>lastpacktime</t>
  </si>
  <si>
    <t>最后一个ACK确认包的时间戳</t>
  </si>
  <si>
    <t>DNS关联流的请求时间戳。无关联流，此字段填写0</t>
  </si>
  <si>
    <t>DNS关联流的应答时间戳。无关联流，此字段填写0</t>
  </si>
  <si>
    <t>HTTP流与DNS流的关联ID。无关联流时，此字段填写0</t>
  </si>
  <si>
    <t>首屏完成时间戳，默认值0。算法见《中国电信移动互联网业务感知质量评价细则》</t>
  </si>
  <si>
    <t>SSL握手开始时间戳</t>
  </si>
  <si>
    <t>SSL握手结束时间戳</t>
  </si>
  <si>
    <t>地市编码</t>
    <phoneticPr fontId="23" type="noConversion"/>
  </si>
  <si>
    <t>citycode</t>
    <phoneticPr fontId="23" type="noConversion"/>
  </si>
  <si>
    <t>关联工参回填</t>
    <phoneticPr fontId="23" type="noConversion"/>
  </si>
  <si>
    <t>区县编码</t>
    <phoneticPr fontId="23" type="noConversion"/>
  </si>
  <si>
    <t>districtcode</t>
    <phoneticPr fontId="23" type="noConversion"/>
  </si>
  <si>
    <t>地市名称</t>
    <phoneticPr fontId="23" type="noConversion"/>
  </si>
  <si>
    <t>区县名称</t>
    <phoneticPr fontId="23" type="noConversion"/>
  </si>
  <si>
    <t>dnsresponse_delay</t>
    <phoneticPr fontId="23" type="noConversion"/>
  </si>
  <si>
    <t>DNS响应时延</t>
    <phoneticPr fontId="23" type="noConversion"/>
  </si>
  <si>
    <t>(0,30000)</t>
    <phoneticPr fontId="23" type="noConversion"/>
  </si>
  <si>
    <t>syntime_dnsresponse_delay</t>
    <phoneticPr fontId="23" type="noConversion"/>
  </si>
  <si>
    <t>DNS建立完成到TCP握手时延</t>
    <phoneticPr fontId="23" type="noConversion"/>
  </si>
  <si>
    <t>tcpsetupdelay</t>
    <phoneticPr fontId="23" type="noConversion"/>
  </si>
  <si>
    <t>TCP建立时延</t>
  </si>
  <si>
    <t>case when tcpsetupresponsedelay &gt;0  and tcpsetupackdelay &gt;0 and (tcpsetupresponsedelay+tcpsetupackdelay) &lt;50000 then  tcpsetupresponsedelay+tcpsetupackdelay else null end</t>
    <phoneticPr fontId="23" type="noConversion"/>
  </si>
  <si>
    <t>网页首包时延，也叫网页响应时延</t>
    <phoneticPr fontId="23" type="noConversion"/>
  </si>
  <si>
    <t>httpwebdspdelay</t>
    <phoneticPr fontId="23" type="noConversion"/>
  </si>
  <si>
    <t>网页显示时延，也叫网页完整打开时延</t>
  </si>
  <si>
    <t>httpwebscreendelay</t>
    <phoneticPr fontId="23" type="noConversion"/>
  </si>
  <si>
    <t>网页首屏时延</t>
    <phoneticPr fontId="23" type="noConversion"/>
  </si>
  <si>
    <t>is_topweb_first_screen_host</t>
    <phoneticPr fontId="23" type="noConversion"/>
  </si>
  <si>
    <t>是否用于计算首屏时延的主流网址（1：是；0：否）</t>
    <phoneticPr fontId="23" type="noConversion"/>
  </si>
  <si>
    <t>通过host关联C表，能关联上则取1，否则取0</t>
    <phoneticPr fontId="23" type="noConversion"/>
  </si>
  <si>
    <t>1,0</t>
    <phoneticPr fontId="23" type="noConversion"/>
  </si>
  <si>
    <t>用户访问外部网络时使用的IP类型（IPv4/IPv6）</t>
    <phoneticPr fontId="23" type="noConversion"/>
  </si>
  <si>
    <t>根据sourceip回填属于IPV6/IPV4</t>
    <phoneticPr fontId="23" type="noConversion"/>
  </si>
  <si>
    <t>ipv4,ipv6</t>
    <phoneticPr fontId="23" type="noConversion"/>
  </si>
  <si>
    <t>business_type</t>
    <phoneticPr fontId="23" type="noConversion"/>
  </si>
  <si>
    <t>业务类型（im、web、game、video、other）</t>
    <phoneticPr fontId="23" type="noConversion"/>
  </si>
  <si>
    <t>1、先将微信扫码业务置为88888888，再分类
case when ((servicetype&gt;=01000101 and servicetype&lt;01999901) 
        or (servicetype&gt;=04000100 and servicetype&lt;04999901)
        or (servicetype = 88888888)) 
       and (servicetype not in (01000212,01004600,01001300)) then 'im' 
     when ((servicetype&gt;=13000100 and servicetype&lt;13999901) 
        or (servicetype&gt;=16000100 and servicetype&lt;16999901) 
        or (servicetype&gt;=10000101 and servicetype&lt;10999901) 
        or (servicetype&gt;=07000100 and servicetype&lt;07999901) 
        or (servicetype&gt;=19000100 and servicetype&lt;19999901) 
        or (servicetype&gt;=09000101 and servicetype&lt;09999901) 
        or (servicetype&gt;=06000101 and servicetype&lt;06999901) 
        or (servicetype&gt;=08000101 and servicetype&lt;08999901) 
        or (servicetype&gt;=11000101 and servicetype&lt;11999901) 
        or (servicetype&gt;=14000101 and servicetype&lt;14999901) 
        or (servicetype&gt;=17000101 and servicetype&lt;17999901) 
        or (servicetype&gt;=18000101 and servicetype&lt;18999901)) 
        and (servicetyp not in (09000101,09000601,09000701,09000801,09001800,09001900,09002000,09001202,01000212,01001300,01004600,09000603)) then 'web' 
     when servicetype&gt;=05000100 and servicetype&lt;05999901 then 'game' 
     when (servicetype&gt;=02000101 and servicetype&lt;02999901) then 'video'
     else 'other' end</t>
    <phoneticPr fontId="23" type="noConversion"/>
  </si>
  <si>
    <t>im,web,game,video,other</t>
    <phoneticPr fontId="23" type="noConversion"/>
  </si>
  <si>
    <t>is_abnormal</t>
    <phoneticPr fontId="23" type="noConversion"/>
  </si>
  <si>
    <t>是否质差话单</t>
  </si>
  <si>
    <t>is_core_delimit</t>
    <phoneticPr fontId="23" type="noConversion"/>
  </si>
  <si>
    <t>是否核心网问题</t>
  </si>
  <si>
    <t>case when (tcpsetupresponsedelay&gt;110 and tcpsetupresponsedelay&lt;50000)  or ultcp_retranspacket/outputpacket&gt;0.15 then 1 else 0 end</t>
    <phoneticPr fontId="23" type="noConversion"/>
  </si>
  <si>
    <t>is_wireless_delimit</t>
  </si>
  <si>
    <t>是否无线网络问题</t>
  </si>
  <si>
    <t>case when (tcpsetupackdelay&gt;110 and tcpsetupackdelay&lt;50000)  or dltcp_retranspacket/inputpacket&gt;0.15 then 1 else 0 end</t>
    <phoneticPr fontId="23" type="noConversion"/>
  </si>
  <si>
    <t>ods_4gdpi_https_e2e_telecom_q</t>
    <phoneticPr fontId="23" type="noConversion"/>
  </si>
  <si>
    <t>4G_DPI_https贴源层详单表</t>
    <phoneticPr fontId="23" type="noConversion"/>
  </si>
  <si>
    <t>pdnconnectionid</t>
  </si>
  <si>
    <t>bearerid</t>
  </si>
  <si>
    <t>bearerqos</t>
  </si>
  <si>
    <t>sgwport</t>
  </si>
  <si>
    <t>enbgtp_teid</t>
  </si>
  <si>
    <t>sgwgtp_teid</t>
  </si>
  <si>
    <t>pgwport</t>
  </si>
  <si>
    <t>mme_ue_s1ap_id</t>
  </si>
  <si>
    <t>enb_ue_s1ap_id</t>
  </si>
  <si>
    <t>mme_group_id</t>
  </si>
  <si>
    <t>mme_code</t>
  </si>
  <si>
    <t>userip</t>
  </si>
  <si>
    <t>userport</t>
  </si>
  <si>
    <t>appserverip</t>
  </si>
  <si>
    <t>appserver_port</t>
  </si>
  <si>
    <t>windowsize</t>
  </si>
  <si>
    <t>apn_ambr_ul</t>
  </si>
  <si>
    <t>apn_ambr_dl</t>
  </si>
  <si>
    <t>actiontime</t>
  </si>
  <si>
    <t>firstresptime</t>
  </si>
  <si>
    <t>lastacktime</t>
  </si>
  <si>
    <t>firstfinacktime</t>
  </si>
  <si>
    <t>dnsflowid</t>
  </si>
  <si>
    <t>domainname</t>
  </si>
  <si>
    <t>sslhandshakestarttime</t>
  </si>
  <si>
    <t>sslhandshakeendtime</t>
  </si>
  <si>
    <t>SGW在GTP-U上的IP地址</t>
  </si>
  <si>
    <t>MME在GTP-C上的IP地址</t>
  </si>
  <si>
    <t>用户在GTP-U和PMIPv6会话时使用的PGW IP地址。如[RFC 2002]定义</t>
  </si>
  <si>
    <t>ENB的IPv4或IPv6地址</t>
  </si>
  <si>
    <t>对于S1-U口，填写SGW端口</t>
  </si>
  <si>
    <t>对于S1-U口，填写该业务对应承载的eNB侧GTP-TEID</t>
  </si>
  <si>
    <t>对于S1-U口，填写该业务对应承载的SGW侧GTP-TEID</t>
  </si>
  <si>
    <t>用户的四层端口号</t>
  </si>
  <si>
    <t>访问的服务器的端口</t>
  </si>
  <si>
    <t>上行APN AMBR，单位：Kbps</t>
  </si>
  <si>
    <t>下行APN AMBR，单位：Kbps</t>
  </si>
  <si>
    <t>当前业务流所属承载的QCI。</t>
  </si>
  <si>
    <t>SYN时间戳</t>
  </si>
  <si>
    <t>SYNACK时间戳</t>
  </si>
  <si>
    <t>ACK时间戳</t>
  </si>
  <si>
    <t>第一个数据响应包的时间戳</t>
  </si>
  <si>
    <t>最后一个数据包时间戳</t>
  </si>
  <si>
    <t>第一个TCP FinAck包时间戳</t>
  </si>
  <si>
    <t>主机名</t>
  </si>
  <si>
    <t>tai：460-11-48502</t>
    <phoneticPr fontId="23" type="noConversion"/>
  </si>
  <si>
    <t>dnsquerytime</t>
    <phoneticPr fontId="23" type="noConversion"/>
  </si>
  <si>
    <t>dnsresponsetime</t>
    <phoneticPr fontId="23" type="noConversion"/>
  </si>
  <si>
    <t>case when  dnsquerytime&gt;0 and dnsresponsetime&gt;dnsquerytime and dnsresponsetime - dnsquerytime &lt; 30000 then  dnsresponsetime-dnsquerytime else null end</t>
    <phoneticPr fontId="23" type="noConversion"/>
  </si>
  <si>
    <t>destinationurl</t>
    <phoneticPr fontId="23" type="noConversion"/>
  </si>
  <si>
    <t>case when destinationurl  like '%short.pay.weixin.qq.com%' then 88888888 else servicetype end</t>
    <phoneticPr fontId="23" type="noConversion"/>
  </si>
  <si>
    <t>case when  dnsresponsetime&gt;0 and syntime&gt;dnsresponsetime and syntime-dnsresponse&lt;50000 then  syntime-dnsresponsetime else null end</t>
    <phoneticPr fontId="23" type="noConversion"/>
  </si>
  <si>
    <t>firstscreenfintime</t>
    <phoneticPr fontId="23" type="noConversion"/>
  </si>
  <si>
    <t>case when dnsquerytime&gt;0 and firstscreenfintime&gt;dnsquerytime and firstscreenfintime - dnsquerytime&lt;100000 then firstscreenfintime - dnsquerytime when syntime &gt;0  and firstscreenfintime&gt;syntime and firstscreenfintime-syntime&lt;100000 then firstscreenfintime-syntime   else null end</t>
    <phoneticPr fontId="23" type="noConversion"/>
  </si>
  <si>
    <t>case when dnsquerytime&gt;0 and lastpacktime&gt;dnsquerytime and lastpacktime - dnsquerytime&lt;30000 then lastpacktime - dnsquerytime when syntime &gt; 0 and lastpacktime &gt; syntime and lastpacktime - syntime &lt; 30000 then  lastpacktime-syntime   else null end</t>
    <phoneticPr fontId="23" type="noConversion"/>
  </si>
  <si>
    <t>case when dnsquerytime&gt;0 and firstresptime&gt;dnsquerytime and firstresptime - dnsquerytime&lt;100000 then firstresptime - dnsquerytime when syntime&gt;0 and firstresptime&gt;syntime and (firstresptime - syntime) &lt;100000 then (firstresptime - syntime)   else null end</t>
    <phoneticPr fontId="23" type="noConversion"/>
  </si>
  <si>
    <t>case when (tcpsetupresponsedelay&gt;= 110  and tcpsetupresponsedelay&lt;50000) or (tcpsetupackdelay&gt;=110  and tcpsetupackdelay&lt;50000)  or  ultcp_retranspacket/outputpacket&gt;=0.15 or dltcp_retranspacket/inputpacket&gt;=0.15 then 1 else 0 end</t>
    <phoneticPr fontId="23" type="noConversion"/>
  </si>
  <si>
    <t>数据感知</t>
    <phoneticPr fontId="23" type="noConversion"/>
  </si>
  <si>
    <t>前置:7；核心:14</t>
    <phoneticPr fontId="23" type="noConversion"/>
  </si>
  <si>
    <t>aggr_lte_dpi_https_base_q</t>
    <phoneticPr fontId="23" type="noConversion"/>
  </si>
  <si>
    <t>4G_DPI_https基础维度15分钟表</t>
    <phoneticPr fontId="23" type="noConversion"/>
  </si>
  <si>
    <t>string</t>
    <phoneticPr fontId="23" type="noConversion"/>
  </si>
  <si>
    <t>接口类型</t>
    <phoneticPr fontId="23" type="noConversion"/>
  </si>
  <si>
    <t>provincecode</t>
    <phoneticPr fontId="23" type="noConversion"/>
  </si>
  <si>
    <t>网络接入技术</t>
    <phoneticPr fontId="23" type="noConversion"/>
  </si>
  <si>
    <t>business_type</t>
  </si>
  <si>
    <t>L4协议类型： 0：TCP；1：UDP</t>
    <phoneticPr fontId="23" type="noConversion"/>
  </si>
  <si>
    <t>是否核心网问题</t>
    <phoneticPr fontId="23" type="noConversion"/>
  </si>
  <si>
    <t>0,1</t>
    <phoneticPr fontId="23" type="noConversion"/>
  </si>
  <si>
    <t>is_wireless_delimit</t>
    <phoneticPr fontId="23" type="noConversion"/>
  </si>
  <si>
    <t>是否无线网络问题</t>
    <phoneticPr fontId="23" type="noConversion"/>
  </si>
  <si>
    <t>abnormal_cnt</t>
    <phoneticPr fontId="23" type="noConversion"/>
  </si>
  <si>
    <t xml:space="preserve">sum(is_abnormal) </t>
    <phoneticPr fontId="23" type="noConversion"/>
  </si>
  <si>
    <t>记录数</t>
    <phoneticPr fontId="23" type="noConversion"/>
  </si>
  <si>
    <t xml:space="preserve">count(1) </t>
  </si>
  <si>
    <t>speedlimit_cnt</t>
    <phoneticPr fontId="23" type="noConversion"/>
  </si>
  <si>
    <t>限速记录数</t>
    <phoneticPr fontId="23" type="noConversion"/>
  </si>
  <si>
    <t>duration</t>
    <phoneticPr fontId="23" type="noConversion"/>
  </si>
  <si>
    <t>持续时间，单位毫秒</t>
  </si>
  <si>
    <t>outputoctets</t>
    <phoneticPr fontId="23" type="noConversion"/>
  </si>
  <si>
    <t>上行流量(byte)</t>
    <phoneticPr fontId="23" type="noConversion"/>
  </si>
  <si>
    <t>byte</t>
  </si>
  <si>
    <t>inputoctets</t>
    <phoneticPr fontId="23" type="noConversion"/>
  </si>
  <si>
    <t>下行流量(byte)</t>
  </si>
  <si>
    <t>outputoctets_above500_cnt</t>
    <phoneticPr fontId="23" type="noConversion"/>
  </si>
  <si>
    <t>上行大包条数(&gt;=500KB)</t>
  </si>
  <si>
    <t>sum(case when outputoctets&gt;=500*1024 then 1  else 0 end)</t>
    <phoneticPr fontId="23" type="noConversion"/>
  </si>
  <si>
    <t>outputoctets_above500_highdelay_cnt</t>
    <phoneticPr fontId="23" type="noConversion"/>
  </si>
  <si>
    <t>上行大包高时延条数（&gt;100ms）</t>
  </si>
  <si>
    <t>sum(case when outputoctets&gt;=500*1024 and  tcpsetupresponsedelay&gt;100  then 1  else 0 end)</t>
    <phoneticPr fontId="23" type="noConversion"/>
  </si>
  <si>
    <t>inputoctets_above500_cnt</t>
    <phoneticPr fontId="23" type="noConversion"/>
  </si>
  <si>
    <t>下行大包条数(&gt;=500KB)</t>
  </si>
  <si>
    <t>sum(case when inputoctets&gt;=500*1024 then 1  else 0 end)</t>
  </si>
  <si>
    <t>inputoctets_above500_highdelay_cnt</t>
    <phoneticPr fontId="23" type="noConversion"/>
  </si>
  <si>
    <t>下行大包高时延条数（&gt;100ms）</t>
  </si>
  <si>
    <t>sum(case when inputoctets&gt;=500*1024  and tcpsetupackdelay&gt;100   then 1  else 0 end)</t>
    <phoneticPr fontId="23" type="noConversion"/>
  </si>
  <si>
    <t>outputpacket</t>
    <phoneticPr fontId="23" type="noConversion"/>
  </si>
  <si>
    <t>上行包数</t>
    <phoneticPr fontId="23" type="noConversion"/>
  </si>
  <si>
    <t>sum(outputpacket)</t>
  </si>
  <si>
    <t>inputpacket</t>
    <phoneticPr fontId="23" type="noConversion"/>
  </si>
  <si>
    <t>下行包数</t>
    <phoneticPr fontId="23" type="noConversion"/>
  </si>
  <si>
    <t>sum(inputpacket)</t>
  </si>
  <si>
    <t>ultcpreorderingpacket</t>
    <phoneticPr fontId="23" type="noConversion"/>
  </si>
  <si>
    <t>上行TCP乱序报文数，L4协议，非TCP传输时，此字段填0</t>
  </si>
  <si>
    <t>sum(ultcpreorderingpacket)</t>
  </si>
  <si>
    <t>dltcpreorderingpacket</t>
    <phoneticPr fontId="23" type="noConversion"/>
  </si>
  <si>
    <t>下行TCP乱序报文数，非TCP传输时，此字段填0</t>
  </si>
  <si>
    <t>sum(dltcpreorderingpacket)</t>
  </si>
  <si>
    <t>ultcpretranspacket</t>
    <phoneticPr fontId="23" type="noConversion"/>
  </si>
  <si>
    <t>上行TCP重传报文数，非TCP传输时，此字段填0</t>
  </si>
  <si>
    <t>sum(ultcp_retranspacket)</t>
  </si>
  <si>
    <t>dltcpretranspacket</t>
    <phoneticPr fontId="23" type="noConversion"/>
  </si>
  <si>
    <t>下行TCP重传报文数，非TCP传输时，此字段填0</t>
  </si>
  <si>
    <t>sum(dltcp_retranspacket)</t>
  </si>
  <si>
    <t>TCP连接失败次数</t>
  </si>
  <si>
    <t>sum(case when tcpconnectstate=1 then  1  else 0 end)</t>
    <phoneticPr fontId="23" type="noConversion"/>
  </si>
  <si>
    <t>tcpconnreq_cnt</t>
    <phoneticPr fontId="23" type="noConversion"/>
  </si>
  <si>
    <t>上行TCP建立请求次数</t>
  </si>
  <si>
    <t>sum(case when tcpsynnumber&gt;0 then 1 else 0 end)</t>
    <phoneticPr fontId="23" type="noConversion"/>
  </si>
  <si>
    <t>tcpconnulsuc_cnt</t>
    <phoneticPr fontId="23" type="noConversion"/>
  </si>
  <si>
    <t>上行TCP建立成功次数</t>
  </si>
  <si>
    <t>sum(case when tcpsetupresponsedelay&gt;0 then 1 else 0 end)</t>
    <phoneticPr fontId="23" type="noConversion"/>
  </si>
  <si>
    <t>tcpconndlsuc_cnt</t>
    <phoneticPr fontId="23" type="noConversion"/>
  </si>
  <si>
    <t>下行TCP建立成功次数</t>
  </si>
  <si>
    <t>sum(case when tcpsetupresponsedelay&gt;0 and tcpsetupackdelay&gt;0 then  1 else 0 end)</t>
  </si>
  <si>
    <t>ulipfragpacks</t>
    <phoneticPr fontId="23" type="noConversion"/>
  </si>
  <si>
    <t>上行IP分片包大小</t>
    <phoneticPr fontId="23" type="noConversion"/>
  </si>
  <si>
    <t>sum(ulipfragpacks)</t>
  </si>
  <si>
    <t>dlipfragpacks</t>
    <phoneticPr fontId="23" type="noConversion"/>
  </si>
  <si>
    <t>下行IP分片包大小</t>
    <phoneticPr fontId="23" type="noConversion"/>
  </si>
  <si>
    <t>sum(dlipfragpacks)</t>
  </si>
  <si>
    <t>outputoctets_above500</t>
    <phoneticPr fontId="23" type="noConversion"/>
  </si>
  <si>
    <t>大包业务上行流量(&gt;=500KB)</t>
  </si>
  <si>
    <t>inputoctets_above500</t>
    <phoneticPr fontId="23" type="noConversion"/>
  </si>
  <si>
    <t>大包业务下行流量(&gt;=500KB)</t>
  </si>
  <si>
    <t>tcpsetupresponsedelay_cnt</t>
    <phoneticPr fontId="23" type="noConversion"/>
  </si>
  <si>
    <t>TCP建链响应次数</t>
  </si>
  <si>
    <t>tcpsetupresponsedelay_avg</t>
    <phoneticPr fontId="23" type="noConversion"/>
  </si>
  <si>
    <t>double</t>
    <phoneticPr fontId="23" type="noConversion"/>
  </si>
  <si>
    <t>TCP建链响应时延_avg</t>
    <phoneticPr fontId="23" type="noConversion"/>
  </si>
  <si>
    <t>avg(tcpsetupresponsedelay)</t>
    <phoneticPr fontId="23" type="noConversion"/>
  </si>
  <si>
    <t>tcpsetupresponsedelay_cnt_0_50</t>
    <phoneticPr fontId="23" type="noConversion"/>
  </si>
  <si>
    <t>TCP建链响应时延在(0,50]的次数</t>
  </si>
  <si>
    <t>tcpsetupresponsedelay_cnt_50_100</t>
  </si>
  <si>
    <t>TCP建链响应时延在(50,100]的次数</t>
  </si>
  <si>
    <t>tcpsetupresponsedelay_cnt_100_150</t>
  </si>
  <si>
    <t>TCP建链响应时延在(100,150]的次数</t>
  </si>
  <si>
    <t>tcpsetupresponsedelay_cnt_150_200</t>
  </si>
  <si>
    <t>TCP建链响应时延在(150,200]的次数</t>
  </si>
  <si>
    <t>tcpsetupresponsedelay_cnt_greater_200</t>
  </si>
  <si>
    <t>TCP建链响应时延在(200,50000]的次数</t>
    <phoneticPr fontId="23" type="noConversion"/>
  </si>
  <si>
    <t>tcpsetupackdelay_cnt</t>
    <phoneticPr fontId="23" type="noConversion"/>
  </si>
  <si>
    <t>TCP建链确认次数</t>
  </si>
  <si>
    <t>sum(case when tcpsetupackdelay&gt;0 then 1 else 0 end)</t>
    <phoneticPr fontId="23" type="noConversion"/>
  </si>
  <si>
    <t>tcpsetupackdelay_avg</t>
    <phoneticPr fontId="23" type="noConversion"/>
  </si>
  <si>
    <t>TCP建链确认时延_avg</t>
    <phoneticPr fontId="23" type="noConversion"/>
  </si>
  <si>
    <t>avg(tcpsetupackdelay)</t>
    <phoneticPr fontId="23" type="noConversion"/>
  </si>
  <si>
    <t>tcpsetupackdelay_cnt_0_50</t>
    <phoneticPr fontId="23" type="noConversion"/>
  </si>
  <si>
    <t>TCP建链确认时延在(0,50]的次数</t>
  </si>
  <si>
    <t>tcpsetupackdelay_cnt_50_100</t>
  </si>
  <si>
    <t>TCP建链确认时延在(50,100]的次数</t>
  </si>
  <si>
    <t>tcpsetupackdelay_cnt_100_150</t>
  </si>
  <si>
    <t>TCP建链确认时延在(100,150]的次数</t>
  </si>
  <si>
    <t>tcpsetupackdelay_cnt_150_200</t>
    <phoneticPr fontId="23" type="noConversion"/>
  </si>
  <si>
    <t>TCP建链确认时延在(150,200]的次数</t>
  </si>
  <si>
    <t>tcpsetupackdelay_cnt_greater_200</t>
  </si>
  <si>
    <t>TCP建链确认时延在(200,50000]的次数</t>
    <phoneticPr fontId="23" type="noConversion"/>
  </si>
  <si>
    <t>tcpsetupdelay_cnt</t>
    <phoneticPr fontId="23" type="noConversion"/>
  </si>
  <si>
    <t>TCP建立次数</t>
    <phoneticPr fontId="23" type="noConversion"/>
  </si>
  <si>
    <t>sum(case when tcpsetupdelay&gt;0 then 1 else 0 end)</t>
    <phoneticPr fontId="23" type="noConversion"/>
  </si>
  <si>
    <t>tcpsetupdelay_avg</t>
    <phoneticPr fontId="23" type="noConversion"/>
  </si>
  <si>
    <t>TCP建立时延(ms)</t>
    <phoneticPr fontId="23" type="noConversion"/>
  </si>
  <si>
    <t>avg(tcpsetupdelay)</t>
    <phoneticPr fontId="23" type="noConversion"/>
  </si>
  <si>
    <t>tcpsetupdelay_cnt_0_50</t>
  </si>
  <si>
    <t>TCP建立时延在(0,50]的次数</t>
  </si>
  <si>
    <t>tcpsetupdelay_cnt_50_100</t>
  </si>
  <si>
    <t>TCP建立时延在(50,100]的次数</t>
  </si>
  <si>
    <t>tcpsetupdelay_cnt_100_150</t>
  </si>
  <si>
    <t>TCP建立时延在(100,150]的次数</t>
  </si>
  <si>
    <t>tcpsetupdelay_cnt_150_200</t>
  </si>
  <si>
    <t>TCP建立时延在(150,200]的次数</t>
  </si>
  <si>
    <t>tcpsetupdelay_cnt_greater_200</t>
  </si>
  <si>
    <t>TCP建立时延在(200,50000]的次数</t>
    <phoneticPr fontId="23" type="noConversion"/>
  </si>
  <si>
    <t>delay_setup_firsttransaction</t>
    <phoneticPr fontId="23" type="noConversion"/>
  </si>
  <si>
    <t>TCP建链成功到第一条事务请求的时延（ms）</t>
    <phoneticPr fontId="23" type="noConversion"/>
  </si>
  <si>
    <t>avg(delay_setup_firsttransaction)</t>
    <phoneticPr fontId="23" type="noConversion"/>
  </si>
  <si>
    <t>delay_setup_firsttransaction_cnt</t>
    <phoneticPr fontId="23" type="noConversion"/>
  </si>
  <si>
    <t>TCP事务首次请求次数</t>
  </si>
  <si>
    <t>count(delay_setup_firsttransaction)</t>
    <phoneticPr fontId="23" type="noConversion"/>
  </si>
  <si>
    <t>delay_firsttransaction_firstrespackt</t>
    <phoneticPr fontId="23" type="noConversion"/>
  </si>
  <si>
    <t>第一条事务请求到其第一个响应包时延（ms）</t>
    <phoneticPr fontId="23" type="noConversion"/>
  </si>
  <si>
    <t>avg(delay_firsttransaction_firstrespackt)</t>
    <phoneticPr fontId="23" type="noConversion"/>
  </si>
  <si>
    <t>delay_firsttransaction_firstrespackt_cnt</t>
    <phoneticPr fontId="23" type="noConversion"/>
  </si>
  <si>
    <t>TCP事务首次响应次数</t>
  </si>
  <si>
    <t>count(delay_firsttransaction_firstrespackt)</t>
    <phoneticPr fontId="23" type="noConversion"/>
  </si>
  <si>
    <t>httpwebrspdelay_cnt</t>
    <phoneticPr fontId="23" type="noConversion"/>
  </si>
  <si>
    <t>也叫网页响应时延次数</t>
    <phoneticPr fontId="23" type="noConversion"/>
  </si>
  <si>
    <t>count(httpwebrspdelay)</t>
    <phoneticPr fontId="23" type="noConversion"/>
  </si>
  <si>
    <t>httpwebrspdelay</t>
    <phoneticPr fontId="23" type="noConversion"/>
  </si>
  <si>
    <t>avg(httpwebrspdelay)</t>
    <phoneticPr fontId="23" type="noConversion"/>
  </si>
  <si>
    <t>httpwebdspdelay_cnt</t>
    <phoneticPr fontId="23" type="noConversion"/>
  </si>
  <si>
    <t>也叫网页完整打开时延次数</t>
    <phoneticPr fontId="23" type="noConversion"/>
  </si>
  <si>
    <t>count(httpwebdspdelay)</t>
    <phoneticPr fontId="23" type="noConversion"/>
  </si>
  <si>
    <t>网页显示时延，也叫网页完整打开时延</t>
    <phoneticPr fontId="23" type="noConversion"/>
  </si>
  <si>
    <t>avg(httpwebdspdelay)</t>
    <phoneticPr fontId="23" type="noConversion"/>
  </si>
  <si>
    <t>httpwebscreen_cnt</t>
    <phoneticPr fontId="23" type="noConversion"/>
  </si>
  <si>
    <t>网页首屏完成次数</t>
    <phoneticPr fontId="23" type="noConversion"/>
  </si>
  <si>
    <t>count(httpwebscreendelay)</t>
    <phoneticPr fontId="23" type="noConversion"/>
  </si>
  <si>
    <t>网页首屏时延(ms)</t>
    <phoneticPr fontId="23" type="noConversion"/>
  </si>
  <si>
    <t>avg(httpwebscreendelay)</t>
    <phoneticPr fontId="23" type="noConversion"/>
  </si>
  <si>
    <t>top_httpwebscreen_cnt</t>
    <phoneticPr fontId="23" type="noConversion"/>
  </si>
  <si>
    <t>TOP网址网页首屏完成次数</t>
    <phoneticPr fontId="23" type="noConversion"/>
  </si>
  <si>
    <t>sum(case when is_topweb_first_screen_host=1 and httpwebscreendelay&gt;0 then 1 else 0 end)</t>
    <phoneticPr fontId="23" type="noConversion"/>
  </si>
  <si>
    <t>top_httpwebscreendelay</t>
    <phoneticPr fontId="23" type="noConversion"/>
  </si>
  <si>
    <t>TOP网址网页首屏时延</t>
    <phoneticPr fontId="23" type="noConversion"/>
  </si>
  <si>
    <t>avg(case when is_topweb_first_screen_host=1 and httpwebscreendelay&gt;0 then httpwebscreendelay else null end)</t>
    <phoneticPr fontId="23" type="noConversion"/>
  </si>
  <si>
    <t>avg(dnsresponse_delay)</t>
    <phoneticPr fontId="23" type="noConversion"/>
  </si>
  <si>
    <t>dnsresponse_cnt</t>
    <phoneticPr fontId="23" type="noConversion"/>
  </si>
  <si>
    <t>DNS响应次数</t>
    <phoneticPr fontId="23" type="noConversion"/>
  </si>
  <si>
    <t>count(dnsresponse_delay)</t>
    <phoneticPr fontId="23" type="noConversion"/>
  </si>
  <si>
    <t>dnsquery_cnt</t>
    <phoneticPr fontId="23" type="noConversion"/>
  </si>
  <si>
    <t>DNS请求次数</t>
    <phoneticPr fontId="23" type="noConversion"/>
  </si>
  <si>
    <t>syntime_dnsresponse_delay</t>
  </si>
  <si>
    <t>DNS建立完成到TCP握手时延</t>
  </si>
  <si>
    <t>avg(syntime_dnsresponse_delay)</t>
    <phoneticPr fontId="23" type="noConversion"/>
  </si>
  <si>
    <t>syntime_dnsresponse_cnt</t>
    <phoneticPr fontId="23" type="noConversion"/>
  </si>
  <si>
    <t>DNS建立完成到TCP握手次数</t>
    <phoneticPr fontId="23" type="noConversion"/>
  </si>
  <si>
    <t>count(syntime_dnsresponse_delay)</t>
    <phoneticPr fontId="23" type="noConversion"/>
  </si>
  <si>
    <t>xdr_suc_cnt_sum</t>
  </si>
  <si>
    <t>最小开始时间</t>
  </si>
  <si>
    <t>min(starttime)</t>
    <phoneticPr fontId="23" type="noConversion"/>
  </si>
  <si>
    <t>最大结束时间</t>
  </si>
  <si>
    <t>max(endtime)</t>
    <phoneticPr fontId="23" type="noConversion"/>
  </si>
  <si>
    <t>ue_ambr_ul</t>
    <phoneticPr fontId="23" type="noConversion"/>
  </si>
  <si>
    <t>ue_ambr_dl</t>
    <phoneticPr fontId="23" type="noConversion"/>
  </si>
  <si>
    <t>sum(case when (ue_ambr_ul&gt;0 and ue_ambr_ul&lt;5000) or (ue_ambr_dl&gt;0 and ue_ambr_dl&lt;5000) then 1 else 0 end)</t>
    <phoneticPr fontId="23" type="noConversion"/>
  </si>
  <si>
    <t>case when sourceip regexp '^((25[0-5]|2[0-4]\\d|[01]?\\d\\d?)\\.){3}(25[0-5]|2[0-4]\\d|[01]?\\d\\d?)$' then 'ipv4' when sourceip regexp '^([\\da-fA-F]{1,4}:){7}[\\da-fA-F]{1,4}$' then 'ipv6' else '' end as sourceip_type</t>
    <phoneticPr fontId="23" type="noConversion"/>
  </si>
  <si>
    <t>上行大包业务流量(&gt;=500KB)</t>
    <phoneticPr fontId="23" type="noConversion"/>
  </si>
  <si>
    <t>下行大包业务流量(&gt;=500KB)</t>
    <phoneticPr fontId="23" type="noConversion"/>
  </si>
  <si>
    <t>sum(case when outputoctets&gt;=500*1024 then outputoctets else 0 end)</t>
    <phoneticPr fontId="23" type="noConversion"/>
  </si>
  <si>
    <t>sum(case when inputoctets&gt;=500*1024 then inputoctets else 0 end)</t>
    <phoneticPr fontId="23" type="noConversion"/>
  </si>
  <si>
    <t>ul_flux_throughput</t>
    <phoneticPr fontId="23" type="noConversion"/>
  </si>
  <si>
    <t>ul_duration_throughput</t>
    <phoneticPr fontId="23" type="noConversion"/>
  </si>
  <si>
    <t>上传速率流量(kbps)</t>
    <phoneticPr fontId="23" type="noConversion"/>
  </si>
  <si>
    <t>sum(case when dnsquerytime &gt;0 and lastpacktime-dnsquerytime&gt;0 and outputoctets&gt;0 then outputoctets*8/1024 when syntime &gt;0 and lastpacktime-syntime&gt;0 and outputoctets&gt;0 then outputoctets*8/1024 else 0 end)</t>
    <phoneticPr fontId="23" type="noConversion"/>
  </si>
  <si>
    <t>sum(case when dnsquerytime &gt;0 and lastpacktime-dnsquerytime&gt;0 and outputoctets&gt;0 then (lastpacktime-dnsquerytime)/1000 when syntime &gt;0 and lastpacktime-syntime&gt;0 and outputoctets&gt;0 then (lastpacktime-syntime)/1000 else 0 end)</t>
    <phoneticPr fontId="23" type="noConversion"/>
  </si>
  <si>
    <t>dl_flux_throughput</t>
    <phoneticPr fontId="23" type="noConversion"/>
  </si>
  <si>
    <t>dl_duration_throughput</t>
    <phoneticPr fontId="23" type="noConversion"/>
  </si>
  <si>
    <t>下载速率流量(kbps)</t>
    <phoneticPr fontId="23" type="noConversion"/>
  </si>
  <si>
    <t>sum(case when dnsquerytime &gt;0 and lastpacktime-dnsquerytime&gt;0 and inputoctets&gt;0 then inputoctets*8/1024 when syntime &gt;0 and lastpacktime-syntime&gt;0 and inputoctets&gt;0 then inputoctets*8/1024 else 0 end)</t>
  </si>
  <si>
    <t>sum(case when dnsquerytime &gt;0 and lastpacktime-dnsquerytime&gt;0 and inputoctets&gt;0 then (lastpacktime-dnsquerytime)/1000 when syntime &gt;0 and lastpacktime-syntime&gt;0 and inputoctets&gt;0 then (lastpacktime-syntime)/1000 else 0 end)</t>
  </si>
  <si>
    <t>ul_flux_throughput_big500</t>
    <phoneticPr fontId="23" type="noConversion"/>
  </si>
  <si>
    <t>ul_duration_throughput_big500</t>
    <phoneticPr fontId="23" type="noConversion"/>
  </si>
  <si>
    <t>dl_flux_throughput_big500</t>
    <phoneticPr fontId="23" type="noConversion"/>
  </si>
  <si>
    <t>dl_duration_throughput_big500</t>
    <phoneticPr fontId="23" type="noConversion"/>
  </si>
  <si>
    <t>上传大包速率流量-500KB(kbps)</t>
    <phoneticPr fontId="23" type="noConversion"/>
  </si>
  <si>
    <t>下载大包速率流量-500KB(kbps)</t>
    <phoneticPr fontId="23" type="noConversion"/>
  </si>
  <si>
    <t>sum(case when dnsquerytime &gt;0 and lastpacktime-dnsquerytime&gt;0 and outputoctets&gt;500*1024 then outputoctets*8/1024 when syntime &gt;0 and lastpacktime-syntime&gt;0 and outputoctets&gt;500*1024 then outputoctets*8/1024 else 0 end)</t>
  </si>
  <si>
    <t>sum(case when dnsquerytime &gt;0 and lastpacktime-dnsquerytime&gt;0 and outputoctets&gt;500*1024 then (lastpacktime-dnsquerytime)/1000 when syntime &gt;0 and lastpacktime-syntime&gt;0 and outputoctets&gt;500*1024 then (lastpacktime-syntime)/1000 else 0 end)</t>
  </si>
  <si>
    <t>sum(case when dnsquerytime &gt;0 and lastpacktime-dnsquerytime&gt;0 and inputoctets&gt;500*1024 then inputoctets*8/1024 when syntime &gt;0 and lastpacktime-syntime&gt;0 and inputoctets&gt;500*1024 then inputoctets*8/1024 else 0 end)</t>
  </si>
  <si>
    <t>sum(case when dnsquerytime &gt;0 and lastpacktime-dnsquerytime&gt;0 and inputoctets&gt;500*1024 then (lastpacktime-dnsquerytime)/1000 when syntime &gt;0 and lastpacktime-syntime&gt;0 and inputoctets&gt;500*1024 then (lastpacktime-syntime)/1000 else 0 end)</t>
  </si>
  <si>
    <t>sum(ulipfragpacks)</t>
    <phoneticPr fontId="23" type="noConversion"/>
  </si>
  <si>
    <t>duration_sum</t>
  </si>
  <si>
    <t>outputoctets_sum</t>
  </si>
  <si>
    <t>inputoctets_sum</t>
  </si>
  <si>
    <t>outputoctets_above500_sum</t>
  </si>
  <si>
    <t>outputoctets_above500_cnt_sum</t>
  </si>
  <si>
    <t>inputoctets_above500_sum</t>
  </si>
  <si>
    <t>inputoctets_above500_cnt_sum</t>
  </si>
  <si>
    <t>outputpacket_sum</t>
  </si>
  <si>
    <t>inputpacket_sum</t>
  </si>
  <si>
    <t>ultcpreorderingpacket_sum</t>
  </si>
  <si>
    <t>dltcpreorderingpacket_sum</t>
  </si>
  <si>
    <t>ulipfragpacks_sum</t>
  </si>
  <si>
    <t>dlipfragpacks_sum</t>
  </si>
  <si>
    <t>process_num</t>
  </si>
  <si>
    <t>ultcp_retranspacket_sum</t>
  </si>
  <si>
    <t>dltcp_retranspacket_sum</t>
  </si>
  <si>
    <t>eps_attach_request_sum</t>
    <phoneticPr fontId="23" type="noConversion"/>
  </si>
  <si>
    <t>tcpconn_fail_cnt</t>
    <phoneticPr fontId="23" type="noConversion"/>
  </si>
  <si>
    <t>TCP连接请求次数</t>
    <phoneticPr fontId="23" type="noConversion"/>
  </si>
  <si>
    <t>TCP连接成功次数</t>
  </si>
  <si>
    <t>TCP连接成功次数</t>
    <phoneticPr fontId="23" type="noConversion"/>
  </si>
  <si>
    <t>tcpsynnumber</t>
    <phoneticPr fontId="23" type="noConversion"/>
  </si>
  <si>
    <t>tcpsynnumber_sum</t>
  </si>
  <si>
    <t>tcpconnectsuccnumber_sum</t>
  </si>
  <si>
    <t>tcpconnectsuccnumber</t>
    <phoneticPr fontId="23" type="noConversion"/>
  </si>
  <si>
    <t>sum(tcpsynnumber)</t>
  </si>
  <si>
    <t>sum(tcpsynnumber)</t>
    <phoneticPr fontId="23" type="noConversion"/>
  </si>
  <si>
    <t>sum(case when tcpconnectstate=0 then  tcpsynnumber  else 0 end)</t>
    <phoneticPr fontId="23" type="noConversion"/>
  </si>
  <si>
    <t>tcpsetupresponsedelay_avg</t>
  </si>
  <si>
    <t>tcpsetupackdelay_avg</t>
  </si>
  <si>
    <t>tcpsetupdelay_avg</t>
  </si>
  <si>
    <t>delay_setup_firsttransaction_avg</t>
  </si>
  <si>
    <t>delay_firsttransaction_firstrespackt_avg</t>
  </si>
  <si>
    <t>dnsquerydelay_avg</t>
  </si>
  <si>
    <t>httpwebrspdelay_avg</t>
  </si>
  <si>
    <t>httpwebdspdelay_avg</t>
  </si>
  <si>
    <t>tcpconnfail_sum</t>
  </si>
  <si>
    <t>tcpconnreq_sum</t>
  </si>
  <si>
    <t>tcpconnulsuc_sum</t>
  </si>
  <si>
    <t>tcpconndlsuc_sum</t>
  </si>
  <si>
    <t>tcpsetupresponsedelay_seg_1</t>
  </si>
  <si>
    <t>tcpsetupresponsedelay_seg_2</t>
  </si>
  <si>
    <t>tcpsetupresponsedelay_seg_3</t>
  </si>
  <si>
    <t>tcpsetupresponsedelay_seg_4</t>
  </si>
  <si>
    <t>tcpsetupresponsedelay_seg_5</t>
  </si>
  <si>
    <t>tcpsetupackdelay_seg_1</t>
  </si>
  <si>
    <t>tcpsetupackdelay_seg_2</t>
  </si>
  <si>
    <t>tcpsetupackdelay_seg_3</t>
  </si>
  <si>
    <t>tcpsetupackdelay_seg_4</t>
  </si>
  <si>
    <t>tcpsetupackdelay_seg_5</t>
  </si>
  <si>
    <t>tcpsetupresponsedelay_cnt</t>
  </si>
  <si>
    <t>tcpsetupackdelay_cnt</t>
  </si>
  <si>
    <t>delay_setup_firsttransaction_cnt_sum</t>
  </si>
  <si>
    <t>delay_firsttransaction_firstrespackt_cnt_sum</t>
  </si>
  <si>
    <t>outputoctets_above500_highdelay_cnt</t>
  </si>
  <si>
    <t>inputoctets_above500_highdelay_cnt</t>
  </si>
  <si>
    <t>firstscreenfin_cnt_sum</t>
  </si>
  <si>
    <t>firstscreenfindelay_sum</t>
  </si>
  <si>
    <t>aggr_lte_dpi_https_base_h</t>
    <phoneticPr fontId="23" type="noConversion"/>
  </si>
  <si>
    <t>4G_DPI_https基础维度小时表</t>
    <phoneticPr fontId="23" type="noConversion"/>
  </si>
  <si>
    <t>min_starttime</t>
    <phoneticPr fontId="23" type="noConversion"/>
  </si>
  <si>
    <t>min(min_starttime)</t>
    <phoneticPr fontId="23" type="noConversion"/>
  </si>
  <si>
    <t>max_endtime</t>
    <phoneticPr fontId="23" type="noConversion"/>
  </si>
  <si>
    <t>max(max_endtime)</t>
    <phoneticPr fontId="23" type="noConversion"/>
  </si>
  <si>
    <t>sum(duration)</t>
  </si>
  <si>
    <t>sum(outputoctets)</t>
  </si>
  <si>
    <t>sum(inputoctets)</t>
  </si>
  <si>
    <t>sum(case when dnsquerytime&gt;0 then 1 else 0 end)</t>
    <phoneticPr fontId="23" type="noConversion"/>
  </si>
  <si>
    <t>上行TCP乱序报文数，L4协议，非TCP传输时，此字段填0</t>
    <phoneticPr fontId="23" type="noConversion"/>
  </si>
  <si>
    <t>sum(tcpsetupresponsedelay_avg*tcpsetupresponsedelay_cnt)/sum(tcpsetupresponsedelay_cnt)</t>
    <phoneticPr fontId="23" type="noConversion"/>
  </si>
  <si>
    <t>sum(tcpsetupdelay_avg*tcpsetupdelay_cnt)/sum(tcpsetupdelay_cnt)</t>
  </si>
  <si>
    <t>sum(tcpsetupackdelay_avg*tcpsetupackdelay_cnt)/sum(tcpsetupackdelay_cnt)</t>
    <phoneticPr fontId="23" type="noConversion"/>
  </si>
  <si>
    <t>sum(tcpsetupdelay_avg*tcpsetupdelay_cnt)/sum(tcpsetupdelay_cnt)</t>
    <phoneticPr fontId="23" type="noConversion"/>
  </si>
  <si>
    <t>sum(httpwebrspdelay*httpwebrspdelay_cnt)/sum(httpwebrspdelay_cnt)</t>
  </si>
  <si>
    <t>sum(httpwebdspdelay*httpwebdspdelay_cnt)/sum(httpwebdspdelay_cnt)</t>
  </si>
  <si>
    <t>sum(delay_setup_firsttransaction*delay_setup_firsttransaction_cnt)/sum(delay_setup_firsttransaction_cnt)</t>
  </si>
  <si>
    <t>sum(delay_setup_firsttransaction*delay_setup_firsttransaction_cnt)/sum(delay_setup_firsttransaction_cnt)</t>
    <phoneticPr fontId="23" type="noConversion"/>
  </si>
  <si>
    <t>sum(delay_firsttransaction_firstrespackt*delay_firsttransaction_firstrespackt_cnt)/sum(delay_firsttransaction_firstrespackt_cnt)</t>
  </si>
  <si>
    <t>sum(delay_firsttransaction_firstrespackt*delay_firsttransaction_firstrespackt_cnt)/sum(delay_firsttransaction_firstrespackt_cnt)</t>
    <phoneticPr fontId="23" type="noConversion"/>
  </si>
  <si>
    <t>sum(speedlimit_cnt)</t>
  </si>
  <si>
    <t>sum(outputoctets_above500)</t>
  </si>
  <si>
    <t>sum(outputoctets_above500_cnt)</t>
  </si>
  <si>
    <t>sum(outputoctets_above500_highdelay_cnt)</t>
  </si>
  <si>
    <t>sum(inputoctets_above500)</t>
  </si>
  <si>
    <t>sum(inputoctets_above500_cnt)</t>
  </si>
  <si>
    <t>sum(inputoctets_above500_highdelay_cnt)</t>
  </si>
  <si>
    <t>sum(ul_flux_throughput)</t>
  </si>
  <si>
    <t>sum(ul_duration_throughput)</t>
  </si>
  <si>
    <t>sum(dl_flux_throughput)</t>
  </si>
  <si>
    <t>sum(dl_duration_throughput)</t>
  </si>
  <si>
    <t>sum(ul_flux_throughput_big500)</t>
  </si>
  <si>
    <t>sum(ul_duration_throughput_big500)</t>
  </si>
  <si>
    <t>sum(dl_flux_throughput_big500)</t>
  </si>
  <si>
    <t>sum(dl_duration_throughput_big500)</t>
  </si>
  <si>
    <t>sum(ultcpretranspacket)</t>
  </si>
  <si>
    <t>sum(dltcpretranspacket)</t>
  </si>
  <si>
    <t>sum(tcpconnectsuccnumber)</t>
  </si>
  <si>
    <t>sum(tcpconn_fail_cnt)</t>
  </si>
  <si>
    <t>sum(tcpconnreq_cnt)</t>
  </si>
  <si>
    <t>sum(tcpconnulsuc_cnt)</t>
  </si>
  <si>
    <t>sum(tcpconndlsuc_cnt)</t>
  </si>
  <si>
    <t>sum(tcpsetupresponsedelay_cnt)</t>
  </si>
  <si>
    <t>sum(tcpsetupresponsedelay_cnt_0_50)</t>
  </si>
  <si>
    <t>sum(tcpsetupresponsedelay_cnt_50_100)</t>
  </si>
  <si>
    <t>sum(tcpsetupresponsedelay_cnt_100_150)</t>
  </si>
  <si>
    <t>sum(tcpsetupresponsedelay_cnt_150_200)</t>
  </si>
  <si>
    <t>sum(tcpsetupresponsedelay_cnt_greater_200)</t>
  </si>
  <si>
    <t>sum(tcpsetupackdelay_cnt)</t>
  </si>
  <si>
    <t>sum(tcpsetupackdelay_cnt_0_50)</t>
  </si>
  <si>
    <t>sum(tcpsetupackdelay_cnt_50_100)</t>
  </si>
  <si>
    <t>sum(tcpsetupackdelay_cnt_100_150)</t>
  </si>
  <si>
    <t>sum(tcpsetupackdelay_cnt_150_200)</t>
  </si>
  <si>
    <t>sum(tcpsetupackdelay_cnt_greater_200)</t>
  </si>
  <si>
    <t>sum(tcpsetupdelay_cnt)</t>
  </si>
  <si>
    <t>sum(tcpsetupdelay_cnt_0_50)</t>
  </si>
  <si>
    <t>sum(tcpsetupdelay_cnt_50_100)</t>
  </si>
  <si>
    <t>sum(tcpsetupdelay_cnt_100_150)</t>
  </si>
  <si>
    <t>sum(tcpsetupdelay_cnt_150_200)</t>
  </si>
  <si>
    <t>sum(tcpsetupdelay_cnt_greater_200)</t>
  </si>
  <si>
    <t>sum(delay_setup_firsttransaction_cnt)</t>
  </si>
  <si>
    <t>sum(delay_firsttransaction_firstrespackt_cnt)</t>
  </si>
  <si>
    <t>sum(httpwebrspdelay_cnt)</t>
  </si>
  <si>
    <t>sum(httpwebdspdelay_cnt)</t>
  </si>
  <si>
    <t>sum(httpwebscreen_cnt)</t>
  </si>
  <si>
    <t>sum(top_httpwebscreen_cnt)</t>
  </si>
  <si>
    <t>sum(dnsresponse_cnt)</t>
  </si>
  <si>
    <t>sum(dnsquery_cnt)</t>
  </si>
  <si>
    <t>sum(syntime_dnsresponse_cnt)</t>
  </si>
  <si>
    <t>sum(httpwebrspdelay*httpwebrspdelay_cnt)/sum(httpwebrspdelay_cnt)</t>
    <phoneticPr fontId="23" type="noConversion"/>
  </si>
  <si>
    <t>sum(httpwebdspdelay*httpwebdspdelay_cnt)/sum(httpwebdspdelay_cnt)</t>
    <phoneticPr fontId="23" type="noConversion"/>
  </si>
  <si>
    <t>sum(httpwebscreendelay*httpwebscreen_cnt)/sum(httpwebscreen_cnt)</t>
  </si>
  <si>
    <t>sum(httpwebscreendelay*httpwebscreen_cnt)/sum(httpwebscreen_cnt)</t>
    <phoneticPr fontId="23" type="noConversion"/>
  </si>
  <si>
    <t>sum(top_httpwebscreendelay*top_httpwebscreen_cnt)/sum(top_httpwebscreen_cnt)</t>
    <phoneticPr fontId="23" type="noConversion"/>
  </si>
  <si>
    <t>sum(dnsresponse_delay*dnsresponse_cnt)/sum(dnsresponse_cnt)</t>
  </si>
  <si>
    <t>sum(dnsresponse_delay*dnsresponse_cnt)/sum(dnsresponse_cnt)</t>
    <phoneticPr fontId="23" type="noConversion"/>
  </si>
  <si>
    <t>sum(syntime_dnsresponse_delay*syntime_dnsresponse_cnt)/sum(syntime_dnsresponse_cnt)</t>
    <phoneticPr fontId="23" type="noConversion"/>
  </si>
  <si>
    <t>httpwebrspdelay</t>
    <phoneticPr fontId="23" type="noConversion"/>
  </si>
  <si>
    <t>4G_DPI_https基础维度指标裁剪小时表</t>
    <phoneticPr fontId="23" type="noConversion"/>
  </si>
  <si>
    <t>接口类型：1、S1-U，4、S11，6、S5/S8，100、N3</t>
  </si>
  <si>
    <t>timestamp</t>
  </si>
  <si>
    <t>上报时间，具体到天</t>
  </si>
  <si>
    <t>拜访地省份</t>
  </si>
  <si>
    <t>无线接入类型</t>
  </si>
  <si>
    <t>nodebid</t>
  </si>
  <si>
    <t>eNodeBID</t>
  </si>
  <si>
    <t>访问IP地址类型</t>
  </si>
  <si>
    <t>永久用户标识</t>
  </si>
  <si>
    <t>手机号码</t>
  </si>
  <si>
    <t>tacid</t>
  </si>
  <si>
    <t>终端类型标识</t>
  </si>
  <si>
    <t>持续时间，单位毫秒，根据业务流开始和结束统计得出的时间</t>
  </si>
  <si>
    <t>业务发生次数</t>
  </si>
  <si>
    <t>tcpsetupresponsedelay_sum</t>
  </si>
  <si>
    <t>TCP建链响应时延_sum</t>
  </si>
  <si>
    <t>tcpsetupackdelay_sum</t>
  </si>
  <si>
    <t>TCP建链确认时延_sum</t>
  </si>
  <si>
    <t>上行流量(byte)</t>
  </si>
  <si>
    <t>发给用户的业务数据包数量</t>
  </si>
  <si>
    <t>用户发出的业务数据包数量</t>
  </si>
  <si>
    <t>TCP建链尝试次数</t>
  </si>
  <si>
    <t>UL_IP_FRAG_PACKETS</t>
  </si>
  <si>
    <t>DL_IP_FRAG_PACKETS</t>
  </si>
  <si>
    <t>DNS查询响应次数</t>
  </si>
  <si>
    <t>TCP建链响应时延_avg</t>
  </si>
  <si>
    <t>TCP建链确认时延_avg</t>
  </si>
  <si>
    <t>TCP建立时延(ms)_avg</t>
  </si>
  <si>
    <t>TCP建链成功到第一条事务请求的时延_avg（ms）</t>
  </si>
  <si>
    <t>第一条事务请求到其第一个响应包时延_avg（ms）</t>
  </si>
  <si>
    <t>tcpsynnumber_avg</t>
  </si>
  <si>
    <t>TCP建链尝试次数_avg</t>
  </si>
  <si>
    <t>DNS查询时延_avg</t>
  </si>
  <si>
    <t>网页响应(首包)时延_avg(ms)</t>
  </si>
  <si>
    <t>网页显示(打开)时长_avg(ms)</t>
  </si>
  <si>
    <t>tcpsetupdelay_sum</t>
  </si>
  <si>
    <t>TCP建立时延(ms)_求和</t>
  </si>
  <si>
    <t>TCP建链响应时延_seg_1</t>
  </si>
  <si>
    <t>TCP建链响应时延_seg_2</t>
  </si>
  <si>
    <t>TCP建链响应时延_seg_3</t>
  </si>
  <si>
    <t>TCP建链响应时延_seg_4</t>
  </si>
  <si>
    <t>TCP建链响应时延_seg_5</t>
  </si>
  <si>
    <t>TCP建链确认时延_seg_1</t>
  </si>
  <si>
    <t>TCP建链确认时延_seg_2</t>
  </si>
  <si>
    <t>TCP建链确认时延_seg_3</t>
  </si>
  <si>
    <t>TCP建链确认时延_seg_4</t>
  </si>
  <si>
    <t>TCP建链确认时延_seg_5</t>
  </si>
  <si>
    <t>delay_setup_firsttransaction_sum</t>
  </si>
  <si>
    <t>TCP建链成功到第一条事务请求的时延_sum（ms）</t>
  </si>
  <si>
    <t>delay_firsttransaction_firstrespackt_sum</t>
  </si>
  <si>
    <t>第一条事务请求到其第一个响应包时延_sum（ms）</t>
  </si>
  <si>
    <t>网页首屏完成次数</t>
  </si>
  <si>
    <t>网页首屏总时延(ms)</t>
  </si>
  <si>
    <t>split(cellkey, '_')[0]</t>
    <phoneticPr fontId="23" type="noConversion"/>
  </si>
  <si>
    <t>split(cellkey, '_')[1]</t>
    <phoneticPr fontId="23" type="noConversion"/>
  </si>
  <si>
    <t>substr(imei,1,8)</t>
    <phoneticPr fontId="23" type="noConversion"/>
  </si>
  <si>
    <t>sum(tcpsetupresponsedelay_avg*tcpsetupresponsedelay_cnt)</t>
    <phoneticPr fontId="23" type="noConversion"/>
  </si>
  <si>
    <t>sum(tcpsetupackdelay_avg*tcpsetupackdelay_cnt)</t>
    <phoneticPr fontId="23" type="noConversion"/>
  </si>
  <si>
    <t>sum(tcpconnectsuccnumber)</t>
    <phoneticPr fontId="23" type="noConversion"/>
  </si>
  <si>
    <t>sum(tcpsynnumber)/sum(record_cnt)</t>
    <phoneticPr fontId="23" type="noConversion"/>
  </si>
  <si>
    <t>sum(tcpsetupdelay_avg*tcpsetupdelay_cnt)</t>
    <phoneticPr fontId="23" type="noConversion"/>
  </si>
  <si>
    <t>sum(delay_setup_firsttransaction*delay_setup_firsttransaction_cnt)</t>
    <phoneticPr fontId="23" type="noConversion"/>
  </si>
  <si>
    <t>sum(delay_firsttransaction_firstrespackt*delay_firsttransaction_firstrespackt_cnt)</t>
    <phoneticPr fontId="23" type="noConversion"/>
  </si>
  <si>
    <t>sum(xdr_suc_cnt_sum)</t>
    <phoneticPr fontId="23" type="noConversion"/>
  </si>
  <si>
    <t>kbps</t>
    <phoneticPr fontId="23" type="noConversion"/>
  </si>
  <si>
    <t>s</t>
    <phoneticPr fontId="23" type="noConversion"/>
  </si>
  <si>
    <t>aggr_lte_dpi_https_usrappcel_h</t>
  </si>
  <si>
    <t>4G_DPI_https用户小区app维度小时表</t>
    <phoneticPr fontId="23" type="noConversion"/>
  </si>
  <si>
    <t>车联网用户4G_DPI_https用户小区维度小时表</t>
  </si>
  <si>
    <t>车联网用户4G_DPI_https用户小区维度小时表</t>
    <phoneticPr fontId="23" type="noConversion"/>
  </si>
  <si>
    <t>aggr_lte_iov_https_usrappcel_refactor_h</t>
    <phoneticPr fontId="23" type="noConversion"/>
  </si>
  <si>
    <t>对应共享给车联网aggr_lte_iov_https_usrappcel_h，字段名称及表结构无变化</t>
    <phoneticPr fontId="23" type="noConversion"/>
  </si>
  <si>
    <t>aggr_lte_dpi_https_apptype_usrcel_h</t>
  </si>
  <si>
    <t>4G_DPI_https用户小区app类型维度小时表</t>
    <phoneticPr fontId="23" type="noConversion"/>
  </si>
  <si>
    <t>aggr_lte_dpi_https_apptype_usrcel_d</t>
    <phoneticPr fontId="23" type="noConversion"/>
  </si>
  <si>
    <t>4G_DPI_https用户小区app类型维度天表</t>
    <phoneticPr fontId="23" type="noConversion"/>
  </si>
  <si>
    <t>用户|小区|apptype</t>
    <phoneticPr fontId="23" type="noConversion"/>
  </si>
  <si>
    <t>5G_DPI_http用户小区app维度小时表</t>
  </si>
  <si>
    <t>cfg_dpi_servicetype</t>
    <phoneticPr fontId="23" type="noConversion"/>
  </si>
  <si>
    <t>DPI业务码表</t>
  </si>
  <si>
    <t>A left join B，关联条件：A.servicetype = B.servicetype</t>
  </si>
  <si>
    <t>cfg_iov_usr_list</t>
    <phoneticPr fontId="23" type="noConversion"/>
  </si>
  <si>
    <t>小区唯一标识："小区基站号"_"小区编号"</t>
  </si>
  <si>
    <t>国际移动用户识别码</t>
  </si>
  <si>
    <t>终端识别码</t>
  </si>
  <si>
    <t>业务应用分类ID</t>
  </si>
  <si>
    <t>app_type</t>
  </si>
  <si>
    <t>业务应用大类</t>
  </si>
  <si>
    <t>substr(servicetype,1,2)</t>
    <phoneticPr fontId="23" type="noConversion"/>
  </si>
  <si>
    <t>app_name</t>
  </si>
  <si>
    <t>业务名称</t>
  </si>
  <si>
    <t>servicetype_name</t>
  </si>
  <si>
    <t>总话单数</t>
  </si>
  <si>
    <t>总质差话单数</t>
  </si>
  <si>
    <t>abnormal_rate</t>
  </si>
  <si>
    <t>总质差话单占比</t>
  </si>
  <si>
    <t>sum(abnormal_cnt)/sum(record_cnt)</t>
    <phoneticPr fontId="23" type="noConversion"/>
  </si>
  <si>
    <t>业务时长(ms)</t>
  </si>
  <si>
    <t>flux</t>
  </si>
  <si>
    <t>业务流量(byte)</t>
  </si>
  <si>
    <t>sum(nvl(outputoctets,0)+nvl(inputoctets,0))</t>
    <phoneticPr fontId="23" type="noConversion"/>
  </si>
  <si>
    <t>A inner join C，关联条件：A.msisdn = C.msisdn</t>
    <phoneticPr fontId="23" type="noConversion"/>
  </si>
  <si>
    <t>按照msisdn去重</t>
    <phoneticPr fontId="23" type="noConversion"/>
  </si>
  <si>
    <t>imsi</t>
    <phoneticPr fontId="23" type="noConversion"/>
  </si>
  <si>
    <t>cellid</t>
    <phoneticPr fontId="23" type="noConversion"/>
  </si>
  <si>
    <t>is_all_resident_d</t>
    <phoneticPr fontId="23" type="noConversion"/>
  </si>
  <si>
    <t>aggr_lte_resident_usrcel_wd</t>
    <phoneticPr fontId="23" type="noConversion"/>
  </si>
  <si>
    <t>aggr_lte_resident_usrcel_d</t>
    <phoneticPr fontId="23" type="noConversion"/>
  </si>
  <si>
    <t>4G_DPI_S1MME用户驻留小区天表</t>
    <phoneticPr fontId="23" type="noConversion"/>
  </si>
  <si>
    <t>4G_DPI_S1MME用户常驻小区滚动周表</t>
    <phoneticPr fontId="23" type="noConversion"/>
  </si>
  <si>
    <t>aggr_lte_dpi_s1mme_base_h</t>
    <phoneticPr fontId="23" type="noConversion"/>
  </si>
  <si>
    <t>用户定期上报位置成功次数</t>
    <phoneticPr fontId="23" type="noConversion"/>
  </si>
  <si>
    <t>用户定期上报位置失败次数</t>
    <phoneticPr fontId="23" type="noConversion"/>
  </si>
  <si>
    <t>attach_req</t>
    <phoneticPr fontId="23" type="noConversion"/>
  </si>
  <si>
    <t>attach_suc</t>
    <phoneticPr fontId="23" type="noConversion"/>
  </si>
  <si>
    <t>对应共享给车联网aggr_lte_iov_attach_usrcel_h，字段名称及表结构无变化</t>
    <phoneticPr fontId="23" type="noConversion"/>
  </si>
  <si>
    <t>ue_dcnr</t>
    <phoneticPr fontId="23" type="noConversion"/>
  </si>
  <si>
    <t>n1_mode</t>
    <phoneticPr fontId="23" type="noConversion"/>
  </si>
  <si>
    <t>enodebid</t>
    <phoneticPr fontId="23" type="noConversion"/>
  </si>
  <si>
    <t>5g_user_count</t>
    <phoneticPr fontId="23" type="noConversion"/>
  </si>
  <si>
    <t>dm_quality_45g_dpi_mdn_imsi_multicnt_d</t>
    <phoneticPr fontId="23" type="noConversion"/>
  </si>
  <si>
    <t>net_type</t>
    <phoneticPr fontId="23" type="noConversion"/>
  </si>
  <si>
    <t>mdn_imsi_cnt</t>
    <phoneticPr fontId="23" type="noConversion"/>
  </si>
  <si>
    <t>imsi_mdn_cnt</t>
    <phoneticPr fontId="23" type="noConversion"/>
  </si>
  <si>
    <t>total_cnt</t>
    <phoneticPr fontId="23" type="noConversion"/>
  </si>
  <si>
    <t>mdn_fill_cnt</t>
    <phoneticPr fontId="23" type="noConversion"/>
  </si>
  <si>
    <t>mdn_count</t>
    <phoneticPr fontId="23" type="noConversion"/>
  </si>
  <si>
    <t>mdn_ismi_count</t>
    <phoneticPr fontId="23" type="noConversion"/>
  </si>
  <si>
    <t>all_total_quarter_cnt</t>
    <phoneticPr fontId="23" type="noConversion"/>
  </si>
  <si>
    <t>rattype</t>
    <phoneticPr fontId="23" type="noConversion"/>
  </si>
  <si>
    <t>与现网算法一致</t>
    <phoneticPr fontId="23" type="noConversion"/>
  </si>
  <si>
    <t>跟现网算法有差异</t>
    <phoneticPr fontId="23" type="noConversion"/>
  </si>
  <si>
    <t>count(case when tcpsetupresponsedelay&gt;0 and tcpsetupresponsedelay&lt;=50 then 1 else null end)</t>
    <phoneticPr fontId="23" type="noConversion"/>
  </si>
  <si>
    <t>count(case when tcpsetupresponsedelay&gt;50 and tcpsetupresponsedelay&lt;=100 then 1 else null end)</t>
    <phoneticPr fontId="23" type="noConversion"/>
  </si>
  <si>
    <t>count(case when tcpsetupresponsedelay&gt;100 and tcpsetupresponsedelay&lt;=150 then 1 else null end)</t>
    <phoneticPr fontId="23" type="noConversion"/>
  </si>
  <si>
    <t>count(case when tcpsetupresponsedelay&gt;150 and tcpsetupresponsedelay&lt;=200 then 1 else null end)</t>
    <phoneticPr fontId="23" type="noConversion"/>
  </si>
  <si>
    <t>count(case when tcpsetupresponsedelay&gt;200 and tcpsetupresponsedelay&lt;=50000 then 1 else null end)</t>
    <phoneticPr fontId="23" type="noConversion"/>
  </si>
  <si>
    <t>count(case when tcpsetupackdelay&gt;0 and tcpsetupackdelay&lt;=50 then 1 else null end)</t>
    <phoneticPr fontId="23" type="noConversion"/>
  </si>
  <si>
    <t>count(case when tcpsetupackdelay&gt;50 and tcpsetupackdelay&lt;=100 then 1 else null end)</t>
    <phoneticPr fontId="23" type="noConversion"/>
  </si>
  <si>
    <t>count(case when tcpsetupackdelay&gt;100 and tcpsetupackdelay&lt;=150 then 1 else null end)</t>
    <phoneticPr fontId="23" type="noConversion"/>
  </si>
  <si>
    <t>count(case when tcpsetupackdelay&gt;150 and tcpsetupackdelay&lt;=200 then 1 else null end)</t>
    <phoneticPr fontId="23" type="noConversion"/>
  </si>
  <si>
    <t>count(case when tcpsetupackdelay&gt;200 and tcpsetupackdelay&lt;=50000 then 1 else null end)</t>
    <phoneticPr fontId="23" type="noConversion"/>
  </si>
  <si>
    <t>count(case when tcpsetupdelay&gt;0 and tcpsetupdelay&lt;=50 then 1 else null end)</t>
    <phoneticPr fontId="23" type="noConversion"/>
  </si>
  <si>
    <t>count(case when tcpsetupdelay&gt;50 and tcpsetupdelay&lt;=100 then 1 else null end)</t>
    <phoneticPr fontId="23" type="noConversion"/>
  </si>
  <si>
    <t>count(case when tcpsetupdelay&gt;100 and tcpsetupdelay&lt;=150 then 1 else null end)</t>
    <phoneticPr fontId="23" type="noConversion"/>
  </si>
  <si>
    <t>count(case when tcpsetupdelay&gt;150 and tcpsetupdelay&lt;=200 then 1 else null end)</t>
    <phoneticPr fontId="23" type="noConversion"/>
  </si>
  <si>
    <t>count(case when tcpsetupdelay&gt;200 and tcpsetupdelay&lt;=50000 then 1 else null end)</t>
    <phoneticPr fontId="23" type="noConversion"/>
  </si>
  <si>
    <t>5G定制网-车联网</t>
    <phoneticPr fontId="23" type="noConversion"/>
  </si>
  <si>
    <t>对应共享移动业务感知保障系统aggr_4gdpi_https_e2e_telecom_h，删除了部分下游不需要字段</t>
    <phoneticPr fontId="23" type="noConversion"/>
  </si>
  <si>
    <t>aggr_lte_dpi_https_index_reduce_base_h</t>
    <phoneticPr fontId="23" type="noConversion"/>
  </si>
  <si>
    <t>aggr_lte_dpi_http_usrappcel_h</t>
    <phoneticPr fontId="23" type="noConversion"/>
  </si>
  <si>
    <t>建维优</t>
    <phoneticPr fontId="23" type="noConversion"/>
  </si>
  <si>
    <t>sum(case when (hour &gt;= 0 and hour &lt;= 6) or (hour &gt;= 21 and hour &lt;= 23)  then quarter_cnt else 0 end)</t>
    <phoneticPr fontId="23" type="noConversion"/>
  </si>
  <si>
    <t>area_id</t>
    <phoneticPr fontId="23" type="noConversion"/>
  </si>
  <si>
    <t>aggr_lte_usrareatime_cel_refactor_d</t>
    <phoneticPr fontId="23" type="noConversion"/>
  </si>
  <si>
    <t>6,10</t>
    <phoneticPr fontId="23" type="noConversion"/>
  </si>
  <si>
    <t>business_type</t>
    <phoneticPr fontId="23" type="noConversion"/>
  </si>
  <si>
    <t>对应共享给核心系统(5G登网)aggr_4gxdr_dcnr_traffic_d</t>
    <phoneticPr fontId="23" type="noConversion"/>
  </si>
  <si>
    <t>对应共享给核心系统(基站节能)aggr_5gnsa_traffic_h</t>
    <phoneticPr fontId="23" type="noConversion"/>
  </si>
  <si>
    <t>对应共享给基站节能aggr_5gnsa_traffic_q</t>
    <phoneticPr fontId="23" type="noConversion"/>
  </si>
  <si>
    <t>aggr_lte_dpi_s1mme_dcnr_usr_d</t>
  </si>
  <si>
    <t>aggr_lte_dpi_s1mme_dcnr_usr_d</t>
    <phoneticPr fontId="23" type="noConversion"/>
  </si>
  <si>
    <t>aggr_lte_dpi_s1mme_dcnr_cel_q</t>
  </si>
  <si>
    <t>aggr_lte_dpi_s1mme_dcnr_cel_q</t>
    <phoneticPr fontId="23" type="noConversion"/>
  </si>
  <si>
    <t>aggr_lte_dpi_s1mme_dcnr_cel_h</t>
  </si>
  <si>
    <t>aggr_lte_dpi_s1mme_dcnr_cel_h</t>
    <phoneticPr fontId="23" type="noConversion"/>
  </si>
  <si>
    <t>aggr_lte_dpi_s1mme_dcnr_usrcel_h</t>
  </si>
  <si>
    <t>aggr_lte_dpi_s1mme_dcnr_usrcel_h</t>
    <phoneticPr fontId="23" type="noConversion"/>
  </si>
  <si>
    <t>aggr_lte_dpi_s1mme_dcnr_usrcel_h</t>
    <phoneticPr fontId="23" type="noConversion"/>
  </si>
  <si>
    <t>S1MME用户小区清单小时表</t>
  </si>
  <si>
    <t>S1MME话单中dcnr与n1mode用户清单</t>
  </si>
  <si>
    <t>4G小区下NSA用户数统计小时表</t>
  </si>
  <si>
    <t>4G小区下NSA用户数统计15分钟表</t>
  </si>
  <si>
    <t>国际移动设备识别码</t>
  </si>
  <si>
    <t>用户访问的目标 IPv4或IPv6 地址</t>
  </si>
  <si>
    <t>用户访问的目标端口号</t>
  </si>
  <si>
    <t>用户访问外部网络时使用的 IPv4 或 IPv6 地址</t>
  </si>
  <si>
    <t>用户访问外部网络时使用的端口号</t>
  </si>
  <si>
    <t>SGW的IPv4或IPv6 地址</t>
  </si>
  <si>
    <t>MME的IPv4或IPv6地址</t>
  </si>
  <si>
    <t>PGW的IPv4或IPv6地址</t>
  </si>
  <si>
    <t>小区唯一标识</t>
  </si>
  <si>
    <t>跟踪区标识</t>
  </si>
  <si>
    <t>拜访网络标识</t>
  </si>
  <si>
    <t>协议类型</t>
  </si>
  <si>
    <t>格式为"yyyy-MM-dd HH:mm:sss"的日期时间</t>
  </si>
  <si>
    <t>业务时长</t>
  </si>
  <si>
    <t>发给用户的业务字节数</t>
  </si>
  <si>
    <t>用户发出的业务字节数</t>
  </si>
  <si>
    <t>PDN 连接的ID标识号</t>
  </si>
  <si>
    <t>承载标识号</t>
  </si>
  <si>
    <t>承载QoS</t>
  </si>
  <si>
    <t>记录关闭原因。采集设备自动生成，数字编号（0： session 释放； 1：业务应用结束； 2：业务应用等待超时； 3：用户位置变化； 4：用户接入方式变化）</t>
  </si>
  <si>
    <t>PGW端口</t>
  </si>
  <si>
    <t>MME 分配的 S1AP ID</t>
  </si>
  <si>
    <t>ENodeB 分配的 S1AP ID</t>
  </si>
  <si>
    <t>MME组ID编号</t>
  </si>
  <si>
    <t>MME ID编号</t>
  </si>
  <si>
    <t>终端用户的 IPv4 或 IPv6 地址，如无则填全 F</t>
  </si>
  <si>
    <t>访问服务器的 IPv4 或 IPv6地址，如无则填全 F</t>
  </si>
  <si>
    <t>上行 TCP 乱序报文数。L4 协议非 TCP 传输时，此字段填 0</t>
  </si>
  <si>
    <t>下行 TCP 乱序报文数。L4 协议非 TCP 传输时，此字段填 0</t>
  </si>
  <si>
    <t>上行 TCP 重传报文数。非 TCP 传输时，此字段填 0</t>
  </si>
  <si>
    <t>下行 TCP 重传报文数。非 TCP 传输时，此字段填 0</t>
  </si>
  <si>
    <t>TCP 建链响应时延（ms）。非 TCP 传输时，此字段填 0</t>
  </si>
  <si>
    <t>TCP 建链确认时延（ms）。非 TCP 传输时，此字段填 0</t>
  </si>
  <si>
    <t>以内层 IP 包的分片为准</t>
  </si>
  <si>
    <t>TCP 建链成功到第一条事务请求的时延（ms）。没有事务的时候可以不填写，此时填 0</t>
  </si>
  <si>
    <t>第一条事务请求到其第一个响应包时延（ms）。没有事务的时候可以不填写，此时填 0</t>
  </si>
  <si>
    <t>窗口大小,TCP 建链协商后的窗口。非 TCP 传输时，此字段填 0</t>
  </si>
  <si>
    <t>MSS 尺寸TCP 层的最大分段大小。非 TCP 传输时，此字段填 0</t>
  </si>
  <si>
    <t>TCP 建链尝试次数。TCP SYN 的次数，一次 TCP流多次 SYN 的数值。非 TCP 传输时，此字段填 0</t>
  </si>
  <si>
    <t>TCP 连接状态指示。0：成功；1：失败</t>
  </si>
  <si>
    <t>会话是否结束标志。1：结束；2：未结束</t>
  </si>
  <si>
    <t>上行UE AMBR</t>
  </si>
  <si>
    <t>下行UE AMBR</t>
  </si>
  <si>
    <t>L4 协议类型：0： TCP；1： UDP</t>
    <phoneticPr fontId="23" type="noConversion"/>
  </si>
  <si>
    <t>网页响应时延次数</t>
    <phoneticPr fontId="23" type="noConversion"/>
  </si>
  <si>
    <t>网页完整打开时延次数</t>
    <phoneticPr fontId="23" type="noConversion"/>
  </si>
  <si>
    <t>上传速率时长(s)</t>
  </si>
  <si>
    <t>下载速率时长(s)</t>
  </si>
  <si>
    <t>上传大包速率时长-500KB(s)</t>
  </si>
  <si>
    <t>下载大包速率时长-500KB(s)</t>
  </si>
  <si>
    <t>天</t>
    <phoneticPr fontId="23" type="noConversion"/>
  </si>
  <si>
    <t>dm_qulity_s1mme_cell_refactor_d</t>
    <phoneticPr fontId="23" type="noConversion"/>
  </si>
  <si>
    <t>aggr_lte_copycard_usrenb_refactor_h</t>
  </si>
  <si>
    <t>反诈复制卡4G用户接入基站清单</t>
  </si>
  <si>
    <t>enb|user</t>
    <phoneticPr fontId="23" type="noConversion"/>
  </si>
  <si>
    <t>4G</t>
    <phoneticPr fontId="23" type="noConversion"/>
  </si>
  <si>
    <t>keyword2流程描述</t>
    <phoneticPr fontId="23" type="noConversion"/>
  </si>
  <si>
    <t>fact_lte_dpi_s1mme_q</t>
    <phoneticPr fontId="23" type="noConversion"/>
  </si>
  <si>
    <t>keyword_desc</t>
    <phoneticPr fontId="23" type="noConversion"/>
  </si>
  <si>
    <t>keyword_direction</t>
    <phoneticPr fontId="23" type="noConversion"/>
  </si>
  <si>
    <t>int</t>
    <phoneticPr fontId="23" type="noConversion"/>
  </si>
  <si>
    <t>keyword方向</t>
    <phoneticPr fontId="23" type="noConversion"/>
  </si>
  <si>
    <t>A</t>
    <phoneticPr fontId="23" type="noConversion"/>
  </si>
  <si>
    <t>case when procedure_type=6 and keyword in (0,1,2,3,4,5,6,7) and keyword2=1 then 1 
        when procedure_type=6 and keyword in (0,1,2,3,4,5,6,7) and keyword2=2 then 2 
        else 0 end as keyword_direction</t>
    <phoneticPr fontId="23" type="noConversion"/>
  </si>
  <si>
    <t>关联条件：A.procedure_type=D.procedure_type and A.keyword=D.keyword and A.keyword_direction=D.keyword_direction
过滤条件：D表keyword_type='Keyword'</t>
    <phoneticPr fontId="23" type="noConversion"/>
  </si>
  <si>
    <t>关联条件：A.procedure_type=D.procedure_type and A.keyword=D.keyword and A.keyword_direction=D.keyword_direction
过滤条件：D表keyword_type='Keyword1'</t>
    <phoneticPr fontId="23" type="noConversion"/>
  </si>
  <si>
    <t>关联条件：A.procedure_type=D.procedure_type and A.keyword=D.keyword and A.keyword_direction=D.keyword_direction
过滤条件：D表keyword_type='Keyword2'</t>
    <phoneticPr fontId="23" type="noConversion"/>
  </si>
  <si>
    <t>关联条件：A.procedure_type=D.procedure_type and A.keyword=D.keyword and A.keyword_direction=D.keyword_direction
过滤条件：D表keyword_type='Keyword3'</t>
    <phoneticPr fontId="23" type="noConversion"/>
  </si>
  <si>
    <t>关联条件：A.procedure_type=D.procedure_type and A.keyword=D.keyword and A.keyword_direction=D.keyword_direction
过滤条件：D表keyword_type='Keyword4'</t>
    <phoneticPr fontId="23" type="noConversion"/>
  </si>
  <si>
    <t>关联条件：A.procedure_type=D.procedure_type and A.msgflag=D.keyword and A.keyword_direction=D.keyword_direction
过滤条件：D表keyword_type='MsgFlag'</t>
    <phoneticPr fontId="23" type="noConversion"/>
  </si>
  <si>
    <t>主键字段</t>
    <phoneticPr fontId="23" type="noConversion"/>
  </si>
  <si>
    <t>keyword_direction</t>
    <phoneticPr fontId="29" type="noConversion"/>
  </si>
  <si>
    <t>流程类型
procedure_type</t>
    <phoneticPr fontId="29" type="noConversion"/>
  </si>
  <si>
    <r>
      <t xml:space="preserve">direction
</t>
    </r>
    <r>
      <rPr>
        <b/>
        <sz val="10.5"/>
        <color indexed="63"/>
        <rFont val="宋体"/>
        <family val="2"/>
        <charset val="134"/>
      </rPr>
      <t>方向</t>
    </r>
    <r>
      <rPr>
        <b/>
        <sz val="10.5"/>
        <color indexed="63"/>
        <rFont val="微软雅黑"/>
        <family val="2"/>
        <charset val="134"/>
      </rPr>
      <t>,来至于Keyword2</t>
    </r>
    <r>
      <rPr>
        <b/>
        <sz val="10.5"/>
        <color indexed="63"/>
        <rFont val="Segoe UI"/>
        <family val="2"/>
        <charset val="134"/>
      </rPr>
      <t xml:space="preserve">
1(ue to network)
2(network to ue)</t>
    </r>
    <phoneticPr fontId="29" type="noConversion"/>
  </si>
  <si>
    <t>Detach</t>
    <phoneticPr fontId="29" type="noConversion"/>
  </si>
  <si>
    <t>Keyword</t>
    <phoneticPr fontId="29" type="noConversion"/>
  </si>
  <si>
    <t>(ue to network)&amp;combined EPS/IMSI detach</t>
    <phoneticPr fontId="29" type="noConversion"/>
  </si>
  <si>
    <t>(ue to network)&amp;EPS detach</t>
  </si>
  <si>
    <t>(ue to network)&amp;IMSI detach</t>
  </si>
  <si>
    <t>(ue to network)&amp;combined EPS/IMSI detach</t>
  </si>
  <si>
    <t>(ue to network)&amp;reserved</t>
  </si>
  <si>
    <t>(network to ue)&amp;re-attach not required</t>
  </si>
  <si>
    <t>(network to ue)&amp;re-attach required</t>
  </si>
  <si>
    <t>(network to ue)&amp;IMSI detach</t>
  </si>
  <si>
    <t>(network to ue)&amp;reserved</t>
  </si>
  <si>
    <t>case when sum(quarter_cnt)&gt;=16 then 1 else 0 end</t>
    <phoneticPr fontId="23" type="noConversion"/>
  </si>
  <si>
    <t>是否全天常驻（1为常驻，0为非常驻）</t>
    <phoneticPr fontId="23" type="noConversion"/>
  </si>
  <si>
    <t>dm_quality_45g_dpi_mdn_imsi_multicnt_d</t>
    <phoneticPr fontId="23" type="noConversion"/>
  </si>
  <si>
    <t>aggr_lte_resident_usrcel_wd</t>
    <phoneticPr fontId="23" type="noConversion"/>
  </si>
  <si>
    <t>aggr_lte_dpi_s1mme_base_q、cfg_city</t>
  </si>
  <si>
    <t>aggr_lte_dpi_s1mme_usrcel_h、cfg_iov_usr_list</t>
  </si>
  <si>
    <t>aggr_lte_dpi_s1mme_dcnr_usrcel_h、aggr_lte_dpi_s1mme_dcnr_usr_d</t>
  </si>
  <si>
    <t>fact_4g_xdr_signal_min、aggr_lte_dpi_s1mme_dcnr_usr_d</t>
  </si>
  <si>
    <t>aggr_nr_dpi_n1n2_usr_d、aggr_lte_dpi_s1mme_usr_d</t>
  </si>
  <si>
    <t>ods_4gdpi_dns_e2e_telecom_q、lte_cm_projdata_refactor</t>
  </si>
  <si>
    <t>aggr_lte_usrareatime_cel_refactor_d、aggr_lte_dpi_dns_usrappcel_q</t>
  </si>
  <si>
    <t>ods_4gdpi_https_e2e_telecom_q、lte_cm_projdata_refactor、cfg_topweb_first_screen_host_list</t>
  </si>
  <si>
    <t>aggr_lte_dpi_https_usrappcel_h、cfg_iov_usr_list、cfg_dpi_servicetype</t>
  </si>
  <si>
    <t>aggr_lte_dpi_s1mme_usrcel_h、lte_cm_projdata_refactor</t>
    <phoneticPr fontId="23" type="noConversion"/>
  </si>
  <si>
    <t>lte_cm_projdata_corrected</t>
    <phoneticPr fontId="23" type="noConversion"/>
  </si>
  <si>
    <t>aggr_lte_dpi_s1mme_usrcel_d、lte_cm_projdata_corrected、lte_cm_projdata、lte_cucc_cm_projdata</t>
    <phoneticPr fontId="23" type="noConversion"/>
  </si>
  <si>
    <t>aggr_lte_dpi_s1mme_cel_d、lte_cm_projdata_corrected、lte_cm_projdata、lte_cucc_cm_projdata</t>
    <phoneticPr fontId="23" type="noConversion"/>
  </si>
  <si>
    <t>cfg_s1mme_keyword_type</t>
    <phoneticPr fontId="23" type="noConversion"/>
  </si>
  <si>
    <t>ods_pscp_s1mme_front_5min、cfg_45g_procedure_type、cfg_s1mme_cause_code_list、cfg_s1mme_keyword_type、lte_cm_projdata_refactor</t>
    <phoneticPr fontId="23" type="noConversion"/>
  </si>
  <si>
    <t>aggr_lte_dpi_s1mme_base_q、cfg_city</t>
    <phoneticPr fontId="23" type="noConversion"/>
  </si>
  <si>
    <t>aggr_lte_dpi_s1mme_base_h</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</si>
</sst>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F400]h:mm:ss\ AM/PM"/>
    <numFmt numFmtId="177" formatCode="[$-F800]dddd\,\ mmmm\ dd\,\ yyyy"/>
    <numFmt numFmtId="178" formatCode="0_);[Red]\(0\)"/>
  </numFmts>
  <fonts count="33">
    <font>
      <sz val="11"/>
      <color theme="1"/>
      <name val="等线"/>
      <charset val="134"/>
      <scheme val="minor"/>
    </font>
    <font>
      <sz val="11"/>
      <color theme="1"/>
      <name val="等线"/>
      <family val="2"/>
      <scheme val="minor"/>
    </font>
    <font>
      <sz val="9"/>
      <color theme="1"/>
      <name val="微软雅黑"/>
      <family val="2"/>
      <charset val="134"/>
    </font>
    <font>
      <u/>
      <sz val="9"/>
      <color rgb="FF0000FF"/>
      <name val="微软雅黑"/>
      <family val="2"/>
      <charset val="134"/>
    </font>
    <font>
      <sz val="9"/>
      <name val="微软雅黑"/>
      <family val="2"/>
      <charset val="134"/>
    </font>
    <font>
      <b/>
      <i/>
      <sz val="9"/>
      <name val="微软雅黑"/>
      <family val="2"/>
      <charset val="134"/>
    </font>
    <font>
      <b/>
      <sz val="9"/>
      <name val="微软雅黑"/>
      <family val="2"/>
      <charset val="134"/>
    </font>
    <font>
      <sz val="9"/>
      <color rgb="FF000000"/>
      <name val="微软雅黑"/>
      <family val="2"/>
      <charset val="134"/>
    </font>
    <font>
      <b/>
      <sz val="9"/>
      <color rgb="FFFF0000"/>
      <name val="微软雅黑"/>
      <family val="2"/>
      <charset val="134"/>
    </font>
    <font>
      <sz val="9"/>
      <color rgb="FFFF0000"/>
      <name val="微软雅黑"/>
      <family val="2"/>
      <charset val="134"/>
    </font>
    <font>
      <u/>
      <sz val="11"/>
      <color rgb="FF0000FF"/>
      <name val="等线"/>
      <family val="3"/>
      <charset val="134"/>
      <scheme val="minor"/>
    </font>
    <font>
      <sz val="10"/>
      <name val="微软雅黑"/>
      <family val="2"/>
      <charset val="134"/>
    </font>
    <font>
      <b/>
      <i/>
      <sz val="12"/>
      <name val="微软雅黑"/>
      <family val="2"/>
      <charset val="134"/>
    </font>
    <font>
      <b/>
      <sz val="10"/>
      <name val="微软雅黑"/>
      <family val="2"/>
      <charset val="134"/>
    </font>
    <font>
      <sz val="9"/>
      <color indexed="8"/>
      <name val="微软雅黑"/>
      <family val="2"/>
      <charset val="134"/>
    </font>
    <font>
      <sz val="11"/>
      <color theme="1"/>
      <name val="微软雅黑"/>
      <family val="2"/>
      <charset val="134"/>
    </font>
    <font>
      <u/>
      <sz val="9"/>
      <color rgb="FF800080"/>
      <name val="微软雅黑"/>
      <family val="2"/>
      <charset val="134"/>
    </font>
    <font>
      <sz val="10"/>
      <name val="Arial"/>
      <family val="2"/>
    </font>
    <font>
      <sz val="12"/>
      <name val="Times New Roman"/>
      <family val="1"/>
    </font>
    <font>
      <sz val="12"/>
      <name val="宋体"/>
      <family val="3"/>
      <charset val="134"/>
    </font>
    <font>
      <sz val="11"/>
      <color indexed="8"/>
      <name val="等线"/>
      <family val="3"/>
      <charset val="134"/>
      <scheme val="minor"/>
    </font>
    <font>
      <sz val="11"/>
      <name val="Calibri"/>
      <family val="2"/>
    </font>
    <font>
      <sz val="11"/>
      <color theme="1"/>
      <name val="等线"/>
      <family val="3"/>
      <charset val="134"/>
      <scheme val="minor"/>
    </font>
    <font>
      <sz val="9"/>
      <name val="等线"/>
      <family val="3"/>
      <charset val="134"/>
      <scheme val="minor"/>
    </font>
    <font>
      <sz val="11"/>
      <color theme="1"/>
      <name val="等线"/>
      <family val="2"/>
      <charset val="134"/>
      <scheme val="minor"/>
    </font>
    <font>
      <sz val="9"/>
      <color indexed="10"/>
      <name val="微软雅黑"/>
      <family val="2"/>
      <charset val="134"/>
    </font>
    <font>
      <u/>
      <sz val="11"/>
      <color theme="10"/>
      <name val="Calibri"/>
      <family val="2"/>
    </font>
    <font>
      <u/>
      <sz val="11"/>
      <color theme="10"/>
      <name val="等线"/>
      <family val="3"/>
      <charset val="134"/>
      <scheme val="minor"/>
    </font>
    <font>
      <sz val="11"/>
      <color theme="1"/>
      <name val="等线"/>
      <family val="3"/>
      <charset val="134"/>
      <scheme val="minor"/>
    </font>
    <font>
      <sz val="9"/>
      <name val="等线"/>
      <family val="2"/>
      <charset val="134"/>
      <scheme val="minor"/>
    </font>
    <font>
      <b/>
      <sz val="10.5"/>
      <color indexed="63"/>
      <name val="宋体"/>
      <family val="2"/>
      <charset val="134"/>
    </font>
    <font>
      <b/>
      <sz val="10.5"/>
      <color indexed="63"/>
      <name val="微软雅黑"/>
      <family val="2"/>
      <charset val="134"/>
    </font>
    <font>
      <b/>
      <sz val="10.5"/>
      <color indexed="63"/>
      <name val="Segoe UI"/>
      <family val="2"/>
      <charset val="134"/>
    </font>
  </fonts>
  <fills count="12">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indexed="9"/>
        <bgColor indexed="64"/>
      </patternFill>
    </fill>
    <fill>
      <patternFill patternType="solid">
        <fgColor rgb="FFFF0000"/>
        <bgColor indexed="64"/>
      </patternFill>
    </fill>
    <fill>
      <patternFill patternType="solid">
        <fgColor indexed="50"/>
        <bgColor indexed="64"/>
      </patternFill>
    </fill>
    <fill>
      <patternFill patternType="solid">
        <fgColor rgb="FF92D050"/>
        <bgColor indexed="64"/>
      </patternFill>
    </fill>
    <fill>
      <patternFill patternType="solid">
        <fgColor theme="8" tint="0.7997985778374584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62">
    <xf numFmtId="0" fontId="0" fillId="0" borderId="0"/>
    <xf numFmtId="0" fontId="10" fillId="0" borderId="0" applyNumberFormat="0" applyFill="0" applyBorder="0" applyAlignment="0" applyProtection="0">
      <alignment vertical="center"/>
    </xf>
    <xf numFmtId="0" fontId="17" fillId="0" borderId="0">
      <alignment vertical="center"/>
    </xf>
    <xf numFmtId="0" fontId="18" fillId="0" borderId="0"/>
    <xf numFmtId="0" fontId="22" fillId="0" borderId="0">
      <alignment vertical="center"/>
    </xf>
    <xf numFmtId="0" fontId="22" fillId="0" borderId="0">
      <alignment vertical="center"/>
    </xf>
    <xf numFmtId="0" fontId="22" fillId="0" borderId="0"/>
    <xf numFmtId="9" fontId="22" fillId="0" borderId="0" applyFont="0" applyFill="0" applyBorder="0" applyAlignment="0" applyProtection="0">
      <alignment vertical="center"/>
    </xf>
    <xf numFmtId="0" fontId="19" fillId="0" borderId="0">
      <alignment vertical="center"/>
    </xf>
    <xf numFmtId="0" fontId="19" fillId="0" borderId="0">
      <alignment vertical="center"/>
    </xf>
    <xf numFmtId="0" fontId="20" fillId="0" borderId="0">
      <alignment vertical="center"/>
    </xf>
    <xf numFmtId="0" fontId="19" fillId="0" borderId="0">
      <alignment vertical="center"/>
    </xf>
    <xf numFmtId="0" fontId="22" fillId="0" borderId="0">
      <alignment vertical="center"/>
    </xf>
    <xf numFmtId="0" fontId="22" fillId="0" borderId="0">
      <alignment vertical="center"/>
    </xf>
    <xf numFmtId="0" fontId="22" fillId="0" borderId="0">
      <alignment vertical="center"/>
    </xf>
    <xf numFmtId="0" fontId="19" fillId="0" borderId="0"/>
    <xf numFmtId="0" fontId="19" fillId="0" borderId="0"/>
    <xf numFmtId="0" fontId="19" fillId="0" borderId="0">
      <alignment vertical="center"/>
    </xf>
    <xf numFmtId="0" fontId="22" fillId="0" borderId="0"/>
    <xf numFmtId="0" fontId="22" fillId="0" borderId="0">
      <alignment vertical="center"/>
    </xf>
    <xf numFmtId="0" fontId="22" fillId="0" borderId="0">
      <alignment vertical="center"/>
    </xf>
    <xf numFmtId="0" fontId="22" fillId="0" borderId="0">
      <alignment vertical="center"/>
    </xf>
    <xf numFmtId="0" fontId="19" fillId="0" borderId="0">
      <alignment vertical="center"/>
    </xf>
    <xf numFmtId="0" fontId="20" fillId="0" borderId="0">
      <alignment vertical="center"/>
    </xf>
    <xf numFmtId="0" fontId="21" fillId="0" borderId="0"/>
    <xf numFmtId="0" fontId="22" fillId="0" borderId="0"/>
    <xf numFmtId="0" fontId="22" fillId="0" borderId="0">
      <alignment vertical="center"/>
    </xf>
    <xf numFmtId="0" fontId="22" fillId="0" borderId="0">
      <alignment vertical="center"/>
    </xf>
    <xf numFmtId="0" fontId="19" fillId="0" borderId="0">
      <alignment vertical="center"/>
    </xf>
    <xf numFmtId="0" fontId="22" fillId="0" borderId="0"/>
    <xf numFmtId="0" fontId="22" fillId="0" borderId="0"/>
    <xf numFmtId="0" fontId="19" fillId="0" borderId="0">
      <alignment vertical="center"/>
    </xf>
    <xf numFmtId="0" fontId="19" fillId="0" borderId="0">
      <alignment vertical="center"/>
    </xf>
    <xf numFmtId="0" fontId="22" fillId="0" borderId="0"/>
    <xf numFmtId="0" fontId="19" fillId="0" borderId="0"/>
    <xf numFmtId="0" fontId="21" fillId="0" borderId="0"/>
    <xf numFmtId="0" fontId="21" fillId="0" borderId="0"/>
    <xf numFmtId="0" fontId="22" fillId="0" borderId="0"/>
    <xf numFmtId="0" fontId="19" fillId="0" borderId="0"/>
    <xf numFmtId="0" fontId="22" fillId="0" borderId="0">
      <alignment vertical="center"/>
    </xf>
    <xf numFmtId="0" fontId="22" fillId="0" borderId="0">
      <alignment vertical="center"/>
    </xf>
    <xf numFmtId="0" fontId="19" fillId="0" borderId="0">
      <alignment vertical="center"/>
    </xf>
    <xf numFmtId="0" fontId="19" fillId="0" borderId="0">
      <alignment vertical="center"/>
    </xf>
    <xf numFmtId="176" fontId="19" fillId="0" borderId="0">
      <alignment vertical="center"/>
    </xf>
    <xf numFmtId="0" fontId="19" fillId="0" borderId="0"/>
    <xf numFmtId="0" fontId="19" fillId="0" borderId="0">
      <alignment vertical="center"/>
    </xf>
    <xf numFmtId="0" fontId="10" fillId="0" borderId="0" applyNumberFormat="0" applyFill="0" applyBorder="0" applyAlignment="0" applyProtection="0">
      <alignment vertical="center"/>
    </xf>
    <xf numFmtId="0" fontId="26" fillId="0" borderId="0" applyNumberFormat="0" applyFill="0" applyBorder="0" applyAlignment="0" applyProtection="0"/>
    <xf numFmtId="0" fontId="22" fillId="0" borderId="0">
      <alignment vertical="center"/>
    </xf>
    <xf numFmtId="0" fontId="22" fillId="0" borderId="0">
      <alignment vertical="center"/>
    </xf>
    <xf numFmtId="0" fontId="24" fillId="0" borderId="0">
      <alignment vertical="center"/>
    </xf>
    <xf numFmtId="0" fontId="27" fillId="0" borderId="0" applyNumberFormat="0" applyFill="0" applyBorder="0" applyAlignment="0" applyProtection="0">
      <alignment vertical="center"/>
    </xf>
    <xf numFmtId="0" fontId="1" fillId="0" borderId="0"/>
    <xf numFmtId="0" fontId="22" fillId="0" borderId="0"/>
    <xf numFmtId="177" fontId="19" fillId="0" borderId="0"/>
    <xf numFmtId="0" fontId="1" fillId="0" borderId="0"/>
    <xf numFmtId="177" fontId="19" fillId="0" borderId="0"/>
    <xf numFmtId="0" fontId="19" fillId="0" borderId="0">
      <alignment vertical="center"/>
    </xf>
    <xf numFmtId="0" fontId="22" fillId="0" borderId="0"/>
    <xf numFmtId="0" fontId="19" fillId="0" borderId="0"/>
    <xf numFmtId="0" fontId="22" fillId="0" borderId="0">
      <alignment vertical="center"/>
    </xf>
    <xf numFmtId="9" fontId="28" fillId="0" borderId="0" applyFont="0" applyFill="0" applyBorder="0" applyAlignment="0" applyProtection="0">
      <alignment vertical="center"/>
    </xf>
  </cellStyleXfs>
  <cellXfs count="133">
    <xf numFmtId="0" fontId="0" fillId="0" borderId="0" xfId="0"/>
    <xf numFmtId="0" fontId="2" fillId="0" borderId="0" xfId="15" applyFont="1" applyAlignment="1">
      <alignment vertical="center"/>
    </xf>
    <xf numFmtId="0" fontId="2" fillId="2" borderId="0" xfId="12" applyFont="1" applyFill="1">
      <alignment vertical="center"/>
    </xf>
    <xf numFmtId="0" fontId="2" fillId="0" borderId="0" xfId="12" applyFont="1" applyAlignment="1">
      <alignment horizontal="center" vertical="center"/>
    </xf>
    <xf numFmtId="0" fontId="2" fillId="0" borderId="0" xfId="12" applyFont="1">
      <alignment vertical="center"/>
    </xf>
    <xf numFmtId="0" fontId="3" fillId="3" borderId="0" xfId="1" applyNumberFormat="1" applyFont="1" applyFill="1" applyBorder="1" applyAlignment="1" applyProtection="1">
      <alignment horizontal="center" vertical="center"/>
    </xf>
    <xf numFmtId="0" fontId="4" fillId="4" borderId="1" xfId="12" applyFont="1" applyFill="1" applyBorder="1" applyAlignment="1">
      <alignment horizontal="center" vertical="center" wrapText="1"/>
    </xf>
    <xf numFmtId="0" fontId="6" fillId="6" borderId="1" xfId="12" applyFont="1" applyFill="1" applyBorder="1" applyAlignment="1">
      <alignment horizontal="center" vertical="center" wrapText="1"/>
    </xf>
    <xf numFmtId="0" fontId="4" fillId="0" borderId="1" xfId="12" applyFont="1" applyBorder="1" applyAlignment="1">
      <alignment horizontal="center" vertical="center" wrapText="1"/>
    </xf>
    <xf numFmtId="0" fontId="2" fillId="0" borderId="1" xfId="12" applyFont="1" applyBorder="1" applyAlignment="1">
      <alignment horizontal="left" vertical="center"/>
    </xf>
    <xf numFmtId="0" fontId="4" fillId="7" borderId="1" xfId="12" applyFont="1" applyFill="1" applyBorder="1" applyAlignment="1">
      <alignment horizontal="left" vertical="center"/>
    </xf>
    <xf numFmtId="0" fontId="6" fillId="6" borderId="1" xfId="12" applyFont="1" applyFill="1" applyBorder="1" applyAlignment="1">
      <alignment horizontal="center" vertical="center"/>
    </xf>
    <xf numFmtId="0" fontId="2" fillId="0" borderId="1" xfId="12" applyFont="1" applyBorder="1" applyAlignment="1">
      <alignment horizontal="center" vertical="center"/>
    </xf>
    <xf numFmtId="0" fontId="2" fillId="0" borderId="1" xfId="12" applyFont="1" applyBorder="1" applyAlignment="1">
      <alignment horizontal="center" vertical="center" wrapText="1"/>
    </xf>
    <xf numFmtId="0" fontId="2" fillId="2" borderId="1" xfId="12" applyFont="1" applyFill="1" applyBorder="1" applyAlignment="1">
      <alignment vertical="center" wrapText="1"/>
    </xf>
    <xf numFmtId="0" fontId="2" fillId="2" borderId="2" xfId="12" applyFont="1" applyFill="1" applyBorder="1" applyAlignment="1">
      <alignment vertical="center" wrapText="1"/>
    </xf>
    <xf numFmtId="0" fontId="2" fillId="2" borderId="1" xfId="12" applyFont="1" applyFill="1" applyBorder="1" applyAlignment="1">
      <alignment horizontal="left" vertical="center"/>
    </xf>
    <xf numFmtId="0" fontId="4" fillId="7" borderId="1" xfId="12" applyFont="1" applyFill="1" applyBorder="1" applyAlignment="1">
      <alignment horizontal="center" vertical="center"/>
    </xf>
    <xf numFmtId="0" fontId="4" fillId="4" borderId="1" xfId="12" applyFont="1" applyFill="1" applyBorder="1" applyAlignment="1">
      <alignment horizontal="center" vertical="center"/>
    </xf>
    <xf numFmtId="0" fontId="2" fillId="0" borderId="1" xfId="12" applyFont="1" applyBorder="1">
      <alignment vertical="center"/>
    </xf>
    <xf numFmtId="0" fontId="4" fillId="7" borderId="4" xfId="22" applyFont="1" applyFill="1" applyBorder="1" applyAlignment="1">
      <alignment horizontal="center" vertical="center"/>
    </xf>
    <xf numFmtId="0" fontId="4" fillId="7" borderId="1" xfId="15" applyFont="1" applyFill="1" applyBorder="1" applyAlignment="1">
      <alignment horizontal="center" vertical="center" wrapText="1"/>
    </xf>
    <xf numFmtId="0" fontId="2" fillId="0" borderId="1" xfId="12" applyFont="1" applyBorder="1" applyAlignment="1">
      <alignment vertical="center" wrapText="1"/>
    </xf>
    <xf numFmtId="0" fontId="4" fillId="7" borderId="1" xfId="15" applyFont="1" applyFill="1" applyBorder="1" applyAlignment="1">
      <alignment vertical="center" wrapText="1"/>
    </xf>
    <xf numFmtId="0" fontId="2" fillId="2" borderId="1" xfId="12" applyFont="1" applyFill="1" applyBorder="1">
      <alignment vertical="center"/>
    </xf>
    <xf numFmtId="0" fontId="2" fillId="0" borderId="1" xfId="15" applyFont="1" applyBorder="1" applyAlignment="1">
      <alignment vertical="center"/>
    </xf>
    <xf numFmtId="0" fontId="2" fillId="0" borderId="2" xfId="12" applyFont="1" applyBorder="1" applyAlignment="1">
      <alignment horizontal="center" vertical="center" wrapText="1"/>
    </xf>
    <xf numFmtId="0" fontId="2" fillId="0" borderId="1" xfId="12" applyFont="1" applyBorder="1" applyAlignment="1">
      <alignment horizontal="left" vertical="center" wrapText="1"/>
    </xf>
    <xf numFmtId="0" fontId="2" fillId="0" borderId="0" xfId="12" applyFont="1" applyAlignment="1">
      <alignment horizontal="left" vertical="center"/>
    </xf>
    <xf numFmtId="0" fontId="4" fillId="7" borderId="1" xfId="12" applyFont="1" applyFill="1" applyBorder="1" applyAlignment="1">
      <alignment horizontal="center" vertical="center" wrapText="1"/>
    </xf>
    <xf numFmtId="0" fontId="2" fillId="0" borderId="0" xfId="12" applyFont="1" applyAlignment="1">
      <alignment horizontal="center" vertical="center" wrapText="1"/>
    </xf>
    <xf numFmtId="0" fontId="4" fillId="0" borderId="0" xfId="15" applyFont="1" applyAlignment="1">
      <alignment vertical="center"/>
    </xf>
    <xf numFmtId="0" fontId="4" fillId="0" borderId="1" xfId="12" applyFont="1" applyBorder="1" applyAlignment="1">
      <alignment horizontal="center" vertical="center"/>
    </xf>
    <xf numFmtId="0" fontId="2" fillId="2" borderId="0" xfId="15" applyFont="1" applyFill="1" applyAlignment="1">
      <alignment vertical="center"/>
    </xf>
    <xf numFmtId="0" fontId="4" fillId="0" borderId="1" xfId="12" applyFont="1" applyBorder="1" applyAlignment="1">
      <alignment horizontal="left" vertical="center"/>
    </xf>
    <xf numFmtId="0" fontId="4" fillId="2" borderId="1" xfId="15" applyFont="1" applyFill="1" applyBorder="1" applyAlignment="1">
      <alignment horizontal="center" vertical="center" wrapText="1"/>
    </xf>
    <xf numFmtId="0" fontId="4" fillId="0" borderId="1" xfId="15" applyFont="1" applyBorder="1" applyAlignment="1">
      <alignment vertical="center"/>
    </xf>
    <xf numFmtId="0" fontId="8" fillId="0" borderId="1" xfId="12" applyFont="1" applyBorder="1" applyAlignment="1">
      <alignment vertical="center" wrapText="1"/>
    </xf>
    <xf numFmtId="0" fontId="9" fillId="0" borderId="0" xfId="12" applyFont="1" applyAlignment="1">
      <alignment horizontal="left" vertical="center"/>
    </xf>
    <xf numFmtId="0" fontId="2" fillId="0" borderId="1" xfId="23" applyFont="1" applyBorder="1" applyAlignment="1">
      <alignment horizontal="center" vertical="center"/>
    </xf>
    <xf numFmtId="0" fontId="15" fillId="0" borderId="0" xfId="23" applyFont="1" applyAlignment="1">
      <alignment horizontal="center" vertical="center"/>
    </xf>
    <xf numFmtId="0" fontId="15" fillId="0" borderId="0" xfId="23" applyFont="1">
      <alignment vertical="center"/>
    </xf>
    <xf numFmtId="0" fontId="10" fillId="4" borderId="1" xfId="1" applyFill="1" applyBorder="1" applyAlignment="1">
      <alignment vertical="center" wrapText="1"/>
    </xf>
    <xf numFmtId="0" fontId="11" fillId="4" borderId="1" xfId="23" applyFont="1" applyFill="1" applyBorder="1" applyAlignment="1">
      <alignment vertical="center" wrapText="1"/>
    </xf>
    <xf numFmtId="0" fontId="13" fillId="6" borderId="1" xfId="23" applyFont="1" applyFill="1" applyBorder="1" applyAlignment="1">
      <alignment horizontal="center" vertical="center" wrapText="1"/>
    </xf>
    <xf numFmtId="0" fontId="7" fillId="0" borderId="1" xfId="23" applyFont="1" applyBorder="1">
      <alignment vertical="center"/>
    </xf>
    <xf numFmtId="0" fontId="14" fillId="0" borderId="1" xfId="23" applyFont="1" applyBorder="1">
      <alignment vertical="center"/>
    </xf>
    <xf numFmtId="0" fontId="11" fillId="4" borderId="1" xfId="23" applyFont="1" applyFill="1" applyBorder="1" applyAlignment="1">
      <alignment horizontal="center" vertical="center" wrapText="1"/>
    </xf>
    <xf numFmtId="0" fontId="13" fillId="6" borderId="1" xfId="23" applyFont="1" applyFill="1" applyBorder="1" applyAlignment="1">
      <alignment horizontal="center" vertical="center"/>
    </xf>
    <xf numFmtId="0" fontId="2" fillId="0" borderId="1" xfId="23" applyFont="1" applyBorder="1">
      <alignment vertical="center"/>
    </xf>
    <xf numFmtId="0" fontId="6" fillId="6" borderId="1" xfId="23" applyFont="1" applyFill="1" applyBorder="1" applyAlignment="1">
      <alignment horizontal="center" vertical="center" wrapText="1"/>
    </xf>
    <xf numFmtId="0" fontId="4" fillId="10" borderId="1" xfId="12" applyFont="1" applyFill="1" applyBorder="1" applyAlignment="1">
      <alignment horizontal="left" vertical="center" wrapText="1"/>
    </xf>
    <xf numFmtId="0" fontId="14" fillId="0" borderId="1" xfId="23" applyFont="1" applyBorder="1" applyAlignment="1">
      <alignment horizontal="left" vertical="center" wrapText="1"/>
    </xf>
    <xf numFmtId="0" fontId="2" fillId="0" borderId="1" xfId="23" applyFont="1" applyBorder="1" applyAlignment="1">
      <alignment horizontal="left" vertical="center"/>
    </xf>
    <xf numFmtId="0" fontId="14" fillId="0" borderId="1" xfId="23" applyFont="1" applyBorder="1" applyAlignment="1">
      <alignment horizontal="left" vertical="center"/>
    </xf>
    <xf numFmtId="0" fontId="15" fillId="8" borderId="0" xfId="12" applyFont="1" applyFill="1" applyAlignment="1">
      <alignment horizontal="center" vertical="center"/>
    </xf>
    <xf numFmtId="0" fontId="4" fillId="2" borderId="3" xfId="12" applyFont="1" applyFill="1" applyBorder="1" applyAlignment="1">
      <alignment horizontal="left" vertical="center" wrapText="1"/>
    </xf>
    <xf numFmtId="0" fontId="14" fillId="0" borderId="5" xfId="23" applyFont="1" applyBorder="1" applyAlignment="1">
      <alignment horizontal="left" vertical="center" wrapText="1"/>
    </xf>
    <xf numFmtId="0" fontId="4" fillId="0" borderId="1" xfId="23" applyFont="1" applyBorder="1" applyAlignment="1">
      <alignment horizontal="center" vertical="center" wrapText="1"/>
    </xf>
    <xf numFmtId="0" fontId="4" fillId="0" borderId="1" xfId="22" applyFont="1" applyBorder="1" applyAlignment="1">
      <alignment horizontal="center" vertical="center"/>
    </xf>
    <xf numFmtId="0" fontId="4" fillId="0" borderId="3" xfId="12" applyFont="1" applyBorder="1" applyAlignment="1">
      <alignment horizontal="left" vertical="center" wrapText="1"/>
    </xf>
    <xf numFmtId="0" fontId="14" fillId="0" borderId="5" xfId="23" applyFont="1" applyBorder="1" applyAlignment="1">
      <alignment horizontal="left" vertical="center"/>
    </xf>
    <xf numFmtId="0" fontId="2" fillId="0" borderId="0" xfId="14" applyFont="1" applyAlignment="1">
      <alignment horizontal="center" vertical="center"/>
    </xf>
    <xf numFmtId="0" fontId="2" fillId="0" borderId="0" xfId="14" applyFont="1" applyAlignment="1">
      <alignment horizontal="left" vertical="center"/>
    </xf>
    <xf numFmtId="0" fontId="6" fillId="11" borderId="1" xfId="24" applyFont="1" applyFill="1" applyBorder="1" applyAlignment="1">
      <alignment horizontal="center" vertical="center" wrapText="1"/>
    </xf>
    <xf numFmtId="0" fontId="16" fillId="0" borderId="1" xfId="1" applyFont="1" applyFill="1" applyBorder="1" applyAlignment="1">
      <alignment horizontal="center" vertical="center"/>
    </xf>
    <xf numFmtId="0" fontId="2" fillId="0" borderId="1" xfId="14" applyFont="1" applyBorder="1" applyAlignment="1">
      <alignment horizontal="center" vertical="center"/>
    </xf>
    <xf numFmtId="0" fontId="6" fillId="11" borderId="1" xfId="24" applyFont="1" applyFill="1" applyBorder="1" applyAlignment="1">
      <alignment horizontal="center" vertical="center"/>
    </xf>
    <xf numFmtId="0" fontId="2" fillId="0" borderId="1" xfId="14" applyFont="1" applyBorder="1" applyAlignment="1">
      <alignment horizontal="left" vertical="center"/>
    </xf>
    <xf numFmtId="0" fontId="6" fillId="11" borderId="1" xfId="24" applyFont="1" applyFill="1" applyBorder="1" applyAlignment="1">
      <alignment horizontal="left" vertical="center" wrapText="1"/>
    </xf>
    <xf numFmtId="0" fontId="6" fillId="3" borderId="1" xfId="24" applyFont="1" applyFill="1" applyBorder="1" applyAlignment="1">
      <alignment horizontal="center" vertical="center" wrapText="1"/>
    </xf>
    <xf numFmtId="0" fontId="4" fillId="7" borderId="1" xfId="15" applyFont="1" applyFill="1" applyBorder="1" applyAlignment="1">
      <alignment vertical="center"/>
    </xf>
    <xf numFmtId="0" fontId="4" fillId="4" borderId="1" xfId="12" applyFont="1" applyFill="1" applyBorder="1" applyAlignment="1">
      <alignment vertical="center" wrapText="1"/>
    </xf>
    <xf numFmtId="0" fontId="5" fillId="5" borderId="1" xfId="12" applyFont="1" applyFill="1" applyBorder="1" applyAlignment="1">
      <alignment vertical="center" wrapText="1"/>
    </xf>
    <xf numFmtId="0" fontId="4" fillId="4" borderId="1" xfId="12" applyFont="1" applyFill="1" applyBorder="1">
      <alignment vertical="center"/>
    </xf>
    <xf numFmtId="0" fontId="5" fillId="5" borderId="1" xfId="12" applyFont="1" applyFill="1" applyBorder="1">
      <alignment vertical="center"/>
    </xf>
    <xf numFmtId="0" fontId="14" fillId="0" borderId="1" xfId="23" applyFont="1" applyBorder="1" applyAlignment="1">
      <alignment horizontal="left" vertical="top"/>
    </xf>
    <xf numFmtId="0" fontId="25" fillId="0" borderId="1" xfId="23" applyFont="1" applyBorder="1" applyAlignment="1">
      <alignment horizontal="left" vertical="center"/>
    </xf>
    <xf numFmtId="0" fontId="14" fillId="0" borderId="1" xfId="23" applyFont="1" applyBorder="1" applyAlignment="1">
      <alignment horizontal="left" vertical="top" wrapText="1"/>
    </xf>
    <xf numFmtId="0" fontId="4" fillId="0" borderId="1" xfId="12" applyFont="1" applyBorder="1">
      <alignment vertical="center"/>
    </xf>
    <xf numFmtId="0" fontId="4" fillId="0" borderId="1" xfId="12" applyFont="1" applyBorder="1" applyAlignment="1">
      <alignment vertical="center" wrapText="1"/>
    </xf>
    <xf numFmtId="0" fontId="2" fillId="0" borderId="0" xfId="12" applyFont="1" applyAlignment="1">
      <alignment vertical="center" wrapText="1"/>
    </xf>
    <xf numFmtId="0" fontId="4" fillId="7" borderId="0" xfId="22" applyFont="1" applyFill="1" applyAlignment="1">
      <alignment horizontal="center" vertical="center"/>
    </xf>
    <xf numFmtId="0" fontId="4" fillId="7" borderId="1" xfId="22" applyFont="1" applyFill="1" applyBorder="1" applyAlignment="1">
      <alignment horizontal="center" vertical="center"/>
    </xf>
    <xf numFmtId="0" fontId="4" fillId="0" borderId="1" xfId="35" applyFont="1" applyBorder="1"/>
    <xf numFmtId="0" fontId="6" fillId="6" borderId="1" xfId="12" applyFont="1" applyFill="1" applyBorder="1" applyAlignment="1">
      <alignment horizontal="left" vertical="center" wrapText="1"/>
    </xf>
    <xf numFmtId="0" fontId="4" fillId="7" borderId="1" xfId="15" applyFont="1" applyFill="1" applyBorder="1" applyAlignment="1">
      <alignment horizontal="left" vertical="center" wrapText="1"/>
    </xf>
    <xf numFmtId="0" fontId="2" fillId="0" borderId="1" xfId="15" applyFont="1" applyBorder="1" applyAlignment="1">
      <alignment horizontal="left" vertical="center"/>
    </xf>
    <xf numFmtId="0" fontId="2" fillId="2" borderId="0" xfId="12" applyFont="1" applyFill="1" applyAlignment="1">
      <alignment horizontal="center" vertical="center"/>
    </xf>
    <xf numFmtId="0" fontId="2" fillId="0" borderId="0" xfId="15" applyFont="1" applyAlignment="1">
      <alignment horizontal="center" vertical="center"/>
    </xf>
    <xf numFmtId="0" fontId="2" fillId="0" borderId="1" xfId="15" applyFont="1" applyBorder="1" applyAlignment="1">
      <alignment horizontal="center" vertical="center"/>
    </xf>
    <xf numFmtId="0" fontId="2" fillId="3" borderId="1" xfId="12" applyFont="1" applyFill="1" applyBorder="1" applyAlignment="1">
      <alignment horizontal="left" vertical="center"/>
    </xf>
    <xf numFmtId="0" fontId="9" fillId="0" borderId="1" xfId="12" applyFont="1" applyBorder="1" applyAlignment="1">
      <alignment horizontal="left" vertical="center"/>
    </xf>
    <xf numFmtId="0" fontId="9" fillId="0" borderId="1" xfId="12" applyFont="1" applyBorder="1">
      <alignment vertical="center"/>
    </xf>
    <xf numFmtId="3" fontId="2" fillId="0" borderId="1" xfId="15" applyNumberFormat="1" applyFont="1" applyBorder="1" applyAlignment="1">
      <alignment vertical="center"/>
    </xf>
    <xf numFmtId="49" fontId="2" fillId="0" borderId="1" xfId="15" applyNumberFormat="1" applyFont="1" applyBorder="1" applyAlignment="1">
      <alignment horizontal="center" vertical="center" wrapText="1"/>
    </xf>
    <xf numFmtId="0" fontId="2" fillId="0" borderId="0" xfId="18" applyFont="1" applyAlignment="1">
      <alignment horizontal="center" vertical="center"/>
    </xf>
    <xf numFmtId="0" fontId="2" fillId="0" borderId="1" xfId="18" applyFont="1" applyBorder="1" applyAlignment="1">
      <alignment horizontal="center" vertical="center" wrapText="1"/>
    </xf>
    <xf numFmtId="0" fontId="2" fillId="0" borderId="1" xfId="18" applyFont="1" applyBorder="1" applyAlignment="1">
      <alignment horizontal="center" vertical="center"/>
    </xf>
    <xf numFmtId="0" fontId="2" fillId="0" borderId="0" xfId="18" applyFont="1" applyAlignment="1">
      <alignment vertical="center"/>
    </xf>
    <xf numFmtId="0" fontId="2" fillId="0" borderId="1" xfId="18" applyFont="1" applyBorder="1" applyAlignment="1">
      <alignment horizontal="left" vertical="center" wrapText="1"/>
    </xf>
    <xf numFmtId="0" fontId="9" fillId="0" borderId="1" xfId="15" applyFont="1" applyBorder="1" applyAlignment="1">
      <alignment vertical="center"/>
    </xf>
    <xf numFmtId="49" fontId="2" fillId="0" borderId="1" xfId="15" applyNumberFormat="1" applyFont="1" applyBorder="1" applyAlignment="1">
      <alignment horizontal="center" vertical="center"/>
    </xf>
    <xf numFmtId="178" fontId="2" fillId="0" borderId="1" xfId="12" applyNumberFormat="1" applyFont="1" applyBorder="1">
      <alignment vertical="center"/>
    </xf>
    <xf numFmtId="0" fontId="2" fillId="2" borderId="1" xfId="12" applyFont="1" applyFill="1" applyBorder="1" applyAlignment="1">
      <alignment horizontal="center" vertical="center"/>
    </xf>
    <xf numFmtId="10" fontId="2" fillId="0" borderId="0" xfId="61" applyNumberFormat="1" applyFont="1" applyAlignment="1">
      <alignment horizontal="center" vertical="center"/>
    </xf>
    <xf numFmtId="0" fontId="2" fillId="3" borderId="1" xfId="12" applyFont="1" applyFill="1" applyBorder="1" applyAlignment="1">
      <alignment horizontal="center" vertical="center" wrapText="1"/>
    </xf>
    <xf numFmtId="0" fontId="4" fillId="3" borderId="1" xfId="15" applyFont="1" applyFill="1" applyBorder="1" applyAlignment="1">
      <alignment horizontal="center" vertical="center" wrapText="1"/>
    </xf>
    <xf numFmtId="0" fontId="2" fillId="3" borderId="1" xfId="12" applyFont="1" applyFill="1" applyBorder="1">
      <alignment vertical="center"/>
    </xf>
    <xf numFmtId="0" fontId="2" fillId="3" borderId="1" xfId="12" applyFont="1" applyFill="1" applyBorder="1" applyAlignment="1">
      <alignment vertical="center" wrapText="1"/>
    </xf>
    <xf numFmtId="0" fontId="4" fillId="3" borderId="1" xfId="15" applyFont="1" applyFill="1" applyBorder="1" applyAlignment="1">
      <alignment vertical="center"/>
    </xf>
    <xf numFmtId="0" fontId="2" fillId="3" borderId="1" xfId="15" applyFont="1" applyFill="1" applyBorder="1" applyAlignment="1">
      <alignment vertical="center"/>
    </xf>
    <xf numFmtId="0" fontId="2" fillId="3" borderId="0" xfId="15" applyFont="1" applyFill="1" applyAlignment="1">
      <alignment vertical="center"/>
    </xf>
    <xf numFmtId="0" fontId="4" fillId="2" borderId="9" xfId="23" applyFont="1" applyFill="1" applyBorder="1" applyAlignment="1">
      <alignment horizontal="left" vertical="center" wrapText="1"/>
    </xf>
    <xf numFmtId="0" fontId="14" fillId="3" borderId="1" xfId="23" applyFont="1" applyFill="1" applyBorder="1" applyAlignment="1">
      <alignment horizontal="left" vertical="center"/>
    </xf>
    <xf numFmtId="0" fontId="9" fillId="0" borderId="1" xfId="14" applyFont="1" applyBorder="1" applyAlignment="1">
      <alignment horizontal="center" vertical="center"/>
    </xf>
    <xf numFmtId="0" fontId="9" fillId="0" borderId="1" xfId="14" applyFont="1" applyBorder="1" applyAlignment="1">
      <alignment horizontal="left" vertical="center"/>
    </xf>
    <xf numFmtId="0" fontId="12" fillId="5" borderId="1" xfId="23" applyFont="1" applyFill="1" applyBorder="1" applyAlignment="1">
      <alignment horizontal="center" vertical="center" wrapText="1"/>
    </xf>
    <xf numFmtId="0" fontId="5" fillId="9" borderId="2" xfId="23" applyFont="1" applyFill="1" applyBorder="1" applyAlignment="1">
      <alignment horizontal="center" vertical="center" wrapText="1"/>
    </xf>
    <xf numFmtId="0" fontId="5" fillId="9" borderId="6" xfId="23" applyFont="1" applyFill="1" applyBorder="1" applyAlignment="1">
      <alignment horizontal="center" vertical="center" wrapText="1"/>
    </xf>
    <xf numFmtId="0" fontId="5" fillId="9" borderId="4" xfId="23" applyFont="1" applyFill="1" applyBorder="1" applyAlignment="1">
      <alignment horizontal="center" vertical="center" wrapText="1"/>
    </xf>
    <xf numFmtId="0" fontId="4" fillId="4" borderId="1" xfId="12" applyFont="1" applyFill="1" applyBorder="1" applyAlignment="1">
      <alignment horizontal="center" vertical="center" wrapText="1"/>
    </xf>
    <xf numFmtId="0" fontId="5" fillId="5" borderId="1" xfId="12" applyFont="1" applyFill="1" applyBorder="1" applyAlignment="1">
      <alignment horizontal="center" vertical="center" wrapText="1"/>
    </xf>
    <xf numFmtId="0" fontId="2" fillId="0" borderId="3" xfId="12" applyFont="1" applyBorder="1" applyAlignment="1">
      <alignment horizontal="center" vertical="center" wrapText="1"/>
    </xf>
    <xf numFmtId="0" fontId="2" fillId="0" borderId="5" xfId="12" applyFont="1" applyBorder="1" applyAlignment="1">
      <alignment horizontal="center" vertical="center" wrapText="1"/>
    </xf>
    <xf numFmtId="0" fontId="2" fillId="0" borderId="1" xfId="12" applyFont="1" applyBorder="1" applyAlignment="1">
      <alignment horizontal="center" vertical="center" wrapText="1"/>
    </xf>
    <xf numFmtId="0" fontId="4" fillId="7" borderId="3" xfId="15" applyFont="1" applyFill="1" applyBorder="1" applyAlignment="1">
      <alignment horizontal="left" vertical="center" wrapText="1"/>
    </xf>
    <xf numFmtId="0" fontId="4" fillId="7" borderId="7" xfId="15" applyFont="1" applyFill="1" applyBorder="1" applyAlignment="1">
      <alignment horizontal="left" vertical="center" wrapText="1"/>
    </xf>
    <xf numFmtId="0" fontId="4" fillId="7" borderId="5" xfId="15" applyFont="1" applyFill="1" applyBorder="1" applyAlignment="1">
      <alignment horizontal="left" vertical="center" wrapText="1"/>
    </xf>
    <xf numFmtId="0" fontId="2" fillId="0" borderId="8" xfId="12" applyFont="1" applyBorder="1" applyAlignment="1">
      <alignment horizontal="center" vertical="center" wrapText="1"/>
    </xf>
    <xf numFmtId="0" fontId="2" fillId="0" borderId="9" xfId="12" applyFont="1" applyBorder="1" applyAlignment="1">
      <alignment horizontal="center" vertical="center" wrapText="1"/>
    </xf>
    <xf numFmtId="0" fontId="2" fillId="0" borderId="10" xfId="12" applyFont="1" applyBorder="1" applyAlignment="1">
      <alignment horizontal="center" vertical="center" wrapText="1"/>
    </xf>
    <xf numFmtId="0" fontId="2" fillId="0" borderId="11" xfId="12" applyFont="1" applyBorder="1" applyAlignment="1">
      <alignment horizontal="center" vertical="center" wrapText="1"/>
    </xf>
  </cellXfs>
  <cellStyles count="62">
    <cellStyle name=" _x0007_LÓ_x0018_ÄþÍN^NuNVþˆHÁ_x0001__x0018_(n 7" xfId="2" xr:uid="{00000000-0005-0000-0000-000031000000}"/>
    <cellStyle name="0,0_x000d__x000a_NA_x000d__x000a_ 2" xfId="3" xr:uid="{00000000-0005-0000-0000-000032000000}"/>
    <cellStyle name="Normal" xfId="4" xr:uid="{00000000-0005-0000-0000-000033000000}"/>
    <cellStyle name="Normal 2" xfId="5" xr:uid="{00000000-0005-0000-0000-000034000000}"/>
    <cellStyle name="Normal 9" xfId="6" xr:uid="{00000000-0005-0000-0000-000035000000}"/>
    <cellStyle name="百分比" xfId="61" builtinId="5"/>
    <cellStyle name="百分比 2" xfId="7" xr:uid="{00000000-0005-0000-0000-000036000000}"/>
    <cellStyle name="常规" xfId="0" builtinId="0"/>
    <cellStyle name="常规 10" xfId="8" xr:uid="{00000000-0005-0000-0000-000037000000}"/>
    <cellStyle name="常规 11" xfId="9" xr:uid="{00000000-0005-0000-0000-000038000000}"/>
    <cellStyle name="常规 12" xfId="10" xr:uid="{00000000-0005-0000-0000-000039000000}"/>
    <cellStyle name="常规 13" xfId="52" xr:uid="{8B686789-4BFC-43FB-9E94-80D3DF392619}"/>
    <cellStyle name="常规 13 2" xfId="11" xr:uid="{00000000-0005-0000-0000-00003A000000}"/>
    <cellStyle name="常规 18 4" xfId="12" xr:uid="{00000000-0005-0000-0000-00003B000000}"/>
    <cellStyle name="常规 19" xfId="13" xr:uid="{00000000-0005-0000-0000-00003C000000}"/>
    <cellStyle name="常规 2" xfId="14" xr:uid="{00000000-0005-0000-0000-00003D000000}"/>
    <cellStyle name="常规 2 2" xfId="15" xr:uid="{00000000-0005-0000-0000-00003E000000}"/>
    <cellStyle name="常规 2 2 2" xfId="16" xr:uid="{00000000-0005-0000-0000-00003F000000}"/>
    <cellStyle name="常规 2 2 3" xfId="17" xr:uid="{00000000-0005-0000-0000-000040000000}"/>
    <cellStyle name="常规 2 2 4" xfId="56" xr:uid="{3A709ECF-36C8-45C2-AB9C-297A8DD6943C}"/>
    <cellStyle name="常规 2 2 6" xfId="18" xr:uid="{00000000-0005-0000-0000-000041000000}"/>
    <cellStyle name="常规 2 3" xfId="19" xr:uid="{00000000-0005-0000-0000-000042000000}"/>
    <cellStyle name="常规 2 3 10" xfId="20" xr:uid="{00000000-0005-0000-0000-000043000000}"/>
    <cellStyle name="常规 2 3 2" xfId="48" xr:uid="{0459E74C-B6D2-4AA1-BB69-D3BF5429514E}"/>
    <cellStyle name="常规 2 3 2 2" xfId="49" xr:uid="{825BD300-688F-4B01-8FC8-3BF5883F59E0}"/>
    <cellStyle name="常规 2 3 3" xfId="50" xr:uid="{5A89ACC6-1DCE-40AE-8AF7-8692784065E4}"/>
    <cellStyle name="常规 2 3 6" xfId="21" xr:uid="{00000000-0005-0000-0000-000044000000}"/>
    <cellStyle name="常规 2 4" xfId="22" xr:uid="{00000000-0005-0000-0000-000045000000}"/>
    <cellStyle name="常规 2 5" xfId="23" xr:uid="{00000000-0005-0000-0000-000046000000}"/>
    <cellStyle name="常规 2 6" xfId="54" xr:uid="{B3650610-C036-471B-AC68-C0A6C6072E5F}"/>
    <cellStyle name="常规 2 7" xfId="24" xr:uid="{00000000-0005-0000-0000-000047000000}"/>
    <cellStyle name="常规 3" xfId="25" xr:uid="{00000000-0005-0000-0000-000048000000}"/>
    <cellStyle name="常规 3 2" xfId="26" xr:uid="{00000000-0005-0000-0000-000049000000}"/>
    <cellStyle name="常规 3 2 2" xfId="27" xr:uid="{00000000-0005-0000-0000-00004A000000}"/>
    <cellStyle name="常规 3 2 3" xfId="28" xr:uid="{00000000-0005-0000-0000-00004B000000}"/>
    <cellStyle name="常规 3 3" xfId="29" xr:uid="{00000000-0005-0000-0000-00004C000000}"/>
    <cellStyle name="常规 3 3 2" xfId="60" xr:uid="{0592240A-F244-4CD9-AAE9-CAB1E4706B28}"/>
    <cellStyle name="常规 3 4" xfId="55" xr:uid="{593E9C69-FCA8-4694-B294-28F96F7A140D}"/>
    <cellStyle name="常规 4" xfId="30" xr:uid="{00000000-0005-0000-0000-00004D000000}"/>
    <cellStyle name="常规 4 2" xfId="31" xr:uid="{00000000-0005-0000-0000-00004E000000}"/>
    <cellStyle name="常规 4 2 2" xfId="58" xr:uid="{BB69BF4B-B161-4E42-9A46-3E27EDB169FD}"/>
    <cellStyle name="常规 4 3" xfId="32" xr:uid="{00000000-0005-0000-0000-00004F000000}"/>
    <cellStyle name="常规 4 4" xfId="33" xr:uid="{00000000-0005-0000-0000-000050000000}"/>
    <cellStyle name="常规 4 5" xfId="34" xr:uid="{00000000-0005-0000-0000-000051000000}"/>
    <cellStyle name="常规 41" xfId="35" xr:uid="{00000000-0005-0000-0000-000052000000}"/>
    <cellStyle name="常规 49" xfId="36" xr:uid="{00000000-0005-0000-0000-000053000000}"/>
    <cellStyle name="常规 5" xfId="37" xr:uid="{00000000-0005-0000-0000-000054000000}"/>
    <cellStyle name="常规 5 2" xfId="38" xr:uid="{00000000-0005-0000-0000-000055000000}"/>
    <cellStyle name="常规 5 3" xfId="39" xr:uid="{00000000-0005-0000-0000-000056000000}"/>
    <cellStyle name="常规 5 4" xfId="57" xr:uid="{1E1863A8-AA04-45C0-9CBB-D7E20A33BD46}"/>
    <cellStyle name="常规 53" xfId="40" xr:uid="{00000000-0005-0000-0000-000057000000}"/>
    <cellStyle name="常规 6" xfId="41" xr:uid="{00000000-0005-0000-0000-000058000000}"/>
    <cellStyle name="常规 6 2" xfId="42" xr:uid="{00000000-0005-0000-0000-000059000000}"/>
    <cellStyle name="常规 6 3" xfId="53" xr:uid="{4263B27E-0F8F-4D65-8061-3FD965BBC2CA}"/>
    <cellStyle name="常规 7" xfId="43" xr:uid="{00000000-0005-0000-0000-00005A000000}"/>
    <cellStyle name="常规 8" xfId="44" xr:uid="{00000000-0005-0000-0000-00005B000000}"/>
    <cellStyle name="常规 9" xfId="45" xr:uid="{00000000-0005-0000-0000-00005C000000}"/>
    <cellStyle name="常规 9 2" xfId="59" xr:uid="{B5F4404D-955E-4814-BE70-23398E45DDF5}"/>
    <cellStyle name="超链接" xfId="1" builtinId="8"/>
    <cellStyle name="超链接 2" xfId="46" xr:uid="{00000000-0005-0000-0000-00005D000000}"/>
    <cellStyle name="超链接 2 2" xfId="51" xr:uid="{35E458C3-3CDC-4ED8-AFA8-873693674C8F}"/>
    <cellStyle name="超链接 3" xfId="47" xr:uid="{DFFDE1E8-E76D-440D-8611-D4CB19BE32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8</xdr:row>
          <xdr:rowOff>0</xdr:rowOff>
        </xdr:from>
        <xdr:to>
          <xdr:col>10</xdr:col>
          <xdr:colOff>60960</xdr:colOff>
          <xdr:row>11</xdr:row>
          <xdr:rowOff>15240</xdr:rowOff>
        </xdr:to>
        <xdr:sp macro="" textlink="">
          <xdr:nvSpPr>
            <xdr:cNvPr id="25601" name="Object 1" hidden="1">
              <a:extLst>
                <a:ext uri="{63B3BB69-23CF-44E3-9099-C40C66FF867C}">
                  <a14:compatExt spid="_x0000_s25601"/>
                </a:ext>
                <a:ext uri="{FF2B5EF4-FFF2-40B4-BE49-F238E27FC236}">
                  <a16:creationId xmlns:a16="http://schemas.microsoft.com/office/drawing/2014/main" id="{00000000-0008-0000-1600-0000016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8</xdr:row>
          <xdr:rowOff>0</xdr:rowOff>
        </xdr:from>
        <xdr:to>
          <xdr:col>10</xdr:col>
          <xdr:colOff>312420</xdr:colOff>
          <xdr:row>11</xdr:row>
          <xdr:rowOff>15240</xdr:rowOff>
        </xdr:to>
        <xdr:sp macro="" textlink="">
          <xdr:nvSpPr>
            <xdr:cNvPr id="26626" name="Object 2" hidden="1">
              <a:extLst>
                <a:ext uri="{63B3BB69-23CF-44E3-9099-C40C66FF867C}">
                  <a14:compatExt spid="_x0000_s26626"/>
                </a:ext>
                <a:ext uri="{FF2B5EF4-FFF2-40B4-BE49-F238E27FC236}">
                  <a16:creationId xmlns:a16="http://schemas.microsoft.com/office/drawing/2014/main" id="{00000000-0008-0000-1700-0000026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5</xdr:row>
          <xdr:rowOff>30480</xdr:rowOff>
        </xdr:from>
        <xdr:to>
          <xdr:col>9</xdr:col>
          <xdr:colOff>365760</xdr:colOff>
          <xdr:row>8</xdr:row>
          <xdr:rowOff>45720</xdr:rowOff>
        </xdr:to>
        <xdr:sp macro="" textlink="">
          <xdr:nvSpPr>
            <xdr:cNvPr id="27650" name="Object 2" hidden="1">
              <a:extLst>
                <a:ext uri="{63B3BB69-23CF-44E3-9099-C40C66FF867C}">
                  <a14:compatExt spid="_x0000_s27650"/>
                </a:ext>
                <a:ext uri="{FF2B5EF4-FFF2-40B4-BE49-F238E27FC236}">
                  <a16:creationId xmlns:a16="http://schemas.microsoft.com/office/drawing/2014/main" id="{00000000-0008-0000-1800-0000026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7</xdr:row>
          <xdr:rowOff>0</xdr:rowOff>
        </xdr:from>
        <xdr:to>
          <xdr:col>12</xdr:col>
          <xdr:colOff>365760</xdr:colOff>
          <xdr:row>10</xdr:row>
          <xdr:rowOff>15240</xdr:rowOff>
        </xdr:to>
        <xdr:sp macro="" textlink="">
          <xdr:nvSpPr>
            <xdr:cNvPr id="28673" name="Object 1" hidden="1">
              <a:extLst>
                <a:ext uri="{63B3BB69-23CF-44E3-9099-C40C66FF867C}">
                  <a14:compatExt spid="_x0000_s28673"/>
                </a:ext>
                <a:ext uri="{FF2B5EF4-FFF2-40B4-BE49-F238E27FC236}">
                  <a16:creationId xmlns:a16="http://schemas.microsoft.com/office/drawing/2014/main" id="{00000000-0008-0000-1900-0000017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8</xdr:row>
          <xdr:rowOff>0</xdr:rowOff>
        </xdr:from>
        <xdr:to>
          <xdr:col>11</xdr:col>
          <xdr:colOff>655320</xdr:colOff>
          <xdr:row>11</xdr:row>
          <xdr:rowOff>15240</xdr:rowOff>
        </xdr:to>
        <xdr:sp macro="" textlink="">
          <xdr:nvSpPr>
            <xdr:cNvPr id="29697" name="Object 1" hidden="1">
              <a:extLst>
                <a:ext uri="{63B3BB69-23CF-44E3-9099-C40C66FF867C}">
                  <a14:compatExt spid="_x0000_s29697"/>
                </a:ext>
                <a:ext uri="{FF2B5EF4-FFF2-40B4-BE49-F238E27FC236}">
                  <a16:creationId xmlns:a16="http://schemas.microsoft.com/office/drawing/2014/main" id="{00000000-0008-0000-1A00-0000017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5.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6.bin"/><Relationship Id="rId5" Type="http://schemas.openxmlformats.org/officeDocument/2006/relationships/image" Target="../media/image2.emf"/><Relationship Id="rId4" Type="http://schemas.openxmlformats.org/officeDocument/2006/relationships/oleObject" Target="../embeddings/oleObject2.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7.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18.bin"/><Relationship Id="rId5" Type="http://schemas.openxmlformats.org/officeDocument/2006/relationships/image" Target="../media/image4.emf"/><Relationship Id="rId4" Type="http://schemas.openxmlformats.org/officeDocument/2006/relationships/oleObject" Target="../embeddings/oleObject4.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9.bin"/><Relationship Id="rId5" Type="http://schemas.openxmlformats.org/officeDocument/2006/relationships/image" Target="../media/image5.emf"/><Relationship Id="rId4" Type="http://schemas.openxmlformats.org/officeDocument/2006/relationships/oleObject" Target="../embeddings/oleObject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2"/>
  <sheetViews>
    <sheetView tabSelected="1" zoomScale="85" zoomScaleNormal="85" workbookViewId="0">
      <pane ySplit="1" topLeftCell="A2" activePane="bottomLeft" state="frozen"/>
      <selection pane="bottomLeft" activeCell="F12" sqref="F12"/>
    </sheetView>
  </sheetViews>
  <sheetFormatPr defaultColWidth="9" defaultRowHeight="13.2"/>
  <cols>
    <col min="1" max="1" width="8.21875" style="62" customWidth="1"/>
    <col min="2" max="2" width="6.77734375" style="62" customWidth="1"/>
    <col min="3" max="4" width="8.21875" style="63" customWidth="1"/>
    <col min="5" max="5" width="10.21875" style="63" customWidth="1"/>
    <col min="6" max="6" width="37" style="63" customWidth="1"/>
    <col min="7" max="7" width="41.6640625" style="63" customWidth="1"/>
    <col min="8" max="8" width="26.77734375" style="63" hidden="1" customWidth="1"/>
    <col min="9" max="9" width="8.44140625" style="63" customWidth="1"/>
    <col min="10" max="11" width="8.21875" style="63" customWidth="1"/>
    <col min="12" max="12" width="8.33203125" style="63" customWidth="1"/>
    <col min="13" max="13" width="8.21875" style="63" customWidth="1"/>
    <col min="14" max="14" width="15.77734375" style="62" customWidth="1"/>
    <col min="15" max="15" width="32.77734375" style="63" customWidth="1"/>
    <col min="16" max="16" width="8.88671875" style="63" customWidth="1"/>
    <col min="17" max="17" width="7.21875" style="62" customWidth="1"/>
    <col min="18" max="18" width="9.33203125" style="63" customWidth="1"/>
    <col min="19" max="19" width="7.44140625" style="63" customWidth="1"/>
    <col min="20" max="16384" width="9" style="63"/>
  </cols>
  <sheetData>
    <row r="1" spans="1:19" s="62" customFormat="1" ht="24">
      <c r="A1" s="64" t="s">
        <v>7</v>
      </c>
      <c r="B1" s="64" t="s">
        <v>8</v>
      </c>
      <c r="C1" s="64" t="s">
        <v>9</v>
      </c>
      <c r="D1" s="64" t="s">
        <v>10</v>
      </c>
      <c r="E1" s="64" t="s">
        <v>11</v>
      </c>
      <c r="F1" s="67" t="s">
        <v>12</v>
      </c>
      <c r="G1" s="67" t="s">
        <v>13</v>
      </c>
      <c r="H1" s="64" t="s">
        <v>14</v>
      </c>
      <c r="I1" s="69" t="s">
        <v>15</v>
      </c>
      <c r="J1" s="70" t="s">
        <v>16</v>
      </c>
      <c r="K1" s="70" t="s">
        <v>17</v>
      </c>
      <c r="L1" s="64" t="s">
        <v>18</v>
      </c>
      <c r="M1" s="70" t="s">
        <v>19</v>
      </c>
      <c r="N1" s="64" t="s">
        <v>20</v>
      </c>
      <c r="O1" s="64" t="s">
        <v>21</v>
      </c>
      <c r="P1" s="64" t="s">
        <v>22</v>
      </c>
      <c r="Q1" s="70" t="s">
        <v>23</v>
      </c>
      <c r="R1" s="64" t="s">
        <v>24</v>
      </c>
      <c r="S1" s="64" t="s">
        <v>25</v>
      </c>
    </row>
    <row r="2" spans="1:19">
      <c r="A2" s="12">
        <v>1</v>
      </c>
      <c r="B2" s="65">
        <f t="shared" ref="B2:B3" si="0">HYPERLINK("#"&amp;A2&amp;"!A1",A2)</f>
        <v>1</v>
      </c>
      <c r="C2" s="9" t="s">
        <v>26</v>
      </c>
      <c r="D2" s="9" t="s">
        <v>38</v>
      </c>
      <c r="E2" s="12" t="s">
        <v>39</v>
      </c>
      <c r="F2" s="9" t="s">
        <v>318</v>
      </c>
      <c r="G2" s="10" t="s">
        <v>320</v>
      </c>
      <c r="H2" s="10" t="s">
        <v>320</v>
      </c>
      <c r="I2" s="68" t="s">
        <v>5</v>
      </c>
      <c r="J2" s="68" t="s">
        <v>5</v>
      </c>
      <c r="K2" s="68" t="s">
        <v>5</v>
      </c>
      <c r="L2" s="9" t="s">
        <v>29</v>
      </c>
      <c r="M2" s="9" t="s">
        <v>40</v>
      </c>
      <c r="N2" s="66" t="s">
        <v>5</v>
      </c>
      <c r="O2" s="66" t="s">
        <v>5</v>
      </c>
      <c r="P2" s="9"/>
      <c r="Q2" s="66" t="s">
        <v>321</v>
      </c>
      <c r="R2" s="68"/>
      <c r="S2" s="9"/>
    </row>
    <row r="3" spans="1:19">
      <c r="A3" s="12">
        <v>2</v>
      </c>
      <c r="B3" s="65">
        <f t="shared" si="0"/>
        <v>2</v>
      </c>
      <c r="C3" s="9" t="s">
        <v>26</v>
      </c>
      <c r="D3" s="9" t="s">
        <v>32</v>
      </c>
      <c r="E3" s="12" t="s">
        <v>5</v>
      </c>
      <c r="F3" s="68" t="s">
        <v>437</v>
      </c>
      <c r="G3" s="9" t="s">
        <v>675</v>
      </c>
      <c r="H3" s="9" t="s">
        <v>675</v>
      </c>
      <c r="I3" s="68" t="s">
        <v>42</v>
      </c>
      <c r="J3" s="68" t="s">
        <v>28</v>
      </c>
      <c r="K3" s="68" t="s">
        <v>1289</v>
      </c>
      <c r="L3" s="68" t="s">
        <v>29</v>
      </c>
      <c r="M3" s="9" t="s">
        <v>40</v>
      </c>
      <c r="N3" s="66">
        <v>3</v>
      </c>
      <c r="O3" s="68" t="s">
        <v>2529</v>
      </c>
      <c r="P3" s="68"/>
      <c r="Q3" s="66" t="s">
        <v>31</v>
      </c>
      <c r="R3" s="68"/>
      <c r="S3" s="68"/>
    </row>
    <row r="4" spans="1:19">
      <c r="A4" s="12">
        <v>3</v>
      </c>
      <c r="B4" s="65">
        <f t="shared" ref="B4:B9" si="1">HYPERLINK("#"&amp;A4&amp;"!A1",A4)</f>
        <v>3</v>
      </c>
      <c r="C4" s="9" t="s">
        <v>26</v>
      </c>
      <c r="D4" s="9" t="s">
        <v>27</v>
      </c>
      <c r="E4" s="12" t="s">
        <v>39</v>
      </c>
      <c r="F4" s="68" t="s">
        <v>608</v>
      </c>
      <c r="G4" s="9" t="s">
        <v>1161</v>
      </c>
      <c r="H4" s="9" t="s">
        <v>676</v>
      </c>
      <c r="I4" s="68" t="s">
        <v>677</v>
      </c>
      <c r="J4" s="68" t="s">
        <v>28</v>
      </c>
      <c r="K4" s="68" t="s">
        <v>28</v>
      </c>
      <c r="L4" s="68" t="s">
        <v>29</v>
      </c>
      <c r="M4" s="9" t="s">
        <v>30</v>
      </c>
      <c r="N4" s="68" t="s">
        <v>606</v>
      </c>
      <c r="O4" s="68" t="s">
        <v>609</v>
      </c>
      <c r="P4" s="68"/>
      <c r="Q4" s="66" t="s">
        <v>31</v>
      </c>
      <c r="R4" s="68"/>
      <c r="S4" s="68"/>
    </row>
    <row r="5" spans="1:19">
      <c r="A5" s="12">
        <v>4</v>
      </c>
      <c r="B5" s="65">
        <f t="shared" si="1"/>
        <v>4</v>
      </c>
      <c r="C5" s="9" t="s">
        <v>26</v>
      </c>
      <c r="D5" s="9" t="s">
        <v>27</v>
      </c>
      <c r="E5" s="12" t="s">
        <v>43</v>
      </c>
      <c r="F5" s="68" t="s">
        <v>641</v>
      </c>
      <c r="G5" s="9" t="s">
        <v>643</v>
      </c>
      <c r="H5" s="9" t="s">
        <v>643</v>
      </c>
      <c r="I5" s="68" t="s">
        <v>36</v>
      </c>
      <c r="J5" s="68" t="s">
        <v>34</v>
      </c>
      <c r="K5" s="68" t="s">
        <v>34</v>
      </c>
      <c r="L5" s="68" t="s">
        <v>33</v>
      </c>
      <c r="M5" s="9" t="s">
        <v>5</v>
      </c>
      <c r="N5" s="66">
        <v>14</v>
      </c>
      <c r="O5" s="68" t="s">
        <v>2515</v>
      </c>
      <c r="P5" s="68"/>
      <c r="Q5" s="66" t="s">
        <v>31</v>
      </c>
      <c r="R5" s="68" t="s">
        <v>678</v>
      </c>
      <c r="S5" s="68"/>
    </row>
    <row r="6" spans="1:19">
      <c r="A6" s="12">
        <v>5</v>
      </c>
      <c r="B6" s="65">
        <f t="shared" si="1"/>
        <v>5</v>
      </c>
      <c r="C6" s="9" t="s">
        <v>26</v>
      </c>
      <c r="D6" s="9" t="s">
        <v>27</v>
      </c>
      <c r="E6" s="12" t="s">
        <v>43</v>
      </c>
      <c r="F6" s="68" t="s">
        <v>662</v>
      </c>
      <c r="G6" s="9" t="s">
        <v>673</v>
      </c>
      <c r="H6" s="9" t="s">
        <v>673</v>
      </c>
      <c r="I6" s="68" t="s">
        <v>36</v>
      </c>
      <c r="J6" s="68" t="s">
        <v>35</v>
      </c>
      <c r="K6" s="68" t="s">
        <v>35</v>
      </c>
      <c r="L6" s="68" t="s">
        <v>33</v>
      </c>
      <c r="M6" s="9" t="s">
        <v>5</v>
      </c>
      <c r="N6" s="66">
        <v>30</v>
      </c>
      <c r="O6" s="68" t="s">
        <v>641</v>
      </c>
      <c r="P6" s="68"/>
      <c r="Q6" s="66" t="s">
        <v>31</v>
      </c>
      <c r="R6" s="68" t="s">
        <v>679</v>
      </c>
      <c r="S6" s="68"/>
    </row>
    <row r="7" spans="1:19">
      <c r="A7" s="12">
        <v>6</v>
      </c>
      <c r="B7" s="65">
        <f t="shared" si="1"/>
        <v>6</v>
      </c>
      <c r="C7" s="9" t="s">
        <v>26</v>
      </c>
      <c r="D7" s="9" t="s">
        <v>27</v>
      </c>
      <c r="E7" s="12" t="s">
        <v>43</v>
      </c>
      <c r="F7" s="68" t="s">
        <v>2514</v>
      </c>
      <c r="G7" s="9" t="s">
        <v>674</v>
      </c>
      <c r="H7" s="9" t="s">
        <v>674</v>
      </c>
      <c r="I7" s="68" t="s">
        <v>36</v>
      </c>
      <c r="J7" s="68" t="s">
        <v>35</v>
      </c>
      <c r="K7" s="68" t="s">
        <v>35</v>
      </c>
      <c r="L7" s="68" t="s">
        <v>33</v>
      </c>
      <c r="M7" s="9" t="s">
        <v>5</v>
      </c>
      <c r="N7" s="66">
        <v>30</v>
      </c>
      <c r="O7" s="68" t="s">
        <v>663</v>
      </c>
      <c r="P7" s="68" t="s">
        <v>1281</v>
      </c>
      <c r="Q7" s="66" t="s">
        <v>31</v>
      </c>
      <c r="R7" s="68" t="s">
        <v>680</v>
      </c>
      <c r="S7" s="68"/>
    </row>
    <row r="8" spans="1:19">
      <c r="A8" s="12">
        <v>7</v>
      </c>
      <c r="B8" s="65">
        <f>HYPERLINK("#"&amp;A8&amp;"!A1",A8)</f>
        <v>7</v>
      </c>
      <c r="C8" s="9" t="s">
        <v>26</v>
      </c>
      <c r="D8" s="9" t="s">
        <v>27</v>
      </c>
      <c r="E8" s="12" t="s">
        <v>39</v>
      </c>
      <c r="F8" s="34" t="s">
        <v>765</v>
      </c>
      <c r="G8" s="34" t="s">
        <v>1162</v>
      </c>
      <c r="H8" s="34" t="s">
        <v>1162</v>
      </c>
      <c r="I8" s="68" t="s">
        <v>1062</v>
      </c>
      <c r="J8" s="68" t="s">
        <v>34</v>
      </c>
      <c r="K8" s="68" t="s">
        <v>34</v>
      </c>
      <c r="L8" s="68" t="s">
        <v>33</v>
      </c>
      <c r="M8" s="9" t="s">
        <v>5</v>
      </c>
      <c r="N8" s="66">
        <v>14</v>
      </c>
      <c r="O8" s="68" t="s">
        <v>2530</v>
      </c>
      <c r="P8" s="68"/>
      <c r="Q8" s="66" t="s">
        <v>31</v>
      </c>
      <c r="R8" s="68"/>
      <c r="S8" s="68"/>
    </row>
    <row r="9" spans="1:19">
      <c r="A9" s="12">
        <v>8</v>
      </c>
      <c r="B9" s="65">
        <f t="shared" si="1"/>
        <v>8</v>
      </c>
      <c r="C9" s="9" t="s">
        <v>26</v>
      </c>
      <c r="D9" s="9" t="s">
        <v>27</v>
      </c>
      <c r="E9" s="12" t="s">
        <v>39</v>
      </c>
      <c r="F9" s="9" t="s">
        <v>683</v>
      </c>
      <c r="G9" s="34" t="s">
        <v>685</v>
      </c>
      <c r="H9" s="34" t="s">
        <v>685</v>
      </c>
      <c r="I9" s="68" t="s">
        <v>1060</v>
      </c>
      <c r="J9" s="68" t="s">
        <v>34</v>
      </c>
      <c r="K9" s="68" t="s">
        <v>34</v>
      </c>
      <c r="L9" s="68" t="s">
        <v>33</v>
      </c>
      <c r="M9" s="9" t="s">
        <v>5</v>
      </c>
      <c r="N9" s="66">
        <v>14</v>
      </c>
      <c r="O9" s="68" t="s">
        <v>963</v>
      </c>
      <c r="P9" s="68"/>
      <c r="Q9" s="66" t="s">
        <v>31</v>
      </c>
      <c r="R9" s="68"/>
      <c r="S9" s="68"/>
    </row>
    <row r="10" spans="1:19">
      <c r="A10" s="12">
        <v>9</v>
      </c>
      <c r="B10" s="65">
        <f t="shared" ref="B10:B15" si="2">HYPERLINK("#"&amp;A10&amp;"!A1",A10)</f>
        <v>9</v>
      </c>
      <c r="C10" s="9" t="s">
        <v>26</v>
      </c>
      <c r="D10" s="9" t="s">
        <v>27</v>
      </c>
      <c r="E10" s="12" t="s">
        <v>39</v>
      </c>
      <c r="F10" s="9" t="s">
        <v>684</v>
      </c>
      <c r="G10" s="34" t="s">
        <v>686</v>
      </c>
      <c r="H10" s="34" t="s">
        <v>686</v>
      </c>
      <c r="I10" s="68" t="s">
        <v>1061</v>
      </c>
      <c r="J10" s="68" t="s">
        <v>34</v>
      </c>
      <c r="K10" s="68" t="s">
        <v>34</v>
      </c>
      <c r="L10" s="68" t="s">
        <v>33</v>
      </c>
      <c r="M10" s="9" t="s">
        <v>5</v>
      </c>
      <c r="N10" s="66">
        <v>14</v>
      </c>
      <c r="O10" s="9" t="s">
        <v>683</v>
      </c>
      <c r="P10" s="68" t="s">
        <v>1280</v>
      </c>
      <c r="Q10" s="66" t="s">
        <v>1290</v>
      </c>
      <c r="R10" s="68" t="s">
        <v>687</v>
      </c>
      <c r="S10" s="68"/>
    </row>
    <row r="11" spans="1:19">
      <c r="A11" s="12">
        <v>10</v>
      </c>
      <c r="B11" s="65">
        <f t="shared" si="2"/>
        <v>10</v>
      </c>
      <c r="C11" s="9" t="s">
        <v>26</v>
      </c>
      <c r="D11" s="9" t="s">
        <v>27</v>
      </c>
      <c r="E11" s="12" t="s">
        <v>39</v>
      </c>
      <c r="F11" s="9" t="s">
        <v>962</v>
      </c>
      <c r="G11" s="34" t="s">
        <v>767</v>
      </c>
      <c r="H11" s="34" t="s">
        <v>44</v>
      </c>
      <c r="I11" s="68" t="s">
        <v>1062</v>
      </c>
      <c r="J11" s="68" t="s">
        <v>34</v>
      </c>
      <c r="K11" s="68" t="s">
        <v>34</v>
      </c>
      <c r="L11" s="68" t="s">
        <v>33</v>
      </c>
      <c r="M11" s="9" t="s">
        <v>5</v>
      </c>
      <c r="N11" s="66">
        <v>14</v>
      </c>
      <c r="O11" s="34" t="s">
        <v>765</v>
      </c>
      <c r="P11" s="68" t="s">
        <v>1280</v>
      </c>
      <c r="Q11" s="66" t="s">
        <v>1290</v>
      </c>
      <c r="R11" s="9" t="s">
        <v>1058</v>
      </c>
      <c r="S11" s="68"/>
    </row>
    <row r="12" spans="1:19">
      <c r="A12" s="12">
        <v>11</v>
      </c>
      <c r="B12" s="65">
        <f t="shared" ref="B12" si="3">HYPERLINK("#"&amp;A12&amp;"!A1",A12)</f>
        <v>11</v>
      </c>
      <c r="C12" s="9" t="s">
        <v>26</v>
      </c>
      <c r="D12" s="9" t="s">
        <v>27</v>
      </c>
      <c r="E12" s="12" t="s">
        <v>39</v>
      </c>
      <c r="F12" s="9" t="s">
        <v>1154</v>
      </c>
      <c r="G12" s="34" t="s">
        <v>1064</v>
      </c>
      <c r="H12" s="34" t="s">
        <v>1064</v>
      </c>
      <c r="I12" s="68" t="s">
        <v>1059</v>
      </c>
      <c r="J12" s="68" t="s">
        <v>34</v>
      </c>
      <c r="K12" s="68" t="s">
        <v>34</v>
      </c>
      <c r="L12" s="68" t="s">
        <v>33</v>
      </c>
      <c r="M12" s="9" t="s">
        <v>5</v>
      </c>
      <c r="N12" s="66">
        <v>14</v>
      </c>
      <c r="O12" s="34" t="s">
        <v>765</v>
      </c>
      <c r="P12" s="68" t="s">
        <v>1280</v>
      </c>
      <c r="Q12" s="66" t="s">
        <v>1290</v>
      </c>
      <c r="R12" s="9" t="s">
        <v>1065</v>
      </c>
      <c r="S12" s="68"/>
    </row>
    <row r="13" spans="1:19">
      <c r="A13" s="12">
        <v>12</v>
      </c>
      <c r="B13" s="65">
        <f t="shared" si="2"/>
        <v>12</v>
      </c>
      <c r="C13" s="9" t="s">
        <v>26</v>
      </c>
      <c r="D13" s="9" t="s">
        <v>27</v>
      </c>
      <c r="E13" s="12" t="s">
        <v>39</v>
      </c>
      <c r="F13" s="9" t="s">
        <v>1140</v>
      </c>
      <c r="G13" s="34" t="s">
        <v>1239</v>
      </c>
      <c r="H13" s="34" t="s">
        <v>1239</v>
      </c>
      <c r="I13" s="68" t="s">
        <v>1248</v>
      </c>
      <c r="J13" s="68" t="s">
        <v>34</v>
      </c>
      <c r="K13" s="68" t="s">
        <v>34</v>
      </c>
      <c r="L13" s="68" t="s">
        <v>33</v>
      </c>
      <c r="M13" s="9" t="s">
        <v>5</v>
      </c>
      <c r="N13" s="66">
        <v>14</v>
      </c>
      <c r="O13" s="34" t="s">
        <v>765</v>
      </c>
      <c r="P13" s="68"/>
      <c r="Q13" s="66" t="s">
        <v>31</v>
      </c>
      <c r="R13" s="9"/>
      <c r="S13" s="68"/>
    </row>
    <row r="14" spans="1:19">
      <c r="A14" s="12">
        <v>13</v>
      </c>
      <c r="B14" s="65">
        <f t="shared" si="2"/>
        <v>13</v>
      </c>
      <c r="C14" s="9" t="s">
        <v>26</v>
      </c>
      <c r="D14" s="9" t="s">
        <v>27</v>
      </c>
      <c r="E14" s="12" t="s">
        <v>39</v>
      </c>
      <c r="F14" s="9" t="s">
        <v>1210</v>
      </c>
      <c r="G14" s="34" t="s">
        <v>1211</v>
      </c>
      <c r="H14" s="34" t="s">
        <v>1211</v>
      </c>
      <c r="I14" s="68" t="s">
        <v>36</v>
      </c>
      <c r="J14" s="9" t="s">
        <v>34</v>
      </c>
      <c r="K14" s="9" t="s">
        <v>34</v>
      </c>
      <c r="L14" s="9" t="s">
        <v>33</v>
      </c>
      <c r="M14" s="9" t="s">
        <v>5</v>
      </c>
      <c r="N14" s="66">
        <v>14</v>
      </c>
      <c r="O14" s="9" t="s">
        <v>2516</v>
      </c>
      <c r="P14" s="9" t="s">
        <v>2400</v>
      </c>
      <c r="Q14" s="66" t="s">
        <v>1290</v>
      </c>
      <c r="R14" s="68" t="s">
        <v>1212</v>
      </c>
      <c r="S14" s="9"/>
    </row>
    <row r="15" spans="1:19">
      <c r="A15" s="12">
        <v>14</v>
      </c>
      <c r="B15" s="65">
        <f t="shared" si="2"/>
        <v>14</v>
      </c>
      <c r="C15" s="9" t="s">
        <v>26</v>
      </c>
      <c r="D15" s="9" t="s">
        <v>27</v>
      </c>
      <c r="E15" s="12" t="s">
        <v>39</v>
      </c>
      <c r="F15" s="9" t="s">
        <v>1246</v>
      </c>
      <c r="G15" s="34" t="s">
        <v>1245</v>
      </c>
      <c r="H15" s="34" t="s">
        <v>1245</v>
      </c>
      <c r="I15" s="68" t="s">
        <v>1232</v>
      </c>
      <c r="J15" s="68" t="s">
        <v>34</v>
      </c>
      <c r="K15" s="68" t="s">
        <v>34</v>
      </c>
      <c r="L15" s="68" t="s">
        <v>33</v>
      </c>
      <c r="M15" s="9" t="s">
        <v>5</v>
      </c>
      <c r="N15" s="115">
        <v>360</v>
      </c>
      <c r="O15" s="9" t="s">
        <v>2524</v>
      </c>
      <c r="P15" s="68"/>
      <c r="Q15" s="66" t="s">
        <v>31</v>
      </c>
      <c r="R15" s="116" t="s">
        <v>1233</v>
      </c>
      <c r="S15" s="68"/>
    </row>
    <row r="16" spans="1:19">
      <c r="A16" s="12">
        <v>15</v>
      </c>
      <c r="B16" s="65">
        <f t="shared" ref="B16" si="4">HYPERLINK("#"&amp;A16&amp;"!A1",A16)</f>
        <v>15</v>
      </c>
      <c r="C16" s="9" t="s">
        <v>26</v>
      </c>
      <c r="D16" s="9" t="s">
        <v>27</v>
      </c>
      <c r="E16" s="12" t="s">
        <v>39</v>
      </c>
      <c r="F16" s="9" t="s">
        <v>2420</v>
      </c>
      <c r="G16" s="34" t="s">
        <v>1247</v>
      </c>
      <c r="H16" s="34" t="s">
        <v>1247</v>
      </c>
      <c r="I16" s="68" t="s">
        <v>1248</v>
      </c>
      <c r="J16" s="68" t="s">
        <v>34</v>
      </c>
      <c r="K16" s="68" t="s">
        <v>34</v>
      </c>
      <c r="L16" s="68" t="s">
        <v>1243</v>
      </c>
      <c r="M16" s="9" t="s">
        <v>1249</v>
      </c>
      <c r="N16" s="66">
        <v>7</v>
      </c>
      <c r="O16" s="68" t="s">
        <v>608</v>
      </c>
      <c r="P16" s="68"/>
      <c r="Q16" s="66" t="s">
        <v>31</v>
      </c>
      <c r="R16" s="68"/>
      <c r="S16" s="68"/>
    </row>
    <row r="17" spans="1:19">
      <c r="A17" s="12">
        <v>16</v>
      </c>
      <c r="B17" s="65">
        <f t="shared" ref="B17" si="5">HYPERLINK("#"&amp;A17&amp;"!A1",A17)</f>
        <v>16</v>
      </c>
      <c r="C17" s="9" t="s">
        <v>26</v>
      </c>
      <c r="D17" s="9" t="s">
        <v>27</v>
      </c>
      <c r="E17" s="12" t="s">
        <v>39</v>
      </c>
      <c r="F17" s="9" t="s">
        <v>2414</v>
      </c>
      <c r="G17" s="34" t="s">
        <v>1250</v>
      </c>
      <c r="H17" s="34" t="s">
        <v>1250</v>
      </c>
      <c r="I17" s="68" t="s">
        <v>1251</v>
      </c>
      <c r="J17" s="68" t="s">
        <v>2476</v>
      </c>
      <c r="K17" s="68" t="s">
        <v>2476</v>
      </c>
      <c r="L17" s="68" t="s">
        <v>1243</v>
      </c>
      <c r="M17" s="9" t="s">
        <v>1252</v>
      </c>
      <c r="N17" s="68" t="s">
        <v>606</v>
      </c>
      <c r="O17" s="9" t="s">
        <v>2421</v>
      </c>
      <c r="P17" s="68" t="s">
        <v>1283</v>
      </c>
      <c r="Q17" s="66" t="s">
        <v>1290</v>
      </c>
      <c r="R17" s="9" t="s">
        <v>2410</v>
      </c>
      <c r="S17" s="68"/>
    </row>
    <row r="18" spans="1:19">
      <c r="A18" s="12">
        <v>17</v>
      </c>
      <c r="B18" s="65">
        <f t="shared" ref="B18:B20" si="6">HYPERLINK("#"&amp;A18&amp;"!A1",A18)</f>
        <v>17</v>
      </c>
      <c r="C18" s="9" t="s">
        <v>26</v>
      </c>
      <c r="D18" s="9" t="s">
        <v>27</v>
      </c>
      <c r="E18" s="12" t="s">
        <v>39</v>
      </c>
      <c r="F18" s="9" t="s">
        <v>2418</v>
      </c>
      <c r="G18" s="34" t="s">
        <v>1273</v>
      </c>
      <c r="H18" s="34" t="s">
        <v>1273</v>
      </c>
      <c r="I18" s="68" t="s">
        <v>1276</v>
      </c>
      <c r="J18" s="68" t="s">
        <v>34</v>
      </c>
      <c r="K18" s="68" t="s">
        <v>34</v>
      </c>
      <c r="L18" s="68" t="s">
        <v>1243</v>
      </c>
      <c r="M18" s="9" t="s">
        <v>1252</v>
      </c>
      <c r="N18" s="68" t="s">
        <v>606</v>
      </c>
      <c r="O18" s="9" t="s">
        <v>2517</v>
      </c>
      <c r="P18" s="68" t="s">
        <v>1282</v>
      </c>
      <c r="Q18" s="66" t="s">
        <v>1290</v>
      </c>
      <c r="R18" s="9" t="s">
        <v>2411</v>
      </c>
      <c r="S18" s="68"/>
    </row>
    <row r="19" spans="1:19">
      <c r="A19" s="12">
        <v>18</v>
      </c>
      <c r="B19" s="65">
        <f t="shared" si="6"/>
        <v>18</v>
      </c>
      <c r="C19" s="9" t="s">
        <v>26</v>
      </c>
      <c r="D19" s="9" t="s">
        <v>27</v>
      </c>
      <c r="E19" s="12" t="s">
        <v>39</v>
      </c>
      <c r="F19" s="9" t="s">
        <v>2416</v>
      </c>
      <c r="G19" s="34" t="s">
        <v>1271</v>
      </c>
      <c r="H19" s="34" t="s">
        <v>1271</v>
      </c>
      <c r="I19" s="68" t="s">
        <v>1276</v>
      </c>
      <c r="J19" s="68" t="s">
        <v>1277</v>
      </c>
      <c r="K19" s="68" t="s">
        <v>1277</v>
      </c>
      <c r="L19" s="68" t="s">
        <v>1243</v>
      </c>
      <c r="M19" s="9" t="s">
        <v>1278</v>
      </c>
      <c r="N19" s="66">
        <v>7</v>
      </c>
      <c r="O19" s="9" t="s">
        <v>2518</v>
      </c>
      <c r="P19" s="68" t="s">
        <v>1279</v>
      </c>
      <c r="Q19" s="66" t="s">
        <v>1290</v>
      </c>
      <c r="R19" s="9" t="s">
        <v>2412</v>
      </c>
      <c r="S19" s="68"/>
    </row>
    <row r="20" spans="1:19">
      <c r="A20" s="12">
        <v>19</v>
      </c>
      <c r="B20" s="65">
        <f t="shared" si="6"/>
        <v>19</v>
      </c>
      <c r="C20" s="9" t="s">
        <v>26</v>
      </c>
      <c r="D20" s="9" t="s">
        <v>27</v>
      </c>
      <c r="E20" s="12" t="s">
        <v>39</v>
      </c>
      <c r="F20" s="9" t="s">
        <v>1323</v>
      </c>
      <c r="G20" s="34" t="s">
        <v>1324</v>
      </c>
      <c r="H20" s="34" t="s">
        <v>1324</v>
      </c>
      <c r="I20" s="68" t="s">
        <v>1248</v>
      </c>
      <c r="J20" s="68" t="s">
        <v>1288</v>
      </c>
      <c r="K20" s="68" t="s">
        <v>1288</v>
      </c>
      <c r="L20" s="68" t="s">
        <v>33</v>
      </c>
      <c r="M20" s="9" t="s">
        <v>5</v>
      </c>
      <c r="N20" s="66">
        <v>30</v>
      </c>
      <c r="O20" s="9" t="s">
        <v>1140</v>
      </c>
      <c r="P20" s="68"/>
      <c r="Q20" s="66" t="s">
        <v>31</v>
      </c>
      <c r="R20" s="9"/>
      <c r="S20" s="68"/>
    </row>
    <row r="21" spans="1:19">
      <c r="A21" s="12">
        <v>20</v>
      </c>
      <c r="B21" s="65">
        <f t="shared" ref="B21:B28" si="7">HYPERLINK("#"&amp;A21&amp;"!A1",A21)</f>
        <v>20</v>
      </c>
      <c r="C21" s="9" t="s">
        <v>26</v>
      </c>
      <c r="D21" s="9" t="s">
        <v>27</v>
      </c>
      <c r="E21" s="12" t="s">
        <v>39</v>
      </c>
      <c r="F21" s="9" t="s">
        <v>1412</v>
      </c>
      <c r="G21" s="34" t="s">
        <v>1417</v>
      </c>
      <c r="H21" s="34" t="s">
        <v>1417</v>
      </c>
      <c r="I21" s="68" t="s">
        <v>1276</v>
      </c>
      <c r="J21" s="68" t="s">
        <v>1288</v>
      </c>
      <c r="K21" s="68" t="s">
        <v>1288</v>
      </c>
      <c r="L21" s="68" t="s">
        <v>33</v>
      </c>
      <c r="M21" s="9" t="s">
        <v>5</v>
      </c>
      <c r="N21" s="66">
        <v>30</v>
      </c>
      <c r="O21" s="9" t="s">
        <v>1323</v>
      </c>
      <c r="P21" s="68"/>
      <c r="Q21" s="66" t="s">
        <v>31</v>
      </c>
      <c r="R21" s="9"/>
      <c r="S21" s="68"/>
    </row>
    <row r="22" spans="1:19">
      <c r="A22" s="12">
        <v>21</v>
      </c>
      <c r="B22" s="65">
        <f t="shared" si="7"/>
        <v>21</v>
      </c>
      <c r="C22" s="9" t="s">
        <v>26</v>
      </c>
      <c r="D22" s="9" t="s">
        <v>27</v>
      </c>
      <c r="E22" s="12" t="s">
        <v>39</v>
      </c>
      <c r="F22" s="9" t="s">
        <v>1413</v>
      </c>
      <c r="G22" s="34" t="s">
        <v>1418</v>
      </c>
      <c r="H22" s="34" t="s">
        <v>1418</v>
      </c>
      <c r="I22" s="68" t="s">
        <v>1251</v>
      </c>
      <c r="J22" s="68" t="s">
        <v>1288</v>
      </c>
      <c r="K22" s="68" t="s">
        <v>1288</v>
      </c>
      <c r="L22" s="68" t="s">
        <v>33</v>
      </c>
      <c r="M22" s="9" t="s">
        <v>5</v>
      </c>
      <c r="N22" s="66">
        <v>30</v>
      </c>
      <c r="O22" s="9" t="s">
        <v>1323</v>
      </c>
      <c r="P22" s="68"/>
      <c r="Q22" s="66" t="s">
        <v>31</v>
      </c>
      <c r="R22" s="9"/>
      <c r="S22" s="68"/>
    </row>
    <row r="23" spans="1:19">
      <c r="A23" s="12">
        <v>22</v>
      </c>
      <c r="B23" s="65">
        <f t="shared" si="7"/>
        <v>22</v>
      </c>
      <c r="C23" s="9" t="s">
        <v>26</v>
      </c>
      <c r="D23" s="9" t="s">
        <v>1422</v>
      </c>
      <c r="E23" s="12" t="s">
        <v>1287</v>
      </c>
      <c r="F23" s="9" t="s">
        <v>2477</v>
      </c>
      <c r="G23" s="34" t="s">
        <v>1563</v>
      </c>
      <c r="H23" s="34" t="s">
        <v>1563</v>
      </c>
      <c r="I23" s="68" t="s">
        <v>1420</v>
      </c>
      <c r="J23" s="68" t="s">
        <v>1288</v>
      </c>
      <c r="K23" s="68" t="s">
        <v>1288</v>
      </c>
      <c r="L23" s="68" t="s">
        <v>33</v>
      </c>
      <c r="M23" s="9" t="s">
        <v>5</v>
      </c>
      <c r="N23" s="66">
        <v>180</v>
      </c>
      <c r="O23" s="9" t="s">
        <v>2526</v>
      </c>
      <c r="P23" s="68"/>
      <c r="Q23" s="66" t="s">
        <v>1290</v>
      </c>
      <c r="R23" s="68"/>
      <c r="S23" s="68"/>
    </row>
    <row r="24" spans="1:19">
      <c r="A24" s="12">
        <v>23</v>
      </c>
      <c r="B24" s="65">
        <f t="shared" si="7"/>
        <v>23</v>
      </c>
      <c r="C24" s="9" t="s">
        <v>26</v>
      </c>
      <c r="D24" s="9" t="s">
        <v>1422</v>
      </c>
      <c r="E24" s="12" t="s">
        <v>1287</v>
      </c>
      <c r="F24" s="9" t="s">
        <v>1501</v>
      </c>
      <c r="G24" s="34" t="s">
        <v>1564</v>
      </c>
      <c r="H24" s="34" t="s">
        <v>1564</v>
      </c>
      <c r="I24" s="68" t="s">
        <v>1276</v>
      </c>
      <c r="J24" s="68" t="s">
        <v>1288</v>
      </c>
      <c r="K24" s="68" t="s">
        <v>1288</v>
      </c>
      <c r="L24" s="68" t="s">
        <v>33</v>
      </c>
      <c r="M24" s="9" t="s">
        <v>5</v>
      </c>
      <c r="N24" s="66">
        <v>180</v>
      </c>
      <c r="O24" s="9" t="s">
        <v>2527</v>
      </c>
      <c r="P24" s="68"/>
      <c r="Q24" s="66" t="s">
        <v>1290</v>
      </c>
      <c r="R24" s="68"/>
      <c r="S24" s="68"/>
    </row>
    <row r="25" spans="1:19">
      <c r="A25" s="12">
        <v>24</v>
      </c>
      <c r="B25" s="65">
        <f t="shared" si="7"/>
        <v>24</v>
      </c>
      <c r="C25" s="9" t="s">
        <v>26</v>
      </c>
      <c r="D25" s="9" t="s">
        <v>1422</v>
      </c>
      <c r="E25" s="12" t="s">
        <v>1514</v>
      </c>
      <c r="F25" s="9" t="s">
        <v>1511</v>
      </c>
      <c r="G25" s="34" t="s">
        <v>1513</v>
      </c>
      <c r="H25" s="34" t="s">
        <v>1513</v>
      </c>
      <c r="I25" s="68" t="s">
        <v>1276</v>
      </c>
      <c r="J25" s="68" t="s">
        <v>1288</v>
      </c>
      <c r="K25" s="68" t="s">
        <v>1288</v>
      </c>
      <c r="L25" s="68" t="s">
        <v>33</v>
      </c>
      <c r="M25" s="9" t="s">
        <v>5</v>
      </c>
      <c r="N25" s="66">
        <v>180</v>
      </c>
      <c r="O25" s="9" t="s">
        <v>1411</v>
      </c>
      <c r="P25" s="68"/>
      <c r="Q25" s="66" t="s">
        <v>1290</v>
      </c>
      <c r="R25" s="68" t="s">
        <v>1515</v>
      </c>
      <c r="S25" s="68"/>
    </row>
    <row r="26" spans="1:19">
      <c r="A26" s="12">
        <v>25</v>
      </c>
      <c r="B26" s="65">
        <f t="shared" si="7"/>
        <v>25</v>
      </c>
      <c r="C26" s="9" t="s">
        <v>26</v>
      </c>
      <c r="D26" s="9" t="s">
        <v>1284</v>
      </c>
      <c r="E26" s="12" t="s">
        <v>1286</v>
      </c>
      <c r="F26" s="9" t="s">
        <v>2513</v>
      </c>
      <c r="G26" s="34" t="s">
        <v>1524</v>
      </c>
      <c r="H26" s="34" t="s">
        <v>1524</v>
      </c>
      <c r="I26" s="68" t="s">
        <v>1251</v>
      </c>
      <c r="J26" s="68" t="s">
        <v>1288</v>
      </c>
      <c r="K26" s="68" t="s">
        <v>1288</v>
      </c>
      <c r="L26" s="68" t="s">
        <v>33</v>
      </c>
      <c r="M26" s="9" t="s">
        <v>5</v>
      </c>
      <c r="N26" s="66">
        <v>180</v>
      </c>
      <c r="O26" s="9" t="s">
        <v>2519</v>
      </c>
      <c r="P26" s="68"/>
      <c r="Q26" s="66" t="s">
        <v>1290</v>
      </c>
      <c r="R26" s="9" t="s">
        <v>1526</v>
      </c>
      <c r="S26" s="68"/>
    </row>
    <row r="27" spans="1:19">
      <c r="A27" s="12">
        <v>26</v>
      </c>
      <c r="B27" s="65">
        <f t="shared" si="7"/>
        <v>26</v>
      </c>
      <c r="C27" s="9" t="s">
        <v>26</v>
      </c>
      <c r="D27" s="9" t="s">
        <v>1284</v>
      </c>
      <c r="E27" s="12" t="s">
        <v>1286</v>
      </c>
      <c r="F27" s="9" t="s">
        <v>1528</v>
      </c>
      <c r="G27" s="34" t="s">
        <v>1525</v>
      </c>
      <c r="H27" s="34" t="s">
        <v>1525</v>
      </c>
      <c r="I27" s="68" t="s">
        <v>1251</v>
      </c>
      <c r="J27" s="68" t="s">
        <v>1288</v>
      </c>
      <c r="K27" s="68" t="s">
        <v>1288</v>
      </c>
      <c r="L27" s="68" t="s">
        <v>33</v>
      </c>
      <c r="M27" s="9" t="s">
        <v>5</v>
      </c>
      <c r="N27" s="66">
        <v>180</v>
      </c>
      <c r="O27" s="9" t="s">
        <v>2519</v>
      </c>
      <c r="P27" s="68"/>
      <c r="Q27" s="66" t="s">
        <v>1290</v>
      </c>
      <c r="R27" s="9" t="s">
        <v>1527</v>
      </c>
      <c r="S27" s="68"/>
    </row>
    <row r="28" spans="1:19">
      <c r="A28" s="12">
        <v>27</v>
      </c>
      <c r="B28" s="65">
        <f t="shared" si="7"/>
        <v>27</v>
      </c>
      <c r="C28" s="9" t="s">
        <v>26</v>
      </c>
      <c r="D28" s="9" t="s">
        <v>27</v>
      </c>
      <c r="E28" s="12" t="s">
        <v>1575</v>
      </c>
      <c r="F28" s="9" t="s">
        <v>1641</v>
      </c>
      <c r="G28" s="9" t="s">
        <v>1707</v>
      </c>
      <c r="H28" s="9" t="s">
        <v>1707</v>
      </c>
      <c r="I28" s="9" t="s">
        <v>1642</v>
      </c>
      <c r="J28" s="9" t="s">
        <v>28</v>
      </c>
      <c r="K28" s="9" t="s">
        <v>28</v>
      </c>
      <c r="L28" s="9" t="s">
        <v>29</v>
      </c>
      <c r="M28" s="9" t="s">
        <v>30</v>
      </c>
      <c r="N28" s="12">
        <v>7</v>
      </c>
      <c r="O28" s="9" t="s">
        <v>2520</v>
      </c>
      <c r="P28" s="9"/>
      <c r="Q28" s="66" t="s">
        <v>31</v>
      </c>
      <c r="R28" s="9"/>
      <c r="S28" s="68"/>
    </row>
    <row r="29" spans="1:19">
      <c r="A29" s="12">
        <v>28</v>
      </c>
      <c r="B29" s="65">
        <f t="shared" ref="B29:B32" si="8">HYPERLINK("#"&amp;A29&amp;"!A1",A29)</f>
        <v>28</v>
      </c>
      <c r="C29" s="9" t="s">
        <v>26</v>
      </c>
      <c r="D29" s="9" t="s">
        <v>27</v>
      </c>
      <c r="E29" s="12" t="s">
        <v>1575</v>
      </c>
      <c r="F29" s="9" t="s">
        <v>1675</v>
      </c>
      <c r="G29" s="9" t="s">
        <v>1706</v>
      </c>
      <c r="H29" s="9" t="s">
        <v>1706</v>
      </c>
      <c r="I29" s="9" t="s">
        <v>1642</v>
      </c>
      <c r="J29" s="9" t="s">
        <v>1701</v>
      </c>
      <c r="K29" s="9" t="s">
        <v>1701</v>
      </c>
      <c r="L29" s="9" t="s">
        <v>1702</v>
      </c>
      <c r="M29" s="9" t="s">
        <v>5</v>
      </c>
      <c r="N29" s="12">
        <v>14</v>
      </c>
      <c r="O29" s="9" t="s">
        <v>1641</v>
      </c>
      <c r="P29" s="9" t="s">
        <v>1280</v>
      </c>
      <c r="Q29" s="66" t="s">
        <v>31</v>
      </c>
      <c r="R29" s="9"/>
      <c r="S29" s="68"/>
    </row>
    <row r="30" spans="1:19">
      <c r="A30" s="12">
        <v>29</v>
      </c>
      <c r="B30" s="65">
        <f t="shared" si="8"/>
        <v>29</v>
      </c>
      <c r="C30" s="9" t="s">
        <v>26</v>
      </c>
      <c r="D30" s="9" t="s">
        <v>27</v>
      </c>
      <c r="E30" s="12" t="s">
        <v>1575</v>
      </c>
      <c r="F30" s="9" t="s">
        <v>1703</v>
      </c>
      <c r="G30" s="9" t="s">
        <v>1705</v>
      </c>
      <c r="H30" s="9" t="s">
        <v>1705</v>
      </c>
      <c r="I30" s="9" t="s">
        <v>1704</v>
      </c>
      <c r="J30" s="9" t="s">
        <v>28</v>
      </c>
      <c r="K30" s="9" t="s">
        <v>28</v>
      </c>
      <c r="L30" s="9" t="s">
        <v>1702</v>
      </c>
      <c r="M30" s="9" t="s">
        <v>5</v>
      </c>
      <c r="N30" s="12">
        <v>14</v>
      </c>
      <c r="O30" s="9" t="s">
        <v>1641</v>
      </c>
      <c r="P30" s="9"/>
      <c r="Q30" s="66" t="s">
        <v>31</v>
      </c>
      <c r="R30" s="9"/>
      <c r="S30" s="68"/>
    </row>
    <row r="31" spans="1:19">
      <c r="A31" s="12">
        <v>30</v>
      </c>
      <c r="B31" s="65">
        <f t="shared" si="8"/>
        <v>30</v>
      </c>
      <c r="C31" s="9" t="s">
        <v>26</v>
      </c>
      <c r="D31" s="9" t="s">
        <v>27</v>
      </c>
      <c r="E31" s="12" t="s">
        <v>1575</v>
      </c>
      <c r="F31" s="9" t="s">
        <v>1710</v>
      </c>
      <c r="G31" s="9" t="s">
        <v>1708</v>
      </c>
      <c r="H31" s="9" t="s">
        <v>1708</v>
      </c>
      <c r="I31" s="9" t="s">
        <v>1709</v>
      </c>
      <c r="J31" s="9" t="s">
        <v>28</v>
      </c>
      <c r="K31" s="9" t="s">
        <v>1288</v>
      </c>
      <c r="L31" s="9" t="s">
        <v>1702</v>
      </c>
      <c r="M31" s="9" t="s">
        <v>5</v>
      </c>
      <c r="N31" s="12">
        <v>30</v>
      </c>
      <c r="O31" s="9" t="s">
        <v>2521</v>
      </c>
      <c r="P31" s="9"/>
      <c r="Q31" s="66" t="s">
        <v>1290</v>
      </c>
      <c r="R31" s="68" t="s">
        <v>1711</v>
      </c>
      <c r="S31" s="68"/>
    </row>
    <row r="32" spans="1:19">
      <c r="A32" s="12">
        <v>31</v>
      </c>
      <c r="B32" s="65">
        <f t="shared" si="8"/>
        <v>31</v>
      </c>
      <c r="C32" s="9" t="s">
        <v>26</v>
      </c>
      <c r="D32" s="9" t="s">
        <v>27</v>
      </c>
      <c r="E32" s="12" t="s">
        <v>1575</v>
      </c>
      <c r="F32" s="9" t="s">
        <v>1745</v>
      </c>
      <c r="G32" s="34" t="s">
        <v>1746</v>
      </c>
      <c r="H32" s="34" t="s">
        <v>1746</v>
      </c>
      <c r="I32" s="68" t="s">
        <v>36</v>
      </c>
      <c r="J32" s="9" t="s">
        <v>34</v>
      </c>
      <c r="K32" s="9" t="s">
        <v>34</v>
      </c>
      <c r="L32" s="9" t="s">
        <v>33</v>
      </c>
      <c r="M32" s="9" t="s">
        <v>5</v>
      </c>
      <c r="N32" s="66">
        <v>14</v>
      </c>
      <c r="O32" s="9" t="s">
        <v>1675</v>
      </c>
      <c r="P32" s="9"/>
      <c r="Q32" s="66" t="s">
        <v>31</v>
      </c>
      <c r="R32" s="68"/>
      <c r="S32" s="68"/>
    </row>
    <row r="33" spans="1:19">
      <c r="A33" s="12">
        <v>32</v>
      </c>
      <c r="B33" s="65">
        <f t="shared" ref="B33" si="9">HYPERLINK("#"&amp;A33&amp;"!A1",A33)</f>
        <v>32</v>
      </c>
      <c r="C33" s="9" t="s">
        <v>26</v>
      </c>
      <c r="D33" s="9" t="s">
        <v>27</v>
      </c>
      <c r="E33" s="12" t="s">
        <v>1575</v>
      </c>
      <c r="F33" s="9" t="s">
        <v>1747</v>
      </c>
      <c r="G33" s="34" t="s">
        <v>1748</v>
      </c>
      <c r="H33" s="34" t="s">
        <v>1748</v>
      </c>
      <c r="I33" s="68" t="s">
        <v>1276</v>
      </c>
      <c r="J33" s="9" t="s">
        <v>34</v>
      </c>
      <c r="K33" s="9" t="s">
        <v>34</v>
      </c>
      <c r="L33" s="9" t="s">
        <v>33</v>
      </c>
      <c r="M33" s="9" t="s">
        <v>5</v>
      </c>
      <c r="N33" s="66">
        <v>14</v>
      </c>
      <c r="O33" s="9" t="s">
        <v>1745</v>
      </c>
      <c r="P33" s="9"/>
      <c r="Q33" s="66" t="s">
        <v>31</v>
      </c>
      <c r="R33" s="68"/>
      <c r="S33" s="68"/>
    </row>
    <row r="34" spans="1:19">
      <c r="A34" s="12">
        <v>33</v>
      </c>
      <c r="B34" s="65">
        <f t="shared" ref="B34:B36" si="10">HYPERLINK("#"&amp;A34&amp;"!A1",A34)</f>
        <v>33</v>
      </c>
      <c r="C34" s="9" t="s">
        <v>26</v>
      </c>
      <c r="D34" s="9" t="s">
        <v>27</v>
      </c>
      <c r="E34" s="12" t="s">
        <v>1575</v>
      </c>
      <c r="F34" s="9" t="s">
        <v>1750</v>
      </c>
      <c r="G34" s="34" t="s">
        <v>1751</v>
      </c>
      <c r="H34" s="34" t="s">
        <v>1751</v>
      </c>
      <c r="I34" s="68" t="s">
        <v>1276</v>
      </c>
      <c r="J34" s="9" t="s">
        <v>1288</v>
      </c>
      <c r="K34" s="9" t="s">
        <v>1288</v>
      </c>
      <c r="L34" s="9" t="s">
        <v>33</v>
      </c>
      <c r="M34" s="9" t="s">
        <v>5</v>
      </c>
      <c r="N34" s="66">
        <v>30</v>
      </c>
      <c r="O34" s="9" t="s">
        <v>1747</v>
      </c>
      <c r="P34" s="9"/>
      <c r="Q34" s="66" t="s">
        <v>31</v>
      </c>
      <c r="R34" s="68"/>
      <c r="S34" s="68"/>
    </row>
    <row r="35" spans="1:19">
      <c r="A35" s="12">
        <v>34</v>
      </c>
      <c r="B35" s="65">
        <f t="shared" si="10"/>
        <v>34</v>
      </c>
      <c r="C35" s="9" t="s">
        <v>26</v>
      </c>
      <c r="D35" s="9" t="s">
        <v>1755</v>
      </c>
      <c r="E35" s="12" t="s">
        <v>1756</v>
      </c>
      <c r="F35" s="9" t="s">
        <v>1757</v>
      </c>
      <c r="G35" s="9" t="s">
        <v>1758</v>
      </c>
      <c r="H35" s="9" t="s">
        <v>1758</v>
      </c>
      <c r="I35" s="68" t="s">
        <v>1158</v>
      </c>
      <c r="J35" s="68" t="s">
        <v>1158</v>
      </c>
      <c r="K35" s="68" t="s">
        <v>1277</v>
      </c>
      <c r="L35" s="68" t="s">
        <v>1243</v>
      </c>
      <c r="M35" s="9" t="s">
        <v>1249</v>
      </c>
      <c r="N35" s="66">
        <v>3</v>
      </c>
      <c r="O35" s="68" t="s">
        <v>2522</v>
      </c>
      <c r="P35" s="9"/>
      <c r="Q35" s="66" t="s">
        <v>31</v>
      </c>
      <c r="R35" s="9"/>
      <c r="S35" s="68"/>
    </row>
    <row r="36" spans="1:19">
      <c r="A36" s="12">
        <v>35</v>
      </c>
      <c r="B36" s="65">
        <f t="shared" si="10"/>
        <v>35</v>
      </c>
      <c r="C36" s="9" t="s">
        <v>26</v>
      </c>
      <c r="D36" s="9" t="s">
        <v>1285</v>
      </c>
      <c r="E36" s="12" t="s">
        <v>1910</v>
      </c>
      <c r="F36" s="68" t="s">
        <v>1912</v>
      </c>
      <c r="G36" s="9" t="s">
        <v>1913</v>
      </c>
      <c r="H36" s="9" t="s">
        <v>1913</v>
      </c>
      <c r="I36" s="9" t="s">
        <v>1642</v>
      </c>
      <c r="J36" s="68" t="s">
        <v>1277</v>
      </c>
      <c r="K36" s="68" t="s">
        <v>1277</v>
      </c>
      <c r="L36" s="68" t="s">
        <v>1243</v>
      </c>
      <c r="M36" s="9" t="s">
        <v>1252</v>
      </c>
      <c r="N36" s="66" t="s">
        <v>1911</v>
      </c>
      <c r="O36" s="68" t="s">
        <v>1757</v>
      </c>
      <c r="P36" s="68"/>
      <c r="Q36" s="66" t="s">
        <v>321</v>
      </c>
      <c r="R36" s="68"/>
      <c r="S36" s="68"/>
    </row>
    <row r="37" spans="1:19">
      <c r="A37" s="12">
        <v>36</v>
      </c>
      <c r="B37" s="65">
        <f t="shared" ref="B37" si="11">HYPERLINK("#"&amp;A37&amp;"!A1",A37)</f>
        <v>36</v>
      </c>
      <c r="C37" s="9" t="s">
        <v>26</v>
      </c>
      <c r="D37" s="9" t="s">
        <v>1285</v>
      </c>
      <c r="E37" s="12" t="s">
        <v>1910</v>
      </c>
      <c r="F37" s="68" t="s">
        <v>2173</v>
      </c>
      <c r="G37" s="9" t="s">
        <v>2174</v>
      </c>
      <c r="H37" s="9" t="s">
        <v>2174</v>
      </c>
      <c r="I37" s="9" t="s">
        <v>1642</v>
      </c>
      <c r="J37" s="68" t="s">
        <v>1701</v>
      </c>
      <c r="K37" s="68" t="s">
        <v>1701</v>
      </c>
      <c r="L37" s="68" t="s">
        <v>1702</v>
      </c>
      <c r="M37" s="9" t="s">
        <v>1756</v>
      </c>
      <c r="N37" s="66">
        <v>14</v>
      </c>
      <c r="O37" s="68" t="s">
        <v>1912</v>
      </c>
      <c r="P37" s="68"/>
      <c r="Q37" s="66" t="s">
        <v>321</v>
      </c>
      <c r="R37" s="68"/>
      <c r="S37" s="68"/>
    </row>
    <row r="38" spans="1:19">
      <c r="A38" s="12">
        <v>37</v>
      </c>
      <c r="B38" s="65">
        <f t="shared" ref="B38" si="12">HYPERLINK("#"&amp;A38&amp;"!A1",A38)</f>
        <v>37</v>
      </c>
      <c r="C38" s="9" t="s">
        <v>26</v>
      </c>
      <c r="D38" s="9" t="s">
        <v>1285</v>
      </c>
      <c r="E38" s="12" t="s">
        <v>1910</v>
      </c>
      <c r="F38" s="68" t="s">
        <v>2402</v>
      </c>
      <c r="G38" s="9" t="s">
        <v>2252</v>
      </c>
      <c r="H38" s="9" t="s">
        <v>2252</v>
      </c>
      <c r="I38" s="9" t="s">
        <v>1642</v>
      </c>
      <c r="J38" s="68" t="s">
        <v>1701</v>
      </c>
      <c r="K38" s="68" t="s">
        <v>1701</v>
      </c>
      <c r="L38" s="68" t="s">
        <v>1702</v>
      </c>
      <c r="M38" s="9" t="s">
        <v>1756</v>
      </c>
      <c r="N38" s="66">
        <v>14</v>
      </c>
      <c r="O38" s="68" t="s">
        <v>2173</v>
      </c>
      <c r="P38" s="68" t="s">
        <v>1280</v>
      </c>
      <c r="Q38" s="66" t="s">
        <v>321</v>
      </c>
      <c r="R38" s="68" t="s">
        <v>2401</v>
      </c>
      <c r="S38" s="68"/>
    </row>
    <row r="39" spans="1:19">
      <c r="A39" s="12">
        <v>38</v>
      </c>
      <c r="B39" s="65">
        <f t="shared" ref="B39:B42" si="13">HYPERLINK("#"&amp;A39&amp;"!A1",A39)</f>
        <v>38</v>
      </c>
      <c r="C39" s="9" t="s">
        <v>26</v>
      </c>
      <c r="D39" s="9" t="s">
        <v>1285</v>
      </c>
      <c r="E39" s="12" t="s">
        <v>1910</v>
      </c>
      <c r="F39" s="68" t="s">
        <v>2319</v>
      </c>
      <c r="G39" s="9" t="s">
        <v>2320</v>
      </c>
      <c r="H39" s="9" t="s">
        <v>2320</v>
      </c>
      <c r="I39" s="9" t="s">
        <v>1704</v>
      </c>
      <c r="J39" s="68" t="s">
        <v>1701</v>
      </c>
      <c r="K39" s="68" t="s">
        <v>1701</v>
      </c>
      <c r="L39" s="68" t="s">
        <v>1702</v>
      </c>
      <c r="M39" s="9" t="s">
        <v>1756</v>
      </c>
      <c r="N39" s="66">
        <v>14</v>
      </c>
      <c r="O39" s="68" t="s">
        <v>2173</v>
      </c>
      <c r="P39" s="68"/>
      <c r="Q39" s="66" t="s">
        <v>321</v>
      </c>
      <c r="R39" s="68"/>
      <c r="S39" s="68"/>
    </row>
    <row r="40" spans="1:19">
      <c r="A40" s="12">
        <v>39</v>
      </c>
      <c r="B40" s="65">
        <f t="shared" si="13"/>
        <v>39</v>
      </c>
      <c r="C40" s="9" t="s">
        <v>26</v>
      </c>
      <c r="D40" s="9" t="s">
        <v>1285</v>
      </c>
      <c r="E40" s="12" t="s">
        <v>1910</v>
      </c>
      <c r="F40" s="68" t="s">
        <v>2325</v>
      </c>
      <c r="G40" s="9" t="s">
        <v>2326</v>
      </c>
      <c r="H40" s="9" t="s">
        <v>2326</v>
      </c>
      <c r="I40" s="9" t="s">
        <v>2329</v>
      </c>
      <c r="J40" s="68" t="s">
        <v>1701</v>
      </c>
      <c r="K40" s="68" t="s">
        <v>1701</v>
      </c>
      <c r="L40" s="68" t="s">
        <v>1702</v>
      </c>
      <c r="M40" s="9" t="s">
        <v>1756</v>
      </c>
      <c r="N40" s="66">
        <v>14</v>
      </c>
      <c r="O40" s="68" t="s">
        <v>2319</v>
      </c>
      <c r="P40" s="68"/>
      <c r="Q40" s="66" t="s">
        <v>321</v>
      </c>
      <c r="R40" s="68"/>
      <c r="S40" s="68"/>
    </row>
    <row r="41" spans="1:19">
      <c r="A41" s="12">
        <v>40</v>
      </c>
      <c r="B41" s="65">
        <f t="shared" si="13"/>
        <v>40</v>
      </c>
      <c r="C41" s="9" t="s">
        <v>26</v>
      </c>
      <c r="D41" s="9" t="s">
        <v>1285</v>
      </c>
      <c r="E41" s="12" t="s">
        <v>1910</v>
      </c>
      <c r="F41" s="68" t="s">
        <v>2327</v>
      </c>
      <c r="G41" s="9" t="s">
        <v>2328</v>
      </c>
      <c r="H41" s="9" t="s">
        <v>2328</v>
      </c>
      <c r="I41" s="9" t="s">
        <v>2329</v>
      </c>
      <c r="J41" s="9" t="s">
        <v>1288</v>
      </c>
      <c r="K41" s="9" t="s">
        <v>1288</v>
      </c>
      <c r="L41" s="9" t="s">
        <v>33</v>
      </c>
      <c r="M41" s="9" t="s">
        <v>5</v>
      </c>
      <c r="N41" s="66">
        <v>30</v>
      </c>
      <c r="O41" s="68" t="s">
        <v>2325</v>
      </c>
      <c r="P41" s="68" t="s">
        <v>2404</v>
      </c>
      <c r="Q41" s="66" t="s">
        <v>321</v>
      </c>
      <c r="R41" s="68"/>
      <c r="S41" s="68"/>
    </row>
    <row r="42" spans="1:19">
      <c r="A42" s="12">
        <v>41</v>
      </c>
      <c r="B42" s="65">
        <f t="shared" si="13"/>
        <v>41</v>
      </c>
      <c r="C42" s="9" t="s">
        <v>26</v>
      </c>
      <c r="D42" s="9" t="s">
        <v>1285</v>
      </c>
      <c r="E42" s="12" t="s">
        <v>1910</v>
      </c>
      <c r="F42" s="68" t="s">
        <v>2323</v>
      </c>
      <c r="G42" s="9" t="s">
        <v>2322</v>
      </c>
      <c r="H42" s="9" t="s">
        <v>2322</v>
      </c>
      <c r="I42" s="9" t="s">
        <v>1704</v>
      </c>
      <c r="J42" s="68" t="s">
        <v>1701</v>
      </c>
      <c r="K42" s="68" t="s">
        <v>1701</v>
      </c>
      <c r="L42" s="68" t="s">
        <v>1702</v>
      </c>
      <c r="M42" s="9" t="s">
        <v>1756</v>
      </c>
      <c r="N42" s="66">
        <v>14</v>
      </c>
      <c r="O42" s="68" t="s">
        <v>2523</v>
      </c>
      <c r="P42" s="68" t="s">
        <v>2400</v>
      </c>
      <c r="Q42" s="66" t="s">
        <v>1291</v>
      </c>
      <c r="R42" s="68" t="s">
        <v>2324</v>
      </c>
      <c r="S42" s="68"/>
    </row>
  </sheetData>
  <autoFilter ref="A1:S42" xr:uid="{00000000-0001-0000-0100-000000000000}"/>
  <phoneticPr fontId="23" type="noConversion"/>
  <pageMargins left="0.69930555555555596" right="0.69930555555555596" top="0.75" bottom="0.75" header="0.3" footer="0.3"/>
  <pageSetup paperSize="9" orientation="portrait" horizontalDpi="2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87924-04F7-496B-9115-D00015561BF0}">
  <dimension ref="A1:N184"/>
  <sheetViews>
    <sheetView zoomScale="96" zoomScaleNormal="96" workbookViewId="0">
      <pane ySplit="1" topLeftCell="A2" activePane="bottomLeft" state="frozenSplit"/>
      <selection pane="bottomLeft" activeCell="F18" sqref="F18"/>
    </sheetView>
  </sheetViews>
  <sheetFormatPr defaultColWidth="9" defaultRowHeight="15.6"/>
  <cols>
    <col min="1" max="1" width="5" style="40" customWidth="1"/>
    <col min="2" max="2" width="19.77734375" style="40" customWidth="1"/>
    <col min="3" max="3" width="20.33203125" style="40" customWidth="1"/>
    <col min="4" max="4" width="20.44140625" style="40" customWidth="1"/>
    <col min="5" max="5" width="16.21875" style="40" customWidth="1"/>
    <col min="6" max="6" width="18.77734375" style="40" customWidth="1"/>
    <col min="7" max="7" width="54.21875" style="40" customWidth="1"/>
    <col min="8" max="8" width="12" style="40" customWidth="1"/>
    <col min="9" max="9" width="10.88671875" style="40" customWidth="1"/>
    <col min="10" max="10" width="12.44140625" style="40" customWidth="1"/>
    <col min="11" max="11" width="14.109375" style="40" customWidth="1"/>
    <col min="12" max="12" width="12.33203125" style="41" customWidth="1"/>
    <col min="13" max="16384" width="9" style="41"/>
  </cols>
  <sheetData>
    <row r="1" spans="2:14">
      <c r="B1" s="42" t="str">
        <f>HYPERLINK("#"&amp;"导航应用"&amp;"!B1","返回")</f>
        <v>返回</v>
      </c>
      <c r="C1" s="43"/>
      <c r="D1" s="43"/>
      <c r="E1" s="43"/>
      <c r="F1" s="43"/>
      <c r="G1" s="43"/>
      <c r="H1" s="43"/>
    </row>
    <row r="2" spans="2:14" ht="17.399999999999999">
      <c r="B2" s="117" t="s">
        <v>45</v>
      </c>
      <c r="C2" s="117"/>
      <c r="D2" s="117"/>
      <c r="E2" s="117"/>
      <c r="F2" s="117"/>
      <c r="G2" s="117"/>
      <c r="H2" s="117"/>
    </row>
    <row r="3" spans="2:14">
      <c r="B3" s="44" t="s">
        <v>11</v>
      </c>
      <c r="C3" s="44" t="s">
        <v>46</v>
      </c>
      <c r="D3" s="44" t="s">
        <v>47</v>
      </c>
      <c r="E3" s="44" t="s">
        <v>48</v>
      </c>
      <c r="F3" s="44" t="s">
        <v>49</v>
      </c>
      <c r="G3" s="44" t="s">
        <v>14</v>
      </c>
      <c r="H3" s="44" t="s">
        <v>50</v>
      </c>
    </row>
    <row r="4" spans="2:14">
      <c r="B4" s="39"/>
      <c r="C4" s="45" t="s">
        <v>317</v>
      </c>
      <c r="D4" s="46" t="s">
        <v>319</v>
      </c>
      <c r="E4" s="39" t="s">
        <v>126</v>
      </c>
      <c r="F4" s="58" t="s">
        <v>138</v>
      </c>
      <c r="G4" s="39"/>
      <c r="H4" s="39"/>
      <c r="N4" s="40"/>
    </row>
    <row r="5" spans="2:14">
      <c r="B5" s="47"/>
      <c r="C5" s="47"/>
      <c r="D5" s="47"/>
      <c r="E5" s="47"/>
      <c r="F5" s="47"/>
      <c r="G5" s="47"/>
      <c r="H5" s="47"/>
    </row>
    <row r="6" spans="2:14" ht="17.399999999999999">
      <c r="B6" s="117" t="s">
        <v>51</v>
      </c>
      <c r="C6" s="117"/>
      <c r="D6" s="117"/>
      <c r="E6" s="117"/>
      <c r="F6" s="117"/>
      <c r="G6" s="117"/>
      <c r="H6" s="117"/>
    </row>
    <row r="7" spans="2:14">
      <c r="B7" s="48" t="s">
        <v>52</v>
      </c>
      <c r="C7" s="48" t="s">
        <v>53</v>
      </c>
      <c r="D7" s="48" t="s">
        <v>54</v>
      </c>
      <c r="E7" s="48" t="s">
        <v>55</v>
      </c>
      <c r="F7" s="48" t="s">
        <v>56</v>
      </c>
      <c r="G7" s="48" t="s">
        <v>24</v>
      </c>
      <c r="H7" s="48" t="s">
        <v>57</v>
      </c>
    </row>
    <row r="8" spans="2:14">
      <c r="B8" s="39"/>
      <c r="C8" s="49"/>
      <c r="D8" s="49"/>
      <c r="E8" s="39" t="s">
        <v>58</v>
      </c>
      <c r="F8" s="39"/>
      <c r="G8" s="25"/>
      <c r="H8" s="59" t="s">
        <v>30</v>
      </c>
    </row>
    <row r="9" spans="2:14">
      <c r="B9" s="39"/>
      <c r="C9" s="49"/>
      <c r="D9" s="49"/>
      <c r="E9" s="39" t="s">
        <v>107</v>
      </c>
      <c r="F9" s="39"/>
      <c r="G9" s="25"/>
      <c r="H9" s="59"/>
    </row>
    <row r="11" spans="2:14">
      <c r="B11" s="118" t="s">
        <v>59</v>
      </c>
      <c r="C11" s="119"/>
      <c r="D11" s="119"/>
      <c r="E11" s="119"/>
      <c r="F11" s="119"/>
      <c r="G11" s="119"/>
      <c r="H11" s="119"/>
      <c r="I11" s="119"/>
      <c r="J11" s="119"/>
      <c r="K11" s="119"/>
      <c r="L11" s="120"/>
    </row>
    <row r="12" spans="2:14" ht="24">
      <c r="B12" s="50" t="s">
        <v>60</v>
      </c>
      <c r="C12" s="50" t="s">
        <v>61</v>
      </c>
      <c r="D12" s="50" t="s">
        <v>62</v>
      </c>
      <c r="E12" s="50" t="s">
        <v>63</v>
      </c>
      <c r="F12" s="50" t="s">
        <v>64</v>
      </c>
      <c r="G12" s="50" t="s">
        <v>65</v>
      </c>
      <c r="H12" s="50" t="s">
        <v>66</v>
      </c>
      <c r="I12" s="50" t="s">
        <v>24</v>
      </c>
      <c r="J12" s="50" t="s">
        <v>67</v>
      </c>
      <c r="K12" s="50" t="s">
        <v>68</v>
      </c>
      <c r="L12" s="50" t="s">
        <v>69</v>
      </c>
    </row>
    <row r="13" spans="2:14" ht="26.4">
      <c r="B13" s="51" t="s">
        <v>139</v>
      </c>
      <c r="C13" s="39" t="s">
        <v>75</v>
      </c>
      <c r="D13" s="52" t="s">
        <v>140</v>
      </c>
      <c r="E13" s="39"/>
      <c r="F13" s="39"/>
      <c r="G13" s="39"/>
      <c r="H13" s="39"/>
      <c r="I13" s="49"/>
      <c r="J13" s="39"/>
      <c r="K13" s="39"/>
      <c r="L13" s="39"/>
    </row>
    <row r="14" spans="2:14" ht="26.4">
      <c r="B14" s="53" t="s">
        <v>141</v>
      </c>
      <c r="C14" s="39" t="s">
        <v>71</v>
      </c>
      <c r="D14" s="52" t="s">
        <v>142</v>
      </c>
      <c r="E14" s="39"/>
      <c r="F14" s="39"/>
      <c r="G14" s="39"/>
      <c r="H14" s="39"/>
      <c r="I14" s="39"/>
      <c r="J14" s="39"/>
      <c r="K14" s="39"/>
      <c r="L14" s="49"/>
    </row>
    <row r="15" spans="2:14">
      <c r="B15" s="51" t="s">
        <v>322</v>
      </c>
      <c r="C15" s="39" t="s">
        <v>71</v>
      </c>
      <c r="D15" s="52" t="s">
        <v>323</v>
      </c>
      <c r="E15" s="39"/>
      <c r="F15" s="39"/>
      <c r="G15" s="39"/>
      <c r="H15" s="39"/>
      <c r="I15" s="39"/>
      <c r="J15" s="39"/>
      <c r="K15" s="39"/>
      <c r="L15" s="49"/>
    </row>
    <row r="16" spans="2:14">
      <c r="B16" s="51" t="s">
        <v>143</v>
      </c>
      <c r="C16" s="39" t="s">
        <v>71</v>
      </c>
      <c r="D16" s="54" t="s">
        <v>144</v>
      </c>
      <c r="E16" s="39"/>
      <c r="F16" s="39"/>
      <c r="G16" s="39"/>
      <c r="H16" s="39"/>
      <c r="I16" s="39"/>
      <c r="J16" s="39"/>
      <c r="K16" s="39"/>
      <c r="L16" s="49"/>
    </row>
    <row r="17" spans="2:12" ht="26.4">
      <c r="B17" s="53" t="s">
        <v>145</v>
      </c>
      <c r="C17" s="39" t="s">
        <v>71</v>
      </c>
      <c r="D17" s="52" t="s">
        <v>146</v>
      </c>
      <c r="E17" s="39"/>
      <c r="F17" s="39"/>
      <c r="G17" s="39"/>
      <c r="H17" s="39"/>
      <c r="I17" s="39"/>
      <c r="J17" s="39"/>
      <c r="K17" s="39"/>
      <c r="L17" s="49"/>
    </row>
    <row r="18" spans="2:12">
      <c r="B18" s="53" t="s">
        <v>147</v>
      </c>
      <c r="C18" s="39" t="s">
        <v>71</v>
      </c>
      <c r="D18" s="54" t="s">
        <v>24</v>
      </c>
      <c r="E18" s="39"/>
      <c r="F18" s="39"/>
      <c r="G18" s="39"/>
      <c r="H18" s="39"/>
      <c r="I18" s="39"/>
      <c r="J18" s="39"/>
      <c r="K18" s="39"/>
      <c r="L18" s="49"/>
    </row>
    <row r="24" spans="2:12">
      <c r="B24" s="55" t="s">
        <v>135</v>
      </c>
    </row>
    <row r="25" spans="2:12">
      <c r="B25" s="55"/>
    </row>
    <row r="26" spans="2:12">
      <c r="B26" s="56" t="s">
        <v>136</v>
      </c>
      <c r="D26" s="56" t="s">
        <v>136</v>
      </c>
      <c r="E26" s="56" t="s">
        <v>136</v>
      </c>
      <c r="F26" s="56" t="s">
        <v>2496</v>
      </c>
      <c r="L26" s="40"/>
    </row>
    <row r="27" spans="2:12">
      <c r="B27" s="56" t="s">
        <v>139</v>
      </c>
      <c r="C27" s="39" t="s">
        <v>141</v>
      </c>
      <c r="D27" s="56" t="s">
        <v>322</v>
      </c>
      <c r="E27" s="56" t="s">
        <v>604</v>
      </c>
      <c r="F27" s="113" t="s">
        <v>2497</v>
      </c>
      <c r="G27" s="60" t="s">
        <v>145</v>
      </c>
      <c r="H27" s="39" t="s">
        <v>147</v>
      </c>
      <c r="L27" s="40"/>
    </row>
    <row r="28" spans="2:12" ht="79.8">
      <c r="B28" s="52" t="s">
        <v>2498</v>
      </c>
      <c r="C28" s="57" t="s">
        <v>142</v>
      </c>
      <c r="D28" s="52" t="s">
        <v>323</v>
      </c>
      <c r="E28" s="54" t="s">
        <v>144</v>
      </c>
      <c r="F28" s="52" t="s">
        <v>2499</v>
      </c>
      <c r="G28" s="52" t="s">
        <v>146</v>
      </c>
      <c r="H28" s="61" t="s">
        <v>24</v>
      </c>
      <c r="L28" s="40"/>
    </row>
    <row r="29" spans="2:12">
      <c r="B29" s="54">
        <v>1</v>
      </c>
      <c r="C29" s="76" t="s">
        <v>154</v>
      </c>
      <c r="D29" s="54" t="s">
        <v>324</v>
      </c>
      <c r="E29" s="54">
        <v>1</v>
      </c>
      <c r="F29" s="54">
        <v>0</v>
      </c>
      <c r="G29" s="52" t="s">
        <v>325</v>
      </c>
      <c r="H29" s="76" t="s">
        <v>326</v>
      </c>
      <c r="L29" s="40"/>
    </row>
    <row r="30" spans="2:12">
      <c r="B30" s="54">
        <v>1</v>
      </c>
      <c r="C30" s="76" t="s">
        <v>154</v>
      </c>
      <c r="D30" s="54" t="s">
        <v>324</v>
      </c>
      <c r="E30" s="54">
        <v>2</v>
      </c>
      <c r="F30" s="54">
        <v>0</v>
      </c>
      <c r="G30" s="52" t="s">
        <v>327</v>
      </c>
      <c r="H30" s="54"/>
      <c r="L30" s="40"/>
    </row>
    <row r="31" spans="2:12">
      <c r="B31" s="54">
        <v>1</v>
      </c>
      <c r="C31" s="76" t="s">
        <v>154</v>
      </c>
      <c r="D31" s="54" t="s">
        <v>324</v>
      </c>
      <c r="E31" s="54">
        <v>3</v>
      </c>
      <c r="F31" s="54">
        <v>0</v>
      </c>
      <c r="G31" s="52" t="s">
        <v>328</v>
      </c>
      <c r="H31" s="54"/>
      <c r="L31" s="40"/>
    </row>
    <row r="32" spans="2:12">
      <c r="B32" s="54">
        <v>1</v>
      </c>
      <c r="C32" s="76" t="s">
        <v>154</v>
      </c>
      <c r="D32" s="54" t="s">
        <v>324</v>
      </c>
      <c r="E32" s="54">
        <v>6</v>
      </c>
      <c r="F32" s="54">
        <v>0</v>
      </c>
      <c r="G32" s="52" t="s">
        <v>329</v>
      </c>
      <c r="H32" s="54"/>
      <c r="L32" s="40"/>
    </row>
    <row r="33" spans="2:12">
      <c r="B33" s="54">
        <v>1</v>
      </c>
      <c r="C33" s="76" t="s">
        <v>154</v>
      </c>
      <c r="D33" s="54" t="s">
        <v>324</v>
      </c>
      <c r="E33" s="54">
        <v>7</v>
      </c>
      <c r="F33" s="54">
        <v>0</v>
      </c>
      <c r="G33" s="52" t="s">
        <v>330</v>
      </c>
      <c r="H33" s="54"/>
      <c r="L33" s="40"/>
    </row>
    <row r="34" spans="2:12">
      <c r="B34" s="54">
        <v>2</v>
      </c>
      <c r="C34" s="54" t="s">
        <v>148</v>
      </c>
      <c r="D34" s="54" t="s">
        <v>324</v>
      </c>
      <c r="E34" s="54">
        <v>0</v>
      </c>
      <c r="F34" s="54">
        <v>0</v>
      </c>
      <c r="G34" s="54" t="s">
        <v>331</v>
      </c>
      <c r="H34" s="76" t="s">
        <v>332</v>
      </c>
      <c r="L34" s="40"/>
    </row>
    <row r="35" spans="2:12">
      <c r="B35" s="54">
        <v>2</v>
      </c>
      <c r="C35" s="54" t="s">
        <v>148</v>
      </c>
      <c r="D35" s="54" t="s">
        <v>324</v>
      </c>
      <c r="E35" s="76">
        <v>1</v>
      </c>
      <c r="F35" s="54">
        <v>0</v>
      </c>
      <c r="G35" s="54" t="s">
        <v>333</v>
      </c>
      <c r="H35" s="54"/>
      <c r="L35" s="40"/>
    </row>
    <row r="36" spans="2:12">
      <c r="B36" s="54">
        <v>2</v>
      </c>
      <c r="C36" s="54" t="s">
        <v>148</v>
      </c>
      <c r="D36" s="54" t="s">
        <v>324</v>
      </c>
      <c r="E36" s="76">
        <v>2</v>
      </c>
      <c r="F36" s="54">
        <v>0</v>
      </c>
      <c r="G36" s="54" t="s">
        <v>334</v>
      </c>
      <c r="H36" s="54"/>
      <c r="L36" s="40"/>
    </row>
    <row r="37" spans="2:12">
      <c r="B37" s="54">
        <v>2</v>
      </c>
      <c r="C37" s="54" t="s">
        <v>148</v>
      </c>
      <c r="D37" s="54" t="s">
        <v>324</v>
      </c>
      <c r="E37" s="76">
        <v>3</v>
      </c>
      <c r="F37" s="54">
        <v>0</v>
      </c>
      <c r="G37" s="54" t="s">
        <v>335</v>
      </c>
      <c r="H37" s="54"/>
      <c r="L37" s="40"/>
    </row>
    <row r="38" spans="2:12">
      <c r="B38" s="54">
        <v>2</v>
      </c>
      <c r="C38" s="54" t="s">
        <v>148</v>
      </c>
      <c r="D38" s="54" t="s">
        <v>324</v>
      </c>
      <c r="E38" s="76">
        <v>4</v>
      </c>
      <c r="F38" s="54">
        <v>0</v>
      </c>
      <c r="G38" s="54" t="s">
        <v>335</v>
      </c>
      <c r="H38" s="54"/>
      <c r="L38" s="40"/>
    </row>
    <row r="39" spans="2:12">
      <c r="B39" s="54">
        <v>2</v>
      </c>
      <c r="C39" s="54" t="s">
        <v>148</v>
      </c>
      <c r="D39" s="54" t="s">
        <v>324</v>
      </c>
      <c r="E39" s="76">
        <v>8</v>
      </c>
      <c r="F39" s="54">
        <v>0</v>
      </c>
      <c r="G39" s="54" t="s">
        <v>336</v>
      </c>
      <c r="H39" s="54"/>
      <c r="L39" s="40"/>
    </row>
    <row r="40" spans="2:12">
      <c r="B40" s="54">
        <v>2</v>
      </c>
      <c r="C40" s="54" t="s">
        <v>148</v>
      </c>
      <c r="D40" s="54" t="s">
        <v>324</v>
      </c>
      <c r="E40" s="76">
        <v>9</v>
      </c>
      <c r="F40" s="54">
        <v>0</v>
      </c>
      <c r="G40" s="54" t="s">
        <v>337</v>
      </c>
      <c r="H40" s="54"/>
      <c r="L40" s="40"/>
    </row>
    <row r="41" spans="2:12">
      <c r="B41" s="54">
        <v>2</v>
      </c>
      <c r="C41" s="54" t="s">
        <v>148</v>
      </c>
      <c r="D41" s="54" t="s">
        <v>324</v>
      </c>
      <c r="E41" s="76">
        <v>10</v>
      </c>
      <c r="F41" s="54">
        <v>0</v>
      </c>
      <c r="G41" s="54" t="s">
        <v>337</v>
      </c>
      <c r="H41" s="54"/>
      <c r="L41" s="40"/>
    </row>
    <row r="42" spans="2:12">
      <c r="B42" s="54">
        <v>2</v>
      </c>
      <c r="C42" s="54" t="s">
        <v>148</v>
      </c>
      <c r="D42" s="54" t="s">
        <v>324</v>
      </c>
      <c r="E42" s="76">
        <v>11</v>
      </c>
      <c r="F42" s="54">
        <v>0</v>
      </c>
      <c r="G42" s="54" t="s">
        <v>337</v>
      </c>
      <c r="H42" s="54"/>
      <c r="L42" s="40"/>
    </row>
    <row r="43" spans="2:12">
      <c r="B43" s="54">
        <v>4</v>
      </c>
      <c r="C43" s="54" t="s">
        <v>338</v>
      </c>
      <c r="D43" s="54" t="s">
        <v>324</v>
      </c>
      <c r="E43" s="76">
        <v>0</v>
      </c>
      <c r="F43" s="54">
        <v>0</v>
      </c>
      <c r="G43" s="54" t="s">
        <v>339</v>
      </c>
      <c r="H43" s="54"/>
      <c r="L43" s="40"/>
    </row>
    <row r="44" spans="2:12">
      <c r="B44" s="54">
        <v>4</v>
      </c>
      <c r="C44" s="54" t="s">
        <v>338</v>
      </c>
      <c r="D44" s="54" t="s">
        <v>324</v>
      </c>
      <c r="E44" s="76">
        <v>1</v>
      </c>
      <c r="F44" s="54">
        <v>0</v>
      </c>
      <c r="G44" s="54" t="s">
        <v>340</v>
      </c>
      <c r="H44" s="54"/>
      <c r="L44" s="40"/>
    </row>
    <row r="45" spans="2:12">
      <c r="B45" s="54">
        <v>5</v>
      </c>
      <c r="C45" s="54" t="s">
        <v>155</v>
      </c>
      <c r="D45" s="54" t="s">
        <v>324</v>
      </c>
      <c r="E45" s="76">
        <v>0</v>
      </c>
      <c r="F45" s="54">
        <v>0</v>
      </c>
      <c r="G45" s="54" t="s">
        <v>341</v>
      </c>
      <c r="H45" s="54" t="s">
        <v>342</v>
      </c>
      <c r="L45" s="40"/>
    </row>
    <row r="46" spans="2:12">
      <c r="B46" s="54">
        <v>5</v>
      </c>
      <c r="C46" s="54" t="s">
        <v>155</v>
      </c>
      <c r="D46" s="54" t="s">
        <v>324</v>
      </c>
      <c r="E46" s="76">
        <v>1</v>
      </c>
      <c r="F46" s="54">
        <v>0</v>
      </c>
      <c r="G46" s="54" t="s">
        <v>343</v>
      </c>
      <c r="H46" s="54"/>
      <c r="L46" s="40"/>
    </row>
    <row r="47" spans="2:12">
      <c r="B47" s="54">
        <v>5</v>
      </c>
      <c r="C47" s="54" t="s">
        <v>155</v>
      </c>
      <c r="D47" s="54" t="s">
        <v>324</v>
      </c>
      <c r="E47" s="76">
        <v>2</v>
      </c>
      <c r="F47" s="54">
        <v>0</v>
      </c>
      <c r="G47" s="54" t="s">
        <v>344</v>
      </c>
      <c r="H47" s="54"/>
      <c r="L47" s="40"/>
    </row>
    <row r="48" spans="2:12">
      <c r="B48" s="54">
        <v>5</v>
      </c>
      <c r="C48" s="54" t="s">
        <v>155</v>
      </c>
      <c r="D48" s="54" t="s">
        <v>324</v>
      </c>
      <c r="E48" s="76">
        <v>3</v>
      </c>
      <c r="F48" s="54">
        <v>0</v>
      </c>
      <c r="G48" s="54" t="s">
        <v>345</v>
      </c>
      <c r="H48" s="54"/>
      <c r="L48" s="40"/>
    </row>
    <row r="49" spans="2:12">
      <c r="B49" s="54">
        <v>5</v>
      </c>
      <c r="C49" s="54" t="s">
        <v>155</v>
      </c>
      <c r="D49" s="54" t="s">
        <v>324</v>
      </c>
      <c r="E49" s="76">
        <v>4</v>
      </c>
      <c r="F49" s="54">
        <v>0</v>
      </c>
      <c r="G49" s="54" t="s">
        <v>346</v>
      </c>
      <c r="H49" s="54"/>
      <c r="L49" s="40"/>
    </row>
    <row r="50" spans="2:12">
      <c r="B50" s="54">
        <v>5</v>
      </c>
      <c r="C50" s="54" t="s">
        <v>155</v>
      </c>
      <c r="D50" s="54" t="s">
        <v>324</v>
      </c>
      <c r="E50" s="76">
        <v>5</v>
      </c>
      <c r="F50" s="54">
        <v>0</v>
      </c>
      <c r="G50" s="54" t="s">
        <v>346</v>
      </c>
      <c r="H50" s="54"/>
      <c r="L50" s="40"/>
    </row>
    <row r="51" spans="2:12">
      <c r="B51" s="54">
        <v>6</v>
      </c>
      <c r="C51" s="54" t="s">
        <v>2500</v>
      </c>
      <c r="D51" s="54" t="s">
        <v>2501</v>
      </c>
      <c r="E51" s="76">
        <v>0</v>
      </c>
      <c r="F51" s="76">
        <v>1</v>
      </c>
      <c r="G51" s="54" t="s">
        <v>2502</v>
      </c>
      <c r="H51" s="54" t="s">
        <v>347</v>
      </c>
      <c r="L51" s="40"/>
    </row>
    <row r="52" spans="2:12">
      <c r="B52" s="54">
        <v>6</v>
      </c>
      <c r="C52" s="54" t="s">
        <v>156</v>
      </c>
      <c r="D52" s="54" t="s">
        <v>324</v>
      </c>
      <c r="E52" s="76">
        <v>1</v>
      </c>
      <c r="F52" s="76">
        <v>1</v>
      </c>
      <c r="G52" s="54" t="s">
        <v>2503</v>
      </c>
      <c r="H52" s="54"/>
      <c r="L52" s="40"/>
    </row>
    <row r="53" spans="2:12">
      <c r="B53" s="54">
        <v>6</v>
      </c>
      <c r="C53" s="54" t="s">
        <v>156</v>
      </c>
      <c r="D53" s="54" t="s">
        <v>324</v>
      </c>
      <c r="E53" s="76">
        <v>2</v>
      </c>
      <c r="F53" s="76">
        <v>1</v>
      </c>
      <c r="G53" s="54" t="s">
        <v>2504</v>
      </c>
      <c r="H53" s="54"/>
      <c r="L53" s="40"/>
    </row>
    <row r="54" spans="2:12">
      <c r="B54" s="54">
        <v>6</v>
      </c>
      <c r="C54" s="54" t="s">
        <v>156</v>
      </c>
      <c r="D54" s="54" t="s">
        <v>324</v>
      </c>
      <c r="E54" s="76">
        <v>3</v>
      </c>
      <c r="F54" s="76">
        <v>1</v>
      </c>
      <c r="G54" s="54" t="s">
        <v>2505</v>
      </c>
      <c r="H54" s="54"/>
      <c r="L54" s="40"/>
    </row>
    <row r="55" spans="2:12">
      <c r="B55" s="54">
        <v>6</v>
      </c>
      <c r="C55" s="54" t="s">
        <v>156</v>
      </c>
      <c r="D55" s="54" t="s">
        <v>324</v>
      </c>
      <c r="E55" s="76">
        <v>4</v>
      </c>
      <c r="F55" s="76">
        <v>1</v>
      </c>
      <c r="G55" s="54" t="s">
        <v>2505</v>
      </c>
      <c r="H55" s="54"/>
      <c r="L55" s="40"/>
    </row>
    <row r="56" spans="2:12">
      <c r="B56" s="54">
        <v>6</v>
      </c>
      <c r="C56" s="54" t="s">
        <v>156</v>
      </c>
      <c r="D56" s="54" t="s">
        <v>324</v>
      </c>
      <c r="E56" s="76">
        <v>5</v>
      </c>
      <c r="F56" s="76">
        <v>1</v>
      </c>
      <c r="G56" s="54" t="s">
        <v>2505</v>
      </c>
      <c r="H56" s="54"/>
      <c r="L56" s="40"/>
    </row>
    <row r="57" spans="2:12">
      <c r="B57" s="54">
        <v>6</v>
      </c>
      <c r="C57" s="54" t="s">
        <v>156</v>
      </c>
      <c r="D57" s="54" t="s">
        <v>324</v>
      </c>
      <c r="E57" s="76">
        <v>6</v>
      </c>
      <c r="F57" s="76">
        <v>1</v>
      </c>
      <c r="G57" s="54" t="s">
        <v>2506</v>
      </c>
      <c r="H57" s="54"/>
      <c r="L57" s="40"/>
    </row>
    <row r="58" spans="2:12">
      <c r="B58" s="54">
        <v>6</v>
      </c>
      <c r="C58" s="54" t="s">
        <v>156</v>
      </c>
      <c r="D58" s="54" t="s">
        <v>324</v>
      </c>
      <c r="E58" s="76">
        <v>7</v>
      </c>
      <c r="F58" s="76">
        <v>1</v>
      </c>
      <c r="G58" s="54" t="s">
        <v>2506</v>
      </c>
      <c r="H58" s="54"/>
      <c r="L58" s="40"/>
    </row>
    <row r="59" spans="2:12">
      <c r="B59" s="54">
        <v>6</v>
      </c>
      <c r="C59" s="54" t="s">
        <v>156</v>
      </c>
      <c r="D59" s="54" t="s">
        <v>324</v>
      </c>
      <c r="E59" s="76">
        <v>0</v>
      </c>
      <c r="F59" s="76">
        <v>2</v>
      </c>
      <c r="G59" s="114" t="s">
        <v>2507</v>
      </c>
      <c r="H59" s="54"/>
      <c r="L59" s="40"/>
    </row>
    <row r="60" spans="2:12">
      <c r="B60" s="54">
        <v>6</v>
      </c>
      <c r="C60" s="54" t="s">
        <v>156</v>
      </c>
      <c r="D60" s="54" t="s">
        <v>324</v>
      </c>
      <c r="E60" s="76">
        <v>1</v>
      </c>
      <c r="F60" s="76">
        <v>2</v>
      </c>
      <c r="G60" s="114" t="s">
        <v>2508</v>
      </c>
      <c r="H60" s="54"/>
      <c r="L60" s="40"/>
    </row>
    <row r="61" spans="2:12">
      <c r="B61" s="54">
        <v>6</v>
      </c>
      <c r="C61" s="54" t="s">
        <v>156</v>
      </c>
      <c r="D61" s="54" t="s">
        <v>324</v>
      </c>
      <c r="E61" s="76">
        <v>2</v>
      </c>
      <c r="F61" s="76">
        <v>2</v>
      </c>
      <c r="G61" s="114" t="s">
        <v>2507</v>
      </c>
      <c r="H61" s="54"/>
      <c r="L61" s="40"/>
    </row>
    <row r="62" spans="2:12">
      <c r="B62" s="54">
        <v>6</v>
      </c>
      <c r="C62" s="54" t="s">
        <v>156</v>
      </c>
      <c r="D62" s="54" t="s">
        <v>324</v>
      </c>
      <c r="E62" s="76">
        <v>3</v>
      </c>
      <c r="F62" s="76">
        <v>2</v>
      </c>
      <c r="G62" s="114" t="s">
        <v>2509</v>
      </c>
      <c r="H62" s="54"/>
      <c r="L62" s="40"/>
    </row>
    <row r="63" spans="2:12">
      <c r="B63" s="54">
        <v>6</v>
      </c>
      <c r="C63" s="54" t="s">
        <v>156</v>
      </c>
      <c r="D63" s="54" t="s">
        <v>324</v>
      </c>
      <c r="E63" s="76">
        <v>4</v>
      </c>
      <c r="F63" s="76">
        <v>2</v>
      </c>
      <c r="G63" s="114" t="s">
        <v>2507</v>
      </c>
      <c r="H63" s="54"/>
      <c r="L63" s="40"/>
    </row>
    <row r="64" spans="2:12">
      <c r="B64" s="54">
        <v>6</v>
      </c>
      <c r="C64" s="54" t="s">
        <v>156</v>
      </c>
      <c r="D64" s="54" t="s">
        <v>324</v>
      </c>
      <c r="E64" s="76">
        <v>5</v>
      </c>
      <c r="F64" s="76">
        <v>2</v>
      </c>
      <c r="G64" s="114" t="s">
        <v>2507</v>
      </c>
      <c r="H64" s="54"/>
      <c r="L64" s="40"/>
    </row>
    <row r="65" spans="2:12">
      <c r="B65" s="54">
        <v>6</v>
      </c>
      <c r="C65" s="54" t="s">
        <v>156</v>
      </c>
      <c r="D65" s="54" t="s">
        <v>324</v>
      </c>
      <c r="E65" s="76">
        <v>6</v>
      </c>
      <c r="F65" s="76">
        <v>2</v>
      </c>
      <c r="G65" s="114" t="s">
        <v>2510</v>
      </c>
      <c r="H65" s="54"/>
      <c r="L65" s="40"/>
    </row>
    <row r="66" spans="2:12">
      <c r="B66" s="54">
        <v>6</v>
      </c>
      <c r="C66" s="54" t="s">
        <v>156</v>
      </c>
      <c r="D66" s="54" t="s">
        <v>324</v>
      </c>
      <c r="E66" s="76">
        <v>7</v>
      </c>
      <c r="F66" s="76">
        <v>2</v>
      </c>
      <c r="G66" s="114" t="s">
        <v>2510</v>
      </c>
      <c r="H66" s="54"/>
      <c r="L66" s="40"/>
    </row>
    <row r="67" spans="2:12">
      <c r="B67" s="54">
        <v>7</v>
      </c>
      <c r="C67" s="76" t="s">
        <v>157</v>
      </c>
      <c r="D67" s="54" t="s">
        <v>324</v>
      </c>
      <c r="E67" s="54"/>
      <c r="F67" s="54">
        <v>0</v>
      </c>
      <c r="G67" s="77" t="s">
        <v>348</v>
      </c>
      <c r="H67" s="76" t="s">
        <v>349</v>
      </c>
      <c r="L67" s="40"/>
    </row>
    <row r="68" spans="2:12">
      <c r="B68" s="54">
        <v>9</v>
      </c>
      <c r="C68" s="54" t="s">
        <v>350</v>
      </c>
      <c r="D68" s="54" t="s">
        <v>324</v>
      </c>
      <c r="E68" s="76" t="s">
        <v>351</v>
      </c>
      <c r="F68" s="54">
        <v>0</v>
      </c>
      <c r="G68" s="54" t="s">
        <v>352</v>
      </c>
      <c r="H68" s="54"/>
      <c r="L68" s="40"/>
    </row>
    <row r="69" spans="2:12">
      <c r="B69" s="54">
        <v>10</v>
      </c>
      <c r="C69" s="54" t="s">
        <v>353</v>
      </c>
      <c r="D69" s="54" t="s">
        <v>324</v>
      </c>
      <c r="E69" s="76" t="s">
        <v>351</v>
      </c>
      <c r="F69" s="54">
        <v>0</v>
      </c>
      <c r="G69" s="54" t="s">
        <v>352</v>
      </c>
      <c r="H69" s="54"/>
      <c r="L69" s="40"/>
    </row>
    <row r="70" spans="2:12">
      <c r="B70" s="54">
        <v>11</v>
      </c>
      <c r="C70" s="54" t="s">
        <v>354</v>
      </c>
      <c r="D70" s="54" t="s">
        <v>324</v>
      </c>
      <c r="E70" s="76" t="s">
        <v>351</v>
      </c>
      <c r="F70" s="54">
        <v>0</v>
      </c>
      <c r="G70" s="54" t="s">
        <v>352</v>
      </c>
      <c r="H70" s="54"/>
      <c r="L70" s="40"/>
    </row>
    <row r="71" spans="2:12">
      <c r="B71" s="54">
        <v>12</v>
      </c>
      <c r="C71" s="54" t="s">
        <v>355</v>
      </c>
      <c r="D71" s="54" t="s">
        <v>324</v>
      </c>
      <c r="E71" s="76" t="s">
        <v>351</v>
      </c>
      <c r="F71" s="54">
        <v>0</v>
      </c>
      <c r="G71" s="54" t="s">
        <v>352</v>
      </c>
      <c r="H71" s="54"/>
      <c r="L71" s="40"/>
    </row>
    <row r="72" spans="2:12">
      <c r="B72" s="54">
        <v>13</v>
      </c>
      <c r="C72" s="54" t="s">
        <v>356</v>
      </c>
      <c r="D72" s="54" t="s">
        <v>324</v>
      </c>
      <c r="E72" s="76" t="s">
        <v>351</v>
      </c>
      <c r="F72" s="54">
        <v>0</v>
      </c>
      <c r="G72" s="54" t="s">
        <v>352</v>
      </c>
      <c r="H72" s="54"/>
      <c r="L72" s="40"/>
    </row>
    <row r="73" spans="2:12">
      <c r="B73" s="54">
        <v>14</v>
      </c>
      <c r="C73" s="76" t="s">
        <v>357</v>
      </c>
      <c r="D73" s="54" t="s">
        <v>324</v>
      </c>
      <c r="E73" s="76">
        <v>1</v>
      </c>
      <c r="F73" s="54">
        <v>0</v>
      </c>
      <c r="G73" s="54" t="s">
        <v>358</v>
      </c>
      <c r="H73" s="54"/>
      <c r="L73" s="40"/>
    </row>
    <row r="74" spans="2:12">
      <c r="B74" s="54">
        <v>15</v>
      </c>
      <c r="C74" s="76" t="s">
        <v>158</v>
      </c>
      <c r="D74" s="54" t="s">
        <v>324</v>
      </c>
      <c r="E74" s="76">
        <v>1</v>
      </c>
      <c r="F74" s="54">
        <v>0</v>
      </c>
      <c r="G74" s="76" t="s">
        <v>359</v>
      </c>
      <c r="H74" s="54"/>
      <c r="L74" s="40"/>
    </row>
    <row r="75" spans="2:12">
      <c r="B75" s="54">
        <v>15</v>
      </c>
      <c r="C75" s="76" t="s">
        <v>158</v>
      </c>
      <c r="D75" s="54" t="s">
        <v>324</v>
      </c>
      <c r="E75" s="54">
        <v>2</v>
      </c>
      <c r="F75" s="54">
        <v>0</v>
      </c>
      <c r="G75" s="76" t="s">
        <v>360</v>
      </c>
      <c r="H75" s="54"/>
      <c r="L75" s="40"/>
    </row>
    <row r="76" spans="2:12">
      <c r="B76" s="54">
        <v>15</v>
      </c>
      <c r="C76" s="76" t="s">
        <v>158</v>
      </c>
      <c r="D76" s="54" t="s">
        <v>324</v>
      </c>
      <c r="E76" s="54">
        <v>3</v>
      </c>
      <c r="F76" s="54">
        <v>0</v>
      </c>
      <c r="G76" s="76" t="s">
        <v>361</v>
      </c>
      <c r="H76" s="54"/>
      <c r="L76" s="40"/>
    </row>
    <row r="77" spans="2:12">
      <c r="B77" s="54">
        <v>16</v>
      </c>
      <c r="C77" s="76" t="s">
        <v>159</v>
      </c>
      <c r="D77" s="54" t="s">
        <v>324</v>
      </c>
      <c r="E77" s="76">
        <v>1</v>
      </c>
      <c r="F77" s="54">
        <v>0</v>
      </c>
      <c r="G77" s="76" t="s">
        <v>362</v>
      </c>
      <c r="H77" s="54"/>
      <c r="L77" s="40"/>
    </row>
    <row r="78" spans="2:12">
      <c r="B78" s="54">
        <v>16</v>
      </c>
      <c r="C78" s="76" t="s">
        <v>159</v>
      </c>
      <c r="D78" s="54" t="s">
        <v>324</v>
      </c>
      <c r="E78" s="54">
        <v>4</v>
      </c>
      <c r="F78" s="54">
        <v>0</v>
      </c>
      <c r="G78" s="76" t="s">
        <v>363</v>
      </c>
      <c r="H78" s="54"/>
      <c r="L78" s="40"/>
    </row>
    <row r="79" spans="2:12">
      <c r="B79" s="54">
        <v>16</v>
      </c>
      <c r="C79" s="76" t="s">
        <v>159</v>
      </c>
      <c r="D79" s="54" t="s">
        <v>324</v>
      </c>
      <c r="E79" s="54">
        <v>5</v>
      </c>
      <c r="F79" s="54">
        <v>0</v>
      </c>
      <c r="G79" s="76" t="s">
        <v>364</v>
      </c>
      <c r="H79" s="54"/>
      <c r="L79" s="40"/>
    </row>
    <row r="80" spans="2:12">
      <c r="B80" s="54">
        <v>1</v>
      </c>
      <c r="C80" s="54" t="s">
        <v>154</v>
      </c>
      <c r="D80" s="54" t="s">
        <v>365</v>
      </c>
      <c r="E80" s="54">
        <v>1</v>
      </c>
      <c r="F80" s="54">
        <v>0</v>
      </c>
      <c r="G80" s="52" t="s">
        <v>325</v>
      </c>
      <c r="H80" s="76" t="s">
        <v>366</v>
      </c>
      <c r="L80" s="40"/>
    </row>
    <row r="81" spans="2:12">
      <c r="B81" s="54">
        <v>1</v>
      </c>
      <c r="C81" s="54" t="s">
        <v>154</v>
      </c>
      <c r="D81" s="54" t="s">
        <v>365</v>
      </c>
      <c r="E81" s="54">
        <v>2</v>
      </c>
      <c r="F81" s="54">
        <v>0</v>
      </c>
      <c r="G81" s="52" t="s">
        <v>327</v>
      </c>
      <c r="H81" s="54"/>
      <c r="L81" s="40"/>
    </row>
    <row r="82" spans="2:12">
      <c r="B82" s="54">
        <v>1</v>
      </c>
      <c r="C82" s="54" t="s">
        <v>154</v>
      </c>
      <c r="D82" s="54" t="s">
        <v>365</v>
      </c>
      <c r="E82" s="54">
        <v>3</v>
      </c>
      <c r="F82" s="54">
        <v>0</v>
      </c>
      <c r="G82" s="52" t="s">
        <v>328</v>
      </c>
      <c r="H82" s="54"/>
      <c r="L82" s="40"/>
    </row>
    <row r="83" spans="2:12">
      <c r="B83" s="54">
        <v>1</v>
      </c>
      <c r="C83" s="54" t="s">
        <v>154</v>
      </c>
      <c r="D83" s="54" t="s">
        <v>365</v>
      </c>
      <c r="E83" s="54">
        <v>6</v>
      </c>
      <c r="F83" s="54">
        <v>0</v>
      </c>
      <c r="G83" s="52" t="s">
        <v>329</v>
      </c>
      <c r="H83" s="54"/>
      <c r="L83" s="40"/>
    </row>
    <row r="84" spans="2:12">
      <c r="B84" s="54">
        <v>1</v>
      </c>
      <c r="C84" s="54" t="s">
        <v>154</v>
      </c>
      <c r="D84" s="54" t="s">
        <v>365</v>
      </c>
      <c r="E84" s="54">
        <v>7</v>
      </c>
      <c r="F84" s="54">
        <v>0</v>
      </c>
      <c r="G84" s="52" t="s">
        <v>330</v>
      </c>
      <c r="H84" s="54"/>
      <c r="L84" s="40"/>
    </row>
    <row r="85" spans="2:12">
      <c r="B85" s="54">
        <v>3</v>
      </c>
      <c r="C85" s="54" t="s">
        <v>367</v>
      </c>
      <c r="D85" s="54" t="s">
        <v>365</v>
      </c>
      <c r="E85" s="54" t="s">
        <v>368</v>
      </c>
      <c r="F85" s="54">
        <v>0</v>
      </c>
      <c r="G85" s="54" t="s">
        <v>369</v>
      </c>
      <c r="H85" s="76" t="s">
        <v>370</v>
      </c>
      <c r="L85" s="40"/>
    </row>
    <row r="86" spans="2:12">
      <c r="B86" s="54">
        <v>4</v>
      </c>
      <c r="C86" s="54" t="s">
        <v>338</v>
      </c>
      <c r="D86" s="54" t="s">
        <v>365</v>
      </c>
      <c r="E86" s="76">
        <v>0</v>
      </c>
      <c r="F86" s="54">
        <v>0</v>
      </c>
      <c r="G86" s="54" t="s">
        <v>339</v>
      </c>
      <c r="H86" s="54"/>
      <c r="L86" s="40"/>
    </row>
    <row r="87" spans="2:12">
      <c r="B87" s="54">
        <v>4</v>
      </c>
      <c r="C87" s="54" t="s">
        <v>338</v>
      </c>
      <c r="D87" s="54" t="s">
        <v>365</v>
      </c>
      <c r="E87" s="76">
        <v>1</v>
      </c>
      <c r="F87" s="54">
        <v>0</v>
      </c>
      <c r="G87" s="54" t="s">
        <v>340</v>
      </c>
      <c r="H87" s="54"/>
      <c r="L87" s="40"/>
    </row>
    <row r="88" spans="2:12">
      <c r="B88" s="54">
        <v>5</v>
      </c>
      <c r="C88" s="54" t="s">
        <v>155</v>
      </c>
      <c r="D88" s="54" t="s">
        <v>365</v>
      </c>
      <c r="E88" s="76">
        <v>0</v>
      </c>
      <c r="F88" s="54">
        <v>0</v>
      </c>
      <c r="G88" s="54" t="s">
        <v>341</v>
      </c>
      <c r="H88" s="76" t="s">
        <v>371</v>
      </c>
      <c r="L88" s="40"/>
    </row>
    <row r="89" spans="2:12">
      <c r="B89" s="54">
        <v>5</v>
      </c>
      <c r="C89" s="54" t="s">
        <v>155</v>
      </c>
      <c r="D89" s="54" t="s">
        <v>365</v>
      </c>
      <c r="E89" s="76">
        <v>1</v>
      </c>
      <c r="F89" s="54">
        <v>0</v>
      </c>
      <c r="G89" s="54" t="s">
        <v>343</v>
      </c>
      <c r="H89" s="54"/>
      <c r="L89" s="40"/>
    </row>
    <row r="90" spans="2:12">
      <c r="B90" s="54">
        <v>5</v>
      </c>
      <c r="C90" s="54" t="s">
        <v>155</v>
      </c>
      <c r="D90" s="54" t="s">
        <v>365</v>
      </c>
      <c r="E90" s="76">
        <v>2</v>
      </c>
      <c r="F90" s="54">
        <v>0</v>
      </c>
      <c r="G90" s="54" t="s">
        <v>344</v>
      </c>
      <c r="H90" s="54"/>
      <c r="L90" s="40"/>
    </row>
    <row r="91" spans="2:12">
      <c r="B91" s="54">
        <v>5</v>
      </c>
      <c r="C91" s="54" t="s">
        <v>155</v>
      </c>
      <c r="D91" s="54" t="s">
        <v>365</v>
      </c>
      <c r="E91" s="76">
        <v>3</v>
      </c>
      <c r="F91" s="54">
        <v>0</v>
      </c>
      <c r="G91" s="54" t="s">
        <v>345</v>
      </c>
      <c r="H91" s="54"/>
      <c r="L91" s="40"/>
    </row>
    <row r="92" spans="2:12">
      <c r="B92" s="54">
        <v>5</v>
      </c>
      <c r="C92" s="54" t="s">
        <v>155</v>
      </c>
      <c r="D92" s="54" t="s">
        <v>365</v>
      </c>
      <c r="E92" s="76">
        <v>4</v>
      </c>
      <c r="F92" s="54">
        <v>0</v>
      </c>
      <c r="G92" s="54" t="s">
        <v>346</v>
      </c>
      <c r="H92" s="54"/>
      <c r="L92" s="40"/>
    </row>
    <row r="93" spans="2:12">
      <c r="B93" s="54">
        <v>5</v>
      </c>
      <c r="C93" s="54" t="s">
        <v>155</v>
      </c>
      <c r="D93" s="54" t="s">
        <v>365</v>
      </c>
      <c r="E93" s="76">
        <v>5</v>
      </c>
      <c r="F93" s="54">
        <v>0</v>
      </c>
      <c r="G93" s="54" t="s">
        <v>346</v>
      </c>
      <c r="H93" s="54"/>
      <c r="L93" s="40"/>
    </row>
    <row r="94" spans="2:12">
      <c r="B94" s="54">
        <v>6</v>
      </c>
      <c r="C94" s="54" t="s">
        <v>156</v>
      </c>
      <c r="D94" s="54" t="s">
        <v>365</v>
      </c>
      <c r="E94" s="76">
        <v>0</v>
      </c>
      <c r="F94" s="76">
        <v>1</v>
      </c>
      <c r="G94" s="54" t="s">
        <v>2505</v>
      </c>
      <c r="H94" s="76" t="s">
        <v>372</v>
      </c>
      <c r="L94" s="40"/>
    </row>
    <row r="95" spans="2:12">
      <c r="B95" s="54">
        <v>6</v>
      </c>
      <c r="C95" s="54" t="s">
        <v>156</v>
      </c>
      <c r="D95" s="54" t="s">
        <v>365</v>
      </c>
      <c r="E95" s="76">
        <v>1</v>
      </c>
      <c r="F95" s="76">
        <v>1</v>
      </c>
      <c r="G95" s="54" t="s">
        <v>2503</v>
      </c>
      <c r="H95" s="54"/>
      <c r="L95" s="40"/>
    </row>
    <row r="96" spans="2:12">
      <c r="B96" s="54">
        <v>6</v>
      </c>
      <c r="C96" s="54" t="s">
        <v>156</v>
      </c>
      <c r="D96" s="54" t="s">
        <v>365</v>
      </c>
      <c r="E96" s="76">
        <v>2</v>
      </c>
      <c r="F96" s="76">
        <v>1</v>
      </c>
      <c r="G96" s="54" t="s">
        <v>2504</v>
      </c>
      <c r="H96" s="54"/>
      <c r="L96" s="40"/>
    </row>
    <row r="97" spans="2:12">
      <c r="B97" s="54">
        <v>6</v>
      </c>
      <c r="C97" s="54" t="s">
        <v>156</v>
      </c>
      <c r="D97" s="54" t="s">
        <v>365</v>
      </c>
      <c r="E97" s="76">
        <v>3</v>
      </c>
      <c r="F97" s="76">
        <v>1</v>
      </c>
      <c r="G97" s="54" t="s">
        <v>2505</v>
      </c>
      <c r="H97" s="54"/>
      <c r="L97" s="40"/>
    </row>
    <row r="98" spans="2:12">
      <c r="B98" s="54">
        <v>6</v>
      </c>
      <c r="C98" s="54" t="s">
        <v>156</v>
      </c>
      <c r="D98" s="54" t="s">
        <v>365</v>
      </c>
      <c r="E98" s="76">
        <v>4</v>
      </c>
      <c r="F98" s="76">
        <v>1</v>
      </c>
      <c r="G98" s="54" t="s">
        <v>2505</v>
      </c>
      <c r="H98" s="54"/>
      <c r="L98" s="40"/>
    </row>
    <row r="99" spans="2:12">
      <c r="B99" s="54">
        <v>6</v>
      </c>
      <c r="C99" s="54" t="s">
        <v>156</v>
      </c>
      <c r="D99" s="54" t="s">
        <v>365</v>
      </c>
      <c r="E99" s="76">
        <v>5</v>
      </c>
      <c r="F99" s="76">
        <v>1</v>
      </c>
      <c r="G99" s="54" t="s">
        <v>2505</v>
      </c>
      <c r="H99" s="54"/>
      <c r="L99" s="40"/>
    </row>
    <row r="100" spans="2:12">
      <c r="B100" s="54">
        <v>6</v>
      </c>
      <c r="C100" s="54" t="s">
        <v>156</v>
      </c>
      <c r="D100" s="54" t="s">
        <v>365</v>
      </c>
      <c r="E100" s="76">
        <v>6</v>
      </c>
      <c r="F100" s="76">
        <v>1</v>
      </c>
      <c r="G100" s="54" t="s">
        <v>2506</v>
      </c>
      <c r="H100" s="54"/>
      <c r="L100" s="40"/>
    </row>
    <row r="101" spans="2:12">
      <c r="B101" s="54">
        <v>6</v>
      </c>
      <c r="C101" s="54" t="s">
        <v>156</v>
      </c>
      <c r="D101" s="54" t="s">
        <v>365</v>
      </c>
      <c r="E101" s="76">
        <v>7</v>
      </c>
      <c r="F101" s="76">
        <v>1</v>
      </c>
      <c r="G101" s="54" t="s">
        <v>2506</v>
      </c>
      <c r="H101" s="54"/>
      <c r="L101" s="40"/>
    </row>
    <row r="102" spans="2:12">
      <c r="B102" s="54">
        <v>6</v>
      </c>
      <c r="C102" s="54" t="s">
        <v>156</v>
      </c>
      <c r="D102" s="54" t="s">
        <v>365</v>
      </c>
      <c r="E102" s="76">
        <v>0</v>
      </c>
      <c r="F102" s="76">
        <v>2</v>
      </c>
      <c r="G102" s="114" t="s">
        <v>2507</v>
      </c>
      <c r="H102" s="54"/>
      <c r="L102" s="40"/>
    </row>
    <row r="103" spans="2:12">
      <c r="B103" s="54">
        <v>6</v>
      </c>
      <c r="C103" s="54" t="s">
        <v>156</v>
      </c>
      <c r="D103" s="54" t="s">
        <v>365</v>
      </c>
      <c r="E103" s="76">
        <v>1</v>
      </c>
      <c r="F103" s="76">
        <v>2</v>
      </c>
      <c r="G103" s="114" t="s">
        <v>2508</v>
      </c>
      <c r="H103" s="54"/>
      <c r="L103" s="40"/>
    </row>
    <row r="104" spans="2:12">
      <c r="B104" s="54">
        <v>6</v>
      </c>
      <c r="C104" s="54" t="s">
        <v>156</v>
      </c>
      <c r="D104" s="54" t="s">
        <v>365</v>
      </c>
      <c r="E104" s="76">
        <v>2</v>
      </c>
      <c r="F104" s="76">
        <v>2</v>
      </c>
      <c r="G104" s="114" t="s">
        <v>2507</v>
      </c>
      <c r="H104" s="54"/>
      <c r="L104" s="40"/>
    </row>
    <row r="105" spans="2:12">
      <c r="B105" s="54">
        <v>6</v>
      </c>
      <c r="C105" s="54" t="s">
        <v>156</v>
      </c>
      <c r="D105" s="54" t="s">
        <v>365</v>
      </c>
      <c r="E105" s="76">
        <v>3</v>
      </c>
      <c r="F105" s="76">
        <v>2</v>
      </c>
      <c r="G105" s="114" t="s">
        <v>2509</v>
      </c>
      <c r="H105" s="54"/>
      <c r="L105" s="40"/>
    </row>
    <row r="106" spans="2:12">
      <c r="B106" s="54">
        <v>6</v>
      </c>
      <c r="C106" s="54" t="s">
        <v>156</v>
      </c>
      <c r="D106" s="54" t="s">
        <v>365</v>
      </c>
      <c r="E106" s="76">
        <v>4</v>
      </c>
      <c r="F106" s="76">
        <v>2</v>
      </c>
      <c r="G106" s="114" t="s">
        <v>2507</v>
      </c>
      <c r="H106" s="54"/>
      <c r="L106" s="40"/>
    </row>
    <row r="107" spans="2:12">
      <c r="B107" s="54">
        <v>6</v>
      </c>
      <c r="C107" s="54" t="s">
        <v>156</v>
      </c>
      <c r="D107" s="54" t="s">
        <v>365</v>
      </c>
      <c r="E107" s="76">
        <v>5</v>
      </c>
      <c r="F107" s="76">
        <v>2</v>
      </c>
      <c r="G107" s="114" t="s">
        <v>2507</v>
      </c>
      <c r="H107" s="54"/>
      <c r="L107" s="40"/>
    </row>
    <row r="108" spans="2:12">
      <c r="B108" s="54">
        <v>6</v>
      </c>
      <c r="C108" s="54" t="s">
        <v>156</v>
      </c>
      <c r="D108" s="54" t="s">
        <v>365</v>
      </c>
      <c r="E108" s="76">
        <v>6</v>
      </c>
      <c r="F108" s="76">
        <v>2</v>
      </c>
      <c r="G108" s="114" t="s">
        <v>2510</v>
      </c>
      <c r="H108" s="54"/>
      <c r="L108" s="40"/>
    </row>
    <row r="109" spans="2:12">
      <c r="B109" s="54">
        <v>6</v>
      </c>
      <c r="C109" s="54" t="s">
        <v>156</v>
      </c>
      <c r="D109" s="54" t="s">
        <v>365</v>
      </c>
      <c r="E109" s="76">
        <v>7</v>
      </c>
      <c r="F109" s="76">
        <v>2</v>
      </c>
      <c r="G109" s="114" t="s">
        <v>2510</v>
      </c>
      <c r="H109" s="54"/>
      <c r="L109" s="40"/>
    </row>
    <row r="110" spans="2:12">
      <c r="B110" s="54">
        <v>14</v>
      </c>
      <c r="C110" s="76" t="s">
        <v>357</v>
      </c>
      <c r="D110" s="54" t="s">
        <v>365</v>
      </c>
      <c r="E110" s="76">
        <v>1</v>
      </c>
      <c r="F110" s="54">
        <v>0</v>
      </c>
      <c r="G110" s="54" t="s">
        <v>358</v>
      </c>
      <c r="H110" s="54"/>
      <c r="L110" s="40"/>
    </row>
    <row r="111" spans="2:12">
      <c r="B111" s="54">
        <v>15</v>
      </c>
      <c r="C111" s="76" t="s">
        <v>158</v>
      </c>
      <c r="D111" s="54" t="s">
        <v>365</v>
      </c>
      <c r="E111" s="76">
        <v>1</v>
      </c>
      <c r="F111" s="54">
        <v>0</v>
      </c>
      <c r="G111" s="76" t="s">
        <v>359</v>
      </c>
      <c r="H111" s="54"/>
      <c r="L111" s="40"/>
    </row>
    <row r="112" spans="2:12">
      <c r="B112" s="54">
        <v>15</v>
      </c>
      <c r="C112" s="76" t="s">
        <v>158</v>
      </c>
      <c r="D112" s="54" t="s">
        <v>365</v>
      </c>
      <c r="E112" s="54">
        <v>2</v>
      </c>
      <c r="F112" s="54">
        <v>0</v>
      </c>
      <c r="G112" s="76" t="s">
        <v>360</v>
      </c>
      <c r="H112" s="54"/>
      <c r="L112" s="40"/>
    </row>
    <row r="113" spans="2:12">
      <c r="B113" s="54">
        <v>15</v>
      </c>
      <c r="C113" s="76" t="s">
        <v>158</v>
      </c>
      <c r="D113" s="54" t="s">
        <v>365</v>
      </c>
      <c r="E113" s="54">
        <v>3</v>
      </c>
      <c r="F113" s="54">
        <v>0</v>
      </c>
      <c r="G113" s="76" t="s">
        <v>361</v>
      </c>
      <c r="H113" s="54"/>
      <c r="L113" s="40"/>
    </row>
    <row r="114" spans="2:12">
      <c r="B114" s="54">
        <v>16</v>
      </c>
      <c r="C114" s="76" t="s">
        <v>159</v>
      </c>
      <c r="D114" s="54" t="s">
        <v>365</v>
      </c>
      <c r="E114" s="76">
        <v>1</v>
      </c>
      <c r="F114" s="54">
        <v>0</v>
      </c>
      <c r="G114" s="76" t="s">
        <v>362</v>
      </c>
      <c r="H114" s="54"/>
      <c r="L114" s="40"/>
    </row>
    <row r="115" spans="2:12">
      <c r="B115" s="54">
        <v>16</v>
      </c>
      <c r="C115" s="76" t="s">
        <v>159</v>
      </c>
      <c r="D115" s="54" t="s">
        <v>365</v>
      </c>
      <c r="E115" s="54">
        <v>4</v>
      </c>
      <c r="F115" s="54">
        <v>0</v>
      </c>
      <c r="G115" s="76" t="s">
        <v>363</v>
      </c>
      <c r="H115" s="54"/>
      <c r="L115" s="40"/>
    </row>
    <row r="116" spans="2:12">
      <c r="B116" s="54">
        <v>16</v>
      </c>
      <c r="C116" s="76" t="s">
        <v>159</v>
      </c>
      <c r="D116" s="54" t="s">
        <v>365</v>
      </c>
      <c r="E116" s="54">
        <v>5</v>
      </c>
      <c r="F116" s="54">
        <v>0</v>
      </c>
      <c r="G116" s="76" t="s">
        <v>364</v>
      </c>
      <c r="H116" s="54"/>
      <c r="L116" s="40"/>
    </row>
    <row r="117" spans="2:12">
      <c r="B117" s="54">
        <v>20</v>
      </c>
      <c r="C117" s="54" t="s">
        <v>160</v>
      </c>
      <c r="D117" s="54" t="s">
        <v>365</v>
      </c>
      <c r="E117" s="54">
        <v>1</v>
      </c>
      <c r="F117" s="54">
        <v>0</v>
      </c>
      <c r="G117" s="54" t="s">
        <v>373</v>
      </c>
      <c r="H117" s="54"/>
      <c r="L117" s="40"/>
    </row>
    <row r="118" spans="2:12">
      <c r="B118" s="54">
        <v>20</v>
      </c>
      <c r="C118" s="54" t="s">
        <v>160</v>
      </c>
      <c r="D118" s="54" t="s">
        <v>365</v>
      </c>
      <c r="E118" s="54">
        <v>2</v>
      </c>
      <c r="F118" s="54">
        <v>0</v>
      </c>
      <c r="G118" s="54" t="s">
        <v>374</v>
      </c>
      <c r="H118" s="54"/>
      <c r="L118" s="40"/>
    </row>
    <row r="119" spans="2:12">
      <c r="B119" s="54">
        <v>21</v>
      </c>
      <c r="C119" s="54" t="s">
        <v>161</v>
      </c>
      <c r="D119" s="54" t="s">
        <v>365</v>
      </c>
      <c r="E119" s="54">
        <v>1</v>
      </c>
      <c r="F119" s="54">
        <v>0</v>
      </c>
      <c r="G119" s="54" t="s">
        <v>373</v>
      </c>
      <c r="H119" s="54"/>
      <c r="L119" s="40"/>
    </row>
    <row r="120" spans="2:12">
      <c r="B120" s="54">
        <v>21</v>
      </c>
      <c r="C120" s="54" t="s">
        <v>161</v>
      </c>
      <c r="D120" s="54" t="s">
        <v>365</v>
      </c>
      <c r="E120" s="54">
        <v>2</v>
      </c>
      <c r="F120" s="54">
        <v>0</v>
      </c>
      <c r="G120" s="54" t="s">
        <v>374</v>
      </c>
      <c r="H120" s="54"/>
      <c r="L120" s="40"/>
    </row>
    <row r="121" spans="2:12">
      <c r="B121" s="54">
        <v>22</v>
      </c>
      <c r="C121" s="54" t="s">
        <v>162</v>
      </c>
      <c r="D121" s="54" t="s">
        <v>365</v>
      </c>
      <c r="E121" s="54">
        <v>1</v>
      </c>
      <c r="F121" s="54">
        <v>0</v>
      </c>
      <c r="G121" s="54" t="s">
        <v>375</v>
      </c>
      <c r="H121" s="54"/>
      <c r="L121" s="40"/>
    </row>
    <row r="122" spans="2:12">
      <c r="B122" s="54">
        <v>22</v>
      </c>
      <c r="C122" s="54" t="s">
        <v>162</v>
      </c>
      <c r="D122" s="54" t="s">
        <v>365</v>
      </c>
      <c r="E122" s="54">
        <v>2</v>
      </c>
      <c r="F122" s="54">
        <v>0</v>
      </c>
      <c r="G122" s="54" t="s">
        <v>376</v>
      </c>
      <c r="H122" s="54"/>
      <c r="L122" s="40"/>
    </row>
    <row r="123" spans="2:12">
      <c r="B123" s="54">
        <v>27</v>
      </c>
      <c r="C123" s="54" t="s">
        <v>163</v>
      </c>
      <c r="D123" s="54" t="s">
        <v>365</v>
      </c>
      <c r="E123" s="54" t="s">
        <v>377</v>
      </c>
      <c r="F123" s="54">
        <v>0</v>
      </c>
      <c r="G123" s="54" t="s">
        <v>377</v>
      </c>
      <c r="H123" s="76" t="s">
        <v>378</v>
      </c>
      <c r="L123" s="40"/>
    </row>
    <row r="124" spans="2:12">
      <c r="B124" s="54">
        <v>30</v>
      </c>
      <c r="C124" s="54" t="s">
        <v>164</v>
      </c>
      <c r="D124" s="54" t="s">
        <v>365</v>
      </c>
      <c r="E124" s="54">
        <v>1</v>
      </c>
      <c r="F124" s="54">
        <v>0</v>
      </c>
      <c r="G124" s="54" t="s">
        <v>379</v>
      </c>
      <c r="H124" s="54"/>
      <c r="L124" s="40"/>
    </row>
    <row r="125" spans="2:12">
      <c r="B125" s="54">
        <v>30</v>
      </c>
      <c r="C125" s="54" t="s">
        <v>164</v>
      </c>
      <c r="D125" s="54" t="s">
        <v>365</v>
      </c>
      <c r="E125" s="54">
        <v>2</v>
      </c>
      <c r="F125" s="54">
        <v>0</v>
      </c>
      <c r="G125" s="54" t="s">
        <v>380</v>
      </c>
      <c r="H125" s="54"/>
      <c r="L125" s="40"/>
    </row>
    <row r="126" spans="2:12">
      <c r="B126" s="54">
        <v>32</v>
      </c>
      <c r="C126" s="54" t="s">
        <v>137</v>
      </c>
      <c r="D126" s="54" t="s">
        <v>365</v>
      </c>
      <c r="E126" s="54">
        <v>1</v>
      </c>
      <c r="F126" s="54">
        <v>0</v>
      </c>
      <c r="G126" s="54" t="s">
        <v>381</v>
      </c>
      <c r="H126" s="54"/>
      <c r="L126" s="40"/>
    </row>
    <row r="127" spans="2:12">
      <c r="B127" s="54">
        <v>32</v>
      </c>
      <c r="C127" s="54" t="s">
        <v>137</v>
      </c>
      <c r="D127" s="54" t="s">
        <v>365</v>
      </c>
      <c r="E127" s="54">
        <v>2</v>
      </c>
      <c r="F127" s="54">
        <v>0</v>
      </c>
      <c r="G127" s="54" t="s">
        <v>382</v>
      </c>
      <c r="H127" s="54"/>
      <c r="L127" s="40"/>
    </row>
    <row r="128" spans="2:12">
      <c r="B128" s="54">
        <v>36</v>
      </c>
      <c r="C128" s="54" t="s">
        <v>383</v>
      </c>
      <c r="D128" s="54" t="s">
        <v>365</v>
      </c>
      <c r="E128" s="54" t="s">
        <v>384</v>
      </c>
      <c r="F128" s="54">
        <v>0</v>
      </c>
      <c r="G128" s="54" t="s">
        <v>385</v>
      </c>
      <c r="H128" s="54"/>
      <c r="L128" s="40"/>
    </row>
    <row r="129" spans="2:12">
      <c r="B129" s="54">
        <v>36</v>
      </c>
      <c r="C129" s="54" t="s">
        <v>383</v>
      </c>
      <c r="D129" s="54" t="s">
        <v>365</v>
      </c>
      <c r="E129" s="54" t="s">
        <v>377</v>
      </c>
      <c r="F129" s="54">
        <v>0</v>
      </c>
      <c r="G129" s="54" t="s">
        <v>386</v>
      </c>
      <c r="H129" s="54"/>
      <c r="L129" s="40"/>
    </row>
    <row r="130" spans="2:12">
      <c r="B130" s="54">
        <v>1</v>
      </c>
      <c r="C130" s="54" t="s">
        <v>154</v>
      </c>
      <c r="D130" s="54" t="s">
        <v>387</v>
      </c>
      <c r="E130" s="54">
        <v>1</v>
      </c>
      <c r="F130" s="54">
        <v>0</v>
      </c>
      <c r="G130" s="52" t="s">
        <v>388</v>
      </c>
      <c r="H130" s="76" t="s">
        <v>389</v>
      </c>
      <c r="L130" s="40"/>
    </row>
    <row r="131" spans="2:12">
      <c r="B131" s="54">
        <v>1</v>
      </c>
      <c r="C131" s="54" t="s">
        <v>154</v>
      </c>
      <c r="D131" s="54" t="s">
        <v>387</v>
      </c>
      <c r="E131" s="54">
        <v>2</v>
      </c>
      <c r="F131" s="54">
        <v>0</v>
      </c>
      <c r="G131" s="52" t="s">
        <v>327</v>
      </c>
      <c r="H131" s="54"/>
      <c r="L131" s="40"/>
    </row>
    <row r="132" spans="2:12">
      <c r="B132" s="54">
        <v>4</v>
      </c>
      <c r="C132" s="54" t="s">
        <v>338</v>
      </c>
      <c r="D132" s="54" t="s">
        <v>387</v>
      </c>
      <c r="E132" s="54">
        <v>1</v>
      </c>
      <c r="F132" s="54">
        <v>0</v>
      </c>
      <c r="G132" s="54" t="s">
        <v>390</v>
      </c>
      <c r="H132" s="54"/>
      <c r="L132" s="40"/>
    </row>
    <row r="133" spans="2:12">
      <c r="B133" s="54">
        <v>4</v>
      </c>
      <c r="C133" s="54" t="s">
        <v>338</v>
      </c>
      <c r="D133" s="54" t="s">
        <v>387</v>
      </c>
      <c r="E133" s="54">
        <v>2</v>
      </c>
      <c r="F133" s="54">
        <v>0</v>
      </c>
      <c r="G133" s="54" t="s">
        <v>391</v>
      </c>
      <c r="H133" s="54"/>
      <c r="L133" s="40"/>
    </row>
    <row r="134" spans="2:12">
      <c r="B134" s="54">
        <v>5</v>
      </c>
      <c r="C134" s="54" t="s">
        <v>155</v>
      </c>
      <c r="D134" s="54" t="s">
        <v>387</v>
      </c>
      <c r="E134" s="54">
        <v>0</v>
      </c>
      <c r="F134" s="54">
        <v>0</v>
      </c>
      <c r="G134" s="52" t="s">
        <v>392</v>
      </c>
      <c r="H134" s="76" t="s">
        <v>393</v>
      </c>
      <c r="L134" s="40"/>
    </row>
    <row r="135" spans="2:12">
      <c r="B135" s="54">
        <v>5</v>
      </c>
      <c r="C135" s="54" t="s">
        <v>155</v>
      </c>
      <c r="D135" s="54" t="s">
        <v>387</v>
      </c>
      <c r="E135" s="54">
        <v>1</v>
      </c>
      <c r="F135" s="54">
        <v>0</v>
      </c>
      <c r="G135" s="52" t="s">
        <v>394</v>
      </c>
      <c r="H135" s="54"/>
      <c r="L135" s="40"/>
    </row>
    <row r="136" spans="2:12">
      <c r="B136" s="54">
        <v>5</v>
      </c>
      <c r="C136" s="54" t="s">
        <v>155</v>
      </c>
      <c r="D136" s="54" t="s">
        <v>387</v>
      </c>
      <c r="E136" s="54">
        <v>4</v>
      </c>
      <c r="F136" s="54">
        <v>0</v>
      </c>
      <c r="G136" s="52" t="s">
        <v>395</v>
      </c>
      <c r="H136" s="54"/>
      <c r="L136" s="40"/>
    </row>
    <row r="137" spans="2:12">
      <c r="B137" s="54">
        <v>5</v>
      </c>
      <c r="C137" s="54" t="s">
        <v>155</v>
      </c>
      <c r="D137" s="54" t="s">
        <v>387</v>
      </c>
      <c r="E137" s="54">
        <v>5</v>
      </c>
      <c r="F137" s="54">
        <v>0</v>
      </c>
      <c r="G137" s="52" t="s">
        <v>396</v>
      </c>
      <c r="H137" s="54"/>
      <c r="L137" s="40"/>
    </row>
    <row r="138" spans="2:12">
      <c r="B138" s="54">
        <v>6</v>
      </c>
      <c r="C138" s="54" t="s">
        <v>156</v>
      </c>
      <c r="D138" s="54" t="s">
        <v>387</v>
      </c>
      <c r="E138" s="54">
        <v>1</v>
      </c>
      <c r="F138" s="54">
        <v>0</v>
      </c>
      <c r="G138" s="54" t="s">
        <v>397</v>
      </c>
      <c r="H138" s="54"/>
      <c r="L138" s="40"/>
    </row>
    <row r="139" spans="2:12">
      <c r="B139" s="54">
        <v>6</v>
      </c>
      <c r="C139" s="54" t="s">
        <v>156</v>
      </c>
      <c r="D139" s="54" t="s">
        <v>387</v>
      </c>
      <c r="E139" s="54">
        <v>2</v>
      </c>
      <c r="F139" s="54">
        <v>0</v>
      </c>
      <c r="G139" s="54" t="s">
        <v>398</v>
      </c>
      <c r="H139" s="54"/>
      <c r="L139" s="40"/>
    </row>
    <row r="140" spans="2:12">
      <c r="B140" s="54">
        <v>7</v>
      </c>
      <c r="C140" s="54" t="s">
        <v>157</v>
      </c>
      <c r="D140" s="54" t="s">
        <v>387</v>
      </c>
      <c r="E140" s="54">
        <v>1</v>
      </c>
      <c r="F140" s="54">
        <v>0</v>
      </c>
      <c r="G140" s="54" t="s">
        <v>399</v>
      </c>
      <c r="H140" s="54"/>
      <c r="L140" s="40"/>
    </row>
    <row r="141" spans="2:12">
      <c r="B141" s="54">
        <v>7</v>
      </c>
      <c r="C141" s="54" t="s">
        <v>157</v>
      </c>
      <c r="D141" s="54" t="s">
        <v>387</v>
      </c>
      <c r="E141" s="54">
        <v>2</v>
      </c>
      <c r="F141" s="54">
        <v>0</v>
      </c>
      <c r="G141" s="54" t="s">
        <v>400</v>
      </c>
      <c r="H141" s="54"/>
      <c r="L141" s="40"/>
    </row>
    <row r="142" spans="2:12">
      <c r="B142" s="54">
        <v>16</v>
      </c>
      <c r="C142" s="54" t="s">
        <v>401</v>
      </c>
      <c r="D142" s="54" t="s">
        <v>387</v>
      </c>
      <c r="E142" s="54">
        <v>1</v>
      </c>
      <c r="F142" s="54">
        <v>0</v>
      </c>
      <c r="G142" s="54" t="s">
        <v>402</v>
      </c>
      <c r="H142" s="54"/>
      <c r="L142" s="40"/>
    </row>
    <row r="143" spans="2:12">
      <c r="B143" s="54">
        <v>16</v>
      </c>
      <c r="C143" s="54" t="s">
        <v>401</v>
      </c>
      <c r="D143" s="54" t="s">
        <v>387</v>
      </c>
      <c r="E143" s="54">
        <v>2</v>
      </c>
      <c r="F143" s="54">
        <v>0</v>
      </c>
      <c r="G143" s="54" t="s">
        <v>403</v>
      </c>
      <c r="H143" s="54"/>
      <c r="L143" s="40"/>
    </row>
    <row r="144" spans="2:12">
      <c r="B144" s="54">
        <v>36</v>
      </c>
      <c r="C144" s="54" t="s">
        <v>383</v>
      </c>
      <c r="D144" s="54" t="s">
        <v>387</v>
      </c>
      <c r="E144" s="54" t="s">
        <v>384</v>
      </c>
      <c r="F144" s="54">
        <v>0</v>
      </c>
      <c r="G144" s="54" t="s">
        <v>385</v>
      </c>
      <c r="H144" s="54"/>
      <c r="L144" s="40"/>
    </row>
    <row r="145" spans="2:12">
      <c r="B145" s="54">
        <v>36</v>
      </c>
      <c r="C145" s="54" t="s">
        <v>383</v>
      </c>
      <c r="D145" s="54" t="s">
        <v>387</v>
      </c>
      <c r="E145" s="54" t="s">
        <v>377</v>
      </c>
      <c r="F145" s="54">
        <v>0</v>
      </c>
      <c r="G145" s="54" t="s">
        <v>386</v>
      </c>
      <c r="H145" s="54"/>
      <c r="L145" s="40"/>
    </row>
    <row r="146" spans="2:12">
      <c r="B146" s="54">
        <v>1</v>
      </c>
      <c r="C146" s="54" t="s">
        <v>154</v>
      </c>
      <c r="D146" s="54" t="s">
        <v>404</v>
      </c>
      <c r="E146" s="54">
        <v>0</v>
      </c>
      <c r="F146" s="54">
        <v>0</v>
      </c>
      <c r="G146" s="52" t="s">
        <v>405</v>
      </c>
      <c r="H146" s="76" t="s">
        <v>406</v>
      </c>
      <c r="L146" s="40"/>
    </row>
    <row r="147" spans="2:12">
      <c r="B147" s="54">
        <v>1</v>
      </c>
      <c r="C147" s="54" t="s">
        <v>154</v>
      </c>
      <c r="D147" s="54" t="s">
        <v>404</v>
      </c>
      <c r="E147" s="54">
        <v>1</v>
      </c>
      <c r="F147" s="54">
        <v>0</v>
      </c>
      <c r="G147" s="52" t="s">
        <v>407</v>
      </c>
      <c r="H147" s="54"/>
      <c r="L147" s="40"/>
    </row>
    <row r="148" spans="2:12">
      <c r="B148" s="54">
        <v>1</v>
      </c>
      <c r="C148" s="54" t="s">
        <v>154</v>
      </c>
      <c r="D148" s="54" t="s">
        <v>404</v>
      </c>
      <c r="E148" s="54">
        <v>2</v>
      </c>
      <c r="F148" s="54">
        <v>0</v>
      </c>
      <c r="G148" s="52" t="s">
        <v>408</v>
      </c>
      <c r="H148" s="54"/>
      <c r="L148" s="40"/>
    </row>
    <row r="149" spans="2:12">
      <c r="B149" s="54">
        <v>1</v>
      </c>
      <c r="C149" s="54" t="s">
        <v>154</v>
      </c>
      <c r="D149" s="54" t="s">
        <v>404</v>
      </c>
      <c r="E149" s="54">
        <v>3</v>
      </c>
      <c r="F149" s="54">
        <v>0</v>
      </c>
      <c r="G149" s="52" t="s">
        <v>409</v>
      </c>
      <c r="H149" s="54"/>
      <c r="L149" s="40"/>
    </row>
    <row r="150" spans="2:12">
      <c r="B150" s="54">
        <v>5</v>
      </c>
      <c r="C150" s="54" t="s">
        <v>155</v>
      </c>
      <c r="D150" s="54" t="s">
        <v>404</v>
      </c>
      <c r="E150" s="54">
        <v>0</v>
      </c>
      <c r="F150" s="54">
        <v>0</v>
      </c>
      <c r="G150" s="52" t="s">
        <v>405</v>
      </c>
      <c r="H150" s="76" t="s">
        <v>406</v>
      </c>
      <c r="L150" s="40"/>
    </row>
    <row r="151" spans="2:12">
      <c r="B151" s="54">
        <v>5</v>
      </c>
      <c r="C151" s="54" t="s">
        <v>155</v>
      </c>
      <c r="D151" s="54" t="s">
        <v>404</v>
      </c>
      <c r="E151" s="54">
        <v>1</v>
      </c>
      <c r="F151" s="54">
        <v>0</v>
      </c>
      <c r="G151" s="52" t="s">
        <v>407</v>
      </c>
      <c r="H151" s="54"/>
      <c r="L151" s="40"/>
    </row>
    <row r="152" spans="2:12">
      <c r="B152" s="54">
        <v>5</v>
      </c>
      <c r="C152" s="54" t="s">
        <v>155</v>
      </c>
      <c r="D152" s="54" t="s">
        <v>404</v>
      </c>
      <c r="E152" s="54">
        <v>2</v>
      </c>
      <c r="F152" s="54">
        <v>0</v>
      </c>
      <c r="G152" s="52" t="s">
        <v>408</v>
      </c>
      <c r="H152" s="54"/>
      <c r="L152" s="40"/>
    </row>
    <row r="153" spans="2:12">
      <c r="B153" s="54">
        <v>5</v>
      </c>
      <c r="C153" s="54" t="s">
        <v>155</v>
      </c>
      <c r="D153" s="54" t="s">
        <v>404</v>
      </c>
      <c r="E153" s="54">
        <v>3</v>
      </c>
      <c r="F153" s="54">
        <v>0</v>
      </c>
      <c r="G153" s="52" t="s">
        <v>409</v>
      </c>
      <c r="H153" s="54"/>
      <c r="L153" s="40"/>
    </row>
    <row r="154" spans="2:12">
      <c r="B154" s="54">
        <v>36</v>
      </c>
      <c r="C154" s="54" t="s">
        <v>383</v>
      </c>
      <c r="D154" s="54" t="s">
        <v>404</v>
      </c>
      <c r="E154" s="54" t="s">
        <v>384</v>
      </c>
      <c r="F154" s="54">
        <v>0</v>
      </c>
      <c r="G154" s="54" t="s">
        <v>385</v>
      </c>
      <c r="H154" s="54"/>
      <c r="L154" s="40"/>
    </row>
    <row r="155" spans="2:12">
      <c r="B155" s="54">
        <v>36</v>
      </c>
      <c r="C155" s="54" t="s">
        <v>383</v>
      </c>
      <c r="D155" s="54" t="s">
        <v>404</v>
      </c>
      <c r="E155" s="54" t="s">
        <v>377</v>
      </c>
      <c r="F155" s="54">
        <v>0</v>
      </c>
      <c r="G155" s="54" t="s">
        <v>386</v>
      </c>
      <c r="H155" s="54"/>
      <c r="L155" s="40"/>
    </row>
    <row r="156" spans="2:12">
      <c r="B156" s="54">
        <v>1</v>
      </c>
      <c r="C156" s="54" t="s">
        <v>154</v>
      </c>
      <c r="D156" s="54" t="s">
        <v>410</v>
      </c>
      <c r="E156" s="54">
        <v>0</v>
      </c>
      <c r="F156" s="54">
        <v>0</v>
      </c>
      <c r="G156" s="52" t="s">
        <v>411</v>
      </c>
      <c r="H156" s="76" t="s">
        <v>412</v>
      </c>
      <c r="L156" s="40"/>
    </row>
    <row r="157" spans="2:12">
      <c r="B157" s="54">
        <v>1</v>
      </c>
      <c r="C157" s="54" t="s">
        <v>154</v>
      </c>
      <c r="D157" s="54" t="s">
        <v>410</v>
      </c>
      <c r="E157" s="54">
        <v>1</v>
      </c>
      <c r="F157" s="54">
        <v>0</v>
      </c>
      <c r="G157" s="52" t="s">
        <v>413</v>
      </c>
      <c r="H157" s="54"/>
      <c r="L157" s="40"/>
    </row>
    <row r="158" spans="2:12">
      <c r="B158" s="54">
        <v>1</v>
      </c>
      <c r="C158" s="54" t="s">
        <v>154</v>
      </c>
      <c r="D158" s="54" t="s">
        <v>410</v>
      </c>
      <c r="E158" s="54">
        <v>2</v>
      </c>
      <c r="F158" s="54">
        <v>0</v>
      </c>
      <c r="G158" s="52" t="s">
        <v>414</v>
      </c>
      <c r="H158" s="54"/>
      <c r="L158" s="40"/>
    </row>
    <row r="159" spans="2:12">
      <c r="B159" s="54">
        <v>1</v>
      </c>
      <c r="C159" s="54" t="s">
        <v>154</v>
      </c>
      <c r="D159" s="54" t="s">
        <v>410</v>
      </c>
      <c r="E159" s="54">
        <v>3</v>
      </c>
      <c r="F159" s="54">
        <v>0</v>
      </c>
      <c r="G159" s="52" t="s">
        <v>330</v>
      </c>
      <c r="H159" s="54"/>
      <c r="L159" s="40"/>
    </row>
    <row r="160" spans="2:12">
      <c r="B160" s="54">
        <v>5</v>
      </c>
      <c r="C160" s="54" t="s">
        <v>155</v>
      </c>
      <c r="D160" s="54" t="s">
        <v>410</v>
      </c>
      <c r="E160" s="54">
        <v>0</v>
      </c>
      <c r="F160" s="54">
        <v>0</v>
      </c>
      <c r="G160" s="52" t="s">
        <v>411</v>
      </c>
      <c r="H160" s="76" t="s">
        <v>412</v>
      </c>
      <c r="L160" s="40"/>
    </row>
    <row r="161" spans="2:12">
      <c r="B161" s="54">
        <v>5</v>
      </c>
      <c r="C161" s="54" t="s">
        <v>155</v>
      </c>
      <c r="D161" s="54" t="s">
        <v>410</v>
      </c>
      <c r="E161" s="54">
        <v>1</v>
      </c>
      <c r="F161" s="54">
        <v>0</v>
      </c>
      <c r="G161" s="52" t="s">
        <v>413</v>
      </c>
      <c r="H161" s="54"/>
      <c r="L161" s="40"/>
    </row>
    <row r="162" spans="2:12">
      <c r="B162" s="54">
        <v>5</v>
      </c>
      <c r="C162" s="54" t="s">
        <v>155</v>
      </c>
      <c r="D162" s="54" t="s">
        <v>410</v>
      </c>
      <c r="E162" s="54">
        <v>2</v>
      </c>
      <c r="F162" s="54">
        <v>0</v>
      </c>
      <c r="G162" s="52" t="s">
        <v>414</v>
      </c>
      <c r="H162" s="54"/>
      <c r="L162" s="40"/>
    </row>
    <row r="163" spans="2:12">
      <c r="B163" s="54">
        <v>5</v>
      </c>
      <c r="C163" s="54" t="s">
        <v>155</v>
      </c>
      <c r="D163" s="54" t="s">
        <v>410</v>
      </c>
      <c r="E163" s="54">
        <v>3</v>
      </c>
      <c r="F163" s="54">
        <v>0</v>
      </c>
      <c r="G163" s="52" t="s">
        <v>330</v>
      </c>
      <c r="H163" s="54"/>
      <c r="L163" s="40"/>
    </row>
    <row r="164" spans="2:12">
      <c r="B164" s="54">
        <v>36</v>
      </c>
      <c r="C164" s="54" t="s">
        <v>383</v>
      </c>
      <c r="D164" s="54" t="s">
        <v>410</v>
      </c>
      <c r="E164" s="54" t="s">
        <v>384</v>
      </c>
      <c r="F164" s="54">
        <v>0</v>
      </c>
      <c r="G164" s="54" t="s">
        <v>385</v>
      </c>
      <c r="H164" s="54"/>
      <c r="L164" s="40"/>
    </row>
    <row r="165" spans="2:12">
      <c r="B165" s="54">
        <v>36</v>
      </c>
      <c r="C165" s="54" t="s">
        <v>383</v>
      </c>
      <c r="D165" s="54" t="s">
        <v>410</v>
      </c>
      <c r="E165" s="54" t="s">
        <v>377</v>
      </c>
      <c r="F165" s="54">
        <v>0</v>
      </c>
      <c r="G165" s="54" t="s">
        <v>386</v>
      </c>
      <c r="H165" s="54"/>
      <c r="L165" s="40"/>
    </row>
    <row r="166" spans="2:12">
      <c r="B166" s="54">
        <v>1</v>
      </c>
      <c r="C166" s="54" t="s">
        <v>154</v>
      </c>
      <c r="D166" s="54" t="s">
        <v>415</v>
      </c>
      <c r="E166" s="78">
        <v>0</v>
      </c>
      <c r="F166" s="54">
        <v>0</v>
      </c>
      <c r="G166" s="78" t="s">
        <v>416</v>
      </c>
      <c r="H166" s="54"/>
      <c r="L166" s="40"/>
    </row>
    <row r="167" spans="2:12">
      <c r="B167" s="54">
        <v>1</v>
      </c>
      <c r="C167" s="54" t="s">
        <v>154</v>
      </c>
      <c r="D167" s="54" t="s">
        <v>415</v>
      </c>
      <c r="E167" s="78">
        <v>1</v>
      </c>
      <c r="F167" s="54">
        <v>0</v>
      </c>
      <c r="G167" s="78" t="s">
        <v>417</v>
      </c>
      <c r="H167" s="54"/>
      <c r="L167" s="40"/>
    </row>
    <row r="168" spans="2:12">
      <c r="B168" s="54">
        <v>1</v>
      </c>
      <c r="C168" s="54" t="s">
        <v>154</v>
      </c>
      <c r="D168" s="54" t="s">
        <v>415</v>
      </c>
      <c r="E168" s="78">
        <v>2</v>
      </c>
      <c r="F168" s="54">
        <v>0</v>
      </c>
      <c r="G168" s="78" t="s">
        <v>418</v>
      </c>
      <c r="H168" s="54"/>
      <c r="L168" s="40"/>
    </row>
    <row r="169" spans="2:12">
      <c r="B169" s="54">
        <v>1</v>
      </c>
      <c r="C169" s="54" t="s">
        <v>154</v>
      </c>
      <c r="D169" s="54" t="s">
        <v>415</v>
      </c>
      <c r="E169" s="78">
        <v>3</v>
      </c>
      <c r="F169" s="54">
        <v>0</v>
      </c>
      <c r="G169" s="78" t="s">
        <v>419</v>
      </c>
      <c r="H169" s="54"/>
      <c r="L169" s="40"/>
    </row>
    <row r="170" spans="2:12">
      <c r="B170" s="78">
        <v>5</v>
      </c>
      <c r="C170" s="78" t="s">
        <v>155</v>
      </c>
      <c r="D170" s="54" t="s">
        <v>415</v>
      </c>
      <c r="E170" s="78">
        <v>0</v>
      </c>
      <c r="F170" s="54">
        <v>0</v>
      </c>
      <c r="G170" s="78" t="s">
        <v>420</v>
      </c>
      <c r="H170" s="54"/>
      <c r="L170" s="40"/>
    </row>
    <row r="171" spans="2:12">
      <c r="B171" s="78">
        <v>5</v>
      </c>
      <c r="C171" s="78" t="s">
        <v>155</v>
      </c>
      <c r="D171" s="54" t="s">
        <v>415</v>
      </c>
      <c r="E171" s="78">
        <v>1</v>
      </c>
      <c r="F171" s="54">
        <v>0</v>
      </c>
      <c r="G171" s="78" t="s">
        <v>421</v>
      </c>
      <c r="H171" s="54"/>
      <c r="L171" s="40"/>
    </row>
    <row r="172" spans="2:12">
      <c r="B172" s="78">
        <v>5</v>
      </c>
      <c r="C172" s="78" t="s">
        <v>155</v>
      </c>
      <c r="D172" s="54" t="s">
        <v>415</v>
      </c>
      <c r="E172" s="78">
        <v>2</v>
      </c>
      <c r="F172" s="54">
        <v>0</v>
      </c>
      <c r="G172" s="78" t="s">
        <v>422</v>
      </c>
      <c r="H172" s="54"/>
      <c r="L172" s="40"/>
    </row>
    <row r="173" spans="2:12">
      <c r="B173" s="78">
        <v>5</v>
      </c>
      <c r="C173" s="78" t="s">
        <v>155</v>
      </c>
      <c r="D173" s="54" t="s">
        <v>415</v>
      </c>
      <c r="E173" s="78">
        <v>3</v>
      </c>
      <c r="F173" s="54">
        <v>0</v>
      </c>
      <c r="G173" s="78" t="s">
        <v>423</v>
      </c>
      <c r="H173" s="54"/>
      <c r="L173" s="40"/>
    </row>
    <row r="174" spans="2:12">
      <c r="B174" s="78">
        <v>15</v>
      </c>
      <c r="C174" s="78" t="s">
        <v>424</v>
      </c>
      <c r="D174" s="54" t="s">
        <v>415</v>
      </c>
      <c r="E174" s="78">
        <v>0</v>
      </c>
      <c r="F174" s="54">
        <v>0</v>
      </c>
      <c r="G174" s="78" t="s">
        <v>425</v>
      </c>
      <c r="H174" s="54"/>
      <c r="L174" s="40"/>
    </row>
    <row r="175" spans="2:12">
      <c r="B175" s="78">
        <v>15</v>
      </c>
      <c r="C175" s="78" t="s">
        <v>424</v>
      </c>
      <c r="D175" s="54" t="s">
        <v>415</v>
      </c>
      <c r="E175" s="78">
        <v>1</v>
      </c>
      <c r="F175" s="54">
        <v>0</v>
      </c>
      <c r="G175" s="78" t="s">
        <v>426</v>
      </c>
      <c r="H175" s="54"/>
      <c r="L175" s="40"/>
    </row>
    <row r="176" spans="2:12">
      <c r="B176" s="78">
        <v>15</v>
      </c>
      <c r="C176" s="78" t="s">
        <v>424</v>
      </c>
      <c r="D176" s="54" t="s">
        <v>415</v>
      </c>
      <c r="E176" s="78">
        <v>2</v>
      </c>
      <c r="F176" s="54">
        <v>0</v>
      </c>
      <c r="G176" s="78" t="s">
        <v>427</v>
      </c>
      <c r="H176" s="54"/>
      <c r="L176" s="40"/>
    </row>
    <row r="177" spans="2:12">
      <c r="B177" s="78">
        <v>15</v>
      </c>
      <c r="C177" s="78" t="s">
        <v>424</v>
      </c>
      <c r="D177" s="54" t="s">
        <v>415</v>
      </c>
      <c r="E177" s="78">
        <v>3</v>
      </c>
      <c r="F177" s="54">
        <v>0</v>
      </c>
      <c r="G177" s="78" t="s">
        <v>428</v>
      </c>
      <c r="H177" s="54"/>
      <c r="L177" s="40"/>
    </row>
    <row r="178" spans="2:12">
      <c r="B178" s="78">
        <v>20</v>
      </c>
      <c r="C178" s="78" t="s">
        <v>160</v>
      </c>
      <c r="D178" s="54" t="s">
        <v>415</v>
      </c>
      <c r="E178" s="78">
        <v>0</v>
      </c>
      <c r="F178" s="54">
        <v>0</v>
      </c>
      <c r="G178" s="78" t="s">
        <v>429</v>
      </c>
      <c r="H178" s="54"/>
      <c r="L178" s="40"/>
    </row>
    <row r="179" spans="2:12">
      <c r="B179" s="78">
        <v>20</v>
      </c>
      <c r="C179" s="78" t="s">
        <v>160</v>
      </c>
      <c r="D179" s="54" t="s">
        <v>415</v>
      </c>
      <c r="E179" s="78">
        <v>1</v>
      </c>
      <c r="F179" s="54">
        <v>0</v>
      </c>
      <c r="G179" s="78" t="s">
        <v>430</v>
      </c>
      <c r="H179" s="54"/>
      <c r="L179" s="40"/>
    </row>
    <row r="180" spans="2:12">
      <c r="B180" s="78">
        <v>20</v>
      </c>
      <c r="C180" s="78" t="s">
        <v>160</v>
      </c>
      <c r="D180" s="54" t="s">
        <v>415</v>
      </c>
      <c r="E180" s="78">
        <v>2</v>
      </c>
      <c r="F180" s="54">
        <v>0</v>
      </c>
      <c r="G180" s="78" t="s">
        <v>431</v>
      </c>
      <c r="H180" s="54"/>
      <c r="L180" s="40"/>
    </row>
    <row r="181" spans="2:12">
      <c r="B181" s="78">
        <v>30</v>
      </c>
      <c r="C181" s="78" t="s">
        <v>164</v>
      </c>
      <c r="D181" s="54" t="s">
        <v>415</v>
      </c>
      <c r="E181" s="78">
        <v>0</v>
      </c>
      <c r="F181" s="54">
        <v>0</v>
      </c>
      <c r="G181" s="78" t="s">
        <v>432</v>
      </c>
      <c r="H181" s="54"/>
      <c r="L181" s="40"/>
    </row>
    <row r="182" spans="2:12">
      <c r="B182" s="78">
        <v>30</v>
      </c>
      <c r="C182" s="78" t="s">
        <v>164</v>
      </c>
      <c r="D182" s="54" t="s">
        <v>415</v>
      </c>
      <c r="E182" s="78">
        <v>1</v>
      </c>
      <c r="F182" s="54">
        <v>0</v>
      </c>
      <c r="G182" s="78" t="s">
        <v>433</v>
      </c>
      <c r="H182" s="54"/>
      <c r="L182" s="40"/>
    </row>
    <row r="183" spans="2:12">
      <c r="B183" s="78">
        <v>30</v>
      </c>
      <c r="C183" s="78" t="s">
        <v>164</v>
      </c>
      <c r="D183" s="54" t="s">
        <v>415</v>
      </c>
      <c r="E183" s="78">
        <v>2</v>
      </c>
      <c r="F183" s="54">
        <v>0</v>
      </c>
      <c r="G183" s="78" t="s">
        <v>434</v>
      </c>
      <c r="H183" s="54"/>
      <c r="L183" s="40"/>
    </row>
    <row r="184" spans="2:12">
      <c r="B184" s="78">
        <v>30</v>
      </c>
      <c r="C184" s="78" t="s">
        <v>164</v>
      </c>
      <c r="D184" s="54" t="s">
        <v>415</v>
      </c>
      <c r="E184" s="78">
        <v>3</v>
      </c>
      <c r="F184" s="54">
        <v>0</v>
      </c>
      <c r="G184" s="78" t="s">
        <v>435</v>
      </c>
      <c r="H184" s="54"/>
      <c r="L184" s="40"/>
    </row>
  </sheetData>
  <mergeCells count="3">
    <mergeCell ref="B2:H2"/>
    <mergeCell ref="B6:H6"/>
    <mergeCell ref="B11:L11"/>
  </mergeCells>
  <phoneticPr fontId="23" type="noConversion"/>
  <dataValidations count="1">
    <dataValidation type="list" allowBlank="1" showInputMessage="1" showErrorMessage="1" sqref="E4" xr:uid="{31817464-6495-48F3-8682-EB215C153A47}">
      <formula1>"quarter,hour,day,week,month,season(季度),year,维表,手动"</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25"/>
  <sheetViews>
    <sheetView zoomScale="85" zoomScaleNormal="85" workbookViewId="0">
      <pane ySplit="5" topLeftCell="A6" activePane="bottomLeft" state="frozen"/>
      <selection pane="bottomLeft" activeCell="C13" sqref="C13"/>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36.88671875" style="3" customWidth="1"/>
    <col min="9" max="9" width="10.21875" style="3" bestFit="1"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72"/>
      <c r="C2" s="72"/>
      <c r="D2" s="72"/>
      <c r="E2" s="72"/>
      <c r="F2" s="74"/>
      <c r="G2" s="72"/>
      <c r="H2" s="74"/>
    </row>
    <row r="3" spans="2:14">
      <c r="B3" s="73" t="s">
        <v>45</v>
      </c>
      <c r="C3" s="73"/>
      <c r="D3" s="73"/>
      <c r="E3" s="73"/>
      <c r="F3" s="75"/>
      <c r="G3" s="73"/>
      <c r="H3" s="75"/>
    </row>
    <row r="4" spans="2:14">
      <c r="B4" s="7" t="s">
        <v>11</v>
      </c>
      <c r="C4" s="7" t="s">
        <v>46</v>
      </c>
      <c r="D4" s="7" t="s">
        <v>47</v>
      </c>
      <c r="E4" s="7" t="s">
        <v>48</v>
      </c>
      <c r="F4" s="11" t="s">
        <v>49</v>
      </c>
      <c r="G4" s="7" t="s">
        <v>14</v>
      </c>
      <c r="H4" s="11" t="s">
        <v>50</v>
      </c>
    </row>
    <row r="5" spans="2:14">
      <c r="B5" s="8" t="s">
        <v>5</v>
      </c>
      <c r="C5" s="9" t="s">
        <v>2483</v>
      </c>
      <c r="D5" s="10" t="s">
        <v>440</v>
      </c>
      <c r="E5" s="12" t="s">
        <v>4</v>
      </c>
      <c r="F5" s="17"/>
      <c r="G5" s="12"/>
      <c r="H5" s="12"/>
      <c r="N5" s="3"/>
    </row>
    <row r="6" spans="2:14">
      <c r="B6" s="6"/>
      <c r="C6" s="6"/>
      <c r="D6" s="6"/>
      <c r="E6" s="6"/>
      <c r="F6" s="18"/>
      <c r="G6" s="6"/>
      <c r="H6" s="18"/>
    </row>
    <row r="7" spans="2:14">
      <c r="B7" s="73" t="s">
        <v>51</v>
      </c>
      <c r="C7" s="73"/>
      <c r="D7" s="73"/>
      <c r="E7" s="73"/>
      <c r="F7" s="75"/>
      <c r="G7" s="73"/>
      <c r="H7" s="75"/>
    </row>
    <row r="8" spans="2:14">
      <c r="B8" s="11" t="s">
        <v>52</v>
      </c>
      <c r="C8" s="11" t="s">
        <v>53</v>
      </c>
      <c r="D8" s="11" t="s">
        <v>54</v>
      </c>
      <c r="E8" s="11" t="s">
        <v>55</v>
      </c>
      <c r="F8" s="11" t="s">
        <v>56</v>
      </c>
      <c r="G8" s="11" t="s">
        <v>24</v>
      </c>
      <c r="H8" s="11" t="s">
        <v>57</v>
      </c>
    </row>
    <row r="9" spans="2:14">
      <c r="B9" s="12"/>
      <c r="C9" s="9" t="s">
        <v>439</v>
      </c>
      <c r="D9" s="10" t="s">
        <v>441</v>
      </c>
      <c r="E9" s="12" t="s">
        <v>58</v>
      </c>
      <c r="F9" s="19"/>
      <c r="G9" s="22"/>
      <c r="H9" s="20" t="s">
        <v>30</v>
      </c>
    </row>
    <row r="10" spans="2:14">
      <c r="B10" s="12"/>
      <c r="C10" s="9" t="s">
        <v>588</v>
      </c>
      <c r="D10" s="10" t="s">
        <v>41</v>
      </c>
      <c r="E10" s="12" t="s">
        <v>107</v>
      </c>
      <c r="F10" s="19" t="s">
        <v>446</v>
      </c>
      <c r="G10" s="22" t="s">
        <v>165</v>
      </c>
      <c r="H10" s="20"/>
    </row>
    <row r="11" spans="2:14">
      <c r="B11" s="12"/>
      <c r="C11" s="9" t="s">
        <v>442</v>
      </c>
      <c r="D11" s="10" t="s">
        <v>443</v>
      </c>
      <c r="E11" s="12" t="s">
        <v>122</v>
      </c>
      <c r="F11" s="19"/>
      <c r="G11" s="22" t="s">
        <v>596</v>
      </c>
      <c r="H11" s="20"/>
    </row>
    <row r="12" spans="2:14">
      <c r="B12" s="12"/>
      <c r="C12" s="9" t="s">
        <v>2528</v>
      </c>
      <c r="D12" s="10" t="s">
        <v>319</v>
      </c>
      <c r="E12" s="12" t="s">
        <v>166</v>
      </c>
      <c r="F12" s="19"/>
      <c r="G12" s="22"/>
      <c r="H12" s="20"/>
    </row>
    <row r="13" spans="2:14">
      <c r="B13" s="12"/>
      <c r="C13" s="9" t="s">
        <v>444</v>
      </c>
      <c r="D13" s="9" t="s">
        <v>1242</v>
      </c>
      <c r="E13" s="12" t="s">
        <v>167</v>
      </c>
      <c r="F13" s="19" t="s">
        <v>445</v>
      </c>
      <c r="G13" s="22" t="s">
        <v>602</v>
      </c>
      <c r="H13" s="20"/>
    </row>
    <row r="14" spans="2:14">
      <c r="G14" s="30"/>
    </row>
    <row r="15" spans="2:14">
      <c r="B15" s="3" t="s">
        <v>59</v>
      </c>
    </row>
    <row r="16" spans="2:14">
      <c r="B16" s="73" t="s">
        <v>59</v>
      </c>
      <c r="C16" s="73"/>
      <c r="D16" s="73"/>
      <c r="E16" s="73"/>
      <c r="F16" s="75"/>
      <c r="G16" s="73"/>
      <c r="H16" s="75"/>
      <c r="I16" s="73"/>
      <c r="J16" s="73"/>
      <c r="K16" s="73"/>
      <c r="L16" s="73"/>
    </row>
    <row r="17" spans="2:12">
      <c r="B17" s="7" t="s">
        <v>60</v>
      </c>
      <c r="C17" s="7" t="s">
        <v>61</v>
      </c>
      <c r="D17" s="7" t="s">
        <v>62</v>
      </c>
      <c r="E17" s="7" t="s">
        <v>63</v>
      </c>
      <c r="F17" s="11" t="s">
        <v>64</v>
      </c>
      <c r="G17" s="7" t="s">
        <v>65</v>
      </c>
      <c r="H17" s="11" t="s">
        <v>66</v>
      </c>
      <c r="I17" s="7" t="s">
        <v>24</v>
      </c>
      <c r="J17" s="7" t="s">
        <v>67</v>
      </c>
      <c r="K17" s="7" t="s">
        <v>68</v>
      </c>
      <c r="L17" s="7" t="s">
        <v>69</v>
      </c>
    </row>
    <row r="18" spans="2:12" s="1" customFormat="1">
      <c r="B18" s="13" t="s">
        <v>76</v>
      </c>
      <c r="C18" s="13" t="s">
        <v>222</v>
      </c>
      <c r="D18" s="9" t="s">
        <v>77</v>
      </c>
      <c r="E18" s="21" t="s">
        <v>587</v>
      </c>
      <c r="F18" s="19" t="str">
        <f>B18</f>
        <v>interface</v>
      </c>
      <c r="G18" s="22" t="s">
        <v>605</v>
      </c>
      <c r="H18" s="71"/>
      <c r="I18" s="25"/>
      <c r="J18" s="25" t="s">
        <v>42</v>
      </c>
      <c r="K18" s="25" t="s">
        <v>74</v>
      </c>
      <c r="L18" s="25" t="s">
        <v>74</v>
      </c>
    </row>
    <row r="19" spans="2:12" s="1" customFormat="1">
      <c r="B19" s="13" t="s">
        <v>169</v>
      </c>
      <c r="C19" s="13" t="s">
        <v>71</v>
      </c>
      <c r="D19" s="9" t="s">
        <v>505</v>
      </c>
      <c r="E19" s="21" t="s">
        <v>587</v>
      </c>
      <c r="F19" s="19" t="str">
        <f t="shared" ref="F19:F82" si="0">B19</f>
        <v>xdr_id</v>
      </c>
      <c r="G19" s="22" t="s">
        <v>605</v>
      </c>
      <c r="H19" s="71"/>
      <c r="I19" s="25"/>
      <c r="J19" s="25" t="s">
        <v>42</v>
      </c>
      <c r="K19" s="25" t="s">
        <v>74</v>
      </c>
      <c r="L19" s="25" t="s">
        <v>74</v>
      </c>
    </row>
    <row r="20" spans="2:12" s="1" customFormat="1">
      <c r="B20" s="13" t="s">
        <v>2356</v>
      </c>
      <c r="C20" s="13" t="s">
        <v>71</v>
      </c>
      <c r="D20" s="9" t="s">
        <v>93</v>
      </c>
      <c r="E20" s="21" t="s">
        <v>587</v>
      </c>
      <c r="F20" s="19" t="str">
        <f t="shared" si="0"/>
        <v>imsi</v>
      </c>
      <c r="G20" s="22" t="s">
        <v>605</v>
      </c>
      <c r="H20" s="71"/>
      <c r="I20" s="25"/>
      <c r="J20" s="25" t="s">
        <v>42</v>
      </c>
      <c r="K20" s="25" t="s">
        <v>74</v>
      </c>
      <c r="L20" s="25" t="s">
        <v>74</v>
      </c>
    </row>
    <row r="21" spans="2:12" s="1" customFormat="1">
      <c r="B21" s="13" t="s">
        <v>123</v>
      </c>
      <c r="C21" s="13" t="s">
        <v>71</v>
      </c>
      <c r="D21" s="9" t="s">
        <v>299</v>
      </c>
      <c r="E21" s="21" t="s">
        <v>587</v>
      </c>
      <c r="F21" s="19" t="str">
        <f t="shared" si="0"/>
        <v>imei</v>
      </c>
      <c r="G21" s="22" t="s">
        <v>605</v>
      </c>
      <c r="H21" s="71"/>
      <c r="I21" s="25"/>
      <c r="J21" s="25" t="s">
        <v>42</v>
      </c>
      <c r="K21" s="25" t="s">
        <v>74</v>
      </c>
      <c r="L21" s="25" t="s">
        <v>74</v>
      </c>
    </row>
    <row r="22" spans="2:12" s="1" customFormat="1">
      <c r="B22" s="13" t="s">
        <v>94</v>
      </c>
      <c r="C22" s="13" t="s">
        <v>71</v>
      </c>
      <c r="D22" s="9" t="s">
        <v>506</v>
      </c>
      <c r="E22" s="21" t="s">
        <v>587</v>
      </c>
      <c r="F22" s="19"/>
      <c r="G22" s="22" t="s">
        <v>1269</v>
      </c>
      <c r="H22" s="71"/>
      <c r="I22" s="25"/>
      <c r="J22" s="25" t="s">
        <v>42</v>
      </c>
      <c r="K22" s="25" t="s">
        <v>74</v>
      </c>
      <c r="L22" s="25" t="s">
        <v>74</v>
      </c>
    </row>
    <row r="23" spans="2:12" s="1" customFormat="1">
      <c r="B23" s="13" t="s">
        <v>173</v>
      </c>
      <c r="C23" s="13" t="s">
        <v>222</v>
      </c>
      <c r="D23" s="9" t="s">
        <v>223</v>
      </c>
      <c r="E23" s="21" t="s">
        <v>587</v>
      </c>
      <c r="F23" s="19" t="str">
        <f t="shared" si="0"/>
        <v>rat</v>
      </c>
      <c r="G23" s="22" t="s">
        <v>605</v>
      </c>
      <c r="H23" s="71"/>
      <c r="I23" s="25"/>
      <c r="J23" s="25" t="s">
        <v>42</v>
      </c>
      <c r="K23" s="25" t="s">
        <v>74</v>
      </c>
      <c r="L23" s="25" t="s">
        <v>74</v>
      </c>
    </row>
    <row r="24" spans="2:12" s="1" customFormat="1">
      <c r="B24" s="13" t="s">
        <v>96</v>
      </c>
      <c r="C24" s="13" t="s">
        <v>71</v>
      </c>
      <c r="D24" s="9" t="s">
        <v>507</v>
      </c>
      <c r="E24" s="21" t="s">
        <v>587</v>
      </c>
      <c r="F24" s="19" t="str">
        <f t="shared" si="0"/>
        <v>home_province</v>
      </c>
      <c r="G24" s="22" t="s">
        <v>605</v>
      </c>
      <c r="H24" s="71"/>
      <c r="I24" s="25"/>
      <c r="J24" s="25" t="s">
        <v>42</v>
      </c>
      <c r="K24" s="25" t="s">
        <v>74</v>
      </c>
      <c r="L24" s="25" t="s">
        <v>74</v>
      </c>
    </row>
    <row r="25" spans="2:12" s="1" customFormat="1">
      <c r="B25" s="13" t="s">
        <v>139</v>
      </c>
      <c r="C25" s="13" t="s">
        <v>447</v>
      </c>
      <c r="D25" s="9" t="s">
        <v>508</v>
      </c>
      <c r="E25" s="21" t="s">
        <v>587</v>
      </c>
      <c r="F25" s="19" t="str">
        <f t="shared" si="0"/>
        <v>procedure_type</v>
      </c>
      <c r="G25" s="22" t="s">
        <v>605</v>
      </c>
      <c r="H25" s="71"/>
      <c r="I25" s="25"/>
      <c r="J25" s="25" t="s">
        <v>42</v>
      </c>
      <c r="K25" s="25" t="s">
        <v>74</v>
      </c>
      <c r="L25" s="25" t="s">
        <v>74</v>
      </c>
    </row>
    <row r="26" spans="2:12" s="1" customFormat="1">
      <c r="B26" s="13" t="s">
        <v>448</v>
      </c>
      <c r="C26" s="13" t="s">
        <v>98</v>
      </c>
      <c r="D26" s="9" t="s">
        <v>176</v>
      </c>
      <c r="E26" s="21" t="s">
        <v>587</v>
      </c>
      <c r="F26" s="19" t="str">
        <f t="shared" si="0"/>
        <v>procedure_starttime</v>
      </c>
      <c r="G26" s="22" t="s">
        <v>605</v>
      </c>
      <c r="H26" s="71"/>
      <c r="I26" s="25"/>
      <c r="J26" s="25" t="s">
        <v>42</v>
      </c>
      <c r="K26" s="25" t="s">
        <v>74</v>
      </c>
      <c r="L26" s="25" t="s">
        <v>74</v>
      </c>
    </row>
    <row r="27" spans="2:12" s="1" customFormat="1">
      <c r="B27" s="13" t="s">
        <v>449</v>
      </c>
      <c r="C27" s="13" t="s">
        <v>98</v>
      </c>
      <c r="D27" s="9" t="s">
        <v>177</v>
      </c>
      <c r="E27" s="21" t="s">
        <v>587</v>
      </c>
      <c r="F27" s="19" t="str">
        <f t="shared" si="0"/>
        <v>procedure_endtime</v>
      </c>
      <c r="G27" s="22" t="s">
        <v>605</v>
      </c>
      <c r="H27" s="71"/>
      <c r="I27" s="25"/>
      <c r="J27" s="25" t="s">
        <v>42</v>
      </c>
      <c r="K27" s="25" t="s">
        <v>74</v>
      </c>
      <c r="L27" s="25" t="s">
        <v>74</v>
      </c>
    </row>
    <row r="28" spans="2:12" s="1" customFormat="1">
      <c r="B28" s="13" t="s">
        <v>178</v>
      </c>
      <c r="C28" s="13" t="s">
        <v>447</v>
      </c>
      <c r="D28" s="9" t="s">
        <v>509</v>
      </c>
      <c r="E28" s="21" t="s">
        <v>587</v>
      </c>
      <c r="F28" s="19" t="str">
        <f t="shared" si="0"/>
        <v>procedure_status</v>
      </c>
      <c r="G28" s="22" t="s">
        <v>605</v>
      </c>
      <c r="H28" s="71"/>
      <c r="I28" s="25"/>
      <c r="J28" s="25" t="s">
        <v>42</v>
      </c>
      <c r="K28" s="25" t="s">
        <v>74</v>
      </c>
      <c r="L28" s="25" t="s">
        <v>74</v>
      </c>
    </row>
    <row r="29" spans="2:12" s="1" customFormat="1">
      <c r="B29" s="13" t="s">
        <v>593</v>
      </c>
      <c r="C29" s="13" t="s">
        <v>98</v>
      </c>
      <c r="D29" s="9" t="s">
        <v>510</v>
      </c>
      <c r="E29" s="21" t="s">
        <v>587</v>
      </c>
      <c r="F29" s="19" t="str">
        <f t="shared" si="0"/>
        <v>request_cause</v>
      </c>
      <c r="G29" s="22" t="s">
        <v>605</v>
      </c>
      <c r="H29" s="71"/>
      <c r="I29" s="25"/>
      <c r="J29" s="25" t="s">
        <v>42</v>
      </c>
      <c r="K29" s="25" t="s">
        <v>74</v>
      </c>
      <c r="L29" s="25" t="s">
        <v>74</v>
      </c>
    </row>
    <row r="30" spans="2:12" s="1" customFormat="1">
      <c r="B30" s="13" t="s">
        <v>589</v>
      </c>
      <c r="C30" s="13" t="s">
        <v>98</v>
      </c>
      <c r="D30" s="9" t="s">
        <v>511</v>
      </c>
      <c r="E30" s="21" t="s">
        <v>587</v>
      </c>
      <c r="F30" s="19" t="str">
        <f t="shared" si="0"/>
        <v>failure_cause</v>
      </c>
      <c r="G30" s="22" t="s">
        <v>605</v>
      </c>
      <c r="H30" s="71"/>
      <c r="I30" s="25"/>
      <c r="J30" s="25" t="s">
        <v>42</v>
      </c>
      <c r="K30" s="25" t="s">
        <v>74</v>
      </c>
      <c r="L30" s="25" t="s">
        <v>74</v>
      </c>
    </row>
    <row r="31" spans="2:12" s="1" customFormat="1">
      <c r="B31" s="13" t="s">
        <v>143</v>
      </c>
      <c r="C31" s="13" t="s">
        <v>98</v>
      </c>
      <c r="D31" s="9" t="s">
        <v>512</v>
      </c>
      <c r="E31" s="21" t="s">
        <v>587</v>
      </c>
      <c r="F31" s="19" t="str">
        <f t="shared" si="0"/>
        <v>keyword</v>
      </c>
      <c r="G31" s="22" t="s">
        <v>605</v>
      </c>
      <c r="H31" s="71"/>
      <c r="I31" s="25"/>
      <c r="J31" s="25" t="s">
        <v>42</v>
      </c>
      <c r="K31" s="25" t="s">
        <v>74</v>
      </c>
      <c r="L31" s="25" t="s">
        <v>74</v>
      </c>
    </row>
    <row r="32" spans="2:12" s="1" customFormat="1">
      <c r="B32" s="13" t="s">
        <v>450</v>
      </c>
      <c r="C32" s="13" t="s">
        <v>98</v>
      </c>
      <c r="D32" s="9" t="s">
        <v>513</v>
      </c>
      <c r="E32" s="21" t="s">
        <v>587</v>
      </c>
      <c r="F32" s="19" t="str">
        <f t="shared" si="0"/>
        <v>mme_ue_s1apid</v>
      </c>
      <c r="G32" s="22" t="s">
        <v>605</v>
      </c>
      <c r="H32" s="71"/>
      <c r="I32" s="25"/>
      <c r="J32" s="25" t="s">
        <v>42</v>
      </c>
      <c r="K32" s="25" t="s">
        <v>74</v>
      </c>
      <c r="L32" s="25" t="s">
        <v>74</v>
      </c>
    </row>
    <row r="33" spans="2:12" s="1" customFormat="1">
      <c r="B33" s="13" t="s">
        <v>451</v>
      </c>
      <c r="C33" s="13" t="s">
        <v>71</v>
      </c>
      <c r="D33" s="9" t="s">
        <v>514</v>
      </c>
      <c r="E33" s="21" t="s">
        <v>587</v>
      </c>
      <c r="F33" s="19" t="str">
        <f t="shared" si="0"/>
        <v>guti</v>
      </c>
      <c r="G33" s="22" t="s">
        <v>605</v>
      </c>
      <c r="H33" s="71"/>
      <c r="I33" s="25"/>
      <c r="J33" s="25" t="s">
        <v>42</v>
      </c>
      <c r="K33" s="25" t="s">
        <v>74</v>
      </c>
      <c r="L33" s="25" t="s">
        <v>74</v>
      </c>
    </row>
    <row r="34" spans="2:12" s="1" customFormat="1">
      <c r="B34" s="13" t="s">
        <v>452</v>
      </c>
      <c r="C34" s="13" t="s">
        <v>98</v>
      </c>
      <c r="D34" s="9" t="s">
        <v>515</v>
      </c>
      <c r="E34" s="21" t="s">
        <v>587</v>
      </c>
      <c r="F34" s="19" t="str">
        <f t="shared" si="0"/>
        <v>target_id</v>
      </c>
      <c r="G34" s="22" t="s">
        <v>605</v>
      </c>
      <c r="H34" s="71"/>
      <c r="I34" s="25"/>
      <c r="J34" s="25" t="s">
        <v>42</v>
      </c>
      <c r="K34" s="25" t="s">
        <v>74</v>
      </c>
      <c r="L34" s="25" t="s">
        <v>74</v>
      </c>
    </row>
    <row r="35" spans="2:12" s="1" customFormat="1">
      <c r="B35" s="13" t="s">
        <v>453</v>
      </c>
      <c r="C35" s="13" t="s">
        <v>71</v>
      </c>
      <c r="D35" s="9" t="s">
        <v>516</v>
      </c>
      <c r="E35" s="21" t="s">
        <v>587</v>
      </c>
      <c r="F35" s="19" t="str">
        <f t="shared" si="0"/>
        <v>user_ipv4</v>
      </c>
      <c r="G35" s="22" t="s">
        <v>605</v>
      </c>
      <c r="H35" s="71"/>
      <c r="I35" s="25"/>
      <c r="J35" s="25" t="s">
        <v>42</v>
      </c>
      <c r="K35" s="25" t="s">
        <v>74</v>
      </c>
      <c r="L35" s="25" t="s">
        <v>74</v>
      </c>
    </row>
    <row r="36" spans="2:12" s="1" customFormat="1">
      <c r="B36" s="13" t="s">
        <v>454</v>
      </c>
      <c r="C36" s="13" t="s">
        <v>71</v>
      </c>
      <c r="D36" s="9" t="s">
        <v>517</v>
      </c>
      <c r="E36" s="21" t="s">
        <v>587</v>
      </c>
      <c r="F36" s="19" t="str">
        <f t="shared" si="0"/>
        <v>user_ipv6</v>
      </c>
      <c r="G36" s="22" t="s">
        <v>605</v>
      </c>
      <c r="H36" s="71"/>
      <c r="I36" s="25"/>
      <c r="J36" s="25" t="s">
        <v>42</v>
      </c>
      <c r="K36" s="25" t="s">
        <v>74</v>
      </c>
      <c r="L36" s="25" t="s">
        <v>74</v>
      </c>
    </row>
    <row r="37" spans="2:12" s="1" customFormat="1">
      <c r="B37" s="13" t="s">
        <v>184</v>
      </c>
      <c r="C37" s="13" t="s">
        <v>98</v>
      </c>
      <c r="D37" s="9" t="s">
        <v>518</v>
      </c>
      <c r="E37" s="21" t="s">
        <v>587</v>
      </c>
      <c r="F37" s="19" t="str">
        <f t="shared" si="0"/>
        <v>machine_ip_add_type</v>
      </c>
      <c r="G37" s="22" t="s">
        <v>605</v>
      </c>
      <c r="H37" s="71"/>
      <c r="I37" s="25"/>
      <c r="J37" s="25" t="s">
        <v>42</v>
      </c>
      <c r="K37" s="25" t="s">
        <v>74</v>
      </c>
      <c r="L37" s="25" t="s">
        <v>74</v>
      </c>
    </row>
    <row r="38" spans="2:12" s="1" customFormat="1">
      <c r="B38" s="13" t="s">
        <v>455</v>
      </c>
      <c r="C38" s="13" t="s">
        <v>71</v>
      </c>
      <c r="D38" s="9" t="s">
        <v>519</v>
      </c>
      <c r="E38" s="21" t="s">
        <v>587</v>
      </c>
      <c r="F38" s="19" t="str">
        <f t="shared" si="0"/>
        <v>mmeipadd</v>
      </c>
      <c r="G38" s="22" t="s">
        <v>605</v>
      </c>
      <c r="H38" s="71"/>
      <c r="I38" s="25"/>
      <c r="J38" s="25" t="s">
        <v>42</v>
      </c>
      <c r="K38" s="25" t="s">
        <v>74</v>
      </c>
      <c r="L38" s="25" t="s">
        <v>74</v>
      </c>
    </row>
    <row r="39" spans="2:12" s="1" customFormat="1">
      <c r="B39" s="13" t="s">
        <v>456</v>
      </c>
      <c r="C39" s="13" t="s">
        <v>71</v>
      </c>
      <c r="D39" s="9" t="s">
        <v>520</v>
      </c>
      <c r="E39" s="21" t="s">
        <v>587</v>
      </c>
      <c r="F39" s="19" t="str">
        <f t="shared" si="0"/>
        <v>enbipadd</v>
      </c>
      <c r="G39" s="22" t="s">
        <v>605</v>
      </c>
      <c r="H39" s="71"/>
      <c r="I39" s="25"/>
      <c r="J39" s="25" t="s">
        <v>42</v>
      </c>
      <c r="K39" s="25" t="s">
        <v>74</v>
      </c>
      <c r="L39" s="25" t="s">
        <v>74</v>
      </c>
    </row>
    <row r="40" spans="2:12" s="1" customFormat="1">
      <c r="B40" s="13" t="s">
        <v>457</v>
      </c>
      <c r="C40" s="13" t="s">
        <v>98</v>
      </c>
      <c r="D40" s="9" t="s">
        <v>521</v>
      </c>
      <c r="E40" s="21" t="s">
        <v>587</v>
      </c>
      <c r="F40" s="19" t="str">
        <f t="shared" si="0"/>
        <v>mmeport</v>
      </c>
      <c r="G40" s="22" t="s">
        <v>605</v>
      </c>
      <c r="H40" s="71"/>
      <c r="I40" s="25"/>
      <c r="J40" s="25" t="s">
        <v>42</v>
      </c>
      <c r="K40" s="25" t="s">
        <v>74</v>
      </c>
      <c r="L40" s="25" t="s">
        <v>74</v>
      </c>
    </row>
    <row r="41" spans="2:12" s="1" customFormat="1">
      <c r="B41" s="13" t="s">
        <v>458</v>
      </c>
      <c r="C41" s="13" t="s">
        <v>98</v>
      </c>
      <c r="D41" s="9" t="s">
        <v>522</v>
      </c>
      <c r="E41" s="21" t="s">
        <v>587</v>
      </c>
      <c r="F41" s="19" t="str">
        <f t="shared" si="0"/>
        <v>enbport</v>
      </c>
      <c r="G41" s="22" t="s">
        <v>605</v>
      </c>
      <c r="H41" s="71"/>
      <c r="I41" s="25"/>
      <c r="J41" s="25" t="s">
        <v>42</v>
      </c>
      <c r="K41" s="25" t="s">
        <v>74</v>
      </c>
      <c r="L41" s="25" t="s">
        <v>74</v>
      </c>
    </row>
    <row r="42" spans="2:12" s="1" customFormat="1">
      <c r="B42" s="13" t="s">
        <v>92</v>
      </c>
      <c r="C42" s="13" t="s">
        <v>71</v>
      </c>
      <c r="D42" s="9" t="s">
        <v>559</v>
      </c>
      <c r="E42" s="21" t="s">
        <v>587</v>
      </c>
      <c r="F42" s="19" t="str">
        <f t="shared" si="0"/>
        <v>tai</v>
      </c>
      <c r="G42" s="22" t="s">
        <v>605</v>
      </c>
      <c r="H42" s="71"/>
      <c r="I42" s="25"/>
      <c r="J42" s="25" t="s">
        <v>42</v>
      </c>
      <c r="K42" s="25" t="s">
        <v>74</v>
      </c>
      <c r="L42" s="25" t="s">
        <v>74</v>
      </c>
    </row>
    <row r="43" spans="2:12" s="1" customFormat="1">
      <c r="B43" s="13" t="s">
        <v>459</v>
      </c>
      <c r="C43" s="13" t="s">
        <v>71</v>
      </c>
      <c r="D43" s="9" t="s">
        <v>523</v>
      </c>
      <c r="E43" s="21" t="s">
        <v>587</v>
      </c>
      <c r="F43" s="19" t="str">
        <f t="shared" si="0"/>
        <v>ecgi</v>
      </c>
      <c r="G43" s="22" t="s">
        <v>605</v>
      </c>
      <c r="H43" s="71"/>
      <c r="I43" s="25"/>
      <c r="J43" s="25" t="s">
        <v>42</v>
      </c>
      <c r="K43" s="25" t="s">
        <v>74</v>
      </c>
      <c r="L43" s="25" t="s">
        <v>74</v>
      </c>
    </row>
    <row r="44" spans="2:12" s="1" customFormat="1">
      <c r="B44" s="13" t="s">
        <v>460</v>
      </c>
      <c r="C44" s="13" t="s">
        <v>71</v>
      </c>
      <c r="D44" s="9" t="s">
        <v>560</v>
      </c>
      <c r="E44" s="21" t="s">
        <v>587</v>
      </c>
      <c r="F44" s="19" t="str">
        <f t="shared" si="0"/>
        <v>apn</v>
      </c>
      <c r="G44" s="22" t="s">
        <v>605</v>
      </c>
      <c r="H44" s="71"/>
      <c r="I44" s="25"/>
      <c r="J44" s="25" t="s">
        <v>42</v>
      </c>
      <c r="K44" s="25" t="s">
        <v>74</v>
      </c>
      <c r="L44" s="25" t="s">
        <v>74</v>
      </c>
    </row>
    <row r="45" spans="2:12" s="1" customFormat="1">
      <c r="B45" s="13" t="s">
        <v>185</v>
      </c>
      <c r="C45" s="13" t="s">
        <v>98</v>
      </c>
      <c r="D45" s="9" t="s">
        <v>524</v>
      </c>
      <c r="E45" s="21" t="s">
        <v>587</v>
      </c>
      <c r="F45" s="19" t="str">
        <f t="shared" si="0"/>
        <v>other_tac</v>
      </c>
      <c r="G45" s="22" t="s">
        <v>605</v>
      </c>
      <c r="H45" s="71"/>
      <c r="I45" s="25"/>
      <c r="J45" s="25" t="s">
        <v>42</v>
      </c>
      <c r="K45" s="25" t="s">
        <v>74</v>
      </c>
      <c r="L45" s="25" t="s">
        <v>74</v>
      </c>
    </row>
    <row r="46" spans="2:12" s="1" customFormat="1">
      <c r="B46" s="13" t="s">
        <v>461</v>
      </c>
      <c r="C46" s="13" t="s">
        <v>98</v>
      </c>
      <c r="D46" s="9" t="s">
        <v>525</v>
      </c>
      <c r="E46" s="21" t="s">
        <v>587</v>
      </c>
      <c r="F46" s="19" t="str">
        <f t="shared" si="0"/>
        <v>other_eci</v>
      </c>
      <c r="G46" s="22" t="s">
        <v>605</v>
      </c>
      <c r="H46" s="71"/>
      <c r="I46" s="25"/>
      <c r="J46" s="25" t="s">
        <v>42</v>
      </c>
      <c r="K46" s="25" t="s">
        <v>74</v>
      </c>
      <c r="L46" s="25" t="s">
        <v>74</v>
      </c>
    </row>
    <row r="47" spans="2:12" s="1" customFormat="1">
      <c r="B47" s="13" t="s">
        <v>462</v>
      </c>
      <c r="C47" s="13" t="s">
        <v>98</v>
      </c>
      <c r="D47" s="9" t="s">
        <v>526</v>
      </c>
      <c r="E47" s="21" t="s">
        <v>587</v>
      </c>
      <c r="F47" s="19" t="str">
        <f t="shared" si="0"/>
        <v>old_mme_group_id</v>
      </c>
      <c r="G47" s="22" t="s">
        <v>605</v>
      </c>
      <c r="H47" s="71"/>
      <c r="I47" s="25"/>
      <c r="J47" s="25" t="s">
        <v>42</v>
      </c>
      <c r="K47" s="25" t="s">
        <v>74</v>
      </c>
      <c r="L47" s="25" t="s">
        <v>74</v>
      </c>
    </row>
    <row r="48" spans="2:12" s="1" customFormat="1">
      <c r="B48" s="13" t="s">
        <v>463</v>
      </c>
      <c r="C48" s="13" t="s">
        <v>98</v>
      </c>
      <c r="D48" s="9" t="s">
        <v>527</v>
      </c>
      <c r="E48" s="21" t="s">
        <v>587</v>
      </c>
      <c r="F48" s="19" t="str">
        <f t="shared" si="0"/>
        <v>old_mme_code</v>
      </c>
      <c r="G48" s="22" t="s">
        <v>605</v>
      </c>
      <c r="H48" s="71"/>
      <c r="I48" s="25"/>
      <c r="J48" s="25" t="s">
        <v>42</v>
      </c>
      <c r="K48" s="25" t="s">
        <v>74</v>
      </c>
      <c r="L48" s="25" t="s">
        <v>74</v>
      </c>
    </row>
    <row r="49" spans="2:12" s="1" customFormat="1">
      <c r="B49" s="13" t="s">
        <v>464</v>
      </c>
      <c r="C49" s="13" t="s">
        <v>71</v>
      </c>
      <c r="D49" s="9" t="s">
        <v>528</v>
      </c>
      <c r="E49" s="21" t="s">
        <v>587</v>
      </c>
      <c r="F49" s="19" t="str">
        <f t="shared" si="0"/>
        <v>old_m_tmsi</v>
      </c>
      <c r="G49" s="22" t="s">
        <v>605</v>
      </c>
      <c r="H49" s="71"/>
      <c r="I49" s="25"/>
      <c r="J49" s="25" t="s">
        <v>42</v>
      </c>
      <c r="K49" s="25" t="s">
        <v>74</v>
      </c>
      <c r="L49" s="25" t="s">
        <v>74</v>
      </c>
    </row>
    <row r="50" spans="2:12" s="1" customFormat="1">
      <c r="B50" s="13" t="s">
        <v>465</v>
      </c>
      <c r="C50" s="13" t="s">
        <v>98</v>
      </c>
      <c r="D50" s="9" t="s">
        <v>529</v>
      </c>
      <c r="E50" s="21" t="s">
        <v>587</v>
      </c>
      <c r="F50" s="19" t="str">
        <f t="shared" si="0"/>
        <v>mmegroupid</v>
      </c>
      <c r="G50" s="22" t="s">
        <v>605</v>
      </c>
      <c r="H50" s="71"/>
      <c r="I50" s="25"/>
      <c r="J50" s="25" t="s">
        <v>42</v>
      </c>
      <c r="K50" s="25" t="s">
        <v>74</v>
      </c>
      <c r="L50" s="25" t="s">
        <v>74</v>
      </c>
    </row>
    <row r="51" spans="2:12" s="1" customFormat="1">
      <c r="B51" s="13" t="s">
        <v>466</v>
      </c>
      <c r="C51" s="13" t="s">
        <v>98</v>
      </c>
      <c r="D51" s="9" t="s">
        <v>530</v>
      </c>
      <c r="E51" s="21" t="s">
        <v>587</v>
      </c>
      <c r="F51" s="19" t="str">
        <f t="shared" si="0"/>
        <v>mmecode</v>
      </c>
      <c r="G51" s="22" t="s">
        <v>605</v>
      </c>
      <c r="H51" s="71"/>
      <c r="I51" s="25"/>
      <c r="J51" s="25" t="s">
        <v>42</v>
      </c>
      <c r="K51" s="25" t="s">
        <v>74</v>
      </c>
      <c r="L51" s="25" t="s">
        <v>74</v>
      </c>
    </row>
    <row r="52" spans="2:12" s="1" customFormat="1">
      <c r="B52" s="13" t="s">
        <v>467</v>
      </c>
      <c r="C52" s="13" t="s">
        <v>71</v>
      </c>
      <c r="D52" s="9" t="s">
        <v>531</v>
      </c>
      <c r="E52" s="21" t="s">
        <v>587</v>
      </c>
      <c r="F52" s="19" t="str">
        <f t="shared" si="0"/>
        <v>m_tmsi</v>
      </c>
      <c r="G52" s="22" t="s">
        <v>605</v>
      </c>
      <c r="H52" s="71"/>
      <c r="I52" s="25"/>
      <c r="J52" s="25" t="s">
        <v>42</v>
      </c>
      <c r="K52" s="25" t="s">
        <v>74</v>
      </c>
      <c r="L52" s="25" t="s">
        <v>74</v>
      </c>
    </row>
    <row r="53" spans="2:12" s="1" customFormat="1">
      <c r="B53" s="13" t="s">
        <v>468</v>
      </c>
      <c r="C53" s="13" t="s">
        <v>71</v>
      </c>
      <c r="D53" s="9" t="s">
        <v>532</v>
      </c>
      <c r="E53" s="21" t="s">
        <v>587</v>
      </c>
      <c r="F53" s="19" t="str">
        <f t="shared" si="0"/>
        <v>tmsi</v>
      </c>
      <c r="G53" s="22" t="s">
        <v>605</v>
      </c>
      <c r="H53" s="71"/>
      <c r="I53" s="25"/>
      <c r="J53" s="25" t="s">
        <v>42</v>
      </c>
      <c r="K53" s="25" t="s">
        <v>74</v>
      </c>
      <c r="L53" s="25" t="s">
        <v>74</v>
      </c>
    </row>
    <row r="54" spans="2:12" s="1" customFormat="1">
      <c r="B54" s="13" t="s">
        <v>469</v>
      </c>
      <c r="C54" s="13" t="s">
        <v>98</v>
      </c>
      <c r="D54" s="9" t="s">
        <v>561</v>
      </c>
      <c r="E54" s="21" t="s">
        <v>587</v>
      </c>
      <c r="F54" s="19" t="str">
        <f t="shared" si="0"/>
        <v>enb_ues1apid</v>
      </c>
      <c r="G54" s="22" t="s">
        <v>605</v>
      </c>
      <c r="H54" s="71"/>
      <c r="I54" s="25"/>
      <c r="J54" s="25" t="s">
        <v>42</v>
      </c>
      <c r="K54" s="25" t="s">
        <v>74</v>
      </c>
      <c r="L54" s="25" t="s">
        <v>74</v>
      </c>
    </row>
    <row r="55" spans="2:12" s="1" customFormat="1">
      <c r="B55" s="13" t="s">
        <v>597</v>
      </c>
      <c r="C55" s="13" t="s">
        <v>98</v>
      </c>
      <c r="D55" s="9" t="s">
        <v>562</v>
      </c>
      <c r="E55" s="21" t="s">
        <v>587</v>
      </c>
      <c r="F55" s="19" t="str">
        <f t="shared" si="0"/>
        <v>enbid</v>
      </c>
      <c r="G55" s="22" t="s">
        <v>605</v>
      </c>
      <c r="H55" s="71"/>
      <c r="I55" s="25"/>
      <c r="J55" s="25" t="s">
        <v>42</v>
      </c>
      <c r="K55" s="25" t="s">
        <v>74</v>
      </c>
      <c r="L55" s="25" t="s">
        <v>74</v>
      </c>
    </row>
    <row r="56" spans="2:12" s="1" customFormat="1">
      <c r="B56" s="13" t="s">
        <v>2357</v>
      </c>
      <c r="C56" s="13" t="s">
        <v>71</v>
      </c>
      <c r="D56" s="9" t="s">
        <v>563</v>
      </c>
      <c r="E56" s="21" t="s">
        <v>587</v>
      </c>
      <c r="F56" s="19" t="str">
        <f t="shared" si="0"/>
        <v>cellid</v>
      </c>
      <c r="G56" s="22" t="s">
        <v>605</v>
      </c>
      <c r="H56" s="71"/>
      <c r="I56" s="25"/>
      <c r="J56" s="25" t="s">
        <v>42</v>
      </c>
      <c r="K56" s="25" t="s">
        <v>74</v>
      </c>
      <c r="L56" s="25" t="s">
        <v>74</v>
      </c>
    </row>
    <row r="57" spans="2:12" s="1" customFormat="1" ht="26.4">
      <c r="B57" s="13" t="s">
        <v>564</v>
      </c>
      <c r="C57" s="13" t="s">
        <v>98</v>
      </c>
      <c r="D57" s="27" t="s">
        <v>565</v>
      </c>
      <c r="E57" s="21" t="s">
        <v>587</v>
      </c>
      <c r="F57" s="19" t="str">
        <f t="shared" si="0"/>
        <v>ciot_support</v>
      </c>
      <c r="G57" s="22" t="s">
        <v>605</v>
      </c>
      <c r="H57" s="71"/>
      <c r="I57" s="25"/>
      <c r="J57" s="25" t="s">
        <v>42</v>
      </c>
      <c r="K57" s="25" t="s">
        <v>74</v>
      </c>
      <c r="L57" s="25" t="s">
        <v>74</v>
      </c>
    </row>
    <row r="58" spans="2:12" s="1" customFormat="1">
      <c r="B58" s="13" t="s">
        <v>470</v>
      </c>
      <c r="C58" s="13" t="s">
        <v>71</v>
      </c>
      <c r="D58" s="9" t="s">
        <v>533</v>
      </c>
      <c r="E58" s="21" t="s">
        <v>587</v>
      </c>
      <c r="F58" s="19" t="str">
        <f t="shared" si="0"/>
        <v>psm_status</v>
      </c>
      <c r="G58" s="22" t="s">
        <v>605</v>
      </c>
      <c r="H58" s="71"/>
      <c r="I58" s="25"/>
      <c r="J58" s="25" t="s">
        <v>42</v>
      </c>
      <c r="K58" s="25" t="s">
        <v>74</v>
      </c>
      <c r="L58" s="25" t="s">
        <v>74</v>
      </c>
    </row>
    <row r="59" spans="2:12" s="1" customFormat="1">
      <c r="B59" s="13" t="s">
        <v>471</v>
      </c>
      <c r="C59" s="13" t="s">
        <v>98</v>
      </c>
      <c r="D59" s="9" t="s">
        <v>534</v>
      </c>
      <c r="E59" s="21" t="s">
        <v>587</v>
      </c>
      <c r="F59" s="19" t="str">
        <f t="shared" si="0"/>
        <v>t3324</v>
      </c>
      <c r="G59" s="22" t="s">
        <v>605</v>
      </c>
      <c r="H59" s="71"/>
      <c r="I59" s="25"/>
      <c r="J59" s="25" t="s">
        <v>42</v>
      </c>
      <c r="K59" s="25" t="s">
        <v>74</v>
      </c>
      <c r="L59" s="25" t="s">
        <v>74</v>
      </c>
    </row>
    <row r="60" spans="2:12" s="1" customFormat="1">
      <c r="B60" s="13" t="s">
        <v>626</v>
      </c>
      <c r="C60" s="13" t="s">
        <v>98</v>
      </c>
      <c r="D60" s="9" t="s">
        <v>535</v>
      </c>
      <c r="E60" s="21" t="s">
        <v>587</v>
      </c>
      <c r="F60" s="19" t="str">
        <f t="shared" si="0"/>
        <v>t3412_ext</v>
      </c>
      <c r="G60" s="22" t="s">
        <v>605</v>
      </c>
      <c r="H60" s="71"/>
      <c r="I60" s="25"/>
      <c r="J60" s="25" t="s">
        <v>42</v>
      </c>
      <c r="K60" s="25" t="s">
        <v>74</v>
      </c>
      <c r="L60" s="25" t="s">
        <v>74</v>
      </c>
    </row>
    <row r="61" spans="2:12" s="1" customFormat="1">
      <c r="B61" s="13" t="s">
        <v>472</v>
      </c>
      <c r="C61" s="13" t="s">
        <v>98</v>
      </c>
      <c r="D61" s="9" t="s">
        <v>566</v>
      </c>
      <c r="E61" s="21" t="s">
        <v>587</v>
      </c>
      <c r="F61" s="19" t="str">
        <f t="shared" si="0"/>
        <v>nbdatamode</v>
      </c>
      <c r="G61" s="22" t="s">
        <v>605</v>
      </c>
      <c r="H61" s="71"/>
      <c r="I61" s="25"/>
      <c r="J61" s="25" t="s">
        <v>42</v>
      </c>
      <c r="K61" s="25" t="s">
        <v>74</v>
      </c>
      <c r="L61" s="25" t="s">
        <v>74</v>
      </c>
    </row>
    <row r="62" spans="2:12" s="1" customFormat="1">
      <c r="B62" s="13" t="s">
        <v>473</v>
      </c>
      <c r="C62" s="13" t="s">
        <v>98</v>
      </c>
      <c r="D62" s="9" t="s">
        <v>567</v>
      </c>
      <c r="E62" s="21" t="s">
        <v>587</v>
      </c>
      <c r="F62" s="19" t="str">
        <f t="shared" si="0"/>
        <v>nbippdntype</v>
      </c>
      <c r="G62" s="22" t="s">
        <v>605</v>
      </c>
      <c r="H62" s="71"/>
      <c r="I62" s="25"/>
      <c r="J62" s="25" t="s">
        <v>42</v>
      </c>
      <c r="K62" s="25" t="s">
        <v>74</v>
      </c>
      <c r="L62" s="25" t="s">
        <v>74</v>
      </c>
    </row>
    <row r="63" spans="2:12" s="1" customFormat="1">
      <c r="B63" s="13" t="s">
        <v>474</v>
      </c>
      <c r="C63" s="13" t="s">
        <v>98</v>
      </c>
      <c r="D63" s="9" t="s">
        <v>568</v>
      </c>
      <c r="E63" s="21" t="s">
        <v>587</v>
      </c>
      <c r="F63" s="19" t="str">
        <f t="shared" si="0"/>
        <v>nbcelevel</v>
      </c>
      <c r="G63" s="22" t="s">
        <v>605</v>
      </c>
      <c r="H63" s="71"/>
      <c r="I63" s="25"/>
      <c r="J63" s="25" t="s">
        <v>42</v>
      </c>
      <c r="K63" s="25" t="s">
        <v>74</v>
      </c>
      <c r="L63" s="25" t="s">
        <v>74</v>
      </c>
    </row>
    <row r="64" spans="2:12" s="1" customFormat="1">
      <c r="B64" s="13" t="s">
        <v>475</v>
      </c>
      <c r="C64" s="13" t="s">
        <v>98</v>
      </c>
      <c r="D64" s="9" t="s">
        <v>536</v>
      </c>
      <c r="E64" s="21" t="s">
        <v>587</v>
      </c>
      <c r="F64" s="19" t="str">
        <f t="shared" si="0"/>
        <v>msgflag</v>
      </c>
      <c r="G64" s="22" t="s">
        <v>605</v>
      </c>
      <c r="H64" s="71"/>
      <c r="I64" s="25"/>
      <c r="J64" s="25" t="s">
        <v>42</v>
      </c>
      <c r="K64" s="25" t="s">
        <v>74</v>
      </c>
      <c r="L64" s="25" t="s">
        <v>74</v>
      </c>
    </row>
    <row r="65" spans="2:12" s="1" customFormat="1">
      <c r="B65" s="13" t="s">
        <v>619</v>
      </c>
      <c r="C65" s="13" t="s">
        <v>98</v>
      </c>
      <c r="D65" s="9" t="s">
        <v>537</v>
      </c>
      <c r="E65" s="21" t="s">
        <v>587</v>
      </c>
      <c r="F65" s="19" t="str">
        <f t="shared" si="0"/>
        <v>request_cause_group</v>
      </c>
      <c r="G65" s="22" t="s">
        <v>605</v>
      </c>
      <c r="H65" s="71"/>
      <c r="I65" s="25"/>
      <c r="J65" s="25" t="s">
        <v>42</v>
      </c>
      <c r="K65" s="25" t="s">
        <v>74</v>
      </c>
      <c r="L65" s="25" t="s">
        <v>74</v>
      </c>
    </row>
    <row r="66" spans="2:12" s="1" customFormat="1">
      <c r="B66" s="13" t="s">
        <v>618</v>
      </c>
      <c r="C66" s="13" t="s">
        <v>98</v>
      </c>
      <c r="D66" s="9" t="s">
        <v>538</v>
      </c>
      <c r="E66" s="21" t="s">
        <v>587</v>
      </c>
      <c r="F66" s="19" t="str">
        <f t="shared" si="0"/>
        <v>failure_cause_group</v>
      </c>
      <c r="G66" s="22" t="s">
        <v>605</v>
      </c>
      <c r="H66" s="71"/>
      <c r="I66" s="25"/>
      <c r="J66" s="25" t="s">
        <v>42</v>
      </c>
      <c r="K66" s="25" t="s">
        <v>74</v>
      </c>
      <c r="L66" s="25" t="s">
        <v>74</v>
      </c>
    </row>
    <row r="67" spans="2:12" s="1" customFormat="1">
      <c r="B67" s="13" t="s">
        <v>478</v>
      </c>
      <c r="C67" s="13" t="s">
        <v>98</v>
      </c>
      <c r="D67" s="9" t="s">
        <v>539</v>
      </c>
      <c r="E67" s="21" t="s">
        <v>587</v>
      </c>
      <c r="F67" s="19" t="str">
        <f t="shared" si="0"/>
        <v>keyword_1</v>
      </c>
      <c r="G67" s="22" t="s">
        <v>605</v>
      </c>
      <c r="H67" s="71"/>
      <c r="I67" s="25"/>
      <c r="J67" s="25" t="s">
        <v>42</v>
      </c>
      <c r="K67" s="25" t="s">
        <v>74</v>
      </c>
      <c r="L67" s="25" t="s">
        <v>74</v>
      </c>
    </row>
    <row r="68" spans="2:12" s="1" customFormat="1">
      <c r="B68" s="13" t="s">
        <v>479</v>
      </c>
      <c r="C68" s="13" t="s">
        <v>98</v>
      </c>
      <c r="D68" s="9" t="s">
        <v>540</v>
      </c>
      <c r="E68" s="21" t="s">
        <v>587</v>
      </c>
      <c r="F68" s="19" t="str">
        <f t="shared" si="0"/>
        <v>keyword_2</v>
      </c>
      <c r="G68" s="22" t="s">
        <v>605</v>
      </c>
      <c r="H68" s="71"/>
      <c r="I68" s="25"/>
      <c r="J68" s="25" t="s">
        <v>42</v>
      </c>
      <c r="K68" s="25" t="s">
        <v>74</v>
      </c>
      <c r="L68" s="25" t="s">
        <v>74</v>
      </c>
    </row>
    <row r="69" spans="2:12" s="1" customFormat="1">
      <c r="B69" s="13" t="s">
        <v>480</v>
      </c>
      <c r="C69" s="13" t="s">
        <v>98</v>
      </c>
      <c r="D69" s="9" t="s">
        <v>541</v>
      </c>
      <c r="E69" s="21" t="s">
        <v>587</v>
      </c>
      <c r="F69" s="19" t="str">
        <f t="shared" si="0"/>
        <v>keyword_3</v>
      </c>
      <c r="G69" s="22" t="s">
        <v>605</v>
      </c>
      <c r="H69" s="71"/>
      <c r="I69" s="25"/>
      <c r="J69" s="25" t="s">
        <v>42</v>
      </c>
      <c r="K69" s="25" t="s">
        <v>74</v>
      </c>
      <c r="L69" s="25" t="s">
        <v>74</v>
      </c>
    </row>
    <row r="70" spans="2:12" s="1" customFormat="1">
      <c r="B70" s="13" t="s">
        <v>481</v>
      </c>
      <c r="C70" s="13" t="s">
        <v>98</v>
      </c>
      <c r="D70" s="9" t="s">
        <v>542</v>
      </c>
      <c r="E70" s="21" t="s">
        <v>587</v>
      </c>
      <c r="F70" s="19" t="str">
        <f t="shared" si="0"/>
        <v>keyword_4</v>
      </c>
      <c r="G70" s="22" t="s">
        <v>605</v>
      </c>
      <c r="H70" s="71"/>
      <c r="I70" s="25"/>
      <c r="J70" s="25" t="s">
        <v>42</v>
      </c>
      <c r="K70" s="25" t="s">
        <v>74</v>
      </c>
      <c r="L70" s="25" t="s">
        <v>74</v>
      </c>
    </row>
    <row r="71" spans="2:12" s="1" customFormat="1">
      <c r="B71" s="13" t="s">
        <v>482</v>
      </c>
      <c r="C71" s="13" t="s">
        <v>98</v>
      </c>
      <c r="D71" s="9" t="s">
        <v>543</v>
      </c>
      <c r="E71" s="21" t="s">
        <v>587</v>
      </c>
      <c r="F71" s="19" t="str">
        <f t="shared" si="0"/>
        <v>bearer_1_request_cause_group</v>
      </c>
      <c r="G71" s="22" t="s">
        <v>605</v>
      </c>
      <c r="H71" s="71"/>
      <c r="I71" s="25"/>
      <c r="J71" s="25" t="s">
        <v>42</v>
      </c>
      <c r="K71" s="25" t="s">
        <v>74</v>
      </c>
      <c r="L71" s="25" t="s">
        <v>74</v>
      </c>
    </row>
    <row r="72" spans="2:12" s="1" customFormat="1">
      <c r="B72" s="13" t="s">
        <v>483</v>
      </c>
      <c r="C72" s="13" t="s">
        <v>98</v>
      </c>
      <c r="D72" s="9" t="s">
        <v>544</v>
      </c>
      <c r="E72" s="21" t="s">
        <v>587</v>
      </c>
      <c r="F72" s="19" t="str">
        <f t="shared" si="0"/>
        <v>bearer_1_request_cause_specific</v>
      </c>
      <c r="G72" s="22" t="s">
        <v>605</v>
      </c>
      <c r="H72" s="71"/>
      <c r="I72" s="25"/>
      <c r="J72" s="25" t="s">
        <v>42</v>
      </c>
      <c r="K72" s="25" t="s">
        <v>74</v>
      </c>
      <c r="L72" s="25" t="s">
        <v>74</v>
      </c>
    </row>
    <row r="73" spans="2:12" s="1" customFormat="1">
      <c r="B73" s="13" t="s">
        <v>484</v>
      </c>
      <c r="C73" s="13" t="s">
        <v>98</v>
      </c>
      <c r="D73" s="9" t="s">
        <v>545</v>
      </c>
      <c r="E73" s="21" t="s">
        <v>587</v>
      </c>
      <c r="F73" s="19" t="str">
        <f t="shared" si="0"/>
        <v>bearer_1_failure_cause_group</v>
      </c>
      <c r="G73" s="22" t="s">
        <v>605</v>
      </c>
      <c r="H73" s="71"/>
      <c r="I73" s="25"/>
      <c r="J73" s="25" t="s">
        <v>42</v>
      </c>
      <c r="K73" s="25" t="s">
        <v>74</v>
      </c>
      <c r="L73" s="25" t="s">
        <v>74</v>
      </c>
    </row>
    <row r="74" spans="2:12" s="1" customFormat="1">
      <c r="B74" s="13" t="s">
        <v>485</v>
      </c>
      <c r="C74" s="13" t="s">
        <v>98</v>
      </c>
      <c r="D74" s="9" t="s">
        <v>546</v>
      </c>
      <c r="E74" s="21" t="s">
        <v>587</v>
      </c>
      <c r="F74" s="19" t="str">
        <f t="shared" si="0"/>
        <v>bearer_1_failure_cause_specific</v>
      </c>
      <c r="G74" s="22" t="s">
        <v>605</v>
      </c>
      <c r="H74" s="71"/>
      <c r="I74" s="25"/>
      <c r="J74" s="25" t="s">
        <v>42</v>
      </c>
      <c r="K74" s="25" t="s">
        <v>74</v>
      </c>
      <c r="L74" s="25" t="s">
        <v>74</v>
      </c>
    </row>
    <row r="75" spans="2:12" s="1" customFormat="1">
      <c r="B75" s="13" t="s">
        <v>486</v>
      </c>
      <c r="C75" s="13" t="s">
        <v>98</v>
      </c>
      <c r="D75" s="9" t="s">
        <v>547</v>
      </c>
      <c r="E75" s="21" t="s">
        <v>587</v>
      </c>
      <c r="F75" s="19" t="str">
        <f t="shared" si="0"/>
        <v>csfb_indication</v>
      </c>
      <c r="G75" s="22" t="s">
        <v>605</v>
      </c>
      <c r="H75" s="71"/>
      <c r="I75" s="25"/>
      <c r="J75" s="25" t="s">
        <v>42</v>
      </c>
      <c r="K75" s="25" t="s">
        <v>74</v>
      </c>
      <c r="L75" s="25" t="s">
        <v>74</v>
      </c>
    </row>
    <row r="76" spans="2:12" s="1" customFormat="1">
      <c r="B76" s="13" t="s">
        <v>487</v>
      </c>
      <c r="C76" s="13" t="s">
        <v>98</v>
      </c>
      <c r="D76" s="9" t="s">
        <v>548</v>
      </c>
      <c r="E76" s="21" t="s">
        <v>587</v>
      </c>
      <c r="F76" s="19" t="str">
        <f t="shared" si="0"/>
        <v>ue_centric</v>
      </c>
      <c r="G76" s="22" t="s">
        <v>605</v>
      </c>
      <c r="H76" s="71"/>
      <c r="I76" s="25"/>
      <c r="J76" s="25" t="s">
        <v>42</v>
      </c>
      <c r="K76" s="25" t="s">
        <v>74</v>
      </c>
      <c r="L76" s="25" t="s">
        <v>74</v>
      </c>
    </row>
    <row r="77" spans="2:12" s="1" customFormat="1">
      <c r="B77" s="13" t="s">
        <v>488</v>
      </c>
      <c r="C77" s="13" t="s">
        <v>98</v>
      </c>
      <c r="D77" s="9" t="s">
        <v>549</v>
      </c>
      <c r="E77" s="21" t="s">
        <v>587</v>
      </c>
      <c r="F77" s="19" t="str">
        <f t="shared" si="0"/>
        <v>ue_srvcc_support</v>
      </c>
      <c r="G77" s="22" t="s">
        <v>605</v>
      </c>
      <c r="H77" s="71"/>
      <c r="I77" s="25"/>
      <c r="J77" s="25" t="s">
        <v>42</v>
      </c>
      <c r="K77" s="25" t="s">
        <v>74</v>
      </c>
      <c r="L77" s="25" t="s">
        <v>74</v>
      </c>
    </row>
    <row r="78" spans="2:12" s="1" customFormat="1">
      <c r="B78" s="13" t="s">
        <v>569</v>
      </c>
      <c r="C78" s="13" t="s">
        <v>98</v>
      </c>
      <c r="D78" s="9" t="s">
        <v>570</v>
      </c>
      <c r="E78" s="21" t="s">
        <v>587</v>
      </c>
      <c r="F78" s="19" t="str">
        <f t="shared" si="0"/>
        <v>vops_option</v>
      </c>
      <c r="G78" s="22" t="s">
        <v>605</v>
      </c>
      <c r="H78" s="71"/>
      <c r="I78" s="25"/>
      <c r="J78" s="25" t="s">
        <v>42</v>
      </c>
      <c r="K78" s="25" t="s">
        <v>74</v>
      </c>
      <c r="L78" s="25" t="s">
        <v>74</v>
      </c>
    </row>
    <row r="79" spans="2:12" s="1" customFormat="1">
      <c r="B79" s="13" t="s">
        <v>489</v>
      </c>
      <c r="C79" s="13" t="s">
        <v>98</v>
      </c>
      <c r="D79" s="9" t="s">
        <v>571</v>
      </c>
      <c r="E79" s="21" t="s">
        <v>587</v>
      </c>
      <c r="F79" s="19" t="str">
        <f t="shared" si="0"/>
        <v>csfb_response</v>
      </c>
      <c r="G79" s="22" t="s">
        <v>605</v>
      </c>
      <c r="H79" s="71"/>
      <c r="I79" s="25"/>
      <c r="J79" s="25" t="s">
        <v>42</v>
      </c>
      <c r="K79" s="25" t="s">
        <v>74</v>
      </c>
      <c r="L79" s="25" t="s">
        <v>74</v>
      </c>
    </row>
    <row r="80" spans="2:12" s="1" customFormat="1">
      <c r="B80" s="13" t="s">
        <v>490</v>
      </c>
      <c r="C80" s="13" t="s">
        <v>98</v>
      </c>
      <c r="D80" s="9" t="s">
        <v>572</v>
      </c>
      <c r="E80" s="21" t="s">
        <v>587</v>
      </c>
      <c r="F80" s="19" t="str">
        <f t="shared" si="0"/>
        <v>ue_dcnr</v>
      </c>
      <c r="G80" s="22" t="s">
        <v>605</v>
      </c>
      <c r="H80" s="71"/>
      <c r="I80" s="25"/>
      <c r="J80" s="25" t="s">
        <v>42</v>
      </c>
      <c r="K80" s="25" t="s">
        <v>74</v>
      </c>
      <c r="L80" s="25" t="s">
        <v>74</v>
      </c>
    </row>
    <row r="81" spans="2:12" s="1" customFormat="1">
      <c r="B81" s="13" t="s">
        <v>491</v>
      </c>
      <c r="C81" s="13" t="s">
        <v>71</v>
      </c>
      <c r="D81" s="9" t="s">
        <v>276</v>
      </c>
      <c r="E81" s="21" t="s">
        <v>587</v>
      </c>
      <c r="F81" s="19" t="str">
        <f t="shared" si="0"/>
        <v>gnb_ip_addr</v>
      </c>
      <c r="G81" s="22" t="s">
        <v>605</v>
      </c>
      <c r="H81" s="71"/>
      <c r="I81" s="25"/>
      <c r="J81" s="25" t="s">
        <v>42</v>
      </c>
      <c r="K81" s="25" t="s">
        <v>74</v>
      </c>
      <c r="L81" s="25" t="s">
        <v>74</v>
      </c>
    </row>
    <row r="82" spans="2:12" s="1" customFormat="1">
      <c r="B82" s="13" t="s">
        <v>492</v>
      </c>
      <c r="C82" s="13" t="s">
        <v>98</v>
      </c>
      <c r="D82" s="9" t="s">
        <v>573</v>
      </c>
      <c r="E82" s="21" t="s">
        <v>587</v>
      </c>
      <c r="F82" s="19" t="str">
        <f t="shared" si="0"/>
        <v>nr_restriction</v>
      </c>
      <c r="G82" s="22" t="s">
        <v>605</v>
      </c>
      <c r="H82" s="71"/>
      <c r="I82" s="25"/>
      <c r="J82" s="25" t="s">
        <v>42</v>
      </c>
      <c r="K82" s="25" t="s">
        <v>74</v>
      </c>
      <c r="L82" s="25" t="s">
        <v>74</v>
      </c>
    </row>
    <row r="83" spans="2:12" s="1" customFormat="1">
      <c r="B83" s="13" t="s">
        <v>493</v>
      </c>
      <c r="C83" s="13" t="s">
        <v>71</v>
      </c>
      <c r="D83" s="9" t="s">
        <v>574</v>
      </c>
      <c r="E83" s="21" t="s">
        <v>587</v>
      </c>
      <c r="F83" s="19" t="str">
        <f t="shared" ref="F83:F95" si="1">B83</f>
        <v>lte_band_list</v>
      </c>
      <c r="G83" s="22" t="s">
        <v>605</v>
      </c>
      <c r="H83" s="71"/>
      <c r="I83" s="25"/>
      <c r="J83" s="25" t="s">
        <v>42</v>
      </c>
      <c r="K83" s="25" t="s">
        <v>74</v>
      </c>
      <c r="L83" s="25" t="s">
        <v>74</v>
      </c>
    </row>
    <row r="84" spans="2:12" s="1" customFormat="1">
      <c r="B84" s="13" t="s">
        <v>494</v>
      </c>
      <c r="C84" s="13" t="s">
        <v>71</v>
      </c>
      <c r="D84" s="9" t="s">
        <v>575</v>
      </c>
      <c r="E84" s="21" t="s">
        <v>587</v>
      </c>
      <c r="F84" s="19" t="str">
        <f t="shared" si="1"/>
        <v>nr_band_list</v>
      </c>
      <c r="G84" s="22" t="s">
        <v>605</v>
      </c>
      <c r="H84" s="71"/>
      <c r="I84" s="25"/>
      <c r="J84" s="25" t="s">
        <v>42</v>
      </c>
      <c r="K84" s="25" t="s">
        <v>74</v>
      </c>
      <c r="L84" s="25" t="s">
        <v>74</v>
      </c>
    </row>
    <row r="85" spans="2:12" s="1" customFormat="1">
      <c r="B85" s="13" t="s">
        <v>495</v>
      </c>
      <c r="C85" s="13" t="s">
        <v>71</v>
      </c>
      <c r="D85" s="9" t="s">
        <v>576</v>
      </c>
      <c r="E85" s="21" t="s">
        <v>587</v>
      </c>
      <c r="F85" s="19" t="str">
        <f t="shared" si="1"/>
        <v>nr_band_combination</v>
      </c>
      <c r="G85" s="22" t="s">
        <v>605</v>
      </c>
      <c r="H85" s="71"/>
      <c r="I85" s="25"/>
      <c r="J85" s="25" t="s">
        <v>42</v>
      </c>
      <c r="K85" s="25" t="s">
        <v>74</v>
      </c>
      <c r="L85" s="25" t="s">
        <v>74</v>
      </c>
    </row>
    <row r="86" spans="2:12" s="1" customFormat="1">
      <c r="B86" s="13" t="s">
        <v>496</v>
      </c>
      <c r="C86" s="13" t="s">
        <v>98</v>
      </c>
      <c r="D86" s="9" t="s">
        <v>577</v>
      </c>
      <c r="E86" s="21" t="s">
        <v>587</v>
      </c>
      <c r="F86" s="19" t="str">
        <f t="shared" si="1"/>
        <v>eps_bearer_number</v>
      </c>
      <c r="G86" s="22" t="s">
        <v>605</v>
      </c>
      <c r="H86" s="71"/>
      <c r="I86" s="25"/>
      <c r="J86" s="25" t="s">
        <v>42</v>
      </c>
      <c r="K86" s="25" t="s">
        <v>74</v>
      </c>
      <c r="L86" s="25" t="s">
        <v>74</v>
      </c>
    </row>
    <row r="87" spans="2:12" s="1" customFormat="1">
      <c r="B87" s="13" t="s">
        <v>503</v>
      </c>
      <c r="C87" s="13" t="s">
        <v>504</v>
      </c>
      <c r="D87" s="9" t="s">
        <v>550</v>
      </c>
      <c r="E87" s="21" t="s">
        <v>587</v>
      </c>
      <c r="F87" s="19" t="str">
        <f t="shared" si="1"/>
        <v>n1_mode</v>
      </c>
      <c r="G87" s="22" t="s">
        <v>605</v>
      </c>
      <c r="H87" s="71"/>
      <c r="I87" s="25"/>
      <c r="J87" s="25" t="s">
        <v>42</v>
      </c>
      <c r="K87" s="25" t="s">
        <v>74</v>
      </c>
      <c r="L87" s="25" t="s">
        <v>74</v>
      </c>
    </row>
    <row r="88" spans="2:12" s="1" customFormat="1">
      <c r="B88" s="13" t="s">
        <v>497</v>
      </c>
      <c r="C88" s="13" t="s">
        <v>98</v>
      </c>
      <c r="D88" s="9" t="s">
        <v>551</v>
      </c>
      <c r="E88" s="21" t="s">
        <v>587</v>
      </c>
      <c r="F88" s="19" t="str">
        <f t="shared" si="1"/>
        <v>bearer_id</v>
      </c>
      <c r="G88" s="22" t="s">
        <v>605</v>
      </c>
      <c r="H88" s="71"/>
      <c r="I88" s="25"/>
      <c r="J88" s="25" t="s">
        <v>42</v>
      </c>
      <c r="K88" s="25" t="s">
        <v>74</v>
      </c>
      <c r="L88" s="25" t="s">
        <v>74</v>
      </c>
    </row>
    <row r="89" spans="2:12" s="1" customFormat="1">
      <c r="B89" s="13" t="s">
        <v>498</v>
      </c>
      <c r="C89" s="13" t="s">
        <v>98</v>
      </c>
      <c r="D89" s="9" t="s">
        <v>552</v>
      </c>
      <c r="E89" s="21" t="s">
        <v>587</v>
      </c>
      <c r="F89" s="19" t="str">
        <f t="shared" si="1"/>
        <v>bearer_type</v>
      </c>
      <c r="G89" s="22" t="s">
        <v>605</v>
      </c>
      <c r="H89" s="71"/>
      <c r="I89" s="25"/>
      <c r="J89" s="25" t="s">
        <v>42</v>
      </c>
      <c r="K89" s="25" t="s">
        <v>74</v>
      </c>
      <c r="L89" s="25" t="s">
        <v>74</v>
      </c>
    </row>
    <row r="90" spans="2:12" s="1" customFormat="1">
      <c r="B90" s="13" t="s">
        <v>499</v>
      </c>
      <c r="C90" s="13" t="s">
        <v>98</v>
      </c>
      <c r="D90" s="9" t="s">
        <v>553</v>
      </c>
      <c r="E90" s="21" t="s">
        <v>587</v>
      </c>
      <c r="F90" s="19" t="str">
        <f t="shared" si="1"/>
        <v>bearer_qci</v>
      </c>
      <c r="G90" s="22" t="s">
        <v>605</v>
      </c>
      <c r="H90" s="71"/>
      <c r="I90" s="25"/>
      <c r="J90" s="25" t="s">
        <v>42</v>
      </c>
      <c r="K90" s="25" t="s">
        <v>74</v>
      </c>
      <c r="L90" s="25" t="s">
        <v>74</v>
      </c>
    </row>
    <row r="91" spans="2:12" s="1" customFormat="1">
      <c r="B91" s="13" t="s">
        <v>500</v>
      </c>
      <c r="C91" s="13" t="s">
        <v>98</v>
      </c>
      <c r="D91" s="9" t="s">
        <v>554</v>
      </c>
      <c r="E91" s="21" t="s">
        <v>587</v>
      </c>
      <c r="F91" s="19" t="str">
        <f t="shared" si="1"/>
        <v>bearerstatus</v>
      </c>
      <c r="G91" s="22" t="s">
        <v>605</v>
      </c>
      <c r="H91" s="71"/>
      <c r="I91" s="25"/>
      <c r="J91" s="25" t="s">
        <v>42</v>
      </c>
      <c r="K91" s="25" t="s">
        <v>74</v>
      </c>
      <c r="L91" s="25" t="s">
        <v>74</v>
      </c>
    </row>
    <row r="92" spans="2:12" s="1" customFormat="1">
      <c r="B92" s="13" t="s">
        <v>501</v>
      </c>
      <c r="C92" s="13" t="s">
        <v>98</v>
      </c>
      <c r="D92" s="9" t="s">
        <v>555</v>
      </c>
      <c r="E92" s="21" t="s">
        <v>587</v>
      </c>
      <c r="F92" s="19" t="str">
        <f t="shared" si="1"/>
        <v>enb_gtp_teid</v>
      </c>
      <c r="G92" s="22" t="s">
        <v>605</v>
      </c>
      <c r="H92" s="71"/>
      <c r="I92" s="25"/>
      <c r="J92" s="25" t="s">
        <v>42</v>
      </c>
      <c r="K92" s="25" t="s">
        <v>74</v>
      </c>
      <c r="L92" s="25" t="s">
        <v>74</v>
      </c>
    </row>
    <row r="93" spans="2:12" s="1" customFormat="1">
      <c r="B93" s="13" t="s">
        <v>502</v>
      </c>
      <c r="C93" s="13" t="s">
        <v>98</v>
      </c>
      <c r="D93" s="9" t="s">
        <v>556</v>
      </c>
      <c r="E93" s="21" t="s">
        <v>587</v>
      </c>
      <c r="F93" s="19" t="str">
        <f t="shared" si="1"/>
        <v>sgw_gtp_teid</v>
      </c>
      <c r="G93" s="22" t="s">
        <v>605</v>
      </c>
      <c r="H93" s="71"/>
      <c r="I93" s="25"/>
      <c r="J93" s="25" t="s">
        <v>42</v>
      </c>
      <c r="K93" s="25" t="s">
        <v>74</v>
      </c>
      <c r="L93" s="25" t="s">
        <v>74</v>
      </c>
    </row>
    <row r="94" spans="2:12" s="1" customFormat="1">
      <c r="B94" s="13" t="s">
        <v>592</v>
      </c>
      <c r="C94" s="13" t="s">
        <v>98</v>
      </c>
      <c r="D94" s="9" t="s">
        <v>557</v>
      </c>
      <c r="E94" s="21" t="s">
        <v>587</v>
      </c>
      <c r="F94" s="19" t="str">
        <f t="shared" si="1"/>
        <v>bearer_request_cause</v>
      </c>
      <c r="G94" s="22" t="s">
        <v>605</v>
      </c>
      <c r="H94" s="71"/>
      <c r="I94" s="25"/>
      <c r="J94" s="25" t="s">
        <v>42</v>
      </c>
      <c r="K94" s="25" t="s">
        <v>74</v>
      </c>
      <c r="L94" s="25" t="s">
        <v>74</v>
      </c>
    </row>
    <row r="95" spans="2:12" s="1" customFormat="1">
      <c r="B95" s="13" t="s">
        <v>591</v>
      </c>
      <c r="C95" s="13" t="s">
        <v>98</v>
      </c>
      <c r="D95" s="9" t="s">
        <v>558</v>
      </c>
      <c r="E95" s="21" t="s">
        <v>587</v>
      </c>
      <c r="F95" s="19" t="str">
        <f t="shared" si="1"/>
        <v>bearerfailure_cause</v>
      </c>
      <c r="G95" s="22" t="s">
        <v>605</v>
      </c>
      <c r="H95" s="71"/>
      <c r="I95" s="25"/>
      <c r="J95" s="25" t="s">
        <v>42</v>
      </c>
      <c r="K95" s="25" t="s">
        <v>74</v>
      </c>
      <c r="L95" s="25" t="s">
        <v>74</v>
      </c>
    </row>
    <row r="96" spans="2:12" s="1" customFormat="1" ht="26.4">
      <c r="B96" s="13" t="s">
        <v>617</v>
      </c>
      <c r="C96" s="13" t="s">
        <v>75</v>
      </c>
      <c r="D96" s="9" t="s">
        <v>186</v>
      </c>
      <c r="E96" s="21" t="s">
        <v>58</v>
      </c>
      <c r="F96" s="19"/>
      <c r="G96" s="22" t="s">
        <v>620</v>
      </c>
      <c r="H96" s="71" t="str">
        <f t="shared" ref="H96" si="2">_xlfn.CONCAT(",",B96," ",C96," comment '",D96,"'")</f>
        <v>,cause_type int comment '失败原因类型'</v>
      </c>
      <c r="I96" s="25"/>
      <c r="J96" s="25" t="s">
        <v>3</v>
      </c>
      <c r="K96" s="25" t="s">
        <v>74</v>
      </c>
      <c r="L96" s="25" t="s">
        <v>74</v>
      </c>
    </row>
    <row r="97" spans="2:12" s="1" customFormat="1" ht="26.4">
      <c r="B97" s="13" t="s">
        <v>595</v>
      </c>
      <c r="C97" s="13" t="s">
        <v>75</v>
      </c>
      <c r="D97" s="9" t="s">
        <v>187</v>
      </c>
      <c r="E97" s="21" t="s">
        <v>58</v>
      </c>
      <c r="F97" s="19"/>
      <c r="G97" s="22" t="s">
        <v>621</v>
      </c>
      <c r="H97" s="22"/>
      <c r="I97" s="25"/>
      <c r="J97" s="25" t="s">
        <v>42</v>
      </c>
      <c r="K97" s="25" t="s">
        <v>74</v>
      </c>
      <c r="L97" s="25" t="s">
        <v>74</v>
      </c>
    </row>
    <row r="98" spans="2:12" s="1" customFormat="1">
      <c r="B98" s="13" t="s">
        <v>309</v>
      </c>
      <c r="C98" s="13" t="s">
        <v>71</v>
      </c>
      <c r="D98" s="9" t="s">
        <v>153</v>
      </c>
      <c r="E98" s="21" t="s">
        <v>107</v>
      </c>
      <c r="F98" s="19" t="s">
        <v>141</v>
      </c>
      <c r="G98" s="22" t="s">
        <v>73</v>
      </c>
      <c r="H98" s="71"/>
      <c r="I98" s="25"/>
      <c r="J98" s="25" t="s">
        <v>42</v>
      </c>
      <c r="K98" s="25" t="s">
        <v>74</v>
      </c>
      <c r="L98" s="25" t="s">
        <v>74</v>
      </c>
    </row>
    <row r="99" spans="2:12" s="1" customFormat="1">
      <c r="B99" s="13" t="s">
        <v>188</v>
      </c>
      <c r="C99" s="13" t="s">
        <v>71</v>
      </c>
      <c r="D99" s="9" t="s">
        <v>128</v>
      </c>
      <c r="E99" s="21" t="s">
        <v>107</v>
      </c>
      <c r="F99" s="19" t="s">
        <v>127</v>
      </c>
      <c r="G99" s="22" t="s">
        <v>73</v>
      </c>
      <c r="H99" s="71"/>
      <c r="I99" s="25"/>
      <c r="J99" s="25" t="s">
        <v>42</v>
      </c>
      <c r="K99" s="25" t="s">
        <v>74</v>
      </c>
      <c r="L99" s="25" t="s">
        <v>74</v>
      </c>
    </row>
    <row r="100" spans="2:12" s="1" customFormat="1">
      <c r="B100" s="13" t="s">
        <v>149</v>
      </c>
      <c r="C100" s="13" t="s">
        <v>71</v>
      </c>
      <c r="D100" s="9" t="s">
        <v>150</v>
      </c>
      <c r="E100" s="21" t="s">
        <v>107</v>
      </c>
      <c r="F100" s="19" t="s">
        <v>149</v>
      </c>
      <c r="G100" s="22" t="s">
        <v>73</v>
      </c>
      <c r="H100" s="71"/>
      <c r="I100" s="25"/>
      <c r="J100" s="25" t="s">
        <v>42</v>
      </c>
      <c r="K100" s="25" t="s">
        <v>74</v>
      </c>
      <c r="L100" s="25" t="s">
        <v>74</v>
      </c>
    </row>
    <row r="101" spans="2:12" s="1" customFormat="1">
      <c r="B101" s="13" t="s">
        <v>151</v>
      </c>
      <c r="C101" s="13" t="s">
        <v>71</v>
      </c>
      <c r="D101" s="9" t="s">
        <v>189</v>
      </c>
      <c r="E101" s="21" t="s">
        <v>107</v>
      </c>
      <c r="F101" s="19" t="s">
        <v>151</v>
      </c>
      <c r="G101" s="22" t="s">
        <v>73</v>
      </c>
      <c r="H101" s="71"/>
      <c r="I101" s="25"/>
      <c r="J101" s="25" t="s">
        <v>42</v>
      </c>
      <c r="K101" s="25" t="s">
        <v>74</v>
      </c>
      <c r="L101" s="25" t="s">
        <v>74</v>
      </c>
    </row>
    <row r="102" spans="2:12" s="1" customFormat="1" ht="26.4">
      <c r="B102" s="13" t="s">
        <v>190</v>
      </c>
      <c r="C102" s="13" t="s">
        <v>75</v>
      </c>
      <c r="D102" s="9" t="s">
        <v>191</v>
      </c>
      <c r="E102" s="21" t="s">
        <v>192</v>
      </c>
      <c r="F102" s="19"/>
      <c r="G102" s="22" t="s">
        <v>600</v>
      </c>
      <c r="H102" s="71"/>
      <c r="I102" s="25"/>
      <c r="J102" s="25" t="s">
        <v>42</v>
      </c>
      <c r="K102" s="25" t="s">
        <v>74</v>
      </c>
      <c r="L102" s="25" t="s">
        <v>74</v>
      </c>
    </row>
    <row r="103" spans="2:12" s="1" customFormat="1" ht="39.6">
      <c r="B103" s="13" t="s">
        <v>193</v>
      </c>
      <c r="C103" s="13" t="s">
        <v>75</v>
      </c>
      <c r="D103" s="9" t="s">
        <v>194</v>
      </c>
      <c r="E103" s="21" t="s">
        <v>192</v>
      </c>
      <c r="F103" s="19"/>
      <c r="G103" s="22" t="s">
        <v>599</v>
      </c>
      <c r="H103" s="71"/>
      <c r="I103" s="25"/>
      <c r="J103" s="25" t="s">
        <v>42</v>
      </c>
      <c r="K103" s="25" t="s">
        <v>74</v>
      </c>
      <c r="L103" s="25" t="s">
        <v>74</v>
      </c>
    </row>
    <row r="104" spans="2:12" s="1" customFormat="1">
      <c r="B104" s="13" t="s">
        <v>133</v>
      </c>
      <c r="C104" s="13" t="s">
        <v>75</v>
      </c>
      <c r="D104" s="9" t="s">
        <v>134</v>
      </c>
      <c r="E104" s="21" t="s">
        <v>122</v>
      </c>
      <c r="F104" s="19" t="s">
        <v>133</v>
      </c>
      <c r="G104" s="22" t="s">
        <v>73</v>
      </c>
      <c r="H104" s="71"/>
      <c r="I104" s="25"/>
      <c r="J104" s="25" t="s">
        <v>42</v>
      </c>
      <c r="K104" s="25" t="s">
        <v>74</v>
      </c>
      <c r="L104" s="25" t="s">
        <v>74</v>
      </c>
    </row>
    <row r="105" spans="2:12" s="1" customFormat="1">
      <c r="B105" s="13" t="s">
        <v>129</v>
      </c>
      <c r="C105" s="13" t="s">
        <v>71</v>
      </c>
      <c r="D105" s="9" t="s">
        <v>130</v>
      </c>
      <c r="E105" s="21" t="s">
        <v>122</v>
      </c>
      <c r="F105" s="19" t="s">
        <v>129</v>
      </c>
      <c r="G105" s="22" t="s">
        <v>73</v>
      </c>
      <c r="H105" s="71"/>
      <c r="I105" s="25"/>
      <c r="J105" s="25" t="s">
        <v>42</v>
      </c>
      <c r="K105" s="25" t="s">
        <v>74</v>
      </c>
      <c r="L105" s="25" t="s">
        <v>74</v>
      </c>
    </row>
    <row r="106" spans="2:12" s="1" customFormat="1">
      <c r="B106" s="13" t="s">
        <v>195</v>
      </c>
      <c r="C106" s="13" t="s">
        <v>71</v>
      </c>
      <c r="D106" s="9" t="s">
        <v>196</v>
      </c>
      <c r="E106" s="21" t="s">
        <v>122</v>
      </c>
      <c r="F106" s="19" t="s">
        <v>195</v>
      </c>
      <c r="G106" s="22" t="s">
        <v>73</v>
      </c>
      <c r="H106" s="71"/>
      <c r="I106" s="25"/>
      <c r="J106" s="25" t="s">
        <v>42</v>
      </c>
      <c r="K106" s="25" t="s">
        <v>74</v>
      </c>
      <c r="L106" s="25" t="s">
        <v>74</v>
      </c>
    </row>
    <row r="107" spans="2:12" s="1" customFormat="1">
      <c r="B107" s="13" t="s">
        <v>197</v>
      </c>
      <c r="C107" s="13" t="s">
        <v>71</v>
      </c>
      <c r="D107" s="9" t="s">
        <v>132</v>
      </c>
      <c r="E107" s="21" t="s">
        <v>122</v>
      </c>
      <c r="F107" s="19" t="s">
        <v>131</v>
      </c>
      <c r="G107" s="22" t="s">
        <v>73</v>
      </c>
      <c r="H107" s="71"/>
      <c r="I107" s="25"/>
      <c r="J107" s="25" t="s">
        <v>42</v>
      </c>
      <c r="K107" s="25" t="s">
        <v>74</v>
      </c>
      <c r="L107" s="25" t="s">
        <v>74</v>
      </c>
    </row>
    <row r="108" spans="2:12" s="112" customFormat="1" ht="66">
      <c r="B108" s="106" t="s">
        <v>2485</v>
      </c>
      <c r="C108" s="106" t="s">
        <v>2486</v>
      </c>
      <c r="D108" s="91" t="s">
        <v>2487</v>
      </c>
      <c r="E108" s="107" t="s">
        <v>2488</v>
      </c>
      <c r="F108" s="108"/>
      <c r="G108" s="109" t="s">
        <v>2489</v>
      </c>
      <c r="H108" s="110"/>
      <c r="I108" s="111"/>
      <c r="J108" s="111"/>
      <c r="K108" s="111"/>
      <c r="L108" s="111"/>
    </row>
    <row r="109" spans="2:12" s="1" customFormat="1" ht="66">
      <c r="B109" s="13" t="s">
        <v>2484</v>
      </c>
      <c r="C109" s="13" t="s">
        <v>71</v>
      </c>
      <c r="D109" s="9" t="s">
        <v>198</v>
      </c>
      <c r="E109" s="21" t="s">
        <v>166</v>
      </c>
      <c r="F109" s="19" t="s">
        <v>594</v>
      </c>
      <c r="G109" s="22" t="s">
        <v>601</v>
      </c>
      <c r="H109" s="23" t="s">
        <v>2490</v>
      </c>
      <c r="I109" s="25"/>
      <c r="J109" s="25" t="s">
        <v>42</v>
      </c>
      <c r="K109" s="25" t="s">
        <v>74</v>
      </c>
      <c r="L109" s="25" t="s">
        <v>74</v>
      </c>
    </row>
    <row r="110" spans="2:12" s="31" customFormat="1" ht="66">
      <c r="B110" s="8" t="s">
        <v>578</v>
      </c>
      <c r="C110" s="8" t="s">
        <v>71</v>
      </c>
      <c r="D110" s="34" t="s">
        <v>579</v>
      </c>
      <c r="E110" s="21" t="s">
        <v>166</v>
      </c>
      <c r="F110" s="79" t="s">
        <v>594</v>
      </c>
      <c r="G110" s="80" t="s">
        <v>302</v>
      </c>
      <c r="H110" s="23" t="s">
        <v>2491</v>
      </c>
      <c r="I110" s="36"/>
      <c r="J110" s="36" t="s">
        <v>42</v>
      </c>
      <c r="K110" s="36" t="s">
        <v>74</v>
      </c>
      <c r="L110" s="36" t="s">
        <v>74</v>
      </c>
    </row>
    <row r="111" spans="2:12" s="31" customFormat="1" ht="66">
      <c r="B111" s="8" t="s">
        <v>580</v>
      </c>
      <c r="C111" s="8" t="s">
        <v>71</v>
      </c>
      <c r="D111" s="34" t="s">
        <v>2482</v>
      </c>
      <c r="E111" s="21" t="s">
        <v>166</v>
      </c>
      <c r="F111" s="79" t="s">
        <v>594</v>
      </c>
      <c r="G111" s="80" t="s">
        <v>302</v>
      </c>
      <c r="H111" s="23" t="s">
        <v>2492</v>
      </c>
      <c r="I111" s="36"/>
      <c r="J111" s="36" t="s">
        <v>42</v>
      </c>
      <c r="K111" s="36" t="s">
        <v>74</v>
      </c>
      <c r="L111" s="36" t="s">
        <v>74</v>
      </c>
    </row>
    <row r="112" spans="2:12" s="31" customFormat="1" ht="66">
      <c r="B112" s="8" t="s">
        <v>581</v>
      </c>
      <c r="C112" s="8" t="s">
        <v>71</v>
      </c>
      <c r="D112" s="34" t="s">
        <v>582</v>
      </c>
      <c r="E112" s="21" t="s">
        <v>166</v>
      </c>
      <c r="F112" s="79" t="s">
        <v>594</v>
      </c>
      <c r="G112" s="80" t="s">
        <v>302</v>
      </c>
      <c r="H112" s="23" t="s">
        <v>2493</v>
      </c>
      <c r="I112" s="36"/>
      <c r="J112" s="36" t="s">
        <v>42</v>
      </c>
      <c r="K112" s="36" t="s">
        <v>74</v>
      </c>
      <c r="L112" s="36" t="s">
        <v>74</v>
      </c>
    </row>
    <row r="113" spans="2:17" s="31" customFormat="1" ht="66">
      <c r="B113" s="8" t="s">
        <v>583</v>
      </c>
      <c r="C113" s="8" t="s">
        <v>71</v>
      </c>
      <c r="D113" s="34" t="s">
        <v>584</v>
      </c>
      <c r="E113" s="21" t="s">
        <v>166</v>
      </c>
      <c r="F113" s="79" t="s">
        <v>594</v>
      </c>
      <c r="G113" s="80" t="s">
        <v>302</v>
      </c>
      <c r="H113" s="23" t="s">
        <v>2494</v>
      </c>
      <c r="I113" s="36"/>
      <c r="J113" s="36" t="s">
        <v>42</v>
      </c>
      <c r="K113" s="36" t="s">
        <v>74</v>
      </c>
      <c r="L113" s="36" t="s">
        <v>74</v>
      </c>
    </row>
    <row r="114" spans="2:17" s="31" customFormat="1" ht="66">
      <c r="B114" s="8" t="s">
        <v>585</v>
      </c>
      <c r="C114" s="8" t="s">
        <v>71</v>
      </c>
      <c r="D114" s="34" t="s">
        <v>586</v>
      </c>
      <c r="E114" s="21" t="s">
        <v>166</v>
      </c>
      <c r="F114" s="79" t="s">
        <v>594</v>
      </c>
      <c r="G114" s="80" t="s">
        <v>302</v>
      </c>
      <c r="H114" s="23" t="s">
        <v>2495</v>
      </c>
      <c r="I114" s="36"/>
      <c r="J114" s="36" t="s">
        <v>42</v>
      </c>
      <c r="K114" s="36" t="s">
        <v>74</v>
      </c>
      <c r="L114" s="36" t="s">
        <v>74</v>
      </c>
    </row>
    <row r="115" spans="2:17" s="1" customFormat="1">
      <c r="B115" s="13" t="s">
        <v>307</v>
      </c>
      <c r="C115" s="13" t="s">
        <v>71</v>
      </c>
      <c r="D115" s="9" t="s">
        <v>91</v>
      </c>
      <c r="E115" s="21" t="s">
        <v>58</v>
      </c>
      <c r="F115" s="9"/>
      <c r="G115" s="27" t="s">
        <v>598</v>
      </c>
      <c r="H115" s="71"/>
      <c r="I115" s="25"/>
      <c r="J115" s="25" t="s">
        <v>42</v>
      </c>
      <c r="K115" s="25" t="s">
        <v>74</v>
      </c>
      <c r="L115" s="25" t="s">
        <v>74</v>
      </c>
    </row>
    <row r="116" spans="2:17" s="1" customFormat="1">
      <c r="B116" s="13" t="s">
        <v>81</v>
      </c>
      <c r="C116" s="13" t="s">
        <v>75</v>
      </c>
      <c r="D116" s="9" t="s">
        <v>109</v>
      </c>
      <c r="E116" s="21" t="s">
        <v>167</v>
      </c>
      <c r="F116" s="9" t="s">
        <v>81</v>
      </c>
      <c r="G116" s="22" t="s">
        <v>603</v>
      </c>
      <c r="H116" s="71"/>
      <c r="I116" s="25"/>
      <c r="J116" s="25" t="s">
        <v>42</v>
      </c>
      <c r="K116" s="25" t="s">
        <v>74</v>
      </c>
      <c r="L116" s="25" t="s">
        <v>74</v>
      </c>
    </row>
    <row r="117" spans="2:17" s="1" customFormat="1">
      <c r="B117" s="13" t="s">
        <v>85</v>
      </c>
      <c r="C117" s="13" t="s">
        <v>71</v>
      </c>
      <c r="D117" s="9" t="s">
        <v>111</v>
      </c>
      <c r="E117" s="21" t="s">
        <v>167</v>
      </c>
      <c r="F117" s="9" t="s">
        <v>85</v>
      </c>
      <c r="G117" s="22" t="s">
        <v>603</v>
      </c>
      <c r="H117" s="71"/>
      <c r="I117" s="25"/>
      <c r="J117" s="25" t="s">
        <v>42</v>
      </c>
      <c r="K117" s="25" t="s">
        <v>74</v>
      </c>
      <c r="L117" s="25" t="s">
        <v>74</v>
      </c>
    </row>
    <row r="118" spans="2:17" s="1" customFormat="1">
      <c r="B118" s="13" t="s">
        <v>82</v>
      </c>
      <c r="C118" s="13" t="s">
        <v>75</v>
      </c>
      <c r="D118" s="9" t="s">
        <v>110</v>
      </c>
      <c r="E118" s="21" t="s">
        <v>167</v>
      </c>
      <c r="F118" s="9" t="s">
        <v>82</v>
      </c>
      <c r="G118" s="22" t="s">
        <v>603</v>
      </c>
      <c r="H118" s="71"/>
      <c r="I118" s="25"/>
      <c r="J118" s="25" t="s">
        <v>42</v>
      </c>
      <c r="K118" s="25" t="s">
        <v>74</v>
      </c>
      <c r="L118" s="25" t="s">
        <v>74</v>
      </c>
    </row>
    <row r="119" spans="2:17" s="1" customFormat="1">
      <c r="B119" s="13" t="s">
        <v>87</v>
      </c>
      <c r="C119" s="13" t="s">
        <v>71</v>
      </c>
      <c r="D119" s="9" t="s">
        <v>88</v>
      </c>
      <c r="E119" s="21" t="s">
        <v>167</v>
      </c>
      <c r="F119" s="9" t="s">
        <v>87</v>
      </c>
      <c r="G119" s="22" t="s">
        <v>603</v>
      </c>
      <c r="H119" s="71"/>
      <c r="I119" s="25"/>
      <c r="J119" s="25" t="s">
        <v>42</v>
      </c>
      <c r="K119" s="25" t="s">
        <v>74</v>
      </c>
      <c r="L119" s="25" t="s">
        <v>74</v>
      </c>
    </row>
    <row r="120" spans="2:17" s="1" customFormat="1">
      <c r="B120" s="13" t="s">
        <v>612</v>
      </c>
      <c r="C120" s="13" t="s">
        <v>71</v>
      </c>
      <c r="D120" s="9" t="s">
        <v>614</v>
      </c>
      <c r="E120" s="21" t="s">
        <v>167</v>
      </c>
      <c r="F120" s="27" t="s">
        <v>612</v>
      </c>
      <c r="G120" s="22" t="s">
        <v>603</v>
      </c>
      <c r="H120" s="71"/>
      <c r="I120" s="25"/>
      <c r="J120" s="25" t="s">
        <v>42</v>
      </c>
      <c r="K120" s="25" t="s">
        <v>74</v>
      </c>
      <c r="L120" s="25" t="s">
        <v>74</v>
      </c>
    </row>
    <row r="121" spans="2:17" s="1" customFormat="1">
      <c r="B121" s="13" t="s">
        <v>613</v>
      </c>
      <c r="C121" s="13" t="s">
        <v>71</v>
      </c>
      <c r="D121" s="9" t="s">
        <v>615</v>
      </c>
      <c r="E121" s="21" t="s">
        <v>167</v>
      </c>
      <c r="F121" s="27" t="s">
        <v>613</v>
      </c>
      <c r="G121" s="22" t="s">
        <v>603</v>
      </c>
      <c r="H121" s="71"/>
      <c r="I121" s="25"/>
      <c r="J121" s="25" t="s">
        <v>42</v>
      </c>
      <c r="K121" s="25" t="s">
        <v>74</v>
      </c>
      <c r="L121" s="25" t="s">
        <v>74</v>
      </c>
    </row>
    <row r="122" spans="2:17" s="2" customFormat="1">
      <c r="B122" s="14" t="s">
        <v>80</v>
      </c>
      <c r="C122" s="15" t="s">
        <v>75</v>
      </c>
      <c r="D122" s="16" t="s">
        <v>103</v>
      </c>
      <c r="E122" s="21"/>
      <c r="F122" s="24"/>
      <c r="G122" s="14"/>
      <c r="H122" s="71"/>
      <c r="I122" s="14"/>
      <c r="J122" s="14"/>
      <c r="K122" s="14"/>
      <c r="L122" s="14"/>
      <c r="M122" s="14"/>
      <c r="N122" s="14"/>
      <c r="O122" s="14"/>
      <c r="P122" s="14"/>
      <c r="Q122" s="14"/>
    </row>
    <row r="123" spans="2:17" s="2" customFormat="1">
      <c r="B123" s="14" t="s">
        <v>0</v>
      </c>
      <c r="C123" s="15" t="s">
        <v>71</v>
      </c>
      <c r="D123" s="16" t="s">
        <v>104</v>
      </c>
      <c r="E123" s="21"/>
      <c r="F123" s="24"/>
      <c r="G123" s="14"/>
      <c r="H123" s="71"/>
      <c r="I123" s="14"/>
      <c r="J123" s="14"/>
      <c r="K123" s="14"/>
      <c r="L123" s="14"/>
      <c r="M123" s="14"/>
      <c r="N123" s="14"/>
      <c r="O123" s="14"/>
      <c r="P123" s="14"/>
      <c r="Q123" s="14"/>
    </row>
    <row r="124" spans="2:17" s="2" customFormat="1">
      <c r="B124" s="14" t="s">
        <v>1</v>
      </c>
      <c r="C124" s="15" t="s">
        <v>75</v>
      </c>
      <c r="D124" s="16" t="s">
        <v>105</v>
      </c>
      <c r="E124" s="21"/>
      <c r="F124" s="24"/>
      <c r="G124" s="14"/>
      <c r="H124" s="71"/>
      <c r="I124" s="14"/>
      <c r="J124" s="14"/>
      <c r="K124" s="14"/>
      <c r="L124" s="14"/>
      <c r="M124" s="14"/>
      <c r="N124" s="14"/>
      <c r="O124" s="14"/>
      <c r="P124" s="14"/>
      <c r="Q124" s="14"/>
    </row>
    <row r="125" spans="2:17" s="2" customFormat="1">
      <c r="B125" s="14" t="s">
        <v>2</v>
      </c>
      <c r="C125" s="15" t="s">
        <v>75</v>
      </c>
      <c r="D125" s="16" t="s">
        <v>106</v>
      </c>
      <c r="E125" s="21"/>
      <c r="F125" s="24"/>
      <c r="G125" s="14"/>
      <c r="H125" s="71"/>
      <c r="I125" s="14"/>
      <c r="J125" s="14"/>
      <c r="K125" s="14"/>
      <c r="L125" s="14"/>
      <c r="M125" s="14"/>
      <c r="N125" s="14"/>
      <c r="O125" s="14"/>
      <c r="P125" s="14"/>
      <c r="Q125" s="14"/>
    </row>
  </sheetData>
  <autoFilter ref="A17:Q125" xr:uid="{00000000-0009-0000-0000-000011000000}"/>
  <phoneticPr fontId="23"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60"/>
  <sheetViews>
    <sheetView zoomScale="85" zoomScaleNormal="85" workbookViewId="0">
      <pane ySplit="5" topLeftCell="A6" activePane="bottomLeft" state="frozen"/>
      <selection pane="bottomLeft" activeCell="B53" sqref="B53:D54"/>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7" t="s">
        <v>14</v>
      </c>
      <c r="H4" s="11" t="s">
        <v>50</v>
      </c>
    </row>
    <row r="5" spans="2:14">
      <c r="B5" s="8" t="s">
        <v>39</v>
      </c>
      <c r="C5" s="68" t="s">
        <v>608</v>
      </c>
      <c r="D5" s="9" t="s">
        <v>607</v>
      </c>
      <c r="E5" s="12" t="s">
        <v>4</v>
      </c>
      <c r="F5" s="17"/>
      <c r="G5" s="12"/>
      <c r="H5" s="12"/>
      <c r="N5" s="3"/>
    </row>
    <row r="6" spans="2:14">
      <c r="B6" s="6"/>
      <c r="C6" s="6"/>
      <c r="D6" s="6"/>
      <c r="E6" s="6"/>
      <c r="F6" s="18"/>
      <c r="G6" s="6"/>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436</v>
      </c>
      <c r="D9" s="10" t="s">
        <v>438</v>
      </c>
      <c r="E9" s="12" t="s">
        <v>58</v>
      </c>
      <c r="F9" s="19"/>
      <c r="G9" s="22"/>
      <c r="H9" s="20" t="s">
        <v>30</v>
      </c>
    </row>
    <row r="10" spans="2:14">
      <c r="G10" s="30"/>
    </row>
    <row r="11" spans="2:14">
      <c r="B11" s="3" t="s">
        <v>59</v>
      </c>
    </row>
    <row r="12" spans="2:14">
      <c r="B12" s="122" t="s">
        <v>59</v>
      </c>
      <c r="C12" s="122"/>
      <c r="D12" s="122"/>
      <c r="E12" s="122"/>
      <c r="F12" s="122"/>
      <c r="G12" s="122"/>
      <c r="H12" s="122"/>
      <c r="I12" s="122"/>
      <c r="J12" s="122"/>
      <c r="K12" s="122"/>
      <c r="L12" s="122"/>
    </row>
    <row r="13" spans="2:14">
      <c r="B13" s="7" t="s">
        <v>60</v>
      </c>
      <c r="C13" s="7" t="s">
        <v>61</v>
      </c>
      <c r="D13" s="7" t="s">
        <v>62</v>
      </c>
      <c r="E13" s="7" t="s">
        <v>63</v>
      </c>
      <c r="F13" s="11" t="s">
        <v>64</v>
      </c>
      <c r="G13" s="7" t="s">
        <v>65</v>
      </c>
      <c r="H13" s="11" t="s">
        <v>66</v>
      </c>
      <c r="I13" s="7" t="s">
        <v>24</v>
      </c>
      <c r="J13" s="7" t="s">
        <v>67</v>
      </c>
      <c r="K13" s="7" t="s">
        <v>68</v>
      </c>
      <c r="L13" s="7" t="s">
        <v>69</v>
      </c>
    </row>
    <row r="14" spans="2:14" s="1" customFormat="1">
      <c r="B14" s="13" t="s">
        <v>70</v>
      </c>
      <c r="C14" s="13" t="s">
        <v>71</v>
      </c>
      <c r="D14" s="9" t="s">
        <v>72</v>
      </c>
      <c r="E14" s="21" t="s">
        <v>58</v>
      </c>
      <c r="F14" s="19" t="s">
        <v>0</v>
      </c>
      <c r="G14" s="22" t="s">
        <v>73</v>
      </c>
      <c r="H14" s="71"/>
      <c r="I14" s="25"/>
      <c r="J14" s="25" t="s">
        <v>3</v>
      </c>
      <c r="K14" s="25" t="s">
        <v>74</v>
      </c>
      <c r="L14" s="25" t="s">
        <v>74</v>
      </c>
    </row>
    <row r="15" spans="2:14" s="1" customFormat="1">
      <c r="B15" s="13" t="s">
        <v>6</v>
      </c>
      <c r="C15" s="13" t="s">
        <v>75</v>
      </c>
      <c r="D15" s="9" t="s">
        <v>34</v>
      </c>
      <c r="E15" s="21" t="s">
        <v>58</v>
      </c>
      <c r="F15" s="19" t="s">
        <v>1</v>
      </c>
      <c r="G15" s="22" t="s">
        <v>73</v>
      </c>
      <c r="H15" s="71"/>
      <c r="I15" s="25"/>
      <c r="J15" s="25" t="s">
        <v>3</v>
      </c>
      <c r="K15" s="25" t="s">
        <v>74</v>
      </c>
      <c r="L15" s="25" t="s">
        <v>74</v>
      </c>
    </row>
    <row r="16" spans="2:14" s="1" customFormat="1">
      <c r="B16" s="13" t="s">
        <v>4</v>
      </c>
      <c r="C16" s="13" t="s">
        <v>75</v>
      </c>
      <c r="D16" s="9" t="s">
        <v>28</v>
      </c>
      <c r="E16" s="21" t="s">
        <v>58</v>
      </c>
      <c r="F16" s="19" t="s">
        <v>2</v>
      </c>
      <c r="G16" s="22" t="s">
        <v>73</v>
      </c>
      <c r="H16" s="71"/>
      <c r="I16" s="25"/>
      <c r="J16" s="25" t="s">
        <v>3</v>
      </c>
      <c r="K16" s="25" t="s">
        <v>74</v>
      </c>
      <c r="L16" s="25" t="s">
        <v>74</v>
      </c>
    </row>
    <row r="17" spans="2:12" s="1" customFormat="1">
      <c r="B17" s="13" t="s">
        <v>81</v>
      </c>
      <c r="C17" s="13" t="s">
        <v>75</v>
      </c>
      <c r="D17" s="9" t="s">
        <v>109</v>
      </c>
      <c r="E17" s="21" t="s">
        <v>58</v>
      </c>
      <c r="F17" s="19" t="s">
        <v>81</v>
      </c>
      <c r="G17" s="22" t="s">
        <v>73</v>
      </c>
      <c r="H17" s="71"/>
      <c r="I17" s="25"/>
      <c r="J17" s="25" t="s">
        <v>3</v>
      </c>
      <c r="K17" s="25" t="s">
        <v>74</v>
      </c>
      <c r="L17" s="25" t="s">
        <v>74</v>
      </c>
    </row>
    <row r="18" spans="2:12" s="1" customFormat="1">
      <c r="B18" s="13" t="s">
        <v>85</v>
      </c>
      <c r="C18" s="13" t="s">
        <v>71</v>
      </c>
      <c r="D18" s="9" t="s">
        <v>111</v>
      </c>
      <c r="E18" s="21" t="s">
        <v>58</v>
      </c>
      <c r="F18" s="19" t="s">
        <v>85</v>
      </c>
      <c r="G18" s="22" t="s">
        <v>73</v>
      </c>
      <c r="H18" s="71"/>
      <c r="I18" s="25"/>
      <c r="J18" s="25" t="s">
        <v>3</v>
      </c>
      <c r="K18" s="25" t="s">
        <v>74</v>
      </c>
      <c r="L18" s="25" t="s">
        <v>74</v>
      </c>
    </row>
    <row r="19" spans="2:12" s="1" customFormat="1">
      <c r="B19" s="13" t="s">
        <v>82</v>
      </c>
      <c r="C19" s="13" t="s">
        <v>75</v>
      </c>
      <c r="D19" s="9" t="s">
        <v>110</v>
      </c>
      <c r="E19" s="21" t="s">
        <v>58</v>
      </c>
      <c r="F19" s="19" t="s">
        <v>82</v>
      </c>
      <c r="G19" s="22" t="s">
        <v>73</v>
      </c>
      <c r="H19" s="71"/>
      <c r="I19" s="25"/>
      <c r="J19" s="25" t="s">
        <v>3</v>
      </c>
      <c r="K19" s="25" t="s">
        <v>74</v>
      </c>
      <c r="L19" s="25" t="s">
        <v>74</v>
      </c>
    </row>
    <row r="20" spans="2:12" s="1" customFormat="1">
      <c r="B20" s="13" t="s">
        <v>87</v>
      </c>
      <c r="C20" s="13" t="s">
        <v>71</v>
      </c>
      <c r="D20" s="9" t="s">
        <v>88</v>
      </c>
      <c r="E20" s="21" t="s">
        <v>58</v>
      </c>
      <c r="F20" s="19" t="s">
        <v>87</v>
      </c>
      <c r="G20" s="22" t="s">
        <v>73</v>
      </c>
      <c r="H20" s="71"/>
      <c r="I20" s="25"/>
      <c r="J20" s="25" t="s">
        <v>3</v>
      </c>
      <c r="K20" s="25" t="s">
        <v>74</v>
      </c>
      <c r="L20" s="25" t="s">
        <v>74</v>
      </c>
    </row>
    <row r="21" spans="2:12" s="1" customFormat="1">
      <c r="B21" s="13" t="s">
        <v>76</v>
      </c>
      <c r="C21" s="13" t="s">
        <v>75</v>
      </c>
      <c r="D21" s="9" t="s">
        <v>168</v>
      </c>
      <c r="E21" s="21" t="s">
        <v>58</v>
      </c>
      <c r="F21" s="19" t="s">
        <v>76</v>
      </c>
      <c r="G21" s="22" t="s">
        <v>73</v>
      </c>
      <c r="H21" s="71"/>
      <c r="I21" s="25"/>
      <c r="J21" s="25" t="s">
        <v>3</v>
      </c>
      <c r="K21" s="25" t="s">
        <v>74</v>
      </c>
      <c r="L21" s="25" t="s">
        <v>74</v>
      </c>
    </row>
    <row r="22" spans="2:12" s="1" customFormat="1">
      <c r="B22" s="13" t="s">
        <v>308</v>
      </c>
      <c r="C22" s="13" t="s">
        <v>71</v>
      </c>
      <c r="D22" s="9" t="s">
        <v>170</v>
      </c>
      <c r="E22" s="21" t="s">
        <v>58</v>
      </c>
      <c r="F22" s="19" t="s">
        <v>108</v>
      </c>
      <c r="G22" s="22" t="s">
        <v>73</v>
      </c>
      <c r="H22" s="71"/>
      <c r="I22" s="25"/>
      <c r="J22" s="25" t="s">
        <v>3</v>
      </c>
      <c r="K22" s="25" t="s">
        <v>74</v>
      </c>
      <c r="L22" s="25" t="s">
        <v>74</v>
      </c>
    </row>
    <row r="23" spans="2:12" s="1" customFormat="1">
      <c r="B23" s="13" t="s">
        <v>616</v>
      </c>
      <c r="C23" s="13" t="s">
        <v>71</v>
      </c>
      <c r="D23" s="9" t="s">
        <v>171</v>
      </c>
      <c r="E23" s="21" t="s">
        <v>58</v>
      </c>
      <c r="F23" s="19" t="s">
        <v>123</v>
      </c>
      <c r="G23" s="22" t="s">
        <v>73</v>
      </c>
      <c r="H23" s="71"/>
      <c r="I23" s="25"/>
      <c r="J23" s="25" t="s">
        <v>3</v>
      </c>
      <c r="K23" s="25" t="s">
        <v>74</v>
      </c>
      <c r="L23" s="25" t="s">
        <v>74</v>
      </c>
    </row>
    <row r="24" spans="2:12" s="1" customFormat="1">
      <c r="B24" s="13" t="s">
        <v>94</v>
      </c>
      <c r="C24" s="13" t="s">
        <v>71</v>
      </c>
      <c r="D24" s="9" t="s">
        <v>172</v>
      </c>
      <c r="E24" s="21" t="s">
        <v>58</v>
      </c>
      <c r="F24" s="19" t="s">
        <v>94</v>
      </c>
      <c r="G24" s="22" t="s">
        <v>73</v>
      </c>
      <c r="H24" s="71"/>
      <c r="I24" s="25"/>
      <c r="J24" s="25" t="s">
        <v>3</v>
      </c>
      <c r="K24" s="25" t="s">
        <v>74</v>
      </c>
      <c r="L24" s="25" t="s">
        <v>74</v>
      </c>
    </row>
    <row r="25" spans="2:12" s="1" customFormat="1">
      <c r="B25" s="13" t="s">
        <v>173</v>
      </c>
      <c r="C25" s="13" t="s">
        <v>75</v>
      </c>
      <c r="D25" s="9" t="s">
        <v>174</v>
      </c>
      <c r="E25" s="21" t="s">
        <v>58</v>
      </c>
      <c r="F25" s="19" t="s">
        <v>173</v>
      </c>
      <c r="G25" s="22" t="s">
        <v>73</v>
      </c>
      <c r="H25" s="71"/>
      <c r="I25" s="25"/>
      <c r="J25" s="25" t="s">
        <v>3</v>
      </c>
      <c r="K25" s="25" t="s">
        <v>74</v>
      </c>
      <c r="L25" s="25" t="s">
        <v>74</v>
      </c>
    </row>
    <row r="26" spans="2:12" s="1" customFormat="1">
      <c r="B26" s="13" t="s">
        <v>96</v>
      </c>
      <c r="C26" s="13" t="s">
        <v>71</v>
      </c>
      <c r="D26" s="9" t="s">
        <v>175</v>
      </c>
      <c r="E26" s="21" t="s">
        <v>58</v>
      </c>
      <c r="F26" s="19" t="s">
        <v>96</v>
      </c>
      <c r="G26" s="22" t="s">
        <v>73</v>
      </c>
      <c r="H26" s="71"/>
      <c r="I26" s="25"/>
      <c r="J26" s="25" t="s">
        <v>3</v>
      </c>
      <c r="K26" s="25" t="s">
        <v>74</v>
      </c>
      <c r="L26" s="25" t="s">
        <v>74</v>
      </c>
    </row>
    <row r="27" spans="2:12" s="1" customFormat="1">
      <c r="B27" s="13" t="s">
        <v>455</v>
      </c>
      <c r="C27" s="13" t="s">
        <v>71</v>
      </c>
      <c r="D27" s="9" t="s">
        <v>519</v>
      </c>
      <c r="E27" s="21" t="s">
        <v>58</v>
      </c>
      <c r="F27" s="19" t="s">
        <v>455</v>
      </c>
      <c r="G27" s="22" t="s">
        <v>73</v>
      </c>
      <c r="H27" s="71"/>
      <c r="I27" s="25"/>
      <c r="J27" s="25" t="s">
        <v>3</v>
      </c>
      <c r="K27" s="25" t="s">
        <v>74</v>
      </c>
      <c r="L27" s="25" t="s">
        <v>74</v>
      </c>
    </row>
    <row r="28" spans="2:12" s="1" customFormat="1">
      <c r="B28" s="13" t="s">
        <v>456</v>
      </c>
      <c r="C28" s="13" t="s">
        <v>71</v>
      </c>
      <c r="D28" s="9" t="s">
        <v>520</v>
      </c>
      <c r="E28" s="21" t="s">
        <v>58</v>
      </c>
      <c r="F28" s="19" t="s">
        <v>456</v>
      </c>
      <c r="G28" s="22" t="s">
        <v>73</v>
      </c>
      <c r="H28" s="71"/>
      <c r="I28" s="25"/>
      <c r="J28" s="25" t="s">
        <v>3</v>
      </c>
      <c r="K28" s="25" t="s">
        <v>74</v>
      </c>
      <c r="L28" s="25" t="s">
        <v>74</v>
      </c>
    </row>
    <row r="29" spans="2:12" s="1" customFormat="1">
      <c r="B29" s="13" t="s">
        <v>625</v>
      </c>
      <c r="C29" s="13" t="s">
        <v>98</v>
      </c>
      <c r="D29" s="9" t="s">
        <v>525</v>
      </c>
      <c r="E29" s="21" t="s">
        <v>58</v>
      </c>
      <c r="F29" s="19" t="s">
        <v>461</v>
      </c>
      <c r="G29" s="22" t="s">
        <v>73</v>
      </c>
      <c r="H29" s="71"/>
      <c r="I29" s="25"/>
      <c r="J29" s="25" t="s">
        <v>3</v>
      </c>
      <c r="K29" s="25" t="s">
        <v>74</v>
      </c>
      <c r="L29" s="25" t="s">
        <v>74</v>
      </c>
    </row>
    <row r="30" spans="2:12" s="1" customFormat="1">
      <c r="B30" s="13" t="s">
        <v>635</v>
      </c>
      <c r="C30" s="13" t="s">
        <v>71</v>
      </c>
      <c r="D30" s="9" t="s">
        <v>624</v>
      </c>
      <c r="E30" s="21" t="s">
        <v>58</v>
      </c>
      <c r="F30" s="19" t="s">
        <v>635</v>
      </c>
      <c r="G30" s="22" t="s">
        <v>73</v>
      </c>
      <c r="H30" s="71"/>
      <c r="I30" s="25" t="s">
        <v>636</v>
      </c>
      <c r="J30" s="25" t="s">
        <v>3</v>
      </c>
      <c r="K30" s="25" t="s">
        <v>74</v>
      </c>
      <c r="L30" s="25" t="s">
        <v>74</v>
      </c>
    </row>
    <row r="31" spans="2:12" s="1" customFormat="1">
      <c r="B31" s="13" t="s">
        <v>459</v>
      </c>
      <c r="C31" s="13" t="s">
        <v>71</v>
      </c>
      <c r="D31" s="9" t="s">
        <v>523</v>
      </c>
      <c r="E31" s="21" t="s">
        <v>587</v>
      </c>
      <c r="F31" s="19" t="str">
        <f t="shared" ref="F31" si="0">B31</f>
        <v>ecgi</v>
      </c>
      <c r="G31" s="22" t="s">
        <v>302</v>
      </c>
      <c r="H31" s="71"/>
      <c r="I31" s="25"/>
      <c r="J31" s="25" t="s">
        <v>3</v>
      </c>
      <c r="K31" s="25" t="s">
        <v>74</v>
      </c>
      <c r="L31" s="25" t="s">
        <v>74</v>
      </c>
    </row>
    <row r="32" spans="2:12" s="1" customFormat="1">
      <c r="B32" s="13" t="s">
        <v>653</v>
      </c>
      <c r="C32" s="13" t="s">
        <v>71</v>
      </c>
      <c r="D32" s="9" t="s">
        <v>91</v>
      </c>
      <c r="E32" s="21" t="s">
        <v>58</v>
      </c>
      <c r="F32" s="19" t="s">
        <v>90</v>
      </c>
      <c r="G32" s="22" t="s">
        <v>73</v>
      </c>
      <c r="H32" s="71"/>
      <c r="I32" s="25"/>
      <c r="J32" s="25" t="s">
        <v>3</v>
      </c>
      <c r="K32" s="25" t="s">
        <v>74</v>
      </c>
      <c r="L32" s="25" t="s">
        <v>74</v>
      </c>
    </row>
    <row r="33" spans="2:12" s="1" customFormat="1">
      <c r="B33" s="13" t="s">
        <v>612</v>
      </c>
      <c r="C33" s="13" t="s">
        <v>71</v>
      </c>
      <c r="D33" s="9" t="s">
        <v>614</v>
      </c>
      <c r="E33" s="21" t="s">
        <v>58</v>
      </c>
      <c r="F33" s="19"/>
      <c r="G33" s="22" t="s">
        <v>639</v>
      </c>
      <c r="H33" s="71"/>
      <c r="I33" s="25"/>
      <c r="J33" s="25" t="s">
        <v>638</v>
      </c>
      <c r="K33" s="25" t="s">
        <v>74</v>
      </c>
      <c r="L33" s="25" t="s">
        <v>74</v>
      </c>
    </row>
    <row r="34" spans="2:12" s="1" customFormat="1">
      <c r="B34" s="13" t="s">
        <v>613</v>
      </c>
      <c r="C34" s="13" t="s">
        <v>71</v>
      </c>
      <c r="D34" s="9" t="s">
        <v>615</v>
      </c>
      <c r="E34" s="21" t="s">
        <v>58</v>
      </c>
      <c r="F34" s="19"/>
      <c r="G34" s="22" t="s">
        <v>640</v>
      </c>
      <c r="H34" s="71"/>
      <c r="I34" s="25"/>
      <c r="J34" s="25" t="s">
        <v>638</v>
      </c>
      <c r="K34" s="25" t="s">
        <v>74</v>
      </c>
      <c r="L34" s="25" t="s">
        <v>74</v>
      </c>
    </row>
    <row r="35" spans="2:12" s="1" customFormat="1">
      <c r="B35" s="13" t="s">
        <v>622</v>
      </c>
      <c r="C35" s="13" t="s">
        <v>71</v>
      </c>
      <c r="D35" s="9" t="s">
        <v>623</v>
      </c>
      <c r="E35" s="21" t="s">
        <v>58</v>
      </c>
      <c r="F35" s="19" t="s">
        <v>460</v>
      </c>
      <c r="G35" s="22" t="s">
        <v>73</v>
      </c>
      <c r="H35" s="71"/>
      <c r="I35" s="25"/>
      <c r="J35" s="25" t="s">
        <v>3</v>
      </c>
      <c r="K35" s="25" t="s">
        <v>74</v>
      </c>
      <c r="L35" s="25" t="s">
        <v>74</v>
      </c>
    </row>
    <row r="36" spans="2:12" s="1" customFormat="1">
      <c r="B36" s="13" t="s">
        <v>139</v>
      </c>
      <c r="C36" s="13" t="s">
        <v>75</v>
      </c>
      <c r="D36" s="9" t="s">
        <v>690</v>
      </c>
      <c r="E36" s="21" t="s">
        <v>58</v>
      </c>
      <c r="F36" s="19" t="s">
        <v>139</v>
      </c>
      <c r="G36" s="22" t="s">
        <v>73</v>
      </c>
      <c r="H36" s="71"/>
      <c r="I36" s="25"/>
      <c r="J36" s="25" t="s">
        <v>3</v>
      </c>
      <c r="K36" s="25" t="s">
        <v>74</v>
      </c>
      <c r="L36" s="25" t="s">
        <v>74</v>
      </c>
    </row>
    <row r="37" spans="2:12" s="1" customFormat="1" ht="13.8" customHeight="1">
      <c r="B37" s="13" t="s">
        <v>178</v>
      </c>
      <c r="C37" s="13" t="s">
        <v>75</v>
      </c>
      <c r="D37" s="9" t="s">
        <v>691</v>
      </c>
      <c r="E37" s="21" t="s">
        <v>58</v>
      </c>
      <c r="F37" s="19" t="s">
        <v>178</v>
      </c>
      <c r="G37" s="22" t="s">
        <v>73</v>
      </c>
      <c r="H37" s="71"/>
      <c r="I37" s="25"/>
      <c r="J37" s="25" t="s">
        <v>3</v>
      </c>
      <c r="K37" s="25" t="s">
        <v>74</v>
      </c>
      <c r="L37" s="25" t="s">
        <v>74</v>
      </c>
    </row>
    <row r="38" spans="2:12" s="1" customFormat="1">
      <c r="B38" s="13" t="s">
        <v>129</v>
      </c>
      <c r="C38" s="13" t="s">
        <v>71</v>
      </c>
      <c r="D38" s="9" t="s">
        <v>130</v>
      </c>
      <c r="E38" s="21" t="s">
        <v>58</v>
      </c>
      <c r="F38" s="19" t="s">
        <v>129</v>
      </c>
      <c r="G38" s="22" t="s">
        <v>73</v>
      </c>
      <c r="H38" s="71"/>
      <c r="I38" s="25"/>
      <c r="J38" s="25" t="s">
        <v>3</v>
      </c>
      <c r="K38" s="25" t="s">
        <v>74</v>
      </c>
      <c r="L38" s="25" t="s">
        <v>74</v>
      </c>
    </row>
    <row r="39" spans="2:12" s="1" customFormat="1">
      <c r="B39" s="13" t="s">
        <v>195</v>
      </c>
      <c r="C39" s="13" t="s">
        <v>71</v>
      </c>
      <c r="D39" s="9" t="s">
        <v>196</v>
      </c>
      <c r="E39" s="21" t="s">
        <v>58</v>
      </c>
      <c r="F39" s="19" t="s">
        <v>195</v>
      </c>
      <c r="G39" s="22" t="s">
        <v>73</v>
      </c>
      <c r="H39" s="71"/>
      <c r="I39" s="25"/>
      <c r="J39" s="25" t="s">
        <v>3</v>
      </c>
      <c r="K39" s="25" t="s">
        <v>74</v>
      </c>
      <c r="L39" s="25" t="s">
        <v>74</v>
      </c>
    </row>
    <row r="40" spans="2:12" s="1" customFormat="1">
      <c r="B40" s="13" t="s">
        <v>619</v>
      </c>
      <c r="C40" s="13" t="s">
        <v>75</v>
      </c>
      <c r="D40" s="9" t="s">
        <v>1143</v>
      </c>
      <c r="E40" s="21" t="s">
        <v>58</v>
      </c>
      <c r="F40" s="19" t="s">
        <v>476</v>
      </c>
      <c r="G40" s="22" t="s">
        <v>73</v>
      </c>
      <c r="H40" s="71"/>
      <c r="I40" s="25"/>
      <c r="J40" s="25" t="s">
        <v>3</v>
      </c>
      <c r="K40" s="25" t="s">
        <v>74</v>
      </c>
      <c r="L40" s="25" t="s">
        <v>74</v>
      </c>
    </row>
    <row r="41" spans="2:12" s="1" customFormat="1">
      <c r="B41" s="13" t="s">
        <v>1141</v>
      </c>
      <c r="C41" s="13" t="s">
        <v>75</v>
      </c>
      <c r="D41" s="9" t="s">
        <v>1142</v>
      </c>
      <c r="E41" s="21" t="s">
        <v>58</v>
      </c>
      <c r="F41" s="19" t="s">
        <v>179</v>
      </c>
      <c r="G41" s="22" t="s">
        <v>73</v>
      </c>
      <c r="H41" s="71"/>
      <c r="I41" s="25"/>
      <c r="J41" s="25" t="s">
        <v>3</v>
      </c>
      <c r="K41" s="25" t="s">
        <v>74</v>
      </c>
      <c r="L41" s="25" t="s">
        <v>74</v>
      </c>
    </row>
    <row r="42" spans="2:12" s="1" customFormat="1">
      <c r="B42" s="13" t="s">
        <v>689</v>
      </c>
      <c r="C42" s="13" t="s">
        <v>75</v>
      </c>
      <c r="D42" s="9" t="s">
        <v>180</v>
      </c>
      <c r="E42" s="21" t="s">
        <v>58</v>
      </c>
      <c r="F42" s="19" t="s">
        <v>477</v>
      </c>
      <c r="G42" s="22" t="s">
        <v>73</v>
      </c>
      <c r="H42" s="71"/>
      <c r="I42" s="25"/>
      <c r="J42" s="25" t="s">
        <v>3</v>
      </c>
      <c r="K42" s="25" t="s">
        <v>74</v>
      </c>
      <c r="L42" s="25" t="s">
        <v>74</v>
      </c>
    </row>
    <row r="43" spans="2:12" s="1" customFormat="1">
      <c r="B43" s="13" t="s">
        <v>181</v>
      </c>
      <c r="C43" s="13" t="s">
        <v>75</v>
      </c>
      <c r="D43" s="9" t="s">
        <v>182</v>
      </c>
      <c r="E43" s="21" t="s">
        <v>58</v>
      </c>
      <c r="F43" s="19" t="s">
        <v>181</v>
      </c>
      <c r="G43" s="22" t="s">
        <v>73</v>
      </c>
      <c r="H43" s="71"/>
      <c r="I43" s="25"/>
      <c r="J43" s="25" t="s">
        <v>3</v>
      </c>
      <c r="K43" s="25" t="s">
        <v>74</v>
      </c>
      <c r="L43" s="25" t="s">
        <v>74</v>
      </c>
    </row>
    <row r="44" spans="2:12" s="1" customFormat="1">
      <c r="B44" s="13" t="s">
        <v>143</v>
      </c>
      <c r="C44" s="13" t="s">
        <v>75</v>
      </c>
      <c r="D44" s="9" t="s">
        <v>183</v>
      </c>
      <c r="E44" s="21" t="s">
        <v>58</v>
      </c>
      <c r="F44" s="19" t="s">
        <v>143</v>
      </c>
      <c r="G44" s="22" t="s">
        <v>73</v>
      </c>
      <c r="H44" s="71"/>
      <c r="I44" s="25"/>
      <c r="J44" s="25" t="s">
        <v>3</v>
      </c>
      <c r="K44" s="25" t="s">
        <v>74</v>
      </c>
      <c r="L44" s="25" t="s">
        <v>74</v>
      </c>
    </row>
    <row r="45" spans="2:12" s="1" customFormat="1">
      <c r="B45" s="13" t="s">
        <v>499</v>
      </c>
      <c r="C45" s="13" t="s">
        <v>98</v>
      </c>
      <c r="D45" s="9" t="s">
        <v>553</v>
      </c>
      <c r="E45" s="21"/>
      <c r="F45" s="19"/>
      <c r="G45" s="22" t="s">
        <v>627</v>
      </c>
      <c r="H45" s="71"/>
      <c r="I45" s="25"/>
      <c r="J45" s="25" t="s">
        <v>3</v>
      </c>
      <c r="K45" s="25" t="s">
        <v>74</v>
      </c>
      <c r="L45" s="25" t="s">
        <v>74</v>
      </c>
    </row>
    <row r="46" spans="2:12" s="1" customFormat="1">
      <c r="B46" s="13" t="s">
        <v>500</v>
      </c>
      <c r="C46" s="13" t="s">
        <v>98</v>
      </c>
      <c r="D46" s="9" t="s">
        <v>554</v>
      </c>
      <c r="E46" s="21" t="s">
        <v>58</v>
      </c>
      <c r="F46" s="19" t="s">
        <v>500</v>
      </c>
      <c r="G46" s="22" t="s">
        <v>73</v>
      </c>
      <c r="H46" s="71"/>
      <c r="I46" s="25"/>
      <c r="J46" s="25" t="s">
        <v>3</v>
      </c>
      <c r="K46" s="25" t="s">
        <v>74</v>
      </c>
      <c r="L46" s="25" t="s">
        <v>74</v>
      </c>
    </row>
    <row r="47" spans="2:12" s="1" customFormat="1">
      <c r="B47" s="13" t="s">
        <v>474</v>
      </c>
      <c r="C47" s="13" t="s">
        <v>98</v>
      </c>
      <c r="D47" s="9" t="s">
        <v>568</v>
      </c>
      <c r="E47" s="21" t="s">
        <v>587</v>
      </c>
      <c r="F47" s="19" t="str">
        <f t="shared" ref="F47" si="1">B47</f>
        <v>nbcelevel</v>
      </c>
      <c r="G47" s="22" t="s">
        <v>302</v>
      </c>
      <c r="H47" s="71"/>
      <c r="I47" s="25"/>
      <c r="J47" s="25" t="s">
        <v>3</v>
      </c>
      <c r="K47" s="25" t="s">
        <v>74</v>
      </c>
      <c r="L47" s="25" t="s">
        <v>74</v>
      </c>
    </row>
    <row r="48" spans="2:12" s="1" customFormat="1">
      <c r="B48" s="13" t="s">
        <v>300</v>
      </c>
      <c r="C48" s="13" t="s">
        <v>98</v>
      </c>
      <c r="D48" s="27" t="s">
        <v>116</v>
      </c>
      <c r="E48" s="21" t="s">
        <v>58</v>
      </c>
      <c r="F48" s="22"/>
      <c r="G48" s="22" t="s">
        <v>101</v>
      </c>
      <c r="H48" s="71"/>
      <c r="I48" s="25"/>
      <c r="J48" s="25" t="s">
        <v>99</v>
      </c>
      <c r="K48" s="25" t="s">
        <v>121</v>
      </c>
      <c r="L48" s="25" t="s">
        <v>100</v>
      </c>
    </row>
    <row r="49" spans="2:17" s="1" customFormat="1">
      <c r="B49" s="13" t="s">
        <v>310</v>
      </c>
      <c r="C49" s="13" t="s">
        <v>98</v>
      </c>
      <c r="D49" s="9" t="s">
        <v>201</v>
      </c>
      <c r="E49" s="21" t="s">
        <v>58</v>
      </c>
      <c r="F49" s="22"/>
      <c r="G49" s="22" t="s">
        <v>202</v>
      </c>
      <c r="H49" s="71"/>
      <c r="I49" s="25"/>
      <c r="J49" s="25" t="s">
        <v>99</v>
      </c>
      <c r="K49" s="25" t="s">
        <v>121</v>
      </c>
      <c r="L49" s="25" t="s">
        <v>100</v>
      </c>
    </row>
    <row r="50" spans="2:17" s="1" customFormat="1">
      <c r="B50" s="13" t="s">
        <v>311</v>
      </c>
      <c r="C50" s="13" t="s">
        <v>98</v>
      </c>
      <c r="D50" s="9" t="s">
        <v>204</v>
      </c>
      <c r="E50" s="21" t="s">
        <v>58</v>
      </c>
      <c r="F50" s="22"/>
      <c r="G50" s="22" t="s">
        <v>205</v>
      </c>
      <c r="H50" s="71"/>
      <c r="I50" s="25"/>
      <c r="J50" s="25" t="s">
        <v>99</v>
      </c>
      <c r="K50" s="25" t="s">
        <v>121</v>
      </c>
      <c r="L50" s="25" t="s">
        <v>100</v>
      </c>
    </row>
    <row r="51" spans="2:17" s="1" customFormat="1">
      <c r="B51" s="13" t="s">
        <v>206</v>
      </c>
      <c r="C51" s="13" t="s">
        <v>98</v>
      </c>
      <c r="D51" s="9" t="s">
        <v>207</v>
      </c>
      <c r="E51" s="21" t="s">
        <v>58</v>
      </c>
      <c r="F51" s="22"/>
      <c r="G51" s="22" t="s">
        <v>208</v>
      </c>
      <c r="H51" s="71"/>
      <c r="I51" s="25"/>
      <c r="J51" s="25" t="s">
        <v>99</v>
      </c>
      <c r="K51" s="25" t="s">
        <v>121</v>
      </c>
      <c r="L51" s="25" t="s">
        <v>100</v>
      </c>
    </row>
    <row r="52" spans="2:17" s="1" customFormat="1" ht="52.8">
      <c r="B52" s="13" t="s">
        <v>778</v>
      </c>
      <c r="C52" s="26" t="s">
        <v>102</v>
      </c>
      <c r="D52" s="9" t="s">
        <v>209</v>
      </c>
      <c r="E52" s="21" t="s">
        <v>58</v>
      </c>
      <c r="F52" s="22"/>
      <c r="G52" s="22" t="s">
        <v>637</v>
      </c>
      <c r="H52" s="71"/>
      <c r="I52" s="25"/>
      <c r="J52" s="25" t="s">
        <v>99</v>
      </c>
      <c r="K52" s="25" t="s">
        <v>115</v>
      </c>
      <c r="L52" s="25" t="s">
        <v>100</v>
      </c>
    </row>
    <row r="53" spans="2:17" s="1" customFormat="1">
      <c r="B53" s="13" t="s">
        <v>490</v>
      </c>
      <c r="C53" s="13" t="s">
        <v>98</v>
      </c>
      <c r="D53" s="9" t="s">
        <v>634</v>
      </c>
      <c r="E53" s="21" t="s">
        <v>58</v>
      </c>
      <c r="F53" s="22"/>
      <c r="G53" s="22" t="s">
        <v>632</v>
      </c>
      <c r="H53" s="71"/>
      <c r="I53" s="25"/>
      <c r="J53" s="25" t="s">
        <v>629</v>
      </c>
      <c r="K53" s="25" t="s">
        <v>630</v>
      </c>
      <c r="L53" s="25" t="s">
        <v>631</v>
      </c>
    </row>
    <row r="54" spans="2:17" s="1" customFormat="1">
      <c r="B54" s="13" t="s">
        <v>628</v>
      </c>
      <c r="C54" s="13" t="s">
        <v>98</v>
      </c>
      <c r="D54" s="9" t="s">
        <v>550</v>
      </c>
      <c r="E54" s="21" t="s">
        <v>58</v>
      </c>
      <c r="F54" s="22"/>
      <c r="G54" s="22" t="s">
        <v>633</v>
      </c>
      <c r="H54" s="71"/>
      <c r="I54" s="25"/>
      <c r="J54" s="25" t="s">
        <v>629</v>
      </c>
      <c r="K54" s="25" t="s">
        <v>630</v>
      </c>
      <c r="L54" s="25" t="s">
        <v>631</v>
      </c>
    </row>
    <row r="55" spans="2:17" s="1" customFormat="1">
      <c r="B55" s="13" t="s">
        <v>118</v>
      </c>
      <c r="C55" s="26" t="s">
        <v>71</v>
      </c>
      <c r="D55" s="9" t="s">
        <v>210</v>
      </c>
      <c r="E55" s="21" t="s">
        <v>58</v>
      </c>
      <c r="F55" s="22"/>
      <c r="G55" s="22" t="s">
        <v>211</v>
      </c>
      <c r="H55" s="71"/>
      <c r="I55" s="25"/>
      <c r="J55" s="25" t="s">
        <v>99</v>
      </c>
      <c r="K55" s="25" t="s">
        <v>212</v>
      </c>
      <c r="L55" s="25" t="s">
        <v>117</v>
      </c>
    </row>
    <row r="56" spans="2:17" s="1" customFormat="1">
      <c r="B56" s="13" t="s">
        <v>119</v>
      </c>
      <c r="C56" s="26" t="s">
        <v>71</v>
      </c>
      <c r="D56" s="9" t="s">
        <v>213</v>
      </c>
      <c r="E56" s="21" t="s">
        <v>58</v>
      </c>
      <c r="F56" s="22"/>
      <c r="G56" s="22" t="s">
        <v>214</v>
      </c>
      <c r="H56" s="71"/>
      <c r="I56" s="25"/>
      <c r="J56" s="25" t="s">
        <v>99</v>
      </c>
      <c r="K56" s="25" t="s">
        <v>212</v>
      </c>
      <c r="L56" s="25" t="s">
        <v>117</v>
      </c>
    </row>
    <row r="57" spans="2:17" s="2" customFormat="1">
      <c r="B57" s="14" t="s">
        <v>80</v>
      </c>
      <c r="C57" s="15" t="s">
        <v>75</v>
      </c>
      <c r="D57" s="16" t="s">
        <v>103</v>
      </c>
      <c r="E57" s="24"/>
      <c r="F57" s="24"/>
      <c r="G57" s="14"/>
      <c r="H57" s="14"/>
      <c r="I57" s="14"/>
      <c r="J57" s="14"/>
      <c r="K57" s="14"/>
      <c r="L57" s="14"/>
      <c r="M57" s="14"/>
      <c r="N57" s="14"/>
      <c r="O57" s="14"/>
      <c r="P57" s="14"/>
      <c r="Q57" s="14"/>
    </row>
    <row r="58" spans="2:17" s="2" customFormat="1">
      <c r="B58" s="14" t="s">
        <v>0</v>
      </c>
      <c r="C58" s="15" t="s">
        <v>71</v>
      </c>
      <c r="D58" s="16" t="s">
        <v>104</v>
      </c>
      <c r="E58" s="24"/>
      <c r="F58" s="24"/>
      <c r="G58" s="14"/>
      <c r="H58" s="14"/>
      <c r="I58" s="14"/>
      <c r="J58" s="14"/>
      <c r="K58" s="14"/>
      <c r="L58" s="14"/>
      <c r="M58" s="14"/>
      <c r="N58" s="14"/>
      <c r="O58" s="14"/>
      <c r="P58" s="14"/>
      <c r="Q58" s="14"/>
    </row>
    <row r="59" spans="2:17" s="2" customFormat="1">
      <c r="B59" s="14" t="s">
        <v>1</v>
      </c>
      <c r="C59" s="15" t="s">
        <v>75</v>
      </c>
      <c r="D59" s="16" t="s">
        <v>105</v>
      </c>
      <c r="E59" s="24"/>
      <c r="F59" s="24"/>
      <c r="G59" s="14"/>
      <c r="H59" s="14"/>
      <c r="I59" s="14"/>
      <c r="J59" s="14"/>
      <c r="K59" s="14"/>
      <c r="L59" s="14"/>
      <c r="M59" s="14"/>
      <c r="N59" s="14"/>
      <c r="O59" s="14"/>
      <c r="P59" s="14"/>
      <c r="Q59" s="14"/>
    </row>
    <row r="60" spans="2:17" s="2" customFormat="1">
      <c r="B60" s="14" t="s">
        <v>2</v>
      </c>
      <c r="C60" s="15" t="s">
        <v>75</v>
      </c>
      <c r="D60" s="16" t="s">
        <v>106</v>
      </c>
      <c r="E60" s="24"/>
      <c r="F60" s="24"/>
      <c r="G60" s="14"/>
      <c r="H60" s="14"/>
      <c r="I60" s="14"/>
      <c r="J60" s="14"/>
      <c r="K60" s="14"/>
      <c r="L60" s="14"/>
      <c r="M60" s="14"/>
      <c r="N60" s="14"/>
      <c r="O60" s="14"/>
      <c r="P60" s="14"/>
      <c r="Q60" s="14"/>
    </row>
  </sheetData>
  <autoFilter ref="A13:Q60" xr:uid="{00000000-0009-0000-0000-000012000000}"/>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31"/>
  <sheetViews>
    <sheetView zoomScale="85" zoomScaleNormal="85" workbookViewId="0">
      <pane ySplit="5" topLeftCell="A6" activePane="bottomLeft" state="frozen"/>
      <selection pane="bottomLeft" activeCell="C9" sqref="C9:C10"/>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7" t="s">
        <v>14</v>
      </c>
      <c r="H4" s="7" t="s">
        <v>50</v>
      </c>
    </row>
    <row r="5" spans="2:14">
      <c r="B5" s="8" t="s">
        <v>43</v>
      </c>
      <c r="C5" s="9" t="s">
        <v>642</v>
      </c>
      <c r="D5" s="10" t="s">
        <v>644</v>
      </c>
      <c r="E5" s="12" t="s">
        <v>6</v>
      </c>
      <c r="F5" s="17"/>
      <c r="G5" s="12"/>
      <c r="H5" s="12"/>
      <c r="N5" s="3"/>
    </row>
    <row r="6" spans="2:14">
      <c r="B6" s="6"/>
      <c r="C6" s="6"/>
      <c r="D6" s="6"/>
      <c r="E6" s="6"/>
      <c r="F6" s="18"/>
      <c r="G6" s="6"/>
      <c r="H6" s="6"/>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645</v>
      </c>
      <c r="D9" s="10" t="s">
        <v>646</v>
      </c>
      <c r="E9" s="12" t="s">
        <v>58</v>
      </c>
      <c r="F9" s="19"/>
      <c r="G9" s="22"/>
      <c r="H9" s="20" t="s">
        <v>30</v>
      </c>
    </row>
    <row r="10" spans="2:14" ht="39.6">
      <c r="B10" s="12"/>
      <c r="C10" s="9" t="s">
        <v>655</v>
      </c>
      <c r="D10" s="10" t="s">
        <v>215</v>
      </c>
      <c r="E10" s="12" t="s">
        <v>122</v>
      </c>
      <c r="F10" s="22" t="s">
        <v>216</v>
      </c>
      <c r="G10" s="22" t="s">
        <v>656</v>
      </c>
      <c r="H10" s="20"/>
    </row>
    <row r="11" spans="2:14">
      <c r="C11" s="28"/>
      <c r="D11" s="81"/>
      <c r="E11" s="81"/>
      <c r="F11" s="81"/>
      <c r="G11" s="81"/>
      <c r="H11" s="82"/>
    </row>
    <row r="12" spans="2:14">
      <c r="B12" s="3" t="s">
        <v>59</v>
      </c>
    </row>
    <row r="13" spans="2:14">
      <c r="B13" s="122" t="s">
        <v>59</v>
      </c>
      <c r="C13" s="122"/>
      <c r="D13" s="122"/>
      <c r="E13" s="122"/>
      <c r="F13" s="122"/>
      <c r="G13" s="122"/>
      <c r="H13" s="122"/>
      <c r="I13" s="122"/>
      <c r="J13" s="122"/>
      <c r="K13" s="122"/>
      <c r="L13" s="122"/>
    </row>
    <row r="14" spans="2:14">
      <c r="B14" s="7" t="s">
        <v>60</v>
      </c>
      <c r="C14" s="7" t="s">
        <v>61</v>
      </c>
      <c r="D14" s="7" t="s">
        <v>62</v>
      </c>
      <c r="E14" s="7" t="s">
        <v>63</v>
      </c>
      <c r="F14" s="11" t="s">
        <v>64</v>
      </c>
      <c r="G14" s="7" t="s">
        <v>65</v>
      </c>
      <c r="H14" s="7" t="s">
        <v>66</v>
      </c>
      <c r="I14" s="7" t="s">
        <v>24</v>
      </c>
      <c r="J14" s="7" t="s">
        <v>67</v>
      </c>
      <c r="K14" s="7" t="s">
        <v>68</v>
      </c>
      <c r="L14" s="7" t="s">
        <v>69</v>
      </c>
    </row>
    <row r="15" spans="2:14" s="1" customFormat="1">
      <c r="B15" s="13" t="s">
        <v>70</v>
      </c>
      <c r="C15" s="13" t="s">
        <v>71</v>
      </c>
      <c r="D15" s="9" t="s">
        <v>72</v>
      </c>
      <c r="E15" s="21" t="s">
        <v>58</v>
      </c>
      <c r="F15" s="19" t="s">
        <v>0</v>
      </c>
      <c r="G15" s="22" t="s">
        <v>73</v>
      </c>
      <c r="H15" s="23"/>
      <c r="I15" s="25"/>
      <c r="J15" s="25" t="s">
        <v>3</v>
      </c>
      <c r="K15" s="25" t="s">
        <v>74</v>
      </c>
      <c r="L15" s="25" t="s">
        <v>74</v>
      </c>
    </row>
    <row r="16" spans="2:14" s="1" customFormat="1">
      <c r="B16" s="13" t="s">
        <v>6</v>
      </c>
      <c r="C16" s="13" t="s">
        <v>75</v>
      </c>
      <c r="D16" s="9" t="s">
        <v>34</v>
      </c>
      <c r="E16" s="21" t="s">
        <v>58</v>
      </c>
      <c r="F16" s="19" t="s">
        <v>1</v>
      </c>
      <c r="G16" s="22" t="s">
        <v>73</v>
      </c>
      <c r="H16" s="23"/>
      <c r="I16" s="25"/>
      <c r="J16" s="25" t="s">
        <v>3</v>
      </c>
      <c r="K16" s="25" t="s">
        <v>74</v>
      </c>
      <c r="L16" s="25" t="s">
        <v>74</v>
      </c>
    </row>
    <row r="17" spans="2:17" s="1" customFormat="1">
      <c r="B17" s="13" t="s">
        <v>78</v>
      </c>
      <c r="C17" s="13" t="s">
        <v>75</v>
      </c>
      <c r="D17" s="9" t="s">
        <v>79</v>
      </c>
      <c r="E17" s="21" t="s">
        <v>58</v>
      </c>
      <c r="F17" s="19" t="s">
        <v>80</v>
      </c>
      <c r="G17" s="22" t="s">
        <v>73</v>
      </c>
      <c r="H17" s="23"/>
      <c r="I17" s="25"/>
      <c r="J17" s="25" t="s">
        <v>3</v>
      </c>
      <c r="K17" s="25" t="s">
        <v>74</v>
      </c>
      <c r="L17" s="25" t="s">
        <v>74</v>
      </c>
    </row>
    <row r="18" spans="2:17" s="1" customFormat="1">
      <c r="B18" s="13" t="s">
        <v>654</v>
      </c>
      <c r="C18" s="13" t="s">
        <v>71</v>
      </c>
      <c r="D18" s="9" t="s">
        <v>84</v>
      </c>
      <c r="E18" s="21" t="s">
        <v>658</v>
      </c>
      <c r="F18" s="19" t="s">
        <v>657</v>
      </c>
      <c r="G18" s="22" t="s">
        <v>659</v>
      </c>
      <c r="H18" s="23"/>
      <c r="I18" s="25"/>
      <c r="J18" s="25" t="s">
        <v>3</v>
      </c>
      <c r="K18" s="25" t="s">
        <v>74</v>
      </c>
      <c r="L18" s="25" t="s">
        <v>74</v>
      </c>
    </row>
    <row r="19" spans="2:17" s="1" customFormat="1">
      <c r="B19" s="13" t="s">
        <v>81</v>
      </c>
      <c r="C19" s="13" t="s">
        <v>75</v>
      </c>
      <c r="D19" s="9" t="s">
        <v>219</v>
      </c>
      <c r="E19" s="21" t="s">
        <v>58</v>
      </c>
      <c r="F19" s="19" t="s">
        <v>81</v>
      </c>
      <c r="G19" s="22" t="s">
        <v>73</v>
      </c>
      <c r="H19" s="23"/>
      <c r="I19" s="25"/>
      <c r="J19" s="25" t="s">
        <v>3</v>
      </c>
      <c r="K19" s="25" t="s">
        <v>74</v>
      </c>
      <c r="L19" s="25" t="s">
        <v>74</v>
      </c>
    </row>
    <row r="20" spans="2:17" s="1" customFormat="1">
      <c r="B20" s="13" t="s">
        <v>85</v>
      </c>
      <c r="C20" s="13" t="s">
        <v>71</v>
      </c>
      <c r="D20" s="9" t="s">
        <v>86</v>
      </c>
      <c r="E20" s="21" t="s">
        <v>58</v>
      </c>
      <c r="F20" s="19" t="s">
        <v>85</v>
      </c>
      <c r="G20" s="22" t="s">
        <v>73</v>
      </c>
      <c r="H20" s="23"/>
      <c r="I20" s="25"/>
      <c r="J20" s="25" t="s">
        <v>3</v>
      </c>
      <c r="K20" s="25" t="s">
        <v>74</v>
      </c>
      <c r="L20" s="25" t="s">
        <v>74</v>
      </c>
    </row>
    <row r="21" spans="2:17" s="1" customFormat="1">
      <c r="B21" s="13" t="s">
        <v>82</v>
      </c>
      <c r="C21" s="13" t="s">
        <v>75</v>
      </c>
      <c r="D21" s="9" t="s">
        <v>110</v>
      </c>
      <c r="E21" s="21" t="s">
        <v>58</v>
      </c>
      <c r="F21" s="19" t="s">
        <v>82</v>
      </c>
      <c r="G21" s="22" t="s">
        <v>73</v>
      </c>
      <c r="H21" s="23"/>
      <c r="I21" s="25"/>
      <c r="J21" s="25" t="s">
        <v>3</v>
      </c>
      <c r="K21" s="25" t="s">
        <v>74</v>
      </c>
      <c r="L21" s="25" t="s">
        <v>74</v>
      </c>
    </row>
    <row r="22" spans="2:17" s="1" customFormat="1">
      <c r="B22" s="13" t="s">
        <v>87</v>
      </c>
      <c r="C22" s="13" t="s">
        <v>71</v>
      </c>
      <c r="D22" s="9" t="s">
        <v>88</v>
      </c>
      <c r="E22" s="21" t="s">
        <v>58</v>
      </c>
      <c r="F22" s="19" t="s">
        <v>87</v>
      </c>
      <c r="G22" s="22" t="s">
        <v>73</v>
      </c>
      <c r="H22" s="23"/>
      <c r="I22" s="25"/>
      <c r="J22" s="25" t="s">
        <v>3</v>
      </c>
      <c r="K22" s="25" t="s">
        <v>74</v>
      </c>
      <c r="L22" s="25" t="s">
        <v>74</v>
      </c>
    </row>
    <row r="23" spans="2:17" s="1" customFormat="1">
      <c r="B23" s="13" t="s">
        <v>307</v>
      </c>
      <c r="C23" s="13" t="s">
        <v>71</v>
      </c>
      <c r="D23" s="9" t="s">
        <v>91</v>
      </c>
      <c r="E23" s="21" t="s">
        <v>58</v>
      </c>
      <c r="F23" s="19" t="s">
        <v>90</v>
      </c>
      <c r="G23" s="22" t="s">
        <v>73</v>
      </c>
      <c r="H23" s="71"/>
      <c r="I23" s="25"/>
      <c r="J23" s="25" t="s">
        <v>3</v>
      </c>
      <c r="K23" s="25" t="s">
        <v>74</v>
      </c>
      <c r="L23" s="25" t="s">
        <v>74</v>
      </c>
    </row>
    <row r="24" spans="2:17" s="1" customFormat="1">
      <c r="B24" s="13" t="s">
        <v>308</v>
      </c>
      <c r="C24" s="13" t="s">
        <v>71</v>
      </c>
      <c r="D24" s="9" t="s">
        <v>170</v>
      </c>
      <c r="E24" s="21" t="s">
        <v>58</v>
      </c>
      <c r="F24" s="22" t="s">
        <v>108</v>
      </c>
      <c r="G24" s="22" t="s">
        <v>73</v>
      </c>
      <c r="H24" s="23"/>
      <c r="I24" s="25"/>
      <c r="J24" s="25" t="s">
        <v>3</v>
      </c>
      <c r="K24" s="25" t="s">
        <v>74</v>
      </c>
      <c r="L24" s="25" t="s">
        <v>74</v>
      </c>
    </row>
    <row r="25" spans="2:17" s="1" customFormat="1">
      <c r="B25" s="13" t="s">
        <v>647</v>
      </c>
      <c r="C25" s="13" t="s">
        <v>71</v>
      </c>
      <c r="D25" s="9" t="s">
        <v>171</v>
      </c>
      <c r="E25" s="21" t="s">
        <v>58</v>
      </c>
      <c r="F25" s="22" t="s">
        <v>123</v>
      </c>
      <c r="G25" s="22" t="s">
        <v>73</v>
      </c>
      <c r="H25" s="23"/>
      <c r="I25" s="25"/>
      <c r="J25" s="25" t="s">
        <v>3</v>
      </c>
      <c r="K25" s="25" t="s">
        <v>74</v>
      </c>
      <c r="L25" s="25" t="s">
        <v>74</v>
      </c>
    </row>
    <row r="26" spans="2:17" s="1" customFormat="1">
      <c r="B26" s="13" t="s">
        <v>94</v>
      </c>
      <c r="C26" s="13" t="s">
        <v>71</v>
      </c>
      <c r="D26" s="9" t="s">
        <v>221</v>
      </c>
      <c r="E26" s="21" t="s">
        <v>58</v>
      </c>
      <c r="F26" s="22" t="s">
        <v>94</v>
      </c>
      <c r="G26" s="22" t="s">
        <v>73</v>
      </c>
      <c r="H26" s="23"/>
      <c r="I26" s="25"/>
      <c r="J26" s="25" t="s">
        <v>3</v>
      </c>
      <c r="K26" s="25" t="s">
        <v>74</v>
      </c>
      <c r="L26" s="25" t="s">
        <v>74</v>
      </c>
    </row>
    <row r="27" spans="2:17" s="1" customFormat="1">
      <c r="B27" s="13" t="s">
        <v>224</v>
      </c>
      <c r="C27" s="26" t="s">
        <v>75</v>
      </c>
      <c r="D27" s="9" t="s">
        <v>225</v>
      </c>
      <c r="E27" s="21" t="s">
        <v>58</v>
      </c>
      <c r="F27" s="22"/>
      <c r="G27" s="22" t="s">
        <v>226</v>
      </c>
      <c r="H27" s="23"/>
      <c r="I27" s="25"/>
      <c r="J27" s="25" t="s">
        <v>99</v>
      </c>
      <c r="K27" s="25" t="s">
        <v>74</v>
      </c>
      <c r="L27" s="25" t="s">
        <v>227</v>
      </c>
    </row>
    <row r="28" spans="2:17" s="1" customFormat="1">
      <c r="B28" s="13" t="s">
        <v>300</v>
      </c>
      <c r="C28" s="13" t="s">
        <v>98</v>
      </c>
      <c r="D28" s="9" t="s">
        <v>1244</v>
      </c>
      <c r="E28" s="21" t="s">
        <v>58</v>
      </c>
      <c r="F28" s="22"/>
      <c r="G28" s="22" t="s">
        <v>120</v>
      </c>
      <c r="H28" s="23"/>
      <c r="I28" s="25"/>
      <c r="J28" s="25" t="s">
        <v>99</v>
      </c>
      <c r="K28" s="25" t="s">
        <v>74</v>
      </c>
      <c r="L28" s="25" t="s">
        <v>117</v>
      </c>
    </row>
    <row r="29" spans="2:17" s="2" customFormat="1">
      <c r="B29" s="14" t="s">
        <v>80</v>
      </c>
      <c r="C29" s="15" t="s">
        <v>75</v>
      </c>
      <c r="D29" s="16" t="s">
        <v>103</v>
      </c>
      <c r="E29" s="24"/>
      <c r="F29" s="24"/>
      <c r="G29" s="14"/>
      <c r="H29" s="14"/>
      <c r="I29" s="14"/>
      <c r="J29" s="14"/>
      <c r="K29" s="14"/>
      <c r="L29" s="14"/>
      <c r="M29" s="14"/>
      <c r="N29" s="14"/>
      <c r="O29" s="14"/>
      <c r="P29" s="14"/>
      <c r="Q29" s="14"/>
    </row>
    <row r="30" spans="2:17" s="2" customFormat="1">
      <c r="B30" s="14" t="s">
        <v>0</v>
      </c>
      <c r="C30" s="15" t="s">
        <v>71</v>
      </c>
      <c r="D30" s="16" t="s">
        <v>104</v>
      </c>
      <c r="E30" s="24"/>
      <c r="F30" s="24"/>
      <c r="G30" s="14"/>
      <c r="H30" s="14"/>
      <c r="I30" s="14"/>
      <c r="J30" s="14"/>
      <c r="K30" s="14"/>
      <c r="L30" s="14"/>
      <c r="M30" s="14"/>
      <c r="N30" s="14"/>
      <c r="O30" s="14"/>
      <c r="P30" s="14"/>
      <c r="Q30" s="14"/>
    </row>
    <row r="31" spans="2:17" s="2" customFormat="1">
      <c r="B31" s="14" t="s">
        <v>1</v>
      </c>
      <c r="C31" s="15" t="s">
        <v>75</v>
      </c>
      <c r="D31" s="16" t="s">
        <v>105</v>
      </c>
      <c r="E31" s="24"/>
      <c r="F31" s="24"/>
      <c r="G31" s="14"/>
      <c r="H31" s="14"/>
      <c r="I31" s="14"/>
      <c r="J31" s="14"/>
      <c r="K31" s="14"/>
      <c r="L31" s="14"/>
      <c r="M31" s="14"/>
      <c r="N31" s="14"/>
      <c r="O31" s="14"/>
      <c r="P31" s="14"/>
      <c r="Q31" s="14"/>
    </row>
  </sheetData>
  <autoFilter ref="A14:Q31" xr:uid="{00000000-0009-0000-0000-000013000000}"/>
  <mergeCells count="4">
    <mergeCell ref="B2:H2"/>
    <mergeCell ref="B3:H3"/>
    <mergeCell ref="B7:H7"/>
    <mergeCell ref="B13:L13"/>
  </mergeCells>
  <phoneticPr fontId="23"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5"/>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7" t="s">
        <v>14</v>
      </c>
      <c r="H4" s="7" t="s">
        <v>50</v>
      </c>
    </row>
    <row r="5" spans="2:14">
      <c r="B5" s="8" t="s">
        <v>43</v>
      </c>
      <c r="C5" s="9" t="s">
        <v>663</v>
      </c>
      <c r="D5" s="10" t="s">
        <v>664</v>
      </c>
      <c r="E5" s="12" t="s">
        <v>70</v>
      </c>
      <c r="F5" s="17"/>
      <c r="G5" s="12"/>
      <c r="H5" s="12"/>
      <c r="N5" s="3"/>
    </row>
    <row r="6" spans="2:14">
      <c r="B6" s="6"/>
      <c r="C6" s="6"/>
      <c r="D6" s="6"/>
      <c r="E6" s="6"/>
      <c r="F6" s="18"/>
      <c r="G6" s="6"/>
      <c r="H6" s="6"/>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642</v>
      </c>
      <c r="D9" s="10" t="s">
        <v>644</v>
      </c>
      <c r="E9" s="12" t="s">
        <v>58</v>
      </c>
      <c r="F9" s="19"/>
      <c r="G9" s="22"/>
      <c r="H9" s="20" t="s">
        <v>30</v>
      </c>
    </row>
    <row r="10" spans="2:14">
      <c r="G10" s="30"/>
    </row>
    <row r="11" spans="2:14">
      <c r="B11" s="3" t="s">
        <v>59</v>
      </c>
    </row>
    <row r="12" spans="2:14">
      <c r="B12" s="122" t="s">
        <v>59</v>
      </c>
      <c r="C12" s="122"/>
      <c r="D12" s="122"/>
      <c r="E12" s="122"/>
      <c r="F12" s="122"/>
      <c r="G12" s="122"/>
      <c r="H12" s="122"/>
      <c r="I12" s="122"/>
      <c r="J12" s="122"/>
      <c r="K12" s="122"/>
      <c r="L12" s="122"/>
    </row>
    <row r="13" spans="2:14">
      <c r="B13" s="7" t="s">
        <v>60</v>
      </c>
      <c r="C13" s="7" t="s">
        <v>61</v>
      </c>
      <c r="D13" s="7" t="s">
        <v>62</v>
      </c>
      <c r="E13" s="7" t="s">
        <v>63</v>
      </c>
      <c r="F13" s="11" t="s">
        <v>64</v>
      </c>
      <c r="G13" s="7" t="s">
        <v>65</v>
      </c>
      <c r="H13" s="7" t="s">
        <v>66</v>
      </c>
      <c r="I13" s="7" t="s">
        <v>24</v>
      </c>
      <c r="J13" s="7" t="s">
        <v>67</v>
      </c>
      <c r="K13" s="7" t="s">
        <v>68</v>
      </c>
      <c r="L13" s="7" t="s">
        <v>69</v>
      </c>
    </row>
    <row r="14" spans="2:14" s="1" customFormat="1">
      <c r="B14" s="13" t="s">
        <v>70</v>
      </c>
      <c r="C14" s="13" t="s">
        <v>71</v>
      </c>
      <c r="D14" s="9" t="s">
        <v>72</v>
      </c>
      <c r="E14" s="21" t="s">
        <v>58</v>
      </c>
      <c r="F14" s="19" t="s">
        <v>0</v>
      </c>
      <c r="G14" s="22" t="s">
        <v>73</v>
      </c>
      <c r="H14" s="23"/>
      <c r="I14" s="25"/>
      <c r="J14" s="25" t="s">
        <v>3</v>
      </c>
      <c r="K14" s="25" t="s">
        <v>74</v>
      </c>
      <c r="L14" s="25" t="s">
        <v>74</v>
      </c>
    </row>
    <row r="15" spans="2:14" s="1" customFormat="1">
      <c r="B15" s="13" t="s">
        <v>78</v>
      </c>
      <c r="C15" s="13" t="s">
        <v>75</v>
      </c>
      <c r="D15" s="9" t="s">
        <v>79</v>
      </c>
      <c r="E15" s="21" t="s">
        <v>58</v>
      </c>
      <c r="F15" s="19" t="s">
        <v>80</v>
      </c>
      <c r="G15" s="22" t="s">
        <v>73</v>
      </c>
      <c r="H15" s="23"/>
      <c r="I15" s="25"/>
      <c r="J15" s="25" t="s">
        <v>3</v>
      </c>
      <c r="K15" s="25" t="s">
        <v>74</v>
      </c>
      <c r="L15" s="25" t="s">
        <v>74</v>
      </c>
    </row>
    <row r="16" spans="2:14" s="1" customFormat="1">
      <c r="B16" s="13" t="s">
        <v>654</v>
      </c>
      <c r="C16" s="13" t="s">
        <v>71</v>
      </c>
      <c r="D16" s="9" t="s">
        <v>84</v>
      </c>
      <c r="E16" s="21" t="s">
        <v>658</v>
      </c>
      <c r="F16" s="19" t="s">
        <v>657</v>
      </c>
      <c r="G16" s="22" t="s">
        <v>73</v>
      </c>
      <c r="H16" s="23"/>
      <c r="I16" s="25"/>
      <c r="J16" s="25" t="s">
        <v>3</v>
      </c>
      <c r="K16" s="25" t="s">
        <v>74</v>
      </c>
      <c r="L16" s="25" t="s">
        <v>74</v>
      </c>
    </row>
    <row r="17" spans="2:12" s="1" customFormat="1">
      <c r="B17" s="13" t="s">
        <v>81</v>
      </c>
      <c r="C17" s="13" t="s">
        <v>75</v>
      </c>
      <c r="D17" s="9" t="s">
        <v>219</v>
      </c>
      <c r="E17" s="21" t="s">
        <v>58</v>
      </c>
      <c r="F17" s="19" t="s">
        <v>81</v>
      </c>
      <c r="G17" s="22" t="s">
        <v>73</v>
      </c>
      <c r="H17" s="23"/>
      <c r="I17" s="25"/>
      <c r="J17" s="25" t="s">
        <v>3</v>
      </c>
      <c r="K17" s="25" t="s">
        <v>74</v>
      </c>
      <c r="L17" s="25" t="s">
        <v>74</v>
      </c>
    </row>
    <row r="18" spans="2:12" s="1" customFormat="1">
      <c r="B18" s="13" t="s">
        <v>85</v>
      </c>
      <c r="C18" s="13" t="s">
        <v>71</v>
      </c>
      <c r="D18" s="9" t="s">
        <v>86</v>
      </c>
      <c r="E18" s="21" t="s">
        <v>58</v>
      </c>
      <c r="F18" s="19" t="s">
        <v>85</v>
      </c>
      <c r="G18" s="22" t="s">
        <v>73</v>
      </c>
      <c r="H18" s="23"/>
      <c r="I18" s="25"/>
      <c r="J18" s="25" t="s">
        <v>3</v>
      </c>
      <c r="K18" s="25" t="s">
        <v>74</v>
      </c>
      <c r="L18" s="25" t="s">
        <v>74</v>
      </c>
    </row>
    <row r="19" spans="2:12" s="1" customFormat="1">
      <c r="B19" s="13" t="s">
        <v>82</v>
      </c>
      <c r="C19" s="13" t="s">
        <v>75</v>
      </c>
      <c r="D19" s="9" t="s">
        <v>110</v>
      </c>
      <c r="E19" s="21" t="s">
        <v>58</v>
      </c>
      <c r="F19" s="19" t="s">
        <v>82</v>
      </c>
      <c r="G19" s="22" t="s">
        <v>73</v>
      </c>
      <c r="H19" s="23"/>
      <c r="I19" s="25"/>
      <c r="J19" s="25" t="s">
        <v>3</v>
      </c>
      <c r="K19" s="25" t="s">
        <v>74</v>
      </c>
      <c r="L19" s="25" t="s">
        <v>74</v>
      </c>
    </row>
    <row r="20" spans="2:12" s="1" customFormat="1">
      <c r="B20" s="13" t="s">
        <v>87</v>
      </c>
      <c r="C20" s="13" t="s">
        <v>71</v>
      </c>
      <c r="D20" s="9" t="s">
        <v>88</v>
      </c>
      <c r="E20" s="21" t="s">
        <v>58</v>
      </c>
      <c r="F20" s="19" t="s">
        <v>87</v>
      </c>
      <c r="G20" s="22" t="s">
        <v>73</v>
      </c>
      <c r="H20" s="23"/>
      <c r="I20" s="25"/>
      <c r="J20" s="25" t="s">
        <v>3</v>
      </c>
      <c r="K20" s="25" t="s">
        <v>74</v>
      </c>
      <c r="L20" s="25" t="s">
        <v>74</v>
      </c>
    </row>
    <row r="21" spans="2:12" s="1" customFormat="1">
      <c r="B21" s="13" t="s">
        <v>653</v>
      </c>
      <c r="C21" s="13" t="s">
        <v>71</v>
      </c>
      <c r="D21" s="9" t="s">
        <v>91</v>
      </c>
      <c r="E21" s="21" t="s">
        <v>58</v>
      </c>
      <c r="F21" s="19" t="s">
        <v>90</v>
      </c>
      <c r="G21" s="22" t="s">
        <v>73</v>
      </c>
      <c r="H21" s="23"/>
      <c r="I21" s="25"/>
      <c r="J21" s="25" t="s">
        <v>3</v>
      </c>
      <c r="K21" s="25" t="s">
        <v>74</v>
      </c>
      <c r="L21" s="25" t="s">
        <v>74</v>
      </c>
    </row>
    <row r="22" spans="2:12" s="1" customFormat="1">
      <c r="B22" s="13" t="s">
        <v>308</v>
      </c>
      <c r="C22" s="13" t="s">
        <v>71</v>
      </c>
      <c r="D22" s="9" t="s">
        <v>170</v>
      </c>
      <c r="E22" s="21" t="s">
        <v>58</v>
      </c>
      <c r="F22" s="22" t="s">
        <v>108</v>
      </c>
      <c r="G22" s="22" t="s">
        <v>73</v>
      </c>
      <c r="H22" s="23"/>
      <c r="I22" s="25"/>
      <c r="J22" s="25" t="s">
        <v>638</v>
      </c>
      <c r="K22" s="25" t="s">
        <v>74</v>
      </c>
      <c r="L22" s="25" t="s">
        <v>74</v>
      </c>
    </row>
    <row r="23" spans="2:12" s="1" customFormat="1">
      <c r="B23" s="13" t="s">
        <v>647</v>
      </c>
      <c r="C23" s="13" t="s">
        <v>71</v>
      </c>
      <c r="D23" s="9" t="s">
        <v>171</v>
      </c>
      <c r="E23" s="21" t="s">
        <v>58</v>
      </c>
      <c r="F23" s="22" t="s">
        <v>123</v>
      </c>
      <c r="G23" s="22" t="s">
        <v>73</v>
      </c>
      <c r="H23" s="23"/>
      <c r="I23" s="25"/>
      <c r="J23" s="25" t="s">
        <v>3</v>
      </c>
      <c r="K23" s="25" t="s">
        <v>74</v>
      </c>
      <c r="L23" s="25" t="s">
        <v>74</v>
      </c>
    </row>
    <row r="24" spans="2:12" s="1" customFormat="1">
      <c r="B24" s="13" t="s">
        <v>94</v>
      </c>
      <c r="C24" s="13" t="s">
        <v>71</v>
      </c>
      <c r="D24" s="9" t="s">
        <v>221</v>
      </c>
      <c r="E24" s="21" t="s">
        <v>58</v>
      </c>
      <c r="F24" s="22" t="s">
        <v>94</v>
      </c>
      <c r="G24" s="22" t="s">
        <v>73</v>
      </c>
      <c r="H24" s="23"/>
      <c r="I24" s="25"/>
      <c r="J24" s="25" t="s">
        <v>3</v>
      </c>
      <c r="K24" s="25" t="s">
        <v>74</v>
      </c>
      <c r="L24" s="25" t="s">
        <v>74</v>
      </c>
    </row>
    <row r="25" spans="2:12" s="1" customFormat="1">
      <c r="B25" s="13" t="s">
        <v>2381</v>
      </c>
      <c r="C25" s="13" t="s">
        <v>75</v>
      </c>
      <c r="D25" s="9" t="s">
        <v>229</v>
      </c>
      <c r="E25" s="21" t="s">
        <v>58</v>
      </c>
      <c r="F25" s="22" t="s">
        <v>230</v>
      </c>
      <c r="G25" s="22" t="s">
        <v>230</v>
      </c>
      <c r="H25" s="23"/>
      <c r="I25" s="25"/>
      <c r="J25" s="25" t="s">
        <v>99</v>
      </c>
      <c r="K25" s="25" t="s">
        <v>74</v>
      </c>
      <c r="L25" s="25" t="s">
        <v>660</v>
      </c>
    </row>
    <row r="26" spans="2:12" s="1" customFormat="1" ht="26.4">
      <c r="B26" s="13" t="s">
        <v>231</v>
      </c>
      <c r="C26" s="26" t="s">
        <v>75</v>
      </c>
      <c r="D26" s="9" t="s">
        <v>232</v>
      </c>
      <c r="E26" s="21" t="s">
        <v>58</v>
      </c>
      <c r="F26" s="22"/>
      <c r="G26" s="22" t="s">
        <v>233</v>
      </c>
      <c r="H26" s="23"/>
      <c r="I26" s="25"/>
      <c r="J26" s="25" t="s">
        <v>99</v>
      </c>
      <c r="K26" s="25" t="s">
        <v>74</v>
      </c>
      <c r="L26" s="25" t="s">
        <v>661</v>
      </c>
    </row>
    <row r="27" spans="2:12" s="1" customFormat="1" ht="26.4">
      <c r="B27" s="13" t="s">
        <v>234</v>
      </c>
      <c r="C27" s="13" t="s">
        <v>75</v>
      </c>
      <c r="D27" s="9" t="s">
        <v>235</v>
      </c>
      <c r="E27" s="21" t="s">
        <v>58</v>
      </c>
      <c r="F27" s="22"/>
      <c r="G27" s="22" t="s">
        <v>2405</v>
      </c>
      <c r="H27" s="23"/>
      <c r="I27" s="25"/>
      <c r="J27" s="25" t="s">
        <v>99</v>
      </c>
      <c r="K27" s="25" t="s">
        <v>74</v>
      </c>
      <c r="L27" s="25" t="s">
        <v>236</v>
      </c>
    </row>
    <row r="28" spans="2:12" s="1" customFormat="1">
      <c r="B28" s="13" t="s">
        <v>237</v>
      </c>
      <c r="C28" s="26" t="s">
        <v>75</v>
      </c>
      <c r="D28" s="9" t="s">
        <v>238</v>
      </c>
      <c r="E28" s="21" t="s">
        <v>58</v>
      </c>
      <c r="F28" s="22"/>
      <c r="G28" s="22" t="s">
        <v>120</v>
      </c>
      <c r="H28" s="23"/>
      <c r="I28" s="25"/>
      <c r="J28" s="25" t="s">
        <v>99</v>
      </c>
      <c r="K28" s="25" t="s">
        <v>74</v>
      </c>
      <c r="L28" s="25" t="s">
        <v>117</v>
      </c>
    </row>
    <row r="29" spans="2:12" s="1" customFormat="1" ht="26.4">
      <c r="B29" s="13" t="s">
        <v>239</v>
      </c>
      <c r="C29" s="26" t="s">
        <v>75</v>
      </c>
      <c r="D29" s="9" t="s">
        <v>240</v>
      </c>
      <c r="E29" s="21" t="s">
        <v>58</v>
      </c>
      <c r="F29" s="22"/>
      <c r="G29" s="22" t="s">
        <v>241</v>
      </c>
      <c r="H29" s="23"/>
      <c r="I29" s="25"/>
      <c r="J29" s="25" t="s">
        <v>99</v>
      </c>
      <c r="K29" s="25" t="s">
        <v>74</v>
      </c>
      <c r="L29" s="25" t="s">
        <v>117</v>
      </c>
    </row>
    <row r="30" spans="2:12" s="1" customFormat="1" ht="26.4">
      <c r="B30" s="13" t="s">
        <v>242</v>
      </c>
      <c r="C30" s="26" t="s">
        <v>75</v>
      </c>
      <c r="D30" s="9" t="s">
        <v>243</v>
      </c>
      <c r="E30" s="21" t="s">
        <v>58</v>
      </c>
      <c r="F30" s="22"/>
      <c r="G30" s="22" t="s">
        <v>244</v>
      </c>
      <c r="H30" s="23"/>
      <c r="I30" s="25"/>
      <c r="J30" s="25" t="s">
        <v>99</v>
      </c>
      <c r="K30" s="25" t="s">
        <v>74</v>
      </c>
      <c r="L30" s="25" t="s">
        <v>117</v>
      </c>
    </row>
    <row r="31" spans="2:12" s="1" customFormat="1">
      <c r="B31" s="13" t="s">
        <v>2358</v>
      </c>
      <c r="C31" s="26" t="s">
        <v>75</v>
      </c>
      <c r="D31" s="9" t="s">
        <v>2512</v>
      </c>
      <c r="E31" s="21" t="s">
        <v>58</v>
      </c>
      <c r="F31" s="22"/>
      <c r="G31" s="22" t="s">
        <v>2511</v>
      </c>
      <c r="H31" s="23"/>
      <c r="I31" s="25"/>
      <c r="J31" s="25" t="s">
        <v>99</v>
      </c>
      <c r="K31" s="25" t="s">
        <v>74</v>
      </c>
      <c r="L31" s="25" t="s">
        <v>97</v>
      </c>
    </row>
    <row r="32" spans="2:12" s="1" customFormat="1" ht="39.6">
      <c r="B32" s="13" t="s">
        <v>245</v>
      </c>
      <c r="C32" s="26" t="s">
        <v>75</v>
      </c>
      <c r="D32" s="9" t="s">
        <v>246</v>
      </c>
      <c r="E32" s="21" t="s">
        <v>58</v>
      </c>
      <c r="F32" s="22"/>
      <c r="G32" s="22" t="s">
        <v>247</v>
      </c>
      <c r="H32" s="23"/>
      <c r="I32" s="25"/>
      <c r="J32" s="25" t="s">
        <v>99</v>
      </c>
      <c r="K32" s="25" t="s">
        <v>74</v>
      </c>
      <c r="L32" s="25" t="s">
        <v>97</v>
      </c>
    </row>
    <row r="33" spans="2:17" s="1" customFormat="1" ht="39.6">
      <c r="B33" s="13" t="s">
        <v>248</v>
      </c>
      <c r="C33" s="26" t="s">
        <v>75</v>
      </c>
      <c r="D33" s="9" t="s">
        <v>249</v>
      </c>
      <c r="E33" s="21" t="s">
        <v>58</v>
      </c>
      <c r="F33" s="22"/>
      <c r="G33" s="22" t="s">
        <v>250</v>
      </c>
      <c r="H33" s="23"/>
      <c r="I33" s="25"/>
      <c r="J33" s="25" t="s">
        <v>99</v>
      </c>
      <c r="K33" s="25" t="s">
        <v>74</v>
      </c>
      <c r="L33" s="25" t="s">
        <v>97</v>
      </c>
    </row>
    <row r="34" spans="2:17" s="2" customFormat="1">
      <c r="B34" s="14" t="s">
        <v>80</v>
      </c>
      <c r="C34" s="15" t="s">
        <v>75</v>
      </c>
      <c r="D34" s="16" t="s">
        <v>103</v>
      </c>
      <c r="E34" s="24"/>
      <c r="F34" s="24"/>
      <c r="G34" s="14"/>
      <c r="H34" s="14"/>
      <c r="I34" s="14"/>
      <c r="J34" s="14"/>
      <c r="K34" s="14"/>
      <c r="L34" s="14"/>
      <c r="M34" s="14"/>
      <c r="N34" s="14"/>
      <c r="O34" s="14"/>
      <c r="P34" s="14"/>
      <c r="Q34" s="14"/>
    </row>
    <row r="35" spans="2:17" s="2" customFormat="1">
      <c r="B35" s="14" t="s">
        <v>0</v>
      </c>
      <c r="C35" s="15" t="s">
        <v>71</v>
      </c>
      <c r="D35" s="16" t="s">
        <v>104</v>
      </c>
      <c r="E35" s="24"/>
      <c r="F35" s="24"/>
      <c r="G35" s="14"/>
      <c r="H35" s="14"/>
      <c r="I35" s="14"/>
      <c r="J35" s="14"/>
      <c r="K35" s="14"/>
      <c r="L35" s="14"/>
      <c r="M35" s="14"/>
      <c r="N35" s="14"/>
      <c r="O35" s="14"/>
      <c r="P35" s="14"/>
      <c r="Q35" s="14"/>
    </row>
  </sheetData>
  <autoFilter ref="A13:Q35" xr:uid="{00000000-0009-0000-0000-000014000000}"/>
  <mergeCells count="4">
    <mergeCell ref="B2:H2"/>
    <mergeCell ref="B3:H3"/>
    <mergeCell ref="B7:H7"/>
    <mergeCell ref="B12:L12"/>
  </mergeCells>
  <phoneticPr fontId="23"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38"/>
  <sheetViews>
    <sheetView zoomScale="85" zoomScaleNormal="85" workbookViewId="0">
      <pane ySplit="5" topLeftCell="A6" activePane="bottomLeft" state="frozen"/>
      <selection pane="bottomLeft" activeCell="C5" sqref="B5:H9"/>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2.21875" style="3" customWidth="1"/>
    <col min="9" max="9" width="12.332031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7" t="s">
        <v>14</v>
      </c>
      <c r="H4" s="7" t="s">
        <v>50</v>
      </c>
    </row>
    <row r="5" spans="2:14" ht="24">
      <c r="B5" s="8" t="s">
        <v>43</v>
      </c>
      <c r="C5" s="9" t="s">
        <v>2359</v>
      </c>
      <c r="D5" s="10" t="s">
        <v>2362</v>
      </c>
      <c r="E5" s="12" t="s">
        <v>70</v>
      </c>
      <c r="F5" s="17"/>
      <c r="G5" s="37" t="s">
        <v>251</v>
      </c>
      <c r="H5" s="12"/>
      <c r="I5" s="38" t="s">
        <v>652</v>
      </c>
      <c r="N5" s="3"/>
    </row>
    <row r="6" spans="2:14">
      <c r="B6" s="6"/>
      <c r="C6" s="6"/>
      <c r="D6" s="6"/>
      <c r="E6" s="6"/>
      <c r="F6" s="18"/>
      <c r="G6" s="6"/>
      <c r="H6" s="6"/>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2360</v>
      </c>
      <c r="D9" s="10" t="s">
        <v>2361</v>
      </c>
      <c r="E9" s="12" t="s">
        <v>58</v>
      </c>
      <c r="F9" s="19"/>
      <c r="G9" s="37" t="s">
        <v>651</v>
      </c>
      <c r="H9" s="83" t="s">
        <v>30</v>
      </c>
    </row>
    <row r="10" spans="2:14">
      <c r="B10" s="12"/>
      <c r="C10" s="9"/>
      <c r="D10" s="10"/>
      <c r="E10" s="12"/>
      <c r="F10" s="19"/>
      <c r="G10" s="37"/>
      <c r="H10" s="83"/>
    </row>
    <row r="11" spans="2:14">
      <c r="G11" s="30"/>
    </row>
    <row r="12" spans="2:14">
      <c r="B12" s="3" t="s">
        <v>59</v>
      </c>
    </row>
    <row r="13" spans="2:14">
      <c r="B13" s="122" t="s">
        <v>59</v>
      </c>
      <c r="C13" s="122"/>
      <c r="D13" s="122"/>
      <c r="E13" s="122"/>
      <c r="F13" s="122"/>
      <c r="G13" s="122"/>
      <c r="H13" s="122"/>
      <c r="I13" s="122"/>
      <c r="J13" s="122"/>
      <c r="K13" s="122"/>
      <c r="L13" s="122"/>
    </row>
    <row r="14" spans="2:14" ht="24">
      <c r="B14" s="7" t="s">
        <v>60</v>
      </c>
      <c r="C14" s="7" t="s">
        <v>61</v>
      </c>
      <c r="D14" s="7" t="s">
        <v>62</v>
      </c>
      <c r="E14" s="7" t="s">
        <v>63</v>
      </c>
      <c r="F14" s="11" t="s">
        <v>64</v>
      </c>
      <c r="G14" s="7" t="s">
        <v>65</v>
      </c>
      <c r="H14" s="7" t="s">
        <v>66</v>
      </c>
      <c r="I14" s="7" t="s">
        <v>24</v>
      </c>
      <c r="J14" s="7" t="s">
        <v>67</v>
      </c>
      <c r="K14" s="7" t="s">
        <v>68</v>
      </c>
      <c r="L14" s="7" t="s">
        <v>69</v>
      </c>
    </row>
    <row r="15" spans="2:14" s="1" customFormat="1">
      <c r="B15" s="13" t="s">
        <v>70</v>
      </c>
      <c r="C15" s="13" t="s">
        <v>71</v>
      </c>
      <c r="D15" s="9" t="s">
        <v>72</v>
      </c>
      <c r="E15" s="21" t="s">
        <v>58</v>
      </c>
      <c r="F15" s="19" t="s">
        <v>0</v>
      </c>
      <c r="G15" s="22" t="s">
        <v>73</v>
      </c>
      <c r="H15" s="23"/>
      <c r="I15" s="25"/>
      <c r="J15" s="25" t="s">
        <v>3</v>
      </c>
      <c r="K15" s="25" t="s">
        <v>74</v>
      </c>
      <c r="L15" s="25" t="s">
        <v>74</v>
      </c>
    </row>
    <row r="16" spans="2:14" s="1" customFormat="1">
      <c r="B16" s="13" t="s">
        <v>78</v>
      </c>
      <c r="C16" s="13" t="s">
        <v>75</v>
      </c>
      <c r="D16" s="9" t="s">
        <v>79</v>
      </c>
      <c r="E16" s="21" t="s">
        <v>58</v>
      </c>
      <c r="F16" s="19" t="s">
        <v>80</v>
      </c>
      <c r="G16" s="22" t="s">
        <v>73</v>
      </c>
      <c r="H16" s="23"/>
      <c r="I16" s="25"/>
      <c r="J16" s="25" t="s">
        <v>3</v>
      </c>
      <c r="K16" s="25" t="s">
        <v>74</v>
      </c>
      <c r="L16" s="25" t="s">
        <v>74</v>
      </c>
    </row>
    <row r="17" spans="2:12" s="1" customFormat="1">
      <c r="B17" s="13" t="s">
        <v>83</v>
      </c>
      <c r="C17" s="13" t="s">
        <v>71</v>
      </c>
      <c r="D17" s="9" t="s">
        <v>84</v>
      </c>
      <c r="E17" s="21" t="s">
        <v>58</v>
      </c>
      <c r="F17" s="19" t="s">
        <v>83</v>
      </c>
      <c r="G17" s="22" t="s">
        <v>73</v>
      </c>
      <c r="H17" s="23"/>
      <c r="I17" s="25"/>
      <c r="J17" s="25" t="s">
        <v>3</v>
      </c>
      <c r="K17" s="25" t="s">
        <v>74</v>
      </c>
      <c r="L17" s="25" t="s">
        <v>74</v>
      </c>
    </row>
    <row r="18" spans="2:12" s="1" customFormat="1">
      <c r="B18" s="13" t="s">
        <v>81</v>
      </c>
      <c r="C18" s="13" t="s">
        <v>75</v>
      </c>
      <c r="D18" s="9" t="s">
        <v>219</v>
      </c>
      <c r="E18" s="21" t="s">
        <v>58</v>
      </c>
      <c r="F18" s="19" t="s">
        <v>81</v>
      </c>
      <c r="G18" s="22" t="s">
        <v>73</v>
      </c>
      <c r="H18" s="23"/>
      <c r="I18" s="25"/>
      <c r="J18" s="25" t="s">
        <v>3</v>
      </c>
      <c r="K18" s="25" t="s">
        <v>74</v>
      </c>
      <c r="L18" s="25" t="s">
        <v>74</v>
      </c>
    </row>
    <row r="19" spans="2:12" s="1" customFormat="1">
      <c r="B19" s="13" t="s">
        <v>85</v>
      </c>
      <c r="C19" s="13" t="s">
        <v>71</v>
      </c>
      <c r="D19" s="9" t="s">
        <v>86</v>
      </c>
      <c r="E19" s="21" t="s">
        <v>58</v>
      </c>
      <c r="F19" s="19" t="s">
        <v>85</v>
      </c>
      <c r="G19" s="22" t="s">
        <v>73</v>
      </c>
      <c r="H19" s="23"/>
      <c r="I19" s="25"/>
      <c r="J19" s="25" t="s">
        <v>3</v>
      </c>
      <c r="K19" s="25" t="s">
        <v>74</v>
      </c>
      <c r="L19" s="25" t="s">
        <v>74</v>
      </c>
    </row>
    <row r="20" spans="2:12" s="1" customFormat="1">
      <c r="B20" s="13" t="s">
        <v>82</v>
      </c>
      <c r="C20" s="13" t="s">
        <v>75</v>
      </c>
      <c r="D20" s="9" t="s">
        <v>110</v>
      </c>
      <c r="E20" s="21" t="s">
        <v>58</v>
      </c>
      <c r="F20" s="19" t="s">
        <v>82</v>
      </c>
      <c r="G20" s="22" t="s">
        <v>73</v>
      </c>
      <c r="H20" s="23"/>
      <c r="I20" s="25"/>
      <c r="J20" s="25" t="s">
        <v>3</v>
      </c>
      <c r="K20" s="25" t="s">
        <v>74</v>
      </c>
      <c r="L20" s="25" t="s">
        <v>74</v>
      </c>
    </row>
    <row r="21" spans="2:12" s="1" customFormat="1">
      <c r="B21" s="13" t="s">
        <v>87</v>
      </c>
      <c r="C21" s="13" t="s">
        <v>71</v>
      </c>
      <c r="D21" s="9" t="s">
        <v>88</v>
      </c>
      <c r="E21" s="21" t="s">
        <v>58</v>
      </c>
      <c r="F21" s="19" t="s">
        <v>87</v>
      </c>
      <c r="G21" s="22" t="s">
        <v>73</v>
      </c>
      <c r="H21" s="23"/>
      <c r="I21" s="25"/>
      <c r="J21" s="25" t="s">
        <v>3</v>
      </c>
      <c r="K21" s="25" t="s">
        <v>74</v>
      </c>
      <c r="L21" s="25" t="s">
        <v>74</v>
      </c>
    </row>
    <row r="22" spans="2:12" s="1" customFormat="1">
      <c r="B22" s="13" t="s">
        <v>610</v>
      </c>
      <c r="C22" s="13" t="s">
        <v>75</v>
      </c>
      <c r="D22" s="9" t="s">
        <v>112</v>
      </c>
      <c r="E22" s="21" t="s">
        <v>58</v>
      </c>
      <c r="F22" s="19"/>
      <c r="G22" s="22" t="s">
        <v>681</v>
      </c>
      <c r="H22" s="23"/>
      <c r="I22" s="25"/>
      <c r="J22" s="25" t="s">
        <v>3</v>
      </c>
      <c r="K22" s="25" t="s">
        <v>74</v>
      </c>
      <c r="L22" s="25" t="s">
        <v>74</v>
      </c>
    </row>
    <row r="23" spans="2:12" s="1" customFormat="1">
      <c r="B23" s="13" t="s">
        <v>113</v>
      </c>
      <c r="C23" s="13" t="s">
        <v>75</v>
      </c>
      <c r="D23" s="9" t="s">
        <v>114</v>
      </c>
      <c r="E23" s="21" t="s">
        <v>58</v>
      </c>
      <c r="F23" s="19"/>
      <c r="G23" s="22" t="s">
        <v>682</v>
      </c>
      <c r="H23" s="23"/>
      <c r="I23" s="25"/>
      <c r="J23" s="25" t="s">
        <v>3</v>
      </c>
      <c r="K23" s="25" t="s">
        <v>74</v>
      </c>
      <c r="L23" s="25" t="s">
        <v>74</v>
      </c>
    </row>
    <row r="24" spans="2:12" s="1" customFormat="1">
      <c r="B24" s="13" t="s">
        <v>108</v>
      </c>
      <c r="C24" s="13" t="s">
        <v>71</v>
      </c>
      <c r="D24" s="9" t="s">
        <v>649</v>
      </c>
      <c r="E24" s="21" t="s">
        <v>58</v>
      </c>
      <c r="F24" s="27" t="s">
        <v>108</v>
      </c>
      <c r="G24" s="22" t="s">
        <v>73</v>
      </c>
      <c r="H24" s="23"/>
      <c r="I24" s="25"/>
      <c r="J24" s="25" t="s">
        <v>3</v>
      </c>
      <c r="K24" s="25" t="s">
        <v>74</v>
      </c>
      <c r="L24" s="25" t="s">
        <v>74</v>
      </c>
    </row>
    <row r="25" spans="2:12" s="1" customFormat="1">
      <c r="B25" s="13" t="s">
        <v>123</v>
      </c>
      <c r="C25" s="13" t="s">
        <v>71</v>
      </c>
      <c r="D25" s="9" t="s">
        <v>650</v>
      </c>
      <c r="E25" s="21" t="s">
        <v>58</v>
      </c>
      <c r="F25" s="27" t="s">
        <v>123</v>
      </c>
      <c r="G25" s="22" t="s">
        <v>73</v>
      </c>
      <c r="H25" s="23"/>
      <c r="I25" s="25"/>
      <c r="J25" s="25" t="s">
        <v>3</v>
      </c>
      <c r="K25" s="25" t="s">
        <v>74</v>
      </c>
      <c r="L25" s="25" t="s">
        <v>74</v>
      </c>
    </row>
    <row r="26" spans="2:12" s="1" customFormat="1">
      <c r="B26" s="13" t="s">
        <v>94</v>
      </c>
      <c r="C26" s="13" t="s">
        <v>71</v>
      </c>
      <c r="D26" s="9" t="s">
        <v>221</v>
      </c>
      <c r="E26" s="21" t="s">
        <v>58</v>
      </c>
      <c r="F26" s="27" t="s">
        <v>94</v>
      </c>
      <c r="G26" s="22" t="s">
        <v>73</v>
      </c>
      <c r="H26" s="23"/>
      <c r="I26" s="25"/>
      <c r="J26" s="25" t="s">
        <v>3</v>
      </c>
      <c r="K26" s="25" t="s">
        <v>74</v>
      </c>
      <c r="L26" s="25" t="s">
        <v>74</v>
      </c>
    </row>
    <row r="27" spans="2:12" s="1" customFormat="1">
      <c r="B27" s="13" t="s">
        <v>90</v>
      </c>
      <c r="C27" s="13" t="s">
        <v>71</v>
      </c>
      <c r="D27" s="9" t="s">
        <v>648</v>
      </c>
      <c r="E27" s="21" t="s">
        <v>58</v>
      </c>
      <c r="F27" s="19" t="s">
        <v>90</v>
      </c>
      <c r="G27" s="22" t="s">
        <v>73</v>
      </c>
      <c r="H27" s="23"/>
      <c r="I27" s="25"/>
      <c r="J27" s="25" t="s">
        <v>3</v>
      </c>
      <c r="K27" s="25" t="s">
        <v>74</v>
      </c>
      <c r="L27" s="25" t="s">
        <v>74</v>
      </c>
    </row>
    <row r="28" spans="2:12" s="1" customFormat="1">
      <c r="B28" s="13" t="s">
        <v>228</v>
      </c>
      <c r="C28" s="13" t="s">
        <v>75</v>
      </c>
      <c r="D28" s="9" t="s">
        <v>252</v>
      </c>
      <c r="E28" s="21" t="s">
        <v>58</v>
      </c>
      <c r="F28" s="22"/>
      <c r="G28" s="22" t="s">
        <v>253</v>
      </c>
      <c r="H28" s="71"/>
      <c r="I28" s="25"/>
      <c r="J28" s="25" t="s">
        <v>99</v>
      </c>
      <c r="K28" s="25" t="s">
        <v>74</v>
      </c>
      <c r="L28" s="25" t="s">
        <v>666</v>
      </c>
    </row>
    <row r="29" spans="2:12" s="1" customFormat="1">
      <c r="B29" s="13" t="s">
        <v>231</v>
      </c>
      <c r="C29" s="26" t="s">
        <v>75</v>
      </c>
      <c r="D29" s="9" t="s">
        <v>254</v>
      </c>
      <c r="E29" s="21" t="s">
        <v>58</v>
      </c>
      <c r="F29" s="22"/>
      <c r="G29" s="22" t="s">
        <v>255</v>
      </c>
      <c r="H29" s="71"/>
      <c r="I29" s="25"/>
      <c r="J29" s="25" t="s">
        <v>99</v>
      </c>
      <c r="K29" s="25" t="s">
        <v>74</v>
      </c>
      <c r="L29" s="25" t="s">
        <v>256</v>
      </c>
    </row>
    <row r="30" spans="2:12" s="1" customFormat="1">
      <c r="B30" s="13" t="s">
        <v>234</v>
      </c>
      <c r="C30" s="13" t="s">
        <v>75</v>
      </c>
      <c r="D30" s="9" t="s">
        <v>257</v>
      </c>
      <c r="E30" s="21" t="s">
        <v>58</v>
      </c>
      <c r="F30" s="22"/>
      <c r="G30" s="22" t="s">
        <v>258</v>
      </c>
      <c r="H30" s="71"/>
      <c r="I30" s="25"/>
      <c r="J30" s="25" t="s">
        <v>99</v>
      </c>
      <c r="K30" s="25" t="s">
        <v>74</v>
      </c>
      <c r="L30" s="25" t="s">
        <v>259</v>
      </c>
    </row>
    <row r="31" spans="2:12" s="1" customFormat="1">
      <c r="B31" s="13" t="s">
        <v>667</v>
      </c>
      <c r="C31" s="26" t="s">
        <v>75</v>
      </c>
      <c r="D31" s="9" t="s">
        <v>670</v>
      </c>
      <c r="E31" s="21" t="s">
        <v>58</v>
      </c>
      <c r="F31" s="22"/>
      <c r="G31" s="22" t="s">
        <v>260</v>
      </c>
      <c r="H31" s="71"/>
      <c r="I31" s="25"/>
      <c r="J31" s="25" t="s">
        <v>99</v>
      </c>
      <c r="K31" s="25" t="s">
        <v>74</v>
      </c>
      <c r="L31" s="25" t="s">
        <v>117</v>
      </c>
    </row>
    <row r="32" spans="2:12" s="1" customFormat="1">
      <c r="B32" s="13" t="s">
        <v>668</v>
      </c>
      <c r="C32" s="26" t="s">
        <v>75</v>
      </c>
      <c r="D32" s="9" t="s">
        <v>671</v>
      </c>
      <c r="E32" s="21" t="s">
        <v>58</v>
      </c>
      <c r="F32" s="22"/>
      <c r="G32" s="22" t="s">
        <v>261</v>
      </c>
      <c r="H32" s="71"/>
      <c r="I32" s="25"/>
      <c r="J32" s="25" t="s">
        <v>99</v>
      </c>
      <c r="K32" s="25" t="s">
        <v>74</v>
      </c>
      <c r="L32" s="25" t="s">
        <v>117</v>
      </c>
    </row>
    <row r="33" spans="2:17" s="1" customFormat="1">
      <c r="B33" s="13" t="s">
        <v>669</v>
      </c>
      <c r="C33" s="26" t="s">
        <v>75</v>
      </c>
      <c r="D33" s="9" t="s">
        <v>672</v>
      </c>
      <c r="E33" s="21" t="s">
        <v>58</v>
      </c>
      <c r="F33" s="22"/>
      <c r="G33" s="22" t="s">
        <v>262</v>
      </c>
      <c r="H33" s="71"/>
      <c r="I33" s="25"/>
      <c r="J33" s="25" t="s">
        <v>99</v>
      </c>
      <c r="K33" s="25" t="s">
        <v>74</v>
      </c>
      <c r="L33" s="25" t="s">
        <v>117</v>
      </c>
    </row>
    <row r="34" spans="2:17" s="1" customFormat="1">
      <c r="B34" s="13" t="s">
        <v>312</v>
      </c>
      <c r="C34" s="26" t="s">
        <v>75</v>
      </c>
      <c r="D34" s="9" t="s">
        <v>263</v>
      </c>
      <c r="E34" s="21" t="s">
        <v>58</v>
      </c>
      <c r="F34" s="22"/>
      <c r="G34" s="22" t="s">
        <v>264</v>
      </c>
      <c r="H34" s="71"/>
      <c r="I34" s="25"/>
      <c r="J34" s="25" t="s">
        <v>99</v>
      </c>
      <c r="K34" s="25" t="s">
        <v>74</v>
      </c>
      <c r="L34" s="25" t="s">
        <v>97</v>
      </c>
    </row>
    <row r="35" spans="2:17" s="1" customFormat="1">
      <c r="B35" s="13" t="s">
        <v>313</v>
      </c>
      <c r="C35" s="26" t="s">
        <v>75</v>
      </c>
      <c r="D35" s="9" t="s">
        <v>265</v>
      </c>
      <c r="E35" s="21" t="s">
        <v>58</v>
      </c>
      <c r="F35" s="22"/>
      <c r="G35" s="22" t="s">
        <v>266</v>
      </c>
      <c r="H35" s="71"/>
      <c r="I35" s="25"/>
      <c r="J35" s="25" t="s">
        <v>99</v>
      </c>
      <c r="K35" s="25" t="s">
        <v>74</v>
      </c>
      <c r="L35" s="25" t="s">
        <v>97</v>
      </c>
    </row>
    <row r="36" spans="2:17" s="1" customFormat="1">
      <c r="B36" s="13" t="s">
        <v>314</v>
      </c>
      <c r="C36" s="26" t="s">
        <v>75</v>
      </c>
      <c r="D36" s="9" t="s">
        <v>267</v>
      </c>
      <c r="E36" s="21" t="s">
        <v>58</v>
      </c>
      <c r="F36" s="22"/>
      <c r="G36" s="22" t="s">
        <v>268</v>
      </c>
      <c r="H36" s="71"/>
      <c r="I36" s="25"/>
      <c r="J36" s="25" t="s">
        <v>99</v>
      </c>
      <c r="K36" s="25" t="s">
        <v>74</v>
      </c>
      <c r="L36" s="25" t="s">
        <v>97</v>
      </c>
    </row>
    <row r="37" spans="2:17" s="2" customFormat="1">
      <c r="B37" s="14" t="s">
        <v>80</v>
      </c>
      <c r="C37" s="15" t="s">
        <v>75</v>
      </c>
      <c r="D37" s="16" t="s">
        <v>103</v>
      </c>
      <c r="E37" s="24"/>
      <c r="F37" s="24"/>
      <c r="G37" s="14"/>
      <c r="H37" s="14"/>
      <c r="I37" s="14"/>
      <c r="J37" s="14"/>
      <c r="K37" s="14"/>
      <c r="L37" s="14"/>
      <c r="M37" s="14"/>
      <c r="N37" s="14"/>
      <c r="O37" s="14"/>
      <c r="P37" s="14"/>
      <c r="Q37" s="14"/>
    </row>
    <row r="38" spans="2:17" s="2" customFormat="1">
      <c r="B38" s="14" t="s">
        <v>0</v>
      </c>
      <c r="C38" s="15" t="s">
        <v>71</v>
      </c>
      <c r="D38" s="16" t="s">
        <v>104</v>
      </c>
      <c r="E38" s="24"/>
      <c r="F38" s="24"/>
      <c r="G38" s="14"/>
      <c r="H38" s="14"/>
      <c r="I38" s="14"/>
      <c r="J38" s="14"/>
      <c r="K38" s="14"/>
      <c r="L38" s="14"/>
      <c r="M38" s="14"/>
      <c r="N38" s="14"/>
      <c r="O38" s="14"/>
      <c r="P38" s="14"/>
      <c r="Q38" s="14"/>
    </row>
  </sheetData>
  <autoFilter ref="A14:Q38" xr:uid="{00000000-0009-0000-0000-000015000000}"/>
  <mergeCells count="4">
    <mergeCell ref="B2:H2"/>
    <mergeCell ref="B3:H3"/>
    <mergeCell ref="B7:H7"/>
    <mergeCell ref="B13:L13"/>
  </mergeCells>
  <phoneticPr fontId="23"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E6E77-0F64-4E47-A6AB-94FB422639B7}">
  <dimension ref="A1:Q57"/>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36.109375" style="3"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7" t="s">
        <v>14</v>
      </c>
      <c r="H4" s="11" t="s">
        <v>50</v>
      </c>
    </row>
    <row r="5" spans="2:14">
      <c r="B5" s="8" t="s">
        <v>39</v>
      </c>
      <c r="C5" s="68" t="s">
        <v>765</v>
      </c>
      <c r="D5" s="9" t="s">
        <v>1160</v>
      </c>
      <c r="E5" s="12" t="s">
        <v>1159</v>
      </c>
      <c r="F5" s="17"/>
      <c r="G5" s="12"/>
      <c r="H5" s="12"/>
      <c r="N5" s="3"/>
    </row>
    <row r="6" spans="2:14">
      <c r="B6" s="6"/>
      <c r="C6" s="6"/>
      <c r="D6" s="6"/>
      <c r="E6" s="6"/>
      <c r="F6" s="18"/>
      <c r="G6" s="6"/>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68" t="s">
        <v>608</v>
      </c>
      <c r="D9" s="9" t="s">
        <v>607</v>
      </c>
      <c r="E9" s="12" t="s">
        <v>58</v>
      </c>
      <c r="F9" s="19"/>
      <c r="G9" s="22"/>
      <c r="H9" s="20" t="s">
        <v>30</v>
      </c>
    </row>
    <row r="10" spans="2:14" ht="39.6">
      <c r="B10" s="12"/>
      <c r="C10" s="9" t="s">
        <v>655</v>
      </c>
      <c r="D10" s="10" t="s">
        <v>215</v>
      </c>
      <c r="E10" s="12" t="s">
        <v>122</v>
      </c>
      <c r="F10" s="22" t="s">
        <v>216</v>
      </c>
      <c r="G10" s="22" t="s">
        <v>656</v>
      </c>
      <c r="H10" s="20"/>
    </row>
    <row r="11" spans="2:14">
      <c r="B11" s="3" t="s">
        <v>59</v>
      </c>
    </row>
    <row r="12" spans="2:14">
      <c r="B12" s="122" t="s">
        <v>59</v>
      </c>
      <c r="C12" s="122"/>
      <c r="D12" s="122"/>
      <c r="E12" s="122"/>
      <c r="F12" s="122"/>
      <c r="G12" s="122"/>
      <c r="H12" s="122"/>
      <c r="I12" s="122"/>
      <c r="J12" s="122"/>
      <c r="K12" s="122"/>
      <c r="L12" s="122"/>
    </row>
    <row r="13" spans="2:14">
      <c r="B13" s="7" t="s">
        <v>60</v>
      </c>
      <c r="C13" s="7" t="s">
        <v>61</v>
      </c>
      <c r="D13" s="7" t="s">
        <v>62</v>
      </c>
      <c r="E13" s="7" t="s">
        <v>63</v>
      </c>
      <c r="F13" s="11" t="s">
        <v>64</v>
      </c>
      <c r="G13" s="7" t="s">
        <v>65</v>
      </c>
      <c r="H13" s="11" t="s">
        <v>66</v>
      </c>
      <c r="I13" s="7" t="s">
        <v>24</v>
      </c>
      <c r="J13" s="7" t="s">
        <v>67</v>
      </c>
      <c r="K13" s="7" t="s">
        <v>68</v>
      </c>
      <c r="L13" s="7" t="s">
        <v>69</v>
      </c>
    </row>
    <row r="14" spans="2:14" s="1" customFormat="1">
      <c r="B14" s="13" t="s">
        <v>70</v>
      </c>
      <c r="C14" s="13" t="s">
        <v>71</v>
      </c>
      <c r="D14" s="9" t="s">
        <v>72</v>
      </c>
      <c r="E14" s="21" t="s">
        <v>58</v>
      </c>
      <c r="F14" s="19" t="s">
        <v>0</v>
      </c>
      <c r="G14" s="22" t="s">
        <v>73</v>
      </c>
      <c r="H14" s="71"/>
      <c r="I14" s="25"/>
      <c r="J14" s="25" t="s">
        <v>3</v>
      </c>
      <c r="K14" s="25" t="s">
        <v>74</v>
      </c>
      <c r="L14" s="25" t="s">
        <v>74</v>
      </c>
    </row>
    <row r="15" spans="2:14" s="1" customFormat="1">
      <c r="B15" s="13" t="s">
        <v>6</v>
      </c>
      <c r="C15" s="13" t="s">
        <v>75</v>
      </c>
      <c r="D15" s="9" t="s">
        <v>34</v>
      </c>
      <c r="E15" s="21" t="s">
        <v>58</v>
      </c>
      <c r="F15" s="19" t="s">
        <v>1</v>
      </c>
      <c r="G15" s="22" t="s">
        <v>73</v>
      </c>
      <c r="H15" s="71"/>
      <c r="I15" s="25"/>
      <c r="J15" s="25" t="s">
        <v>3</v>
      </c>
      <c r="K15" s="25" t="s">
        <v>74</v>
      </c>
      <c r="L15" s="25" t="s">
        <v>74</v>
      </c>
    </row>
    <row r="16" spans="2:14" s="1" customFormat="1">
      <c r="B16" s="13" t="s">
        <v>654</v>
      </c>
      <c r="C16" s="13" t="s">
        <v>71</v>
      </c>
      <c r="D16" s="9" t="s">
        <v>1051</v>
      </c>
      <c r="E16" s="21" t="s">
        <v>658</v>
      </c>
      <c r="F16" s="19" t="s">
        <v>217</v>
      </c>
      <c r="G16" s="22" t="s">
        <v>218</v>
      </c>
      <c r="H16" s="71"/>
      <c r="I16" s="25"/>
      <c r="J16" s="25" t="s">
        <v>3</v>
      </c>
      <c r="K16" s="25" t="s">
        <v>74</v>
      </c>
      <c r="L16" s="25" t="s">
        <v>74</v>
      </c>
    </row>
    <row r="17" spans="2:12" s="1" customFormat="1">
      <c r="B17" s="13" t="s">
        <v>81</v>
      </c>
      <c r="C17" s="13" t="s">
        <v>75</v>
      </c>
      <c r="D17" s="9" t="s">
        <v>109</v>
      </c>
      <c r="E17" s="21" t="s">
        <v>58</v>
      </c>
      <c r="F17" s="19" t="s">
        <v>81</v>
      </c>
      <c r="G17" s="22" t="s">
        <v>73</v>
      </c>
      <c r="H17" s="71"/>
      <c r="I17" s="25"/>
      <c r="J17" s="25" t="s">
        <v>3</v>
      </c>
      <c r="K17" s="25" t="s">
        <v>74</v>
      </c>
      <c r="L17" s="25" t="s">
        <v>74</v>
      </c>
    </row>
    <row r="18" spans="2:12" s="1" customFormat="1">
      <c r="B18" s="13" t="s">
        <v>85</v>
      </c>
      <c r="C18" s="13" t="s">
        <v>71</v>
      </c>
      <c r="D18" s="9" t="s">
        <v>111</v>
      </c>
      <c r="E18" s="21" t="s">
        <v>58</v>
      </c>
      <c r="F18" s="19" t="s">
        <v>85</v>
      </c>
      <c r="G18" s="22" t="s">
        <v>73</v>
      </c>
      <c r="H18" s="71"/>
      <c r="I18" s="25"/>
      <c r="J18" s="25" t="s">
        <v>3</v>
      </c>
      <c r="K18" s="25" t="s">
        <v>74</v>
      </c>
      <c r="L18" s="25" t="s">
        <v>74</v>
      </c>
    </row>
    <row r="19" spans="2:12" s="1" customFormat="1">
      <c r="B19" s="13" t="s">
        <v>82</v>
      </c>
      <c r="C19" s="13" t="s">
        <v>75</v>
      </c>
      <c r="D19" s="9" t="s">
        <v>110</v>
      </c>
      <c r="E19" s="21" t="s">
        <v>58</v>
      </c>
      <c r="F19" s="19" t="s">
        <v>82</v>
      </c>
      <c r="G19" s="22" t="s">
        <v>73</v>
      </c>
      <c r="H19" s="71"/>
      <c r="I19" s="25"/>
      <c r="J19" s="25" t="s">
        <v>3</v>
      </c>
      <c r="K19" s="25" t="s">
        <v>74</v>
      </c>
      <c r="L19" s="25" t="s">
        <v>74</v>
      </c>
    </row>
    <row r="20" spans="2:12" s="1" customFormat="1">
      <c r="B20" s="13" t="s">
        <v>87</v>
      </c>
      <c r="C20" s="13" t="s">
        <v>71</v>
      </c>
      <c r="D20" s="9" t="s">
        <v>88</v>
      </c>
      <c r="E20" s="21" t="s">
        <v>58</v>
      </c>
      <c r="F20" s="19" t="s">
        <v>87</v>
      </c>
      <c r="G20" s="22" t="s">
        <v>73</v>
      </c>
      <c r="H20" s="71"/>
      <c r="I20" s="25"/>
      <c r="J20" s="25" t="s">
        <v>3</v>
      </c>
      <c r="K20" s="25" t="s">
        <v>74</v>
      </c>
      <c r="L20" s="25" t="s">
        <v>74</v>
      </c>
    </row>
    <row r="21" spans="2:12" s="1" customFormat="1">
      <c r="B21" s="13" t="s">
        <v>76</v>
      </c>
      <c r="C21" s="13" t="s">
        <v>75</v>
      </c>
      <c r="D21" s="9" t="s">
        <v>168</v>
      </c>
      <c r="E21" s="21" t="s">
        <v>58</v>
      </c>
      <c r="F21" s="19" t="s">
        <v>76</v>
      </c>
      <c r="G21" s="22" t="s">
        <v>73</v>
      </c>
      <c r="H21" s="71"/>
      <c r="I21" s="25"/>
      <c r="J21" s="25" t="s">
        <v>3</v>
      </c>
      <c r="K21" s="25" t="s">
        <v>74</v>
      </c>
      <c r="L21" s="25" t="s">
        <v>74</v>
      </c>
    </row>
    <row r="22" spans="2:12" s="1" customFormat="1">
      <c r="B22" s="13" t="s">
        <v>308</v>
      </c>
      <c r="C22" s="13" t="s">
        <v>71</v>
      </c>
      <c r="D22" s="9" t="s">
        <v>170</v>
      </c>
      <c r="E22" s="21" t="s">
        <v>58</v>
      </c>
      <c r="F22" s="19" t="s">
        <v>108</v>
      </c>
      <c r="G22" s="22" t="s">
        <v>73</v>
      </c>
      <c r="H22" s="71"/>
      <c r="I22" s="25"/>
      <c r="J22" s="25" t="s">
        <v>3</v>
      </c>
      <c r="K22" s="25" t="s">
        <v>74</v>
      </c>
      <c r="L22" s="25" t="s">
        <v>74</v>
      </c>
    </row>
    <row r="23" spans="2:12" s="1" customFormat="1">
      <c r="B23" s="13" t="s">
        <v>616</v>
      </c>
      <c r="C23" s="13" t="s">
        <v>71</v>
      </c>
      <c r="D23" s="9" t="s">
        <v>171</v>
      </c>
      <c r="E23" s="21" t="s">
        <v>58</v>
      </c>
      <c r="F23" s="19" t="s">
        <v>123</v>
      </c>
      <c r="G23" s="22" t="s">
        <v>73</v>
      </c>
      <c r="H23" s="71"/>
      <c r="I23" s="25"/>
      <c r="J23" s="25" t="s">
        <v>3</v>
      </c>
      <c r="K23" s="25" t="s">
        <v>74</v>
      </c>
      <c r="L23" s="25" t="s">
        <v>74</v>
      </c>
    </row>
    <row r="24" spans="2:12" s="1" customFormat="1">
      <c r="B24" s="13" t="s">
        <v>94</v>
      </c>
      <c r="C24" s="13" t="s">
        <v>71</v>
      </c>
      <c r="D24" s="9" t="s">
        <v>172</v>
      </c>
      <c r="E24" s="21" t="s">
        <v>58</v>
      </c>
      <c r="F24" s="19" t="s">
        <v>94</v>
      </c>
      <c r="G24" s="22" t="s">
        <v>73</v>
      </c>
      <c r="H24" s="71"/>
      <c r="I24" s="25"/>
      <c r="J24" s="25" t="s">
        <v>3</v>
      </c>
      <c r="K24" s="25" t="s">
        <v>74</v>
      </c>
      <c r="L24" s="25" t="s">
        <v>74</v>
      </c>
    </row>
    <row r="25" spans="2:12" s="1" customFormat="1">
      <c r="B25" s="13" t="s">
        <v>173</v>
      </c>
      <c r="C25" s="13" t="s">
        <v>75</v>
      </c>
      <c r="D25" s="9" t="s">
        <v>174</v>
      </c>
      <c r="E25" s="21" t="s">
        <v>58</v>
      </c>
      <c r="F25" s="19" t="s">
        <v>173</v>
      </c>
      <c r="G25" s="22" t="s">
        <v>73</v>
      </c>
      <c r="H25" s="71"/>
      <c r="I25" s="25"/>
      <c r="J25" s="25" t="s">
        <v>3</v>
      </c>
      <c r="K25" s="25" t="s">
        <v>74</v>
      </c>
      <c r="L25" s="25" t="s">
        <v>74</v>
      </c>
    </row>
    <row r="26" spans="2:12" s="1" customFormat="1">
      <c r="B26" s="13" t="s">
        <v>96</v>
      </c>
      <c r="C26" s="13" t="s">
        <v>71</v>
      </c>
      <c r="D26" s="9" t="s">
        <v>175</v>
      </c>
      <c r="E26" s="21" t="s">
        <v>58</v>
      </c>
      <c r="F26" s="19" t="s">
        <v>96</v>
      </c>
      <c r="G26" s="22" t="s">
        <v>73</v>
      </c>
      <c r="H26" s="71"/>
      <c r="I26" s="25"/>
      <c r="J26" s="25" t="s">
        <v>3</v>
      </c>
      <c r="K26" s="25" t="s">
        <v>74</v>
      </c>
      <c r="L26" s="25" t="s">
        <v>74</v>
      </c>
    </row>
    <row r="27" spans="2:12" s="1" customFormat="1">
      <c r="B27" s="13" t="s">
        <v>455</v>
      </c>
      <c r="C27" s="13" t="s">
        <v>71</v>
      </c>
      <c r="D27" s="9" t="s">
        <v>519</v>
      </c>
      <c r="E27" s="21" t="s">
        <v>58</v>
      </c>
      <c r="F27" s="19" t="s">
        <v>455</v>
      </c>
      <c r="G27" s="22" t="s">
        <v>73</v>
      </c>
      <c r="H27" s="71"/>
      <c r="I27" s="25"/>
      <c r="J27" s="25" t="s">
        <v>3</v>
      </c>
      <c r="K27" s="25" t="s">
        <v>74</v>
      </c>
      <c r="L27" s="25" t="s">
        <v>74</v>
      </c>
    </row>
    <row r="28" spans="2:12" s="1" customFormat="1">
      <c r="B28" s="13" t="s">
        <v>456</v>
      </c>
      <c r="C28" s="13" t="s">
        <v>71</v>
      </c>
      <c r="D28" s="9" t="s">
        <v>520</v>
      </c>
      <c r="E28" s="21" t="s">
        <v>58</v>
      </c>
      <c r="F28" s="19" t="s">
        <v>456</v>
      </c>
      <c r="G28" s="22" t="s">
        <v>73</v>
      </c>
      <c r="H28" s="71"/>
      <c r="I28" s="25"/>
      <c r="J28" s="25" t="s">
        <v>3</v>
      </c>
      <c r="K28" s="25" t="s">
        <v>74</v>
      </c>
      <c r="L28" s="25" t="s">
        <v>74</v>
      </c>
    </row>
    <row r="29" spans="2:12" s="1" customFormat="1">
      <c r="B29" s="13" t="s">
        <v>625</v>
      </c>
      <c r="C29" s="13" t="s">
        <v>98</v>
      </c>
      <c r="D29" s="9" t="s">
        <v>525</v>
      </c>
      <c r="E29" s="21" t="s">
        <v>58</v>
      </c>
      <c r="F29" s="19" t="s">
        <v>461</v>
      </c>
      <c r="G29" s="22" t="s">
        <v>73</v>
      </c>
      <c r="H29" s="71"/>
      <c r="I29" s="25"/>
      <c r="J29" s="25" t="s">
        <v>3</v>
      </c>
      <c r="K29" s="25" t="s">
        <v>74</v>
      </c>
      <c r="L29" s="25" t="s">
        <v>74</v>
      </c>
    </row>
    <row r="30" spans="2:12" s="1" customFormat="1">
      <c r="B30" s="13" t="s">
        <v>635</v>
      </c>
      <c r="C30" s="13" t="s">
        <v>71</v>
      </c>
      <c r="D30" s="9" t="s">
        <v>624</v>
      </c>
      <c r="E30" s="21" t="s">
        <v>58</v>
      </c>
      <c r="F30" s="19" t="s">
        <v>635</v>
      </c>
      <c r="G30" s="22" t="s">
        <v>73</v>
      </c>
      <c r="H30" s="71"/>
      <c r="I30" s="25" t="s">
        <v>636</v>
      </c>
      <c r="J30" s="25" t="s">
        <v>3</v>
      </c>
      <c r="K30" s="25" t="s">
        <v>74</v>
      </c>
      <c r="L30" s="25" t="s">
        <v>74</v>
      </c>
    </row>
    <row r="31" spans="2:12" s="1" customFormat="1">
      <c r="B31" s="13" t="s">
        <v>459</v>
      </c>
      <c r="C31" s="13" t="s">
        <v>71</v>
      </c>
      <c r="D31" s="9" t="s">
        <v>523</v>
      </c>
      <c r="E31" s="21" t="s">
        <v>587</v>
      </c>
      <c r="F31" s="19" t="str">
        <f t="shared" ref="F31" si="0">B31</f>
        <v>ecgi</v>
      </c>
      <c r="G31" s="22" t="s">
        <v>302</v>
      </c>
      <c r="H31" s="71"/>
      <c r="I31" s="25"/>
      <c r="J31" s="25" t="s">
        <v>3</v>
      </c>
      <c r="K31" s="25" t="s">
        <v>74</v>
      </c>
      <c r="L31" s="25" t="s">
        <v>74</v>
      </c>
    </row>
    <row r="32" spans="2:12" s="1" customFormat="1">
      <c r="B32" s="13" t="s">
        <v>307</v>
      </c>
      <c r="C32" s="13" t="s">
        <v>71</v>
      </c>
      <c r="D32" s="9" t="s">
        <v>91</v>
      </c>
      <c r="E32" s="21" t="s">
        <v>58</v>
      </c>
      <c r="F32" s="19" t="s">
        <v>90</v>
      </c>
      <c r="G32" s="22" t="s">
        <v>73</v>
      </c>
      <c r="H32" s="71"/>
      <c r="I32" s="25"/>
      <c r="J32" s="25" t="s">
        <v>3</v>
      </c>
      <c r="K32" s="25" t="s">
        <v>74</v>
      </c>
      <c r="L32" s="25" t="s">
        <v>74</v>
      </c>
    </row>
    <row r="33" spans="2:12" s="1" customFormat="1">
      <c r="B33" s="13" t="s">
        <v>612</v>
      </c>
      <c r="C33" s="13" t="s">
        <v>71</v>
      </c>
      <c r="D33" s="9" t="s">
        <v>614</v>
      </c>
      <c r="E33" s="21" t="s">
        <v>58</v>
      </c>
      <c r="F33" s="19"/>
      <c r="G33" s="22" t="s">
        <v>639</v>
      </c>
      <c r="H33" s="71"/>
      <c r="I33" s="25"/>
      <c r="J33" s="25" t="s">
        <v>306</v>
      </c>
      <c r="K33" s="25" t="s">
        <v>74</v>
      </c>
      <c r="L33" s="25" t="s">
        <v>74</v>
      </c>
    </row>
    <row r="34" spans="2:12" s="1" customFormat="1">
      <c r="B34" s="13" t="s">
        <v>613</v>
      </c>
      <c r="C34" s="13" t="s">
        <v>71</v>
      </c>
      <c r="D34" s="9" t="s">
        <v>615</v>
      </c>
      <c r="E34" s="21" t="s">
        <v>58</v>
      </c>
      <c r="F34" s="19"/>
      <c r="G34" s="22" t="s">
        <v>640</v>
      </c>
      <c r="H34" s="71"/>
      <c r="I34" s="25"/>
      <c r="J34" s="25" t="s">
        <v>306</v>
      </c>
      <c r="K34" s="25" t="s">
        <v>74</v>
      </c>
      <c r="L34" s="25" t="s">
        <v>74</v>
      </c>
    </row>
    <row r="35" spans="2:12" s="1" customFormat="1">
      <c r="B35" s="13" t="s">
        <v>622</v>
      </c>
      <c r="C35" s="13" t="s">
        <v>71</v>
      </c>
      <c r="D35" s="9" t="s">
        <v>623</v>
      </c>
      <c r="E35" s="21" t="s">
        <v>58</v>
      </c>
      <c r="F35" s="19" t="s">
        <v>460</v>
      </c>
      <c r="G35" s="22" t="s">
        <v>73</v>
      </c>
      <c r="H35" s="71"/>
      <c r="I35" s="25"/>
      <c r="J35" s="25" t="s">
        <v>3</v>
      </c>
      <c r="K35" s="25" t="s">
        <v>74</v>
      </c>
      <c r="L35" s="25" t="s">
        <v>74</v>
      </c>
    </row>
    <row r="36" spans="2:12" s="1" customFormat="1">
      <c r="B36" s="13" t="s">
        <v>139</v>
      </c>
      <c r="C36" s="13" t="s">
        <v>75</v>
      </c>
      <c r="D36" s="9" t="s">
        <v>690</v>
      </c>
      <c r="E36" s="21" t="s">
        <v>58</v>
      </c>
      <c r="F36" s="19" t="s">
        <v>139</v>
      </c>
      <c r="G36" s="22" t="s">
        <v>73</v>
      </c>
      <c r="H36" s="71"/>
      <c r="I36" s="25"/>
      <c r="J36" s="25" t="s">
        <v>3</v>
      </c>
      <c r="K36" s="25" t="s">
        <v>74</v>
      </c>
      <c r="L36" s="25" t="s">
        <v>74</v>
      </c>
    </row>
    <row r="37" spans="2:12" s="1" customFormat="1" ht="13.8" customHeight="1">
      <c r="B37" s="13" t="s">
        <v>178</v>
      </c>
      <c r="C37" s="13" t="s">
        <v>75</v>
      </c>
      <c r="D37" s="9" t="s">
        <v>691</v>
      </c>
      <c r="E37" s="21" t="s">
        <v>58</v>
      </c>
      <c r="F37" s="19" t="s">
        <v>178</v>
      </c>
      <c r="G37" s="22" t="s">
        <v>73</v>
      </c>
      <c r="H37" s="71"/>
      <c r="I37" s="25"/>
      <c r="J37" s="25" t="s">
        <v>3</v>
      </c>
      <c r="K37" s="25" t="s">
        <v>74</v>
      </c>
      <c r="L37" s="25" t="s">
        <v>74</v>
      </c>
    </row>
    <row r="38" spans="2:12" s="1" customFormat="1">
      <c r="B38" s="13" t="s">
        <v>129</v>
      </c>
      <c r="C38" s="13" t="s">
        <v>71</v>
      </c>
      <c r="D38" s="9" t="s">
        <v>130</v>
      </c>
      <c r="E38" s="21" t="s">
        <v>58</v>
      </c>
      <c r="F38" s="19" t="s">
        <v>129</v>
      </c>
      <c r="G38" s="22" t="s">
        <v>73</v>
      </c>
      <c r="H38" s="71"/>
      <c r="I38" s="25"/>
      <c r="J38" s="25" t="s">
        <v>3</v>
      </c>
      <c r="K38" s="25" t="s">
        <v>74</v>
      </c>
      <c r="L38" s="25" t="s">
        <v>74</v>
      </c>
    </row>
    <row r="39" spans="2:12" s="1" customFormat="1">
      <c r="B39" s="13" t="s">
        <v>195</v>
      </c>
      <c r="C39" s="13" t="s">
        <v>71</v>
      </c>
      <c r="D39" s="9" t="s">
        <v>196</v>
      </c>
      <c r="E39" s="21" t="s">
        <v>58</v>
      </c>
      <c r="F39" s="19" t="s">
        <v>195</v>
      </c>
      <c r="G39" s="22" t="s">
        <v>73</v>
      </c>
      <c r="H39" s="71"/>
      <c r="I39" s="25"/>
      <c r="J39" s="25" t="s">
        <v>3</v>
      </c>
      <c r="K39" s="25" t="s">
        <v>74</v>
      </c>
      <c r="L39" s="25" t="s">
        <v>74</v>
      </c>
    </row>
    <row r="40" spans="2:12" s="1" customFormat="1">
      <c r="B40" s="13" t="s">
        <v>619</v>
      </c>
      <c r="C40" s="13" t="s">
        <v>75</v>
      </c>
      <c r="D40" s="9" t="s">
        <v>1143</v>
      </c>
      <c r="E40" s="21" t="s">
        <v>58</v>
      </c>
      <c r="F40" s="19" t="s">
        <v>476</v>
      </c>
      <c r="G40" s="22" t="s">
        <v>73</v>
      </c>
      <c r="H40" s="71"/>
      <c r="I40" s="25"/>
      <c r="J40" s="25" t="s">
        <v>3</v>
      </c>
      <c r="K40" s="25" t="s">
        <v>74</v>
      </c>
      <c r="L40" s="25" t="s">
        <v>74</v>
      </c>
    </row>
    <row r="41" spans="2:12" s="1" customFormat="1">
      <c r="B41" s="13" t="s">
        <v>593</v>
      </c>
      <c r="C41" s="13" t="s">
        <v>75</v>
      </c>
      <c r="D41" s="9" t="s">
        <v>1142</v>
      </c>
      <c r="E41" s="21" t="s">
        <v>58</v>
      </c>
      <c r="F41" s="19" t="s">
        <v>179</v>
      </c>
      <c r="G41" s="22" t="s">
        <v>73</v>
      </c>
      <c r="H41" s="71"/>
      <c r="I41" s="25"/>
      <c r="J41" s="25" t="s">
        <v>3</v>
      </c>
      <c r="K41" s="25" t="s">
        <v>74</v>
      </c>
      <c r="L41" s="25" t="s">
        <v>74</v>
      </c>
    </row>
    <row r="42" spans="2:12" s="1" customFormat="1">
      <c r="B42" s="13" t="s">
        <v>618</v>
      </c>
      <c r="C42" s="13" t="s">
        <v>75</v>
      </c>
      <c r="D42" s="9" t="s">
        <v>180</v>
      </c>
      <c r="E42" s="21" t="s">
        <v>58</v>
      </c>
      <c r="F42" s="19" t="s">
        <v>477</v>
      </c>
      <c r="G42" s="22" t="s">
        <v>73</v>
      </c>
      <c r="H42" s="71"/>
      <c r="I42" s="25"/>
      <c r="J42" s="25" t="s">
        <v>3</v>
      </c>
      <c r="K42" s="25" t="s">
        <v>74</v>
      </c>
      <c r="L42" s="25" t="s">
        <v>74</v>
      </c>
    </row>
    <row r="43" spans="2:12" s="1" customFormat="1">
      <c r="B43" s="13" t="s">
        <v>181</v>
      </c>
      <c r="C43" s="13" t="s">
        <v>75</v>
      </c>
      <c r="D43" s="9" t="s">
        <v>182</v>
      </c>
      <c r="E43" s="21" t="s">
        <v>58</v>
      </c>
      <c r="F43" s="19" t="s">
        <v>181</v>
      </c>
      <c r="G43" s="22" t="s">
        <v>73</v>
      </c>
      <c r="H43" s="71"/>
      <c r="I43" s="25"/>
      <c r="J43" s="25" t="s">
        <v>3</v>
      </c>
      <c r="K43" s="25" t="s">
        <v>74</v>
      </c>
      <c r="L43" s="25" t="s">
        <v>74</v>
      </c>
    </row>
    <row r="44" spans="2:12" s="1" customFormat="1">
      <c r="B44" s="13" t="s">
        <v>143</v>
      </c>
      <c r="C44" s="13" t="s">
        <v>75</v>
      </c>
      <c r="D44" s="9" t="s">
        <v>183</v>
      </c>
      <c r="E44" s="21" t="s">
        <v>58</v>
      </c>
      <c r="F44" s="19" t="s">
        <v>143</v>
      </c>
      <c r="G44" s="22" t="s">
        <v>73</v>
      </c>
      <c r="H44" s="71"/>
      <c r="I44" s="25"/>
      <c r="J44" s="25" t="s">
        <v>3</v>
      </c>
      <c r="K44" s="25" t="s">
        <v>74</v>
      </c>
      <c r="L44" s="25" t="s">
        <v>74</v>
      </c>
    </row>
    <row r="45" spans="2:12" s="1" customFormat="1">
      <c r="B45" s="13" t="s">
        <v>499</v>
      </c>
      <c r="C45" s="13" t="s">
        <v>98</v>
      </c>
      <c r="D45" s="9" t="s">
        <v>553</v>
      </c>
      <c r="E45" s="21"/>
      <c r="F45" s="19"/>
      <c r="G45" s="22" t="s">
        <v>627</v>
      </c>
      <c r="H45" s="71"/>
      <c r="I45" s="25"/>
      <c r="J45" s="25" t="s">
        <v>3</v>
      </c>
      <c r="K45" s="25" t="s">
        <v>74</v>
      </c>
      <c r="L45" s="25" t="s">
        <v>74</v>
      </c>
    </row>
    <row r="46" spans="2:12" s="1" customFormat="1">
      <c r="B46" s="13" t="s">
        <v>500</v>
      </c>
      <c r="C46" s="13" t="s">
        <v>98</v>
      </c>
      <c r="D46" s="9" t="s">
        <v>554</v>
      </c>
      <c r="E46" s="21" t="s">
        <v>58</v>
      </c>
      <c r="F46" s="19" t="s">
        <v>500</v>
      </c>
      <c r="G46" s="22" t="s">
        <v>73</v>
      </c>
      <c r="H46" s="71"/>
      <c r="I46" s="25"/>
      <c r="J46" s="25" t="s">
        <v>3</v>
      </c>
      <c r="K46" s="25" t="s">
        <v>74</v>
      </c>
      <c r="L46" s="25" t="s">
        <v>74</v>
      </c>
    </row>
    <row r="47" spans="2:12" s="1" customFormat="1">
      <c r="B47" s="13" t="s">
        <v>474</v>
      </c>
      <c r="C47" s="13" t="s">
        <v>98</v>
      </c>
      <c r="D47" s="9" t="s">
        <v>568</v>
      </c>
      <c r="E47" s="21" t="s">
        <v>587</v>
      </c>
      <c r="F47" s="19" t="str">
        <f t="shared" ref="F47" si="1">B47</f>
        <v>nbcelevel</v>
      </c>
      <c r="G47" s="22" t="s">
        <v>302</v>
      </c>
      <c r="H47" s="71"/>
      <c r="I47" s="25"/>
      <c r="J47" s="25" t="s">
        <v>3</v>
      </c>
      <c r="K47" s="25" t="s">
        <v>74</v>
      </c>
      <c r="L47" s="25" t="s">
        <v>74</v>
      </c>
    </row>
    <row r="48" spans="2:12" s="1" customFormat="1">
      <c r="B48" s="13" t="s">
        <v>300</v>
      </c>
      <c r="C48" s="13" t="s">
        <v>98</v>
      </c>
      <c r="D48" s="27" t="s">
        <v>116</v>
      </c>
      <c r="E48" s="21" t="s">
        <v>58</v>
      </c>
      <c r="F48" s="22"/>
      <c r="G48" s="22" t="s">
        <v>101</v>
      </c>
      <c r="H48" s="71"/>
      <c r="I48" s="25"/>
      <c r="J48" s="25" t="s">
        <v>99</v>
      </c>
      <c r="K48" s="25" t="s">
        <v>121</v>
      </c>
      <c r="L48" s="25" t="s">
        <v>100</v>
      </c>
    </row>
    <row r="49" spans="2:17" s="1" customFormat="1">
      <c r="B49" s="13" t="s">
        <v>310</v>
      </c>
      <c r="C49" s="13" t="s">
        <v>98</v>
      </c>
      <c r="D49" s="9" t="s">
        <v>201</v>
      </c>
      <c r="E49" s="21" t="s">
        <v>58</v>
      </c>
      <c r="F49" s="22"/>
      <c r="G49" s="22" t="s">
        <v>202</v>
      </c>
      <c r="H49" s="71"/>
      <c r="I49" s="25"/>
      <c r="J49" s="25" t="s">
        <v>99</v>
      </c>
      <c r="K49" s="25" t="s">
        <v>121</v>
      </c>
      <c r="L49" s="25" t="s">
        <v>100</v>
      </c>
    </row>
    <row r="50" spans="2:17" s="1" customFormat="1">
      <c r="B50" s="13" t="s">
        <v>311</v>
      </c>
      <c r="C50" s="13" t="s">
        <v>98</v>
      </c>
      <c r="D50" s="9" t="s">
        <v>204</v>
      </c>
      <c r="E50" s="21" t="s">
        <v>58</v>
      </c>
      <c r="F50" s="22"/>
      <c r="G50" s="22" t="s">
        <v>205</v>
      </c>
      <c r="H50" s="71"/>
      <c r="I50" s="25"/>
      <c r="J50" s="25" t="s">
        <v>99</v>
      </c>
      <c r="K50" s="25" t="s">
        <v>121</v>
      </c>
      <c r="L50" s="25" t="s">
        <v>100</v>
      </c>
    </row>
    <row r="51" spans="2:17" s="1" customFormat="1">
      <c r="B51" s="13" t="s">
        <v>206</v>
      </c>
      <c r="C51" s="13" t="s">
        <v>98</v>
      </c>
      <c r="D51" s="9" t="s">
        <v>207</v>
      </c>
      <c r="E51" s="21" t="s">
        <v>58</v>
      </c>
      <c r="F51" s="22"/>
      <c r="G51" s="22" t="s">
        <v>208</v>
      </c>
      <c r="H51" s="71"/>
      <c r="I51" s="25"/>
      <c r="J51" s="25" t="s">
        <v>99</v>
      </c>
      <c r="K51" s="25" t="s">
        <v>121</v>
      </c>
      <c r="L51" s="25" t="s">
        <v>100</v>
      </c>
    </row>
    <row r="52" spans="2:17" s="1" customFormat="1">
      <c r="B52" s="13" t="s">
        <v>778</v>
      </c>
      <c r="C52" s="26" t="s">
        <v>102</v>
      </c>
      <c r="D52" s="9" t="s">
        <v>209</v>
      </c>
      <c r="E52" s="21" t="s">
        <v>58</v>
      </c>
      <c r="F52" s="22"/>
      <c r="G52" s="22" t="s">
        <v>1166</v>
      </c>
      <c r="H52" s="71"/>
      <c r="I52" s="25"/>
      <c r="J52" s="25" t="s">
        <v>99</v>
      </c>
      <c r="K52" s="25" t="s">
        <v>115</v>
      </c>
      <c r="L52" s="25" t="s">
        <v>100</v>
      </c>
    </row>
    <row r="53" spans="2:17" s="1" customFormat="1">
      <c r="B53" s="13" t="s">
        <v>118</v>
      </c>
      <c r="C53" s="26" t="s">
        <v>71</v>
      </c>
      <c r="D53" s="9" t="s">
        <v>210</v>
      </c>
      <c r="E53" s="21" t="s">
        <v>58</v>
      </c>
      <c r="F53" s="22"/>
      <c r="G53" s="22" t="s">
        <v>211</v>
      </c>
      <c r="H53" s="71"/>
      <c r="I53" s="25"/>
      <c r="J53" s="25" t="s">
        <v>99</v>
      </c>
      <c r="K53" s="25" t="s">
        <v>212</v>
      </c>
      <c r="L53" s="25" t="s">
        <v>117</v>
      </c>
    </row>
    <row r="54" spans="2:17" s="1" customFormat="1">
      <c r="B54" s="13" t="s">
        <v>119</v>
      </c>
      <c r="C54" s="26" t="s">
        <v>71</v>
      </c>
      <c r="D54" s="9" t="s">
        <v>213</v>
      </c>
      <c r="E54" s="21" t="s">
        <v>58</v>
      </c>
      <c r="F54" s="22"/>
      <c r="G54" s="22" t="s">
        <v>214</v>
      </c>
      <c r="H54" s="71"/>
      <c r="I54" s="25"/>
      <c r="J54" s="25" t="s">
        <v>99</v>
      </c>
      <c r="K54" s="25" t="s">
        <v>212</v>
      </c>
      <c r="L54" s="25" t="s">
        <v>117</v>
      </c>
    </row>
    <row r="55" spans="2:17" s="2" customFormat="1">
      <c r="B55" s="14" t="s">
        <v>80</v>
      </c>
      <c r="C55" s="15" t="s">
        <v>75</v>
      </c>
      <c r="D55" s="16" t="s">
        <v>103</v>
      </c>
      <c r="E55" s="24"/>
      <c r="F55" s="24"/>
      <c r="G55" s="14"/>
      <c r="H55" s="14"/>
      <c r="I55" s="14"/>
      <c r="J55" s="14"/>
      <c r="K55" s="14"/>
      <c r="L55" s="14"/>
      <c r="M55" s="14"/>
      <c r="N55" s="14"/>
      <c r="O55" s="14"/>
      <c r="P55" s="14"/>
      <c r="Q55" s="14"/>
    </row>
    <row r="56" spans="2:17" s="2" customFormat="1">
      <c r="B56" s="14" t="s">
        <v>0</v>
      </c>
      <c r="C56" s="15" t="s">
        <v>71</v>
      </c>
      <c r="D56" s="16" t="s">
        <v>104</v>
      </c>
      <c r="E56" s="24"/>
      <c r="F56" s="24"/>
      <c r="G56" s="14"/>
      <c r="H56" s="14"/>
      <c r="I56" s="14"/>
      <c r="J56" s="14"/>
      <c r="K56" s="14"/>
      <c r="L56" s="14"/>
      <c r="M56" s="14"/>
      <c r="N56" s="14"/>
      <c r="O56" s="14"/>
      <c r="P56" s="14"/>
      <c r="Q56" s="14"/>
    </row>
    <row r="57" spans="2:17" s="2" customFormat="1">
      <c r="B57" s="14" t="s">
        <v>1</v>
      </c>
      <c r="C57" s="15" t="s">
        <v>75</v>
      </c>
      <c r="D57" s="16" t="s">
        <v>105</v>
      </c>
      <c r="E57" s="24"/>
      <c r="F57" s="24"/>
      <c r="G57" s="14"/>
      <c r="H57" s="14"/>
      <c r="I57" s="14"/>
      <c r="J57" s="14"/>
      <c r="K57" s="14"/>
      <c r="L57" s="14"/>
      <c r="M57" s="14"/>
      <c r="N57" s="14"/>
      <c r="O57" s="14"/>
      <c r="P57" s="14"/>
      <c r="Q57" s="14"/>
    </row>
  </sheetData>
  <autoFilter ref="A13:Q57" xr:uid="{00000000-0009-0000-0000-000012000000}"/>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47"/>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36.109375" style="3" customWidth="1"/>
    <col min="3" max="3" width="32"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7" t="s">
        <v>14</v>
      </c>
      <c r="H4" s="7" t="s">
        <v>50</v>
      </c>
    </row>
    <row r="5" spans="2:14">
      <c r="B5" s="8" t="s">
        <v>39</v>
      </c>
      <c r="C5" s="9" t="s">
        <v>683</v>
      </c>
      <c r="D5" s="10" t="s">
        <v>685</v>
      </c>
      <c r="E5" s="12" t="s">
        <v>6</v>
      </c>
      <c r="F5" s="17"/>
      <c r="G5" s="12"/>
      <c r="H5" s="12"/>
      <c r="N5" s="3"/>
    </row>
    <row r="6" spans="2:14">
      <c r="B6" s="6"/>
      <c r="C6" s="6"/>
      <c r="D6" s="6"/>
      <c r="E6" s="6"/>
      <c r="F6" s="18"/>
      <c r="G6" s="6"/>
      <c r="H6" s="6"/>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ht="26.4">
      <c r="B9" s="12"/>
      <c r="C9" s="68" t="s">
        <v>2363</v>
      </c>
      <c r="D9" s="9" t="s">
        <v>1326</v>
      </c>
      <c r="E9" s="12" t="s">
        <v>58</v>
      </c>
      <c r="F9" s="22"/>
      <c r="G9" s="22" t="s">
        <v>692</v>
      </c>
      <c r="H9" s="20" t="s">
        <v>30</v>
      </c>
    </row>
    <row r="10" spans="2:14">
      <c r="G10" s="30"/>
    </row>
    <row r="11" spans="2:14">
      <c r="B11" s="3" t="s">
        <v>59</v>
      </c>
    </row>
    <row r="12" spans="2:14">
      <c r="B12" s="122" t="s">
        <v>59</v>
      </c>
      <c r="C12" s="122"/>
      <c r="D12" s="122"/>
      <c r="E12" s="122"/>
      <c r="F12" s="122"/>
      <c r="G12" s="122"/>
      <c r="H12" s="122"/>
      <c r="I12" s="122"/>
      <c r="J12" s="122"/>
      <c r="K12" s="122"/>
      <c r="L12" s="122"/>
    </row>
    <row r="13" spans="2:14">
      <c r="B13" s="7" t="s">
        <v>60</v>
      </c>
      <c r="C13" s="7" t="s">
        <v>61</v>
      </c>
      <c r="D13" s="7" t="s">
        <v>62</v>
      </c>
      <c r="E13" s="7" t="s">
        <v>63</v>
      </c>
      <c r="F13" s="11" t="s">
        <v>64</v>
      </c>
      <c r="G13" s="7" t="s">
        <v>65</v>
      </c>
      <c r="H13" s="7" t="s">
        <v>66</v>
      </c>
      <c r="I13" s="7" t="s">
        <v>24</v>
      </c>
      <c r="J13" s="7" t="s">
        <v>67</v>
      </c>
      <c r="K13" s="7" t="s">
        <v>68</v>
      </c>
      <c r="L13" s="7" t="s">
        <v>69</v>
      </c>
    </row>
    <row r="14" spans="2:14" s="1" customFormat="1">
      <c r="B14" s="13" t="s">
        <v>70</v>
      </c>
      <c r="C14" s="13" t="s">
        <v>71</v>
      </c>
      <c r="D14" s="9" t="s">
        <v>72</v>
      </c>
      <c r="E14" s="21" t="s">
        <v>58</v>
      </c>
      <c r="F14" s="19" t="s">
        <v>0</v>
      </c>
      <c r="G14" s="22" t="s">
        <v>73</v>
      </c>
      <c r="H14" s="23"/>
      <c r="I14" s="25"/>
      <c r="J14" s="25" t="s">
        <v>3</v>
      </c>
      <c r="K14" s="25" t="s">
        <v>74</v>
      </c>
      <c r="L14" s="25" t="s">
        <v>74</v>
      </c>
    </row>
    <row r="15" spans="2:14" s="1" customFormat="1">
      <c r="B15" s="13" t="s">
        <v>6</v>
      </c>
      <c r="C15" s="13" t="s">
        <v>75</v>
      </c>
      <c r="D15" s="9" t="s">
        <v>34</v>
      </c>
      <c r="E15" s="21" t="s">
        <v>58</v>
      </c>
      <c r="F15" s="19" t="s">
        <v>1</v>
      </c>
      <c r="G15" s="22" t="s">
        <v>73</v>
      </c>
      <c r="H15" s="23"/>
      <c r="I15" s="25"/>
      <c r="J15" s="25" t="s">
        <v>3</v>
      </c>
      <c r="K15" s="25" t="s">
        <v>74</v>
      </c>
      <c r="L15" s="25" t="s">
        <v>74</v>
      </c>
    </row>
    <row r="16" spans="2:14" s="1" customFormat="1">
      <c r="B16" s="13" t="s">
        <v>81</v>
      </c>
      <c r="C16" s="13" t="s">
        <v>75</v>
      </c>
      <c r="D16" s="9" t="s">
        <v>109</v>
      </c>
      <c r="E16" s="21" t="s">
        <v>58</v>
      </c>
      <c r="F16" s="19" t="s">
        <v>81</v>
      </c>
      <c r="G16" s="22" t="s">
        <v>73</v>
      </c>
      <c r="H16" s="23"/>
      <c r="I16" s="25"/>
      <c r="J16" s="25" t="s">
        <v>3</v>
      </c>
      <c r="K16" s="25" t="s">
        <v>74</v>
      </c>
      <c r="L16" s="25" t="s">
        <v>74</v>
      </c>
    </row>
    <row r="17" spans="2:12" s="1" customFormat="1">
      <c r="B17" s="13" t="s">
        <v>85</v>
      </c>
      <c r="C17" s="13" t="s">
        <v>71</v>
      </c>
      <c r="D17" s="9" t="s">
        <v>111</v>
      </c>
      <c r="E17" s="21" t="s">
        <v>58</v>
      </c>
      <c r="F17" s="19" t="s">
        <v>85</v>
      </c>
      <c r="G17" s="22" t="s">
        <v>73</v>
      </c>
      <c r="H17" s="23"/>
      <c r="I17" s="25"/>
      <c r="J17" s="25" t="s">
        <v>3</v>
      </c>
      <c r="K17" s="25" t="s">
        <v>74</v>
      </c>
      <c r="L17" s="25" t="s">
        <v>74</v>
      </c>
    </row>
    <row r="18" spans="2:12" s="1" customFormat="1">
      <c r="B18" s="13" t="s">
        <v>82</v>
      </c>
      <c r="C18" s="13" t="s">
        <v>75</v>
      </c>
      <c r="D18" s="9" t="s">
        <v>110</v>
      </c>
      <c r="E18" s="21" t="s">
        <v>58</v>
      </c>
      <c r="F18" s="19" t="s">
        <v>82</v>
      </c>
      <c r="G18" s="22" t="s">
        <v>73</v>
      </c>
      <c r="H18" s="23"/>
      <c r="I18" s="25"/>
      <c r="J18" s="25" t="s">
        <v>3</v>
      </c>
      <c r="K18" s="25" t="s">
        <v>74</v>
      </c>
      <c r="L18" s="25" t="s">
        <v>74</v>
      </c>
    </row>
    <row r="19" spans="2:12" s="1" customFormat="1">
      <c r="B19" s="13" t="s">
        <v>87</v>
      </c>
      <c r="C19" s="13" t="s">
        <v>71</v>
      </c>
      <c r="D19" s="9" t="s">
        <v>88</v>
      </c>
      <c r="E19" s="21" t="s">
        <v>58</v>
      </c>
      <c r="F19" s="19" t="s">
        <v>87</v>
      </c>
      <c r="G19" s="22" t="s">
        <v>73</v>
      </c>
      <c r="H19" s="23"/>
      <c r="I19" s="25"/>
      <c r="J19" s="25" t="s">
        <v>3</v>
      </c>
      <c r="K19" s="25" t="s">
        <v>74</v>
      </c>
      <c r="L19" s="25" t="s">
        <v>74</v>
      </c>
    </row>
    <row r="20" spans="2:12" s="1" customFormat="1">
      <c r="B20" s="13" t="s">
        <v>76</v>
      </c>
      <c r="C20" s="13" t="s">
        <v>75</v>
      </c>
      <c r="D20" s="9" t="s">
        <v>168</v>
      </c>
      <c r="E20" s="21" t="s">
        <v>58</v>
      </c>
      <c r="F20" s="19" t="s">
        <v>76</v>
      </c>
      <c r="G20" s="22" t="s">
        <v>73</v>
      </c>
      <c r="H20" s="23"/>
      <c r="I20" s="25"/>
      <c r="J20" s="25" t="s">
        <v>3</v>
      </c>
      <c r="K20" s="25" t="s">
        <v>74</v>
      </c>
      <c r="L20" s="25" t="s">
        <v>74</v>
      </c>
    </row>
    <row r="21" spans="2:12" s="1" customFormat="1">
      <c r="B21" s="13" t="s">
        <v>308</v>
      </c>
      <c r="C21" s="13" t="s">
        <v>71</v>
      </c>
      <c r="D21" s="9" t="s">
        <v>170</v>
      </c>
      <c r="E21" s="21" t="s">
        <v>58</v>
      </c>
      <c r="F21" s="19" t="s">
        <v>108</v>
      </c>
      <c r="G21" s="22" t="s">
        <v>73</v>
      </c>
      <c r="H21" s="23"/>
      <c r="I21" s="25"/>
      <c r="J21" s="25" t="s">
        <v>3</v>
      </c>
      <c r="K21" s="25" t="s">
        <v>74</v>
      </c>
      <c r="L21" s="25" t="s">
        <v>74</v>
      </c>
    </row>
    <row r="22" spans="2:12" s="1" customFormat="1">
      <c r="B22" s="13" t="s">
        <v>616</v>
      </c>
      <c r="C22" s="13" t="s">
        <v>71</v>
      </c>
      <c r="D22" s="9" t="s">
        <v>171</v>
      </c>
      <c r="E22" s="21" t="s">
        <v>58</v>
      </c>
      <c r="F22" s="19" t="s">
        <v>123</v>
      </c>
      <c r="G22" s="22" t="s">
        <v>73</v>
      </c>
      <c r="H22" s="23"/>
      <c r="I22" s="25"/>
      <c r="J22" s="25" t="s">
        <v>3</v>
      </c>
      <c r="K22" s="25" t="s">
        <v>74</v>
      </c>
      <c r="L22" s="25" t="s">
        <v>74</v>
      </c>
    </row>
    <row r="23" spans="2:12" s="1" customFormat="1">
      <c r="B23" s="13" t="s">
        <v>94</v>
      </c>
      <c r="C23" s="13" t="s">
        <v>71</v>
      </c>
      <c r="D23" s="9" t="s">
        <v>172</v>
      </c>
      <c r="E23" s="21" t="s">
        <v>58</v>
      </c>
      <c r="F23" s="19" t="s">
        <v>94</v>
      </c>
      <c r="G23" s="22" t="s">
        <v>73</v>
      </c>
      <c r="H23" s="23"/>
      <c r="I23" s="25"/>
      <c r="J23" s="25" t="s">
        <v>3</v>
      </c>
      <c r="K23" s="25" t="s">
        <v>74</v>
      </c>
      <c r="L23" s="25" t="s">
        <v>74</v>
      </c>
    </row>
    <row r="24" spans="2:12" s="1" customFormat="1">
      <c r="B24" s="13" t="s">
        <v>173</v>
      </c>
      <c r="C24" s="13" t="s">
        <v>75</v>
      </c>
      <c r="D24" s="9" t="s">
        <v>174</v>
      </c>
      <c r="E24" s="21" t="s">
        <v>58</v>
      </c>
      <c r="F24" s="19" t="s">
        <v>173</v>
      </c>
      <c r="G24" s="22" t="s">
        <v>73</v>
      </c>
      <c r="H24" s="23"/>
      <c r="I24" s="25"/>
      <c r="J24" s="25" t="s">
        <v>3</v>
      </c>
      <c r="K24" s="25" t="s">
        <v>74</v>
      </c>
      <c r="L24" s="25" t="s">
        <v>74</v>
      </c>
    </row>
    <row r="25" spans="2:12" s="1" customFormat="1">
      <c r="B25" s="13" t="s">
        <v>96</v>
      </c>
      <c r="C25" s="13" t="s">
        <v>71</v>
      </c>
      <c r="D25" s="9" t="s">
        <v>175</v>
      </c>
      <c r="E25" s="21" t="s">
        <v>58</v>
      </c>
      <c r="F25" s="19" t="s">
        <v>96</v>
      </c>
      <c r="G25" s="22" t="s">
        <v>73</v>
      </c>
      <c r="H25" s="23"/>
      <c r="I25" s="25"/>
      <c r="J25" s="25" t="s">
        <v>3</v>
      </c>
      <c r="K25" s="25" t="s">
        <v>74</v>
      </c>
      <c r="L25" s="25" t="s">
        <v>74</v>
      </c>
    </row>
    <row r="26" spans="2:12" s="1" customFormat="1">
      <c r="B26" s="13" t="s">
        <v>455</v>
      </c>
      <c r="C26" s="13" t="s">
        <v>71</v>
      </c>
      <c r="D26" s="9" t="s">
        <v>519</v>
      </c>
      <c r="E26" s="21" t="s">
        <v>58</v>
      </c>
      <c r="F26" s="19" t="s">
        <v>455</v>
      </c>
      <c r="G26" s="22" t="s">
        <v>73</v>
      </c>
      <c r="H26" s="23"/>
      <c r="I26" s="25"/>
      <c r="J26" s="25" t="s">
        <v>3</v>
      </c>
      <c r="K26" s="25" t="s">
        <v>74</v>
      </c>
      <c r="L26" s="25" t="s">
        <v>74</v>
      </c>
    </row>
    <row r="27" spans="2:12" s="1" customFormat="1">
      <c r="B27" s="13" t="s">
        <v>456</v>
      </c>
      <c r="C27" s="13" t="s">
        <v>71</v>
      </c>
      <c r="D27" s="9" t="s">
        <v>520</v>
      </c>
      <c r="E27" s="21" t="s">
        <v>58</v>
      </c>
      <c r="F27" s="19" t="s">
        <v>456</v>
      </c>
      <c r="G27" s="22" t="s">
        <v>73</v>
      </c>
      <c r="H27" s="23"/>
      <c r="I27" s="25"/>
      <c r="J27" s="25" t="s">
        <v>3</v>
      </c>
      <c r="K27" s="25" t="s">
        <v>74</v>
      </c>
      <c r="L27" s="25" t="s">
        <v>74</v>
      </c>
    </row>
    <row r="28" spans="2:12" s="1" customFormat="1">
      <c r="B28" s="13" t="s">
        <v>625</v>
      </c>
      <c r="C28" s="13" t="s">
        <v>98</v>
      </c>
      <c r="D28" s="9" t="s">
        <v>525</v>
      </c>
      <c r="E28" s="21" t="s">
        <v>58</v>
      </c>
      <c r="F28" s="19" t="s">
        <v>461</v>
      </c>
      <c r="G28" s="22" t="s">
        <v>73</v>
      </c>
      <c r="H28" s="23"/>
      <c r="I28" s="25"/>
      <c r="J28" s="25" t="s">
        <v>3</v>
      </c>
      <c r="K28" s="25" t="s">
        <v>74</v>
      </c>
      <c r="L28" s="25" t="s">
        <v>74</v>
      </c>
    </row>
    <row r="29" spans="2:12" s="1" customFormat="1">
      <c r="B29" s="13" t="s">
        <v>307</v>
      </c>
      <c r="C29" s="13" t="s">
        <v>71</v>
      </c>
      <c r="D29" s="9" t="s">
        <v>91</v>
      </c>
      <c r="E29" s="21" t="s">
        <v>58</v>
      </c>
      <c r="F29" s="19" t="s">
        <v>90</v>
      </c>
      <c r="G29" s="22" t="s">
        <v>73</v>
      </c>
      <c r="H29" s="23"/>
      <c r="I29" s="25"/>
      <c r="J29" s="25" t="s">
        <v>3</v>
      </c>
      <c r="K29" s="25" t="s">
        <v>74</v>
      </c>
      <c r="L29" s="25" t="s">
        <v>74</v>
      </c>
    </row>
    <row r="30" spans="2:12" s="1" customFormat="1">
      <c r="B30" s="13" t="s">
        <v>622</v>
      </c>
      <c r="C30" s="13" t="s">
        <v>71</v>
      </c>
      <c r="D30" s="9" t="s">
        <v>623</v>
      </c>
      <c r="E30" s="21" t="s">
        <v>58</v>
      </c>
      <c r="F30" s="27" t="s">
        <v>622</v>
      </c>
      <c r="G30" s="22" t="s">
        <v>73</v>
      </c>
      <c r="H30" s="23"/>
      <c r="I30" s="25"/>
      <c r="J30" s="25" t="s">
        <v>3</v>
      </c>
      <c r="K30" s="25" t="s">
        <v>74</v>
      </c>
      <c r="L30" s="25" t="s">
        <v>74</v>
      </c>
    </row>
    <row r="31" spans="2:12" s="1" customFormat="1">
      <c r="B31" s="13" t="s">
        <v>139</v>
      </c>
      <c r="C31" s="13" t="s">
        <v>75</v>
      </c>
      <c r="D31" s="9" t="s">
        <v>199</v>
      </c>
      <c r="E31" s="21" t="s">
        <v>58</v>
      </c>
      <c r="F31" s="19" t="s">
        <v>139</v>
      </c>
      <c r="G31" s="22" t="s">
        <v>73</v>
      </c>
      <c r="H31" s="23"/>
      <c r="I31" s="25"/>
      <c r="J31" s="25" t="s">
        <v>3</v>
      </c>
      <c r="K31" s="25" t="s">
        <v>74</v>
      </c>
      <c r="L31" s="25" t="s">
        <v>74</v>
      </c>
    </row>
    <row r="32" spans="2:12" s="1" customFormat="1">
      <c r="B32" s="13" t="s">
        <v>178</v>
      </c>
      <c r="C32" s="13" t="s">
        <v>75</v>
      </c>
      <c r="D32" s="9" t="s">
        <v>691</v>
      </c>
      <c r="E32" s="21" t="s">
        <v>58</v>
      </c>
      <c r="F32" s="19" t="s">
        <v>178</v>
      </c>
      <c r="G32" s="22" t="s">
        <v>73</v>
      </c>
      <c r="H32" s="23"/>
      <c r="I32" s="25"/>
      <c r="J32" s="25" t="s">
        <v>3</v>
      </c>
      <c r="K32" s="25" t="s">
        <v>74</v>
      </c>
      <c r="L32" s="25" t="s">
        <v>74</v>
      </c>
    </row>
    <row r="33" spans="2:17" s="1" customFormat="1">
      <c r="B33" s="13" t="s">
        <v>129</v>
      </c>
      <c r="C33" s="13" t="s">
        <v>71</v>
      </c>
      <c r="D33" s="9" t="s">
        <v>130</v>
      </c>
      <c r="E33" s="21" t="s">
        <v>58</v>
      </c>
      <c r="F33" s="19" t="s">
        <v>129</v>
      </c>
      <c r="G33" s="22" t="s">
        <v>73</v>
      </c>
      <c r="H33" s="23"/>
      <c r="I33" s="25"/>
      <c r="J33" s="25" t="s">
        <v>3</v>
      </c>
      <c r="K33" s="25" t="s">
        <v>74</v>
      </c>
      <c r="L33" s="25" t="s">
        <v>74</v>
      </c>
    </row>
    <row r="34" spans="2:17" s="1" customFormat="1">
      <c r="B34" s="13" t="s">
        <v>195</v>
      </c>
      <c r="C34" s="13" t="s">
        <v>71</v>
      </c>
      <c r="D34" s="9" t="s">
        <v>196</v>
      </c>
      <c r="E34" s="21" t="s">
        <v>58</v>
      </c>
      <c r="F34" s="19" t="s">
        <v>195</v>
      </c>
      <c r="G34" s="22" t="s">
        <v>73</v>
      </c>
      <c r="H34" s="23"/>
      <c r="I34" s="25"/>
      <c r="J34" s="25" t="s">
        <v>3</v>
      </c>
      <c r="K34" s="25" t="s">
        <v>74</v>
      </c>
      <c r="L34" s="25" t="s">
        <v>74</v>
      </c>
    </row>
    <row r="35" spans="2:17" s="1" customFormat="1">
      <c r="B35" s="13" t="s">
        <v>619</v>
      </c>
      <c r="C35" s="13" t="s">
        <v>75</v>
      </c>
      <c r="D35" s="9" t="s">
        <v>1143</v>
      </c>
      <c r="E35" s="21" t="s">
        <v>58</v>
      </c>
      <c r="F35" s="19" t="s">
        <v>476</v>
      </c>
      <c r="G35" s="22" t="s">
        <v>73</v>
      </c>
      <c r="H35" s="23"/>
      <c r="I35" s="25"/>
      <c r="J35" s="25" t="s">
        <v>3</v>
      </c>
      <c r="K35" s="25" t="s">
        <v>74</v>
      </c>
      <c r="L35" s="25" t="s">
        <v>74</v>
      </c>
    </row>
    <row r="36" spans="2:17" s="1" customFormat="1">
      <c r="B36" s="13" t="s">
        <v>593</v>
      </c>
      <c r="C36" s="13" t="s">
        <v>75</v>
      </c>
      <c r="D36" s="9" t="s">
        <v>1142</v>
      </c>
      <c r="E36" s="21" t="s">
        <v>58</v>
      </c>
      <c r="F36" s="19" t="s">
        <v>179</v>
      </c>
      <c r="G36" s="22" t="s">
        <v>73</v>
      </c>
      <c r="H36" s="23"/>
      <c r="I36" s="25"/>
      <c r="J36" s="25" t="s">
        <v>3</v>
      </c>
      <c r="K36" s="25" t="s">
        <v>74</v>
      </c>
      <c r="L36" s="25" t="s">
        <v>74</v>
      </c>
    </row>
    <row r="37" spans="2:17" s="1" customFormat="1">
      <c r="B37" s="13" t="s">
        <v>689</v>
      </c>
      <c r="C37" s="13" t="s">
        <v>75</v>
      </c>
      <c r="D37" s="9" t="s">
        <v>180</v>
      </c>
      <c r="E37" s="21" t="s">
        <v>58</v>
      </c>
      <c r="F37" s="19" t="s">
        <v>477</v>
      </c>
      <c r="G37" s="22" t="s">
        <v>73</v>
      </c>
      <c r="H37" s="23"/>
      <c r="I37" s="25"/>
      <c r="J37" s="25" t="s">
        <v>3</v>
      </c>
      <c r="K37" s="25" t="s">
        <v>74</v>
      </c>
      <c r="L37" s="25" t="s">
        <v>74</v>
      </c>
    </row>
    <row r="38" spans="2:17" s="1" customFormat="1">
      <c r="B38" s="13" t="s">
        <v>315</v>
      </c>
      <c r="C38" s="13" t="s">
        <v>75</v>
      </c>
      <c r="D38" s="9" t="s">
        <v>182</v>
      </c>
      <c r="E38" s="21" t="s">
        <v>58</v>
      </c>
      <c r="F38" s="19" t="s">
        <v>181</v>
      </c>
      <c r="G38" s="22" t="s">
        <v>73</v>
      </c>
      <c r="H38" s="23"/>
      <c r="I38" s="25"/>
      <c r="J38" s="25" t="s">
        <v>3</v>
      </c>
      <c r="K38" s="25" t="s">
        <v>74</v>
      </c>
      <c r="L38" s="25" t="s">
        <v>74</v>
      </c>
    </row>
    <row r="39" spans="2:17" s="1" customFormat="1">
      <c r="B39" s="13" t="s">
        <v>143</v>
      </c>
      <c r="C39" s="13" t="s">
        <v>75</v>
      </c>
      <c r="D39" s="9" t="s">
        <v>183</v>
      </c>
      <c r="E39" s="21" t="s">
        <v>58</v>
      </c>
      <c r="F39" s="19" t="s">
        <v>143</v>
      </c>
      <c r="G39" s="22" t="s">
        <v>73</v>
      </c>
      <c r="H39" s="23"/>
      <c r="I39" s="25"/>
      <c r="J39" s="25" t="s">
        <v>3</v>
      </c>
      <c r="K39" s="25" t="s">
        <v>74</v>
      </c>
      <c r="L39" s="25" t="s">
        <v>74</v>
      </c>
    </row>
    <row r="40" spans="2:17" s="1" customFormat="1">
      <c r="B40" s="13" t="s">
        <v>300</v>
      </c>
      <c r="C40" s="13" t="s">
        <v>98</v>
      </c>
      <c r="D40" s="27" t="s">
        <v>116</v>
      </c>
      <c r="E40" s="21" t="s">
        <v>58</v>
      </c>
      <c r="F40" s="22"/>
      <c r="G40" s="22" t="s">
        <v>120</v>
      </c>
      <c r="H40" s="23"/>
      <c r="I40" s="25"/>
      <c r="J40" s="25" t="s">
        <v>99</v>
      </c>
      <c r="K40" s="25" t="s">
        <v>121</v>
      </c>
      <c r="L40" s="25" t="s">
        <v>100</v>
      </c>
    </row>
    <row r="41" spans="2:17" s="1" customFormat="1">
      <c r="B41" s="13" t="s">
        <v>200</v>
      </c>
      <c r="C41" s="13" t="s">
        <v>98</v>
      </c>
      <c r="D41" s="9" t="s">
        <v>201</v>
      </c>
      <c r="E41" s="21" t="s">
        <v>58</v>
      </c>
      <c r="F41" s="22"/>
      <c r="G41" s="22" t="s">
        <v>269</v>
      </c>
      <c r="H41" s="23"/>
      <c r="I41" s="25"/>
      <c r="J41" s="25" t="s">
        <v>99</v>
      </c>
      <c r="K41" s="25" t="s">
        <v>121</v>
      </c>
      <c r="L41" s="25" t="s">
        <v>100</v>
      </c>
    </row>
    <row r="42" spans="2:17" s="1" customFormat="1">
      <c r="B42" s="13" t="s">
        <v>203</v>
      </c>
      <c r="C42" s="13" t="s">
        <v>98</v>
      </c>
      <c r="D42" s="9" t="s">
        <v>204</v>
      </c>
      <c r="E42" s="21" t="s">
        <v>58</v>
      </c>
      <c r="F42" s="22"/>
      <c r="G42" s="22" t="s">
        <v>270</v>
      </c>
      <c r="H42" s="23"/>
      <c r="I42" s="25"/>
      <c r="J42" s="25" t="s">
        <v>99</v>
      </c>
      <c r="K42" s="25" t="s">
        <v>121</v>
      </c>
      <c r="L42" s="25" t="s">
        <v>100</v>
      </c>
    </row>
    <row r="43" spans="2:17" s="1" customFormat="1">
      <c r="B43" s="13" t="s">
        <v>206</v>
      </c>
      <c r="C43" s="13" t="s">
        <v>98</v>
      </c>
      <c r="D43" s="9" t="s">
        <v>207</v>
      </c>
      <c r="E43" s="21" t="s">
        <v>58</v>
      </c>
      <c r="F43" s="22"/>
      <c r="G43" s="22" t="s">
        <v>271</v>
      </c>
      <c r="H43" s="23"/>
      <c r="I43" s="25"/>
      <c r="J43" s="25" t="s">
        <v>99</v>
      </c>
      <c r="K43" s="25" t="s">
        <v>121</v>
      </c>
      <c r="L43" s="25" t="s">
        <v>100</v>
      </c>
    </row>
    <row r="44" spans="2:17" s="1" customFormat="1">
      <c r="B44" s="13" t="s">
        <v>316</v>
      </c>
      <c r="C44" s="13" t="s">
        <v>98</v>
      </c>
      <c r="D44" s="9" t="s">
        <v>272</v>
      </c>
      <c r="E44" s="21" t="s">
        <v>58</v>
      </c>
      <c r="F44" s="22"/>
      <c r="G44" s="22" t="s">
        <v>273</v>
      </c>
      <c r="H44" s="23"/>
      <c r="I44" s="25"/>
      <c r="J44" s="25" t="s">
        <v>99</v>
      </c>
      <c r="K44" s="25" t="s">
        <v>121</v>
      </c>
      <c r="L44" s="25" t="s">
        <v>100</v>
      </c>
    </row>
    <row r="45" spans="2:17" s="2" customFormat="1">
      <c r="B45" s="14" t="s">
        <v>80</v>
      </c>
      <c r="C45" s="15" t="s">
        <v>75</v>
      </c>
      <c r="D45" s="16" t="s">
        <v>103</v>
      </c>
      <c r="E45" s="24"/>
      <c r="F45" s="24"/>
      <c r="G45" s="14"/>
      <c r="H45" s="14"/>
      <c r="I45" s="14"/>
      <c r="J45" s="14"/>
      <c r="K45" s="14"/>
      <c r="L45" s="14"/>
      <c r="M45" s="14"/>
      <c r="N45" s="14"/>
      <c r="O45" s="14"/>
      <c r="P45" s="14"/>
      <c r="Q45" s="14"/>
    </row>
    <row r="46" spans="2:17" s="2" customFormat="1">
      <c r="B46" s="14" t="s">
        <v>0</v>
      </c>
      <c r="C46" s="15" t="s">
        <v>71</v>
      </c>
      <c r="D46" s="16" t="s">
        <v>104</v>
      </c>
      <c r="E46" s="24"/>
      <c r="F46" s="24"/>
      <c r="G46" s="14"/>
      <c r="H46" s="14"/>
      <c r="I46" s="14"/>
      <c r="J46" s="14"/>
      <c r="K46" s="14"/>
      <c r="L46" s="14"/>
      <c r="M46" s="14"/>
      <c r="N46" s="14"/>
      <c r="O46" s="14"/>
      <c r="P46" s="14"/>
      <c r="Q46" s="14"/>
    </row>
    <row r="47" spans="2:17" s="2" customFormat="1">
      <c r="B47" s="14" t="s">
        <v>1</v>
      </c>
      <c r="C47" s="15" t="s">
        <v>75</v>
      </c>
      <c r="D47" s="16" t="s">
        <v>105</v>
      </c>
      <c r="E47" s="24"/>
      <c r="F47" s="24"/>
      <c r="G47" s="14"/>
      <c r="H47" s="14"/>
      <c r="I47" s="14"/>
      <c r="J47" s="14"/>
      <c r="K47" s="14"/>
      <c r="L47" s="14"/>
      <c r="M47" s="14"/>
      <c r="N47" s="14"/>
      <c r="O47" s="14"/>
      <c r="P47" s="14"/>
      <c r="Q47" s="14"/>
    </row>
  </sheetData>
  <autoFilter ref="A13:Q47" xr:uid="{00000000-0009-0000-0000-000016000000}"/>
  <mergeCells count="4">
    <mergeCell ref="B2:H2"/>
    <mergeCell ref="B3:H3"/>
    <mergeCell ref="B7:H7"/>
    <mergeCell ref="B12:L12"/>
  </mergeCells>
  <phoneticPr fontId="23"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35"/>
  <sheetViews>
    <sheetView zoomScale="85" zoomScaleNormal="85" workbookViewId="0">
      <pane ySplit="5" topLeftCell="A6" activePane="bottomLeft" state="frozen"/>
      <selection activeCell="B35" sqref="B35:G36"/>
      <selection pane="bottomLeft" activeCell="C5" sqref="C5"/>
    </sheetView>
  </sheetViews>
  <sheetFormatPr defaultColWidth="9" defaultRowHeight="13.2"/>
  <cols>
    <col min="1" max="1" width="2.44140625" style="3" customWidth="1"/>
    <col min="2" max="2" width="28.5546875" style="3" customWidth="1"/>
    <col min="3" max="3" width="35" style="3" customWidth="1"/>
    <col min="4" max="4" width="32.21875" style="3" customWidth="1"/>
    <col min="5" max="5" width="12.5546875" style="3" customWidth="1"/>
    <col min="6" max="6" width="14.88671875" style="3" customWidth="1"/>
    <col min="7" max="7" width="51.21875" style="3" customWidth="1"/>
    <col min="8" max="8" width="14.44140625" style="3" customWidth="1"/>
    <col min="9" max="9" width="16.33203125" style="3" customWidth="1"/>
    <col min="10" max="10" width="8.109375" style="3" customWidth="1"/>
    <col min="11" max="11" width="8.44140625" style="3" customWidth="1"/>
    <col min="12" max="12" width="13.5546875" style="4" customWidth="1"/>
    <col min="13" max="16384" width="9" style="4"/>
  </cols>
  <sheetData>
    <row r="1" spans="2:15">
      <c r="B1" s="5" t="str">
        <f>HYPERLINK("#导航!a2","返回")</f>
        <v>返回</v>
      </c>
    </row>
    <row r="2" spans="2:15">
      <c r="B2" s="121"/>
      <c r="C2" s="121"/>
      <c r="D2" s="121"/>
      <c r="E2" s="121"/>
      <c r="F2" s="121"/>
      <c r="G2" s="121"/>
      <c r="H2" s="121"/>
    </row>
    <row r="3" spans="2:15">
      <c r="B3" s="122" t="s">
        <v>45</v>
      </c>
      <c r="C3" s="122"/>
      <c r="D3" s="122"/>
      <c r="E3" s="122"/>
      <c r="F3" s="122"/>
      <c r="G3" s="122"/>
      <c r="H3" s="122"/>
    </row>
    <row r="4" spans="2:15">
      <c r="B4" s="11" t="s">
        <v>11</v>
      </c>
      <c r="C4" s="7" t="s">
        <v>46</v>
      </c>
      <c r="D4" s="7" t="s">
        <v>47</v>
      </c>
      <c r="E4" s="7" t="s">
        <v>48</v>
      </c>
      <c r="F4" s="7" t="s">
        <v>49</v>
      </c>
      <c r="G4" s="7" t="s">
        <v>14</v>
      </c>
      <c r="H4" s="7" t="s">
        <v>50</v>
      </c>
    </row>
    <row r="5" spans="2:15">
      <c r="B5" s="8" t="s">
        <v>39</v>
      </c>
      <c r="C5" s="9" t="s">
        <v>684</v>
      </c>
      <c r="D5" s="10" t="s">
        <v>686</v>
      </c>
      <c r="E5" s="12" t="s">
        <v>6</v>
      </c>
      <c r="F5" s="29"/>
      <c r="G5" s="9" t="s">
        <v>687</v>
      </c>
      <c r="H5" s="12"/>
    </row>
    <row r="6" spans="2:15">
      <c r="B6" s="18"/>
      <c r="C6" s="6"/>
      <c r="D6" s="6"/>
      <c r="E6" s="6"/>
      <c r="F6" s="6"/>
      <c r="G6" s="6"/>
      <c r="H6" s="6"/>
    </row>
    <row r="7" spans="2:15">
      <c r="B7" s="122" t="s">
        <v>51</v>
      </c>
      <c r="C7" s="122"/>
      <c r="D7" s="122"/>
      <c r="E7" s="122"/>
      <c r="F7" s="122"/>
      <c r="G7" s="122"/>
      <c r="H7" s="122"/>
    </row>
    <row r="8" spans="2:15">
      <c r="B8" s="11" t="s">
        <v>52</v>
      </c>
      <c r="C8" s="11" t="s">
        <v>53</v>
      </c>
      <c r="D8" s="11" t="s">
        <v>54</v>
      </c>
      <c r="E8" s="11" t="s">
        <v>55</v>
      </c>
      <c r="F8" s="11" t="s">
        <v>56</v>
      </c>
      <c r="G8" s="11" t="s">
        <v>24</v>
      </c>
      <c r="H8" s="11" t="s">
        <v>57</v>
      </c>
    </row>
    <row r="9" spans="2:15">
      <c r="B9" s="12"/>
      <c r="C9" s="9" t="s">
        <v>683</v>
      </c>
      <c r="D9" s="10" t="s">
        <v>685</v>
      </c>
      <c r="E9" s="12" t="s">
        <v>58</v>
      </c>
      <c r="F9" s="22"/>
      <c r="G9" s="22" t="s">
        <v>693</v>
      </c>
      <c r="H9" s="20"/>
    </row>
    <row r="10" spans="2:15">
      <c r="G10" s="30"/>
    </row>
    <row r="11" spans="2:15">
      <c r="B11" s="3" t="s">
        <v>59</v>
      </c>
    </row>
    <row r="12" spans="2:15">
      <c r="B12" s="122" t="s">
        <v>59</v>
      </c>
      <c r="C12" s="122"/>
      <c r="D12" s="122"/>
      <c r="E12" s="122"/>
      <c r="F12" s="122"/>
      <c r="G12" s="122"/>
      <c r="H12" s="122"/>
      <c r="I12" s="122"/>
      <c r="J12" s="122"/>
      <c r="K12" s="122"/>
      <c r="L12" s="122"/>
    </row>
    <row r="13" spans="2:15">
      <c r="B13" s="11" t="s">
        <v>60</v>
      </c>
      <c r="C13" s="7" t="s">
        <v>61</v>
      </c>
      <c r="D13" s="7" t="s">
        <v>62</v>
      </c>
      <c r="E13" s="7" t="s">
        <v>63</v>
      </c>
      <c r="F13" s="7" t="s">
        <v>64</v>
      </c>
      <c r="G13" s="7" t="s">
        <v>65</v>
      </c>
      <c r="H13" s="7" t="s">
        <v>66</v>
      </c>
      <c r="I13" s="7" t="s">
        <v>24</v>
      </c>
      <c r="J13" s="7" t="s">
        <v>67</v>
      </c>
      <c r="K13" s="7" t="s">
        <v>68</v>
      </c>
      <c r="L13" s="7" t="s">
        <v>69</v>
      </c>
    </row>
    <row r="14" spans="2:15" s="1" customFormat="1">
      <c r="B14" s="12" t="s">
        <v>70</v>
      </c>
      <c r="C14" s="13" t="s">
        <v>71</v>
      </c>
      <c r="D14" s="9" t="s">
        <v>72</v>
      </c>
      <c r="E14" s="21"/>
      <c r="F14" s="19" t="s">
        <v>0</v>
      </c>
      <c r="G14" s="19" t="s">
        <v>73</v>
      </c>
      <c r="H14" s="23"/>
      <c r="I14" s="25"/>
      <c r="J14" s="25" t="s">
        <v>3</v>
      </c>
      <c r="K14" s="25" t="s">
        <v>74</v>
      </c>
      <c r="L14" s="25" t="s">
        <v>74</v>
      </c>
      <c r="N14" s="1" t="s">
        <v>71</v>
      </c>
      <c r="O14" s="1" t="s">
        <v>590</v>
      </c>
    </row>
    <row r="15" spans="2:15" s="1" customFormat="1">
      <c r="B15" s="12" t="s">
        <v>6</v>
      </c>
      <c r="C15" s="13" t="s">
        <v>75</v>
      </c>
      <c r="D15" s="9" t="s">
        <v>34</v>
      </c>
      <c r="E15" s="21"/>
      <c r="F15" s="19" t="s">
        <v>1</v>
      </c>
      <c r="G15" s="19" t="s">
        <v>73</v>
      </c>
      <c r="H15" s="23"/>
      <c r="I15" s="25"/>
      <c r="J15" s="25" t="s">
        <v>3</v>
      </c>
      <c r="K15" s="25" t="s">
        <v>74</v>
      </c>
      <c r="L15" s="25" t="s">
        <v>74</v>
      </c>
      <c r="N15" s="1" t="s">
        <v>75</v>
      </c>
      <c r="O15" s="1" t="s">
        <v>590</v>
      </c>
    </row>
    <row r="16" spans="2:15" s="1" customFormat="1">
      <c r="B16" s="12" t="s">
        <v>81</v>
      </c>
      <c r="C16" s="13" t="s">
        <v>75</v>
      </c>
      <c r="D16" s="9" t="s">
        <v>109</v>
      </c>
      <c r="E16" s="21" t="s">
        <v>107</v>
      </c>
      <c r="F16" s="22" t="s">
        <v>81</v>
      </c>
      <c r="G16" s="19" t="s">
        <v>73</v>
      </c>
      <c r="H16" s="23"/>
      <c r="I16" s="25"/>
      <c r="J16" s="25" t="s">
        <v>3</v>
      </c>
      <c r="K16" s="25" t="s">
        <v>74</v>
      </c>
      <c r="L16" s="25" t="s">
        <v>74</v>
      </c>
      <c r="N16" s="1" t="s">
        <v>75</v>
      </c>
      <c r="O16" s="1" t="s">
        <v>590</v>
      </c>
    </row>
    <row r="17" spans="1:15" s="1" customFormat="1">
      <c r="B17" s="12" t="s">
        <v>85</v>
      </c>
      <c r="C17" s="13" t="s">
        <v>71</v>
      </c>
      <c r="D17" s="9" t="s">
        <v>111</v>
      </c>
      <c r="E17" s="21" t="s">
        <v>107</v>
      </c>
      <c r="F17" s="22" t="s">
        <v>85</v>
      </c>
      <c r="G17" s="19" t="s">
        <v>73</v>
      </c>
      <c r="H17" s="23"/>
      <c r="I17" s="25"/>
      <c r="J17" s="25" t="s">
        <v>3</v>
      </c>
      <c r="K17" s="25" t="s">
        <v>74</v>
      </c>
      <c r="L17" s="25" t="s">
        <v>74</v>
      </c>
      <c r="N17" s="1" t="s">
        <v>71</v>
      </c>
      <c r="O17" s="1" t="s">
        <v>590</v>
      </c>
    </row>
    <row r="18" spans="1:15" s="1" customFormat="1">
      <c r="B18" s="12" t="s">
        <v>82</v>
      </c>
      <c r="C18" s="13" t="s">
        <v>75</v>
      </c>
      <c r="D18" s="9" t="s">
        <v>110</v>
      </c>
      <c r="E18" s="21" t="s">
        <v>107</v>
      </c>
      <c r="F18" s="22" t="s">
        <v>82</v>
      </c>
      <c r="G18" s="19" t="s">
        <v>73</v>
      </c>
      <c r="H18" s="23"/>
      <c r="I18" s="25"/>
      <c r="J18" s="25" t="s">
        <v>3</v>
      </c>
      <c r="K18" s="25" t="s">
        <v>74</v>
      </c>
      <c r="L18" s="25" t="s">
        <v>74</v>
      </c>
      <c r="N18" s="1" t="s">
        <v>75</v>
      </c>
      <c r="O18" s="1" t="s">
        <v>590</v>
      </c>
    </row>
    <row r="19" spans="1:15" s="1" customFormat="1">
      <c r="B19" s="12" t="s">
        <v>87</v>
      </c>
      <c r="C19" s="13" t="s">
        <v>71</v>
      </c>
      <c r="D19" s="9" t="s">
        <v>88</v>
      </c>
      <c r="E19" s="21" t="s">
        <v>107</v>
      </c>
      <c r="F19" s="22" t="s">
        <v>87</v>
      </c>
      <c r="G19" s="19" t="s">
        <v>73</v>
      </c>
      <c r="H19" s="23"/>
      <c r="I19" s="25"/>
      <c r="J19" s="25" t="s">
        <v>3</v>
      </c>
      <c r="K19" s="25" t="s">
        <v>74</v>
      </c>
      <c r="L19" s="25" t="s">
        <v>74</v>
      </c>
      <c r="N19" s="1" t="s">
        <v>71</v>
      </c>
      <c r="O19" s="1" t="s">
        <v>590</v>
      </c>
    </row>
    <row r="20" spans="1:15" s="1" customFormat="1">
      <c r="B20" s="12" t="s">
        <v>96</v>
      </c>
      <c r="C20" s="13" t="s">
        <v>71</v>
      </c>
      <c r="D20" s="9" t="s">
        <v>274</v>
      </c>
      <c r="E20" s="21" t="s">
        <v>58</v>
      </c>
      <c r="F20" s="19" t="s">
        <v>96</v>
      </c>
      <c r="G20" s="19" t="s">
        <v>73</v>
      </c>
      <c r="H20" s="23"/>
      <c r="I20" s="25"/>
      <c r="J20" s="25" t="s">
        <v>3</v>
      </c>
      <c r="K20" s="25" t="s">
        <v>74</v>
      </c>
      <c r="L20" s="25" t="s">
        <v>74</v>
      </c>
      <c r="N20" s="1" t="s">
        <v>71</v>
      </c>
      <c r="O20" s="1" t="s">
        <v>590</v>
      </c>
    </row>
    <row r="21" spans="1:15" s="1" customFormat="1">
      <c r="B21" s="12" t="s">
        <v>76</v>
      </c>
      <c r="C21" s="13" t="s">
        <v>75</v>
      </c>
      <c r="D21" s="9" t="s">
        <v>77</v>
      </c>
      <c r="E21" s="21" t="s">
        <v>58</v>
      </c>
      <c r="F21" s="19" t="s">
        <v>76</v>
      </c>
      <c r="G21" s="19" t="s">
        <v>73</v>
      </c>
      <c r="H21" s="23"/>
      <c r="I21" s="25"/>
      <c r="J21" s="25" t="s">
        <v>3</v>
      </c>
      <c r="K21" s="25" t="s">
        <v>74</v>
      </c>
      <c r="L21" s="25" t="s">
        <v>74</v>
      </c>
      <c r="N21" s="1" t="s">
        <v>75</v>
      </c>
      <c r="O21" s="1" t="s">
        <v>590</v>
      </c>
    </row>
    <row r="22" spans="1:15" s="31" customFormat="1">
      <c r="A22" s="1"/>
      <c r="B22" s="32" t="s">
        <v>139</v>
      </c>
      <c r="C22" s="13" t="s">
        <v>75</v>
      </c>
      <c r="D22" s="9" t="s">
        <v>152</v>
      </c>
      <c r="E22" s="21" t="s">
        <v>58</v>
      </c>
      <c r="F22" s="19" t="s">
        <v>139</v>
      </c>
      <c r="G22" s="19" t="s">
        <v>73</v>
      </c>
      <c r="H22" s="23"/>
      <c r="I22" s="36"/>
      <c r="J22" s="25" t="s">
        <v>3</v>
      </c>
      <c r="K22" s="25" t="s">
        <v>74</v>
      </c>
      <c r="L22" s="25" t="s">
        <v>74</v>
      </c>
      <c r="N22" s="31" t="s">
        <v>75</v>
      </c>
      <c r="O22" s="31" t="s">
        <v>590</v>
      </c>
    </row>
    <row r="23" spans="1:15" s="31" customFormat="1">
      <c r="A23" s="1"/>
      <c r="B23" s="32" t="s">
        <v>173</v>
      </c>
      <c r="C23" s="13" t="s">
        <v>75</v>
      </c>
      <c r="D23" s="9" t="s">
        <v>275</v>
      </c>
      <c r="E23" s="21" t="s">
        <v>58</v>
      </c>
      <c r="F23" s="19" t="s">
        <v>173</v>
      </c>
      <c r="G23" s="19" t="s">
        <v>73</v>
      </c>
      <c r="H23" s="23"/>
      <c r="I23" s="36"/>
      <c r="J23" s="25" t="s">
        <v>3</v>
      </c>
      <c r="K23" s="25" t="s">
        <v>74</v>
      </c>
      <c r="L23" s="25" t="s">
        <v>74</v>
      </c>
      <c r="N23" s="31" t="s">
        <v>75</v>
      </c>
      <c r="O23" s="31" t="s">
        <v>590</v>
      </c>
    </row>
    <row r="24" spans="1:15" s="31" customFormat="1">
      <c r="A24" s="1"/>
      <c r="B24" s="32" t="s">
        <v>455</v>
      </c>
      <c r="C24" s="13" t="s">
        <v>71</v>
      </c>
      <c r="D24" s="9" t="s">
        <v>694</v>
      </c>
      <c r="E24" s="21" t="s">
        <v>58</v>
      </c>
      <c r="F24" s="19" t="s">
        <v>455</v>
      </c>
      <c r="G24" s="19" t="s">
        <v>73</v>
      </c>
      <c r="H24" s="23"/>
      <c r="I24" s="36"/>
      <c r="J24" s="25" t="s">
        <v>3</v>
      </c>
      <c r="K24" s="25" t="s">
        <v>74</v>
      </c>
      <c r="L24" s="25" t="s">
        <v>74</v>
      </c>
      <c r="N24" s="31" t="s">
        <v>71</v>
      </c>
      <c r="O24" s="31" t="s">
        <v>590</v>
      </c>
    </row>
    <row r="25" spans="1:15" s="31" customFormat="1">
      <c r="A25" s="1"/>
      <c r="B25" s="32" t="s">
        <v>460</v>
      </c>
      <c r="C25" s="13" t="s">
        <v>71</v>
      </c>
      <c r="D25" s="9" t="s">
        <v>277</v>
      </c>
      <c r="E25" s="21" t="s">
        <v>58</v>
      </c>
      <c r="F25" s="19" t="s">
        <v>460</v>
      </c>
      <c r="G25" s="19" t="s">
        <v>73</v>
      </c>
      <c r="H25" s="23"/>
      <c r="I25" s="36"/>
      <c r="J25" s="25" t="s">
        <v>3</v>
      </c>
      <c r="K25" s="25" t="s">
        <v>74</v>
      </c>
      <c r="L25" s="25" t="s">
        <v>74</v>
      </c>
      <c r="N25" s="31" t="s">
        <v>71</v>
      </c>
      <c r="O25" s="31" t="s">
        <v>590</v>
      </c>
    </row>
    <row r="26" spans="1:15" s="31" customFormat="1">
      <c r="A26" s="1"/>
      <c r="B26" s="32" t="s">
        <v>90</v>
      </c>
      <c r="C26" s="13" t="s">
        <v>71</v>
      </c>
      <c r="D26" s="9" t="s">
        <v>37</v>
      </c>
      <c r="E26" s="21" t="s">
        <v>58</v>
      </c>
      <c r="F26" s="19" t="s">
        <v>90</v>
      </c>
      <c r="G26" s="19" t="s">
        <v>73</v>
      </c>
      <c r="H26" s="23"/>
      <c r="I26" s="36"/>
      <c r="J26" s="25" t="s">
        <v>3</v>
      </c>
      <c r="K26" s="25" t="s">
        <v>74</v>
      </c>
      <c r="L26" s="25" t="s">
        <v>74</v>
      </c>
      <c r="N26" s="31" t="s">
        <v>71</v>
      </c>
      <c r="O26" s="31" t="s">
        <v>590</v>
      </c>
    </row>
    <row r="27" spans="1:15" s="31" customFormat="1">
      <c r="A27" s="1"/>
      <c r="B27" s="32" t="s">
        <v>94</v>
      </c>
      <c r="C27" s="13" t="s">
        <v>71</v>
      </c>
      <c r="D27" s="9" t="s">
        <v>95</v>
      </c>
      <c r="E27" s="21" t="s">
        <v>58</v>
      </c>
      <c r="F27" s="19" t="s">
        <v>94</v>
      </c>
      <c r="G27" s="19" t="s">
        <v>73</v>
      </c>
      <c r="H27" s="23"/>
      <c r="I27" s="36"/>
      <c r="J27" s="25" t="s">
        <v>3</v>
      </c>
      <c r="K27" s="25" t="s">
        <v>74</v>
      </c>
      <c r="L27" s="25" t="s">
        <v>74</v>
      </c>
      <c r="N27" s="31" t="s">
        <v>71</v>
      </c>
      <c r="O27" s="31" t="s">
        <v>590</v>
      </c>
    </row>
    <row r="28" spans="1:15" s="31" customFormat="1">
      <c r="A28" s="1"/>
      <c r="B28" s="32" t="s">
        <v>108</v>
      </c>
      <c r="C28" s="13" t="s">
        <v>71</v>
      </c>
      <c r="D28" s="9" t="s">
        <v>278</v>
      </c>
      <c r="E28" s="21" t="s">
        <v>58</v>
      </c>
      <c r="F28" s="19" t="s">
        <v>108</v>
      </c>
      <c r="G28" s="19" t="s">
        <v>73</v>
      </c>
      <c r="H28" s="23"/>
      <c r="I28" s="36"/>
      <c r="J28" s="25" t="s">
        <v>3</v>
      </c>
      <c r="K28" s="25" t="s">
        <v>74</v>
      </c>
      <c r="L28" s="25" t="s">
        <v>74</v>
      </c>
      <c r="N28" s="31" t="s">
        <v>71</v>
      </c>
      <c r="O28" s="31" t="s">
        <v>590</v>
      </c>
    </row>
    <row r="29" spans="1:15" s="31" customFormat="1">
      <c r="A29" s="1"/>
      <c r="B29" s="32" t="s">
        <v>123</v>
      </c>
      <c r="C29" s="13" t="s">
        <v>71</v>
      </c>
      <c r="D29" s="9" t="s">
        <v>279</v>
      </c>
      <c r="E29" s="21" t="s">
        <v>58</v>
      </c>
      <c r="F29" s="19" t="s">
        <v>123</v>
      </c>
      <c r="G29" s="19" t="s">
        <v>73</v>
      </c>
      <c r="H29" s="23"/>
      <c r="I29" s="36"/>
      <c r="J29" s="25" t="s">
        <v>3</v>
      </c>
      <c r="K29" s="25" t="s">
        <v>74</v>
      </c>
      <c r="L29" s="25" t="s">
        <v>74</v>
      </c>
      <c r="N29" s="31" t="s">
        <v>98</v>
      </c>
      <c r="O29" s="31" t="s">
        <v>590</v>
      </c>
    </row>
    <row r="30" spans="1:15" s="31" customFormat="1">
      <c r="A30" s="1"/>
      <c r="B30" s="32" t="s">
        <v>477</v>
      </c>
      <c r="C30" s="13" t="s">
        <v>98</v>
      </c>
      <c r="D30" s="9" t="s">
        <v>280</v>
      </c>
      <c r="E30" s="21" t="s">
        <v>58</v>
      </c>
      <c r="F30" s="19" t="s">
        <v>477</v>
      </c>
      <c r="G30" s="19" t="s">
        <v>73</v>
      </c>
      <c r="H30" s="23"/>
      <c r="I30" s="36"/>
      <c r="J30" s="25" t="s">
        <v>3</v>
      </c>
      <c r="K30" s="25" t="s">
        <v>74</v>
      </c>
      <c r="L30" s="25" t="s">
        <v>74</v>
      </c>
      <c r="N30" s="31" t="s">
        <v>98</v>
      </c>
      <c r="O30" s="31" t="s">
        <v>590</v>
      </c>
    </row>
    <row r="31" spans="1:15" s="31" customFormat="1">
      <c r="A31" s="1"/>
      <c r="B31" s="32" t="s">
        <v>181</v>
      </c>
      <c r="C31" s="13" t="s">
        <v>98</v>
      </c>
      <c r="D31" s="9" t="s">
        <v>187</v>
      </c>
      <c r="E31" s="21" t="s">
        <v>58</v>
      </c>
      <c r="F31" s="19" t="s">
        <v>181</v>
      </c>
      <c r="G31" s="19" t="s">
        <v>73</v>
      </c>
      <c r="H31" s="23"/>
      <c r="I31" s="36"/>
      <c r="J31" s="25" t="s">
        <v>3</v>
      </c>
      <c r="K31" s="25" t="s">
        <v>74</v>
      </c>
      <c r="L31" s="25" t="s">
        <v>74</v>
      </c>
      <c r="N31" s="31" t="s">
        <v>98</v>
      </c>
      <c r="O31" s="31" t="s">
        <v>590</v>
      </c>
    </row>
    <row r="32" spans="1:15" s="31" customFormat="1">
      <c r="A32" s="1"/>
      <c r="B32" s="32" t="s">
        <v>688</v>
      </c>
      <c r="C32" s="13" t="s">
        <v>98</v>
      </c>
      <c r="D32" s="9" t="s">
        <v>281</v>
      </c>
      <c r="E32" s="21" t="s">
        <v>58</v>
      </c>
      <c r="F32" s="19"/>
      <c r="G32" s="19" t="s">
        <v>1327</v>
      </c>
      <c r="H32" s="23"/>
      <c r="I32" s="36"/>
      <c r="J32" s="25" t="s">
        <v>99</v>
      </c>
      <c r="K32" s="25" t="s">
        <v>74</v>
      </c>
      <c r="L32" s="25" t="s">
        <v>100</v>
      </c>
    </row>
    <row r="33" spans="1:12" s="2" customFormat="1">
      <c r="A33" s="33"/>
      <c r="B33" s="24" t="s">
        <v>80</v>
      </c>
      <c r="C33" s="15" t="s">
        <v>75</v>
      </c>
      <c r="D33" s="16" t="s">
        <v>103</v>
      </c>
      <c r="E33" s="35"/>
      <c r="F33" s="35"/>
      <c r="G33" s="35"/>
      <c r="H33" s="14"/>
      <c r="I33" s="14"/>
      <c r="J33" s="14"/>
      <c r="K33" s="14"/>
      <c r="L33" s="14"/>
    </row>
    <row r="34" spans="1:12" s="2" customFormat="1">
      <c r="A34" s="33"/>
      <c r="B34" s="24" t="s">
        <v>0</v>
      </c>
      <c r="C34" s="15" t="s">
        <v>71</v>
      </c>
      <c r="D34" s="16" t="s">
        <v>104</v>
      </c>
      <c r="E34" s="35"/>
      <c r="F34" s="35"/>
      <c r="G34" s="35"/>
      <c r="H34" s="14"/>
      <c r="I34" s="14"/>
      <c r="J34" s="14"/>
      <c r="K34" s="14"/>
      <c r="L34" s="14"/>
    </row>
    <row r="35" spans="1:12" s="2" customFormat="1">
      <c r="A35" s="33"/>
      <c r="B35" s="24" t="s">
        <v>1</v>
      </c>
      <c r="C35" s="15" t="s">
        <v>75</v>
      </c>
      <c r="D35" s="16" t="s">
        <v>105</v>
      </c>
      <c r="E35" s="35"/>
      <c r="F35" s="35"/>
      <c r="G35" s="35"/>
      <c r="H35" s="14"/>
      <c r="I35" s="14"/>
      <c r="J35" s="14"/>
      <c r="K35" s="14"/>
      <c r="L35" s="14"/>
    </row>
  </sheetData>
  <autoFilter ref="A13:L35" xr:uid="{00000000-0009-0000-0000-000017000000}">
    <sortState xmlns:xlrd2="http://schemas.microsoft.com/office/spreadsheetml/2017/richdata2" ref="A13:L35">
      <sortCondition ref="A13:A34"/>
    </sortState>
  </autoFilter>
  <mergeCells count="4">
    <mergeCell ref="B2:H2"/>
    <mergeCell ref="B3:H3"/>
    <mergeCell ref="B7:H7"/>
    <mergeCell ref="B12:L12"/>
  </mergeCells>
  <phoneticPr fontId="23"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109"/>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36.109375" style="3" customWidth="1"/>
    <col min="3" max="3" width="38.88671875" style="3" bestFit="1"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2">
      <c r="B1" s="5" t="str">
        <f>HYPERLINK("#导航!a2","返回")</f>
        <v>返回</v>
      </c>
    </row>
    <row r="2" spans="2:12">
      <c r="B2" s="121"/>
      <c r="C2" s="121"/>
      <c r="D2" s="121"/>
      <c r="E2" s="121"/>
      <c r="F2" s="121"/>
      <c r="G2" s="121"/>
      <c r="H2" s="121"/>
    </row>
    <row r="3" spans="2:12">
      <c r="B3" s="122" t="s">
        <v>45</v>
      </c>
      <c r="C3" s="122"/>
      <c r="D3" s="122"/>
      <c r="E3" s="122"/>
      <c r="F3" s="122"/>
      <c r="G3" s="122"/>
      <c r="H3" s="122"/>
    </row>
    <row r="4" spans="2:12">
      <c r="B4" s="7" t="s">
        <v>11</v>
      </c>
      <c r="C4" s="7" t="s">
        <v>46</v>
      </c>
      <c r="D4" s="7" t="s">
        <v>47</v>
      </c>
      <c r="E4" s="7" t="s">
        <v>48</v>
      </c>
      <c r="F4" s="11" t="s">
        <v>49</v>
      </c>
      <c r="G4" s="11" t="s">
        <v>14</v>
      </c>
      <c r="H4" s="11" t="s">
        <v>50</v>
      </c>
    </row>
    <row r="5" spans="2:12">
      <c r="B5" s="8" t="s">
        <v>39</v>
      </c>
      <c r="C5" s="9" t="s">
        <v>961</v>
      </c>
      <c r="D5" s="10" t="s">
        <v>964</v>
      </c>
      <c r="E5" s="12" t="s">
        <v>6</v>
      </c>
      <c r="F5" s="17"/>
      <c r="G5" s="9" t="s">
        <v>1058</v>
      </c>
      <c r="H5" s="12"/>
    </row>
    <row r="6" spans="2:12">
      <c r="B6" s="6"/>
      <c r="C6" s="6"/>
      <c r="D6" s="6"/>
      <c r="E6" s="6"/>
      <c r="F6" s="18"/>
      <c r="G6" s="18"/>
      <c r="H6" s="18"/>
    </row>
    <row r="7" spans="2:12">
      <c r="B7" s="122" t="s">
        <v>51</v>
      </c>
      <c r="C7" s="122"/>
      <c r="D7" s="122"/>
      <c r="E7" s="122"/>
      <c r="F7" s="122"/>
      <c r="G7" s="122"/>
      <c r="H7" s="122"/>
    </row>
    <row r="8" spans="2:12">
      <c r="B8" s="11" t="s">
        <v>52</v>
      </c>
      <c r="C8" s="11" t="s">
        <v>53</v>
      </c>
      <c r="D8" s="11" t="s">
        <v>54</v>
      </c>
      <c r="E8" s="11" t="s">
        <v>55</v>
      </c>
      <c r="F8" s="11" t="s">
        <v>56</v>
      </c>
      <c r="G8" s="11" t="s">
        <v>24</v>
      </c>
      <c r="H8" s="11" t="s">
        <v>57</v>
      </c>
    </row>
    <row r="9" spans="2:12">
      <c r="B9" s="12"/>
      <c r="C9" s="9" t="s">
        <v>963</v>
      </c>
      <c r="D9" s="10" t="s">
        <v>1162</v>
      </c>
      <c r="E9" s="12" t="s">
        <v>58</v>
      </c>
      <c r="F9" s="19"/>
      <c r="G9" s="19"/>
      <c r="H9" s="20" t="s">
        <v>30</v>
      </c>
    </row>
    <row r="11" spans="2:12">
      <c r="B11" s="3" t="s">
        <v>59</v>
      </c>
    </row>
    <row r="12" spans="2:12">
      <c r="B12" s="122" t="s">
        <v>59</v>
      </c>
      <c r="C12" s="122"/>
      <c r="D12" s="122"/>
      <c r="E12" s="122"/>
      <c r="F12" s="122"/>
      <c r="G12" s="122"/>
      <c r="H12" s="122"/>
      <c r="I12" s="122"/>
      <c r="J12" s="122"/>
      <c r="K12" s="122"/>
      <c r="L12" s="122"/>
    </row>
    <row r="13" spans="2:12">
      <c r="B13" s="7" t="s">
        <v>60</v>
      </c>
      <c r="C13" s="7" t="s">
        <v>61</v>
      </c>
      <c r="D13" s="7" t="s">
        <v>62</v>
      </c>
      <c r="E13" s="7" t="s">
        <v>63</v>
      </c>
      <c r="F13" s="11" t="s">
        <v>64</v>
      </c>
      <c r="G13" s="11" t="s">
        <v>65</v>
      </c>
      <c r="H13" s="11" t="s">
        <v>66</v>
      </c>
      <c r="I13" s="7" t="s">
        <v>24</v>
      </c>
      <c r="J13" s="7" t="s">
        <v>67</v>
      </c>
      <c r="K13" s="7" t="s">
        <v>68</v>
      </c>
      <c r="L13" s="7" t="s">
        <v>69</v>
      </c>
    </row>
    <row r="14" spans="2:12" s="1" customFormat="1">
      <c r="B14" s="13" t="s">
        <v>70</v>
      </c>
      <c r="C14" s="13" t="s">
        <v>71</v>
      </c>
      <c r="D14" s="9" t="s">
        <v>72</v>
      </c>
      <c r="E14" s="21" t="s">
        <v>587</v>
      </c>
      <c r="F14" s="19" t="s">
        <v>303</v>
      </c>
      <c r="G14" s="19" t="s">
        <v>302</v>
      </c>
      <c r="H14" s="71"/>
      <c r="I14" s="25"/>
      <c r="J14" s="25" t="s">
        <v>304</v>
      </c>
      <c r="K14" s="25" t="s">
        <v>305</v>
      </c>
      <c r="L14" s="25" t="s">
        <v>305</v>
      </c>
    </row>
    <row r="15" spans="2:12" s="1" customFormat="1">
      <c r="B15" s="13" t="s">
        <v>6</v>
      </c>
      <c r="C15" s="13" t="s">
        <v>222</v>
      </c>
      <c r="D15" s="9" t="s">
        <v>34</v>
      </c>
      <c r="E15" s="21" t="s">
        <v>587</v>
      </c>
      <c r="F15" s="19" t="s">
        <v>1052</v>
      </c>
      <c r="G15" s="19" t="s">
        <v>302</v>
      </c>
      <c r="H15" s="71"/>
      <c r="I15" s="25"/>
      <c r="J15" s="25" t="s">
        <v>304</v>
      </c>
      <c r="K15" s="25" t="s">
        <v>305</v>
      </c>
      <c r="L15" s="25" t="s">
        <v>305</v>
      </c>
    </row>
    <row r="16" spans="2:12" s="1" customFormat="1">
      <c r="B16" s="13" t="s">
        <v>78</v>
      </c>
      <c r="C16" s="13" t="s">
        <v>75</v>
      </c>
      <c r="D16" s="9" t="s">
        <v>79</v>
      </c>
      <c r="E16" s="21" t="s">
        <v>587</v>
      </c>
      <c r="F16" s="19" t="s">
        <v>301</v>
      </c>
      <c r="G16" s="19" t="s">
        <v>302</v>
      </c>
      <c r="H16" s="71"/>
      <c r="I16" s="25"/>
      <c r="J16" s="25" t="s">
        <v>304</v>
      </c>
      <c r="K16" s="25" t="s">
        <v>305</v>
      </c>
      <c r="L16" s="25" t="s">
        <v>305</v>
      </c>
    </row>
    <row r="17" spans="2:12" s="1" customFormat="1">
      <c r="B17" s="13" t="s">
        <v>83</v>
      </c>
      <c r="C17" s="13" t="s">
        <v>71</v>
      </c>
      <c r="D17" s="9" t="s">
        <v>84</v>
      </c>
      <c r="E17" s="21" t="s">
        <v>587</v>
      </c>
      <c r="F17" s="19" t="s">
        <v>83</v>
      </c>
      <c r="G17" s="19" t="s">
        <v>302</v>
      </c>
      <c r="H17" s="71"/>
      <c r="I17" s="25"/>
      <c r="J17" s="25" t="s">
        <v>304</v>
      </c>
      <c r="K17" s="25" t="s">
        <v>305</v>
      </c>
      <c r="L17" s="25" t="s">
        <v>305</v>
      </c>
    </row>
    <row r="18" spans="2:12" s="1" customFormat="1">
      <c r="B18" s="13" t="s">
        <v>81</v>
      </c>
      <c r="C18" s="13" t="s">
        <v>75</v>
      </c>
      <c r="D18" s="9" t="s">
        <v>219</v>
      </c>
      <c r="E18" s="21" t="s">
        <v>587</v>
      </c>
      <c r="F18" s="19" t="s">
        <v>81</v>
      </c>
      <c r="G18" s="19" t="s">
        <v>302</v>
      </c>
      <c r="H18" s="71"/>
      <c r="I18" s="25"/>
      <c r="J18" s="25" t="s">
        <v>304</v>
      </c>
      <c r="K18" s="25" t="s">
        <v>305</v>
      </c>
      <c r="L18" s="25" t="s">
        <v>305</v>
      </c>
    </row>
    <row r="19" spans="2:12" s="1" customFormat="1">
      <c r="B19" s="13" t="s">
        <v>85</v>
      </c>
      <c r="C19" s="13" t="s">
        <v>71</v>
      </c>
      <c r="D19" s="9" t="s">
        <v>86</v>
      </c>
      <c r="E19" s="21" t="s">
        <v>587</v>
      </c>
      <c r="F19" s="19" t="s">
        <v>85</v>
      </c>
      <c r="G19" s="19" t="s">
        <v>302</v>
      </c>
      <c r="H19" s="71"/>
      <c r="I19" s="25"/>
      <c r="J19" s="25" t="s">
        <v>304</v>
      </c>
      <c r="K19" s="25" t="s">
        <v>305</v>
      </c>
      <c r="L19" s="25" t="s">
        <v>305</v>
      </c>
    </row>
    <row r="20" spans="2:12" s="1" customFormat="1">
      <c r="B20" s="13" t="s">
        <v>610</v>
      </c>
      <c r="C20" s="13" t="s">
        <v>75</v>
      </c>
      <c r="D20" s="9" t="s">
        <v>965</v>
      </c>
      <c r="E20" s="21" t="s">
        <v>587</v>
      </c>
      <c r="F20" s="19"/>
      <c r="G20" s="19" t="s">
        <v>1053</v>
      </c>
      <c r="H20" s="71"/>
      <c r="I20" s="25"/>
      <c r="J20" s="25" t="s">
        <v>304</v>
      </c>
      <c r="K20" s="25" t="s">
        <v>305</v>
      </c>
      <c r="L20" s="25" t="s">
        <v>305</v>
      </c>
    </row>
    <row r="21" spans="2:12" s="1" customFormat="1">
      <c r="B21" s="13" t="s">
        <v>611</v>
      </c>
      <c r="C21" s="13" t="s">
        <v>71</v>
      </c>
      <c r="D21" s="9" t="s">
        <v>966</v>
      </c>
      <c r="E21" s="21" t="s">
        <v>587</v>
      </c>
      <c r="F21" s="19" t="s">
        <v>612</v>
      </c>
      <c r="G21" s="19" t="s">
        <v>302</v>
      </c>
      <c r="H21" s="71"/>
      <c r="I21" s="25"/>
      <c r="J21" s="25" t="s">
        <v>304</v>
      </c>
      <c r="K21" s="25" t="s">
        <v>305</v>
      </c>
      <c r="L21" s="25" t="s">
        <v>305</v>
      </c>
    </row>
    <row r="22" spans="2:12" s="1" customFormat="1">
      <c r="B22" s="13" t="s">
        <v>113</v>
      </c>
      <c r="C22" s="13" t="s">
        <v>75</v>
      </c>
      <c r="D22" s="9" t="s">
        <v>967</v>
      </c>
      <c r="E22" s="21" t="s">
        <v>587</v>
      </c>
      <c r="F22" s="19"/>
      <c r="G22" s="19" t="s">
        <v>1054</v>
      </c>
      <c r="H22" s="71"/>
      <c r="I22" s="25"/>
      <c r="J22" s="25" t="s">
        <v>304</v>
      </c>
      <c r="K22" s="25" t="s">
        <v>305</v>
      </c>
      <c r="L22" s="25" t="s">
        <v>305</v>
      </c>
    </row>
    <row r="23" spans="2:12" s="1" customFormat="1">
      <c r="B23" s="13" t="s">
        <v>89</v>
      </c>
      <c r="C23" s="13" t="s">
        <v>71</v>
      </c>
      <c r="D23" s="9" t="s">
        <v>220</v>
      </c>
      <c r="E23" s="21" t="s">
        <v>587</v>
      </c>
      <c r="F23" s="19" t="s">
        <v>89</v>
      </c>
      <c r="G23" s="19" t="s">
        <v>302</v>
      </c>
      <c r="H23" s="71"/>
      <c r="I23" s="25"/>
      <c r="J23" s="25" t="s">
        <v>304</v>
      </c>
      <c r="K23" s="25" t="s">
        <v>305</v>
      </c>
      <c r="L23" s="25" t="s">
        <v>305</v>
      </c>
    </row>
    <row r="24" spans="2:12" s="1" customFormat="1">
      <c r="B24" s="13" t="s">
        <v>108</v>
      </c>
      <c r="C24" s="13" t="s">
        <v>71</v>
      </c>
      <c r="D24" s="9" t="s">
        <v>968</v>
      </c>
      <c r="E24" s="21" t="s">
        <v>587</v>
      </c>
      <c r="F24" s="19" t="s">
        <v>108</v>
      </c>
      <c r="G24" s="19" t="s">
        <v>302</v>
      </c>
      <c r="H24" s="71"/>
      <c r="I24" s="25"/>
      <c r="J24" s="25" t="s">
        <v>304</v>
      </c>
      <c r="K24" s="25" t="s">
        <v>305</v>
      </c>
      <c r="L24" s="25" t="s">
        <v>305</v>
      </c>
    </row>
    <row r="25" spans="2:12" s="1" customFormat="1">
      <c r="B25" s="13" t="s">
        <v>123</v>
      </c>
      <c r="C25" s="13" t="s">
        <v>71</v>
      </c>
      <c r="D25" s="9" t="s">
        <v>969</v>
      </c>
      <c r="E25" s="21" t="s">
        <v>587</v>
      </c>
      <c r="F25" s="19" t="s">
        <v>123</v>
      </c>
      <c r="G25" s="19" t="s">
        <v>302</v>
      </c>
      <c r="H25" s="71"/>
      <c r="I25" s="25"/>
      <c r="J25" s="25" t="s">
        <v>304</v>
      </c>
      <c r="K25" s="25" t="s">
        <v>305</v>
      </c>
      <c r="L25" s="25" t="s">
        <v>305</v>
      </c>
    </row>
    <row r="26" spans="2:12" s="1" customFormat="1">
      <c r="B26" s="13" t="s">
        <v>94</v>
      </c>
      <c r="C26" s="13" t="s">
        <v>71</v>
      </c>
      <c r="D26" s="9" t="s">
        <v>221</v>
      </c>
      <c r="E26" s="21" t="s">
        <v>587</v>
      </c>
      <c r="F26" s="19" t="s">
        <v>94</v>
      </c>
      <c r="G26" s="19" t="s">
        <v>302</v>
      </c>
      <c r="H26" s="71"/>
      <c r="I26" s="25"/>
      <c r="J26" s="25" t="s">
        <v>304</v>
      </c>
      <c r="K26" s="25" t="s">
        <v>305</v>
      </c>
      <c r="L26" s="25" t="s">
        <v>305</v>
      </c>
    </row>
    <row r="27" spans="2:12" s="1" customFormat="1">
      <c r="B27" s="13" t="s">
        <v>173</v>
      </c>
      <c r="C27" s="13" t="s">
        <v>222</v>
      </c>
      <c r="D27" s="9" t="s">
        <v>223</v>
      </c>
      <c r="E27" s="21" t="s">
        <v>587</v>
      </c>
      <c r="F27" s="19" t="s">
        <v>173</v>
      </c>
      <c r="G27" s="19" t="s">
        <v>302</v>
      </c>
      <c r="H27" s="71"/>
      <c r="I27" s="25"/>
      <c r="J27" s="25" t="s">
        <v>304</v>
      </c>
      <c r="K27" s="25" t="s">
        <v>305</v>
      </c>
      <c r="L27" s="25" t="s">
        <v>305</v>
      </c>
    </row>
    <row r="28" spans="2:12" s="1" customFormat="1">
      <c r="B28" s="13" t="s">
        <v>92</v>
      </c>
      <c r="C28" s="13" t="s">
        <v>98</v>
      </c>
      <c r="D28" s="9" t="s">
        <v>1049</v>
      </c>
      <c r="E28" s="21" t="s">
        <v>587</v>
      </c>
      <c r="F28" s="19" t="s">
        <v>92</v>
      </c>
      <c r="G28" s="19" t="s">
        <v>302</v>
      </c>
      <c r="H28" s="71"/>
      <c r="I28" s="25"/>
      <c r="J28" s="25" t="s">
        <v>304</v>
      </c>
      <c r="K28" s="25" t="s">
        <v>305</v>
      </c>
      <c r="L28" s="25" t="s">
        <v>305</v>
      </c>
    </row>
    <row r="29" spans="2:12" s="1" customFormat="1">
      <c r="B29" s="13" t="s">
        <v>1055</v>
      </c>
      <c r="C29" s="13" t="s">
        <v>71</v>
      </c>
      <c r="D29" s="9" t="s">
        <v>523</v>
      </c>
      <c r="E29" s="21" t="s">
        <v>587</v>
      </c>
      <c r="F29" s="27" t="s">
        <v>1055</v>
      </c>
      <c r="G29" s="19" t="s">
        <v>302</v>
      </c>
      <c r="H29" s="71"/>
      <c r="I29" s="25"/>
      <c r="J29" s="25" t="s">
        <v>304</v>
      </c>
      <c r="K29" s="25" t="s">
        <v>305</v>
      </c>
      <c r="L29" s="25" t="s">
        <v>305</v>
      </c>
    </row>
    <row r="30" spans="2:12" s="1" customFormat="1">
      <c r="B30" s="13" t="s">
        <v>622</v>
      </c>
      <c r="C30" s="13" t="s">
        <v>71</v>
      </c>
      <c r="D30" s="9" t="s">
        <v>1050</v>
      </c>
      <c r="E30" s="21" t="s">
        <v>587</v>
      </c>
      <c r="F30" s="19" t="s">
        <v>460</v>
      </c>
      <c r="G30" s="19" t="s">
        <v>302</v>
      </c>
      <c r="H30" s="71"/>
      <c r="I30" s="25"/>
      <c r="J30" s="25" t="s">
        <v>304</v>
      </c>
      <c r="K30" s="25" t="s">
        <v>305</v>
      </c>
      <c r="L30" s="25" t="s">
        <v>305</v>
      </c>
    </row>
    <row r="31" spans="2:12" s="1" customFormat="1">
      <c r="B31" s="13" t="s">
        <v>461</v>
      </c>
      <c r="C31" s="13" t="s">
        <v>98</v>
      </c>
      <c r="D31" s="9" t="s">
        <v>525</v>
      </c>
      <c r="E31" s="21" t="s">
        <v>587</v>
      </c>
      <c r="F31" s="19" t="s">
        <v>461</v>
      </c>
      <c r="G31" s="19" t="s">
        <v>302</v>
      </c>
      <c r="H31" s="71"/>
      <c r="I31" s="25"/>
      <c r="J31" s="25" t="s">
        <v>304</v>
      </c>
      <c r="K31" s="25" t="s">
        <v>305</v>
      </c>
      <c r="L31" s="25" t="s">
        <v>305</v>
      </c>
    </row>
    <row r="32" spans="2:12" s="1" customFormat="1">
      <c r="B32" s="13" t="s">
        <v>96</v>
      </c>
      <c r="C32" s="13" t="s">
        <v>71</v>
      </c>
      <c r="D32" s="9" t="s">
        <v>507</v>
      </c>
      <c r="E32" s="21" t="s">
        <v>587</v>
      </c>
      <c r="F32" s="19" t="s">
        <v>96</v>
      </c>
      <c r="G32" s="19" t="s">
        <v>302</v>
      </c>
      <c r="H32" s="71"/>
      <c r="I32" s="25"/>
      <c r="J32" s="25" t="s">
        <v>304</v>
      </c>
      <c r="K32" s="25" t="s">
        <v>305</v>
      </c>
      <c r="L32" s="25" t="s">
        <v>305</v>
      </c>
    </row>
    <row r="33" spans="2:12" s="1" customFormat="1">
      <c r="B33" s="13" t="s">
        <v>455</v>
      </c>
      <c r="C33" s="13" t="s">
        <v>71</v>
      </c>
      <c r="D33" s="9" t="s">
        <v>970</v>
      </c>
      <c r="E33" s="21" t="s">
        <v>587</v>
      </c>
      <c r="F33" s="19" t="s">
        <v>455</v>
      </c>
      <c r="G33" s="19" t="s">
        <v>302</v>
      </c>
      <c r="H33" s="71"/>
      <c r="I33" s="25"/>
      <c r="J33" s="25" t="s">
        <v>304</v>
      </c>
      <c r="K33" s="25" t="s">
        <v>305</v>
      </c>
      <c r="L33" s="25" t="s">
        <v>305</v>
      </c>
    </row>
    <row r="34" spans="2:12" s="1" customFormat="1">
      <c r="B34" s="13" t="s">
        <v>456</v>
      </c>
      <c r="C34" s="13" t="s">
        <v>71</v>
      </c>
      <c r="D34" s="9" t="s">
        <v>971</v>
      </c>
      <c r="E34" s="21" t="s">
        <v>587</v>
      </c>
      <c r="F34" s="19" t="s">
        <v>456</v>
      </c>
      <c r="G34" s="19" t="s">
        <v>302</v>
      </c>
      <c r="H34" s="71"/>
      <c r="I34" s="25"/>
      <c r="J34" s="25" t="s">
        <v>304</v>
      </c>
      <c r="K34" s="25" t="s">
        <v>305</v>
      </c>
      <c r="L34" s="25" t="s">
        <v>305</v>
      </c>
    </row>
    <row r="35" spans="2:12" s="1" customFormat="1">
      <c r="B35" s="13" t="s">
        <v>2131</v>
      </c>
      <c r="C35" s="13" t="s">
        <v>98</v>
      </c>
      <c r="D35" s="27" t="s">
        <v>729</v>
      </c>
      <c r="E35" s="21" t="s">
        <v>587</v>
      </c>
      <c r="F35" s="19"/>
      <c r="G35" s="84" t="s">
        <v>788</v>
      </c>
      <c r="H35" s="36"/>
      <c r="I35" s="36"/>
      <c r="J35" s="25" t="s">
        <v>99</v>
      </c>
      <c r="K35" s="25" t="s">
        <v>121</v>
      </c>
      <c r="L35" s="25" t="s">
        <v>100</v>
      </c>
    </row>
    <row r="36" spans="2:12" s="1" customFormat="1">
      <c r="B36" s="13" t="s">
        <v>972</v>
      </c>
      <c r="C36" s="13" t="s">
        <v>98</v>
      </c>
      <c r="D36" s="9" t="s">
        <v>730</v>
      </c>
      <c r="E36" s="21" t="s">
        <v>587</v>
      </c>
      <c r="F36" s="19"/>
      <c r="G36" s="19" t="s">
        <v>789</v>
      </c>
      <c r="H36" s="36"/>
      <c r="I36" s="36"/>
      <c r="J36" s="25" t="s">
        <v>99</v>
      </c>
      <c r="K36" s="25" t="s">
        <v>121</v>
      </c>
      <c r="L36" s="25" t="s">
        <v>100</v>
      </c>
    </row>
    <row r="37" spans="2:12" s="1" customFormat="1">
      <c r="B37" s="13" t="s">
        <v>973</v>
      </c>
      <c r="C37" s="13" t="s">
        <v>98</v>
      </c>
      <c r="D37" s="9" t="s">
        <v>731</v>
      </c>
      <c r="E37" s="21" t="s">
        <v>587</v>
      </c>
      <c r="F37" s="19"/>
      <c r="G37" s="19" t="s">
        <v>790</v>
      </c>
      <c r="H37" s="36"/>
      <c r="I37" s="36"/>
      <c r="J37" s="25" t="s">
        <v>99</v>
      </c>
      <c r="K37" s="25" t="s">
        <v>121</v>
      </c>
      <c r="L37" s="25" t="s">
        <v>100</v>
      </c>
    </row>
    <row r="38" spans="2:12" s="1" customFormat="1">
      <c r="B38" s="13" t="s">
        <v>974</v>
      </c>
      <c r="C38" s="13" t="s">
        <v>98</v>
      </c>
      <c r="D38" s="9" t="s">
        <v>975</v>
      </c>
      <c r="E38" s="21" t="s">
        <v>587</v>
      </c>
      <c r="F38" s="19"/>
      <c r="G38" s="19" t="s">
        <v>1163</v>
      </c>
      <c r="H38" s="36"/>
      <c r="I38" s="36"/>
      <c r="J38" s="25" t="s">
        <v>99</v>
      </c>
      <c r="K38" s="25" t="s">
        <v>800</v>
      </c>
      <c r="L38" s="25" t="s">
        <v>100</v>
      </c>
    </row>
    <row r="39" spans="2:12" s="1" customFormat="1">
      <c r="B39" s="13" t="s">
        <v>976</v>
      </c>
      <c r="C39" s="13" t="s">
        <v>98</v>
      </c>
      <c r="D39" s="9" t="s">
        <v>732</v>
      </c>
      <c r="E39" s="21" t="s">
        <v>587</v>
      </c>
      <c r="F39" s="71"/>
      <c r="G39" s="19" t="s">
        <v>1164</v>
      </c>
      <c r="H39" s="36"/>
      <c r="I39" s="36"/>
      <c r="J39" s="25" t="s">
        <v>99</v>
      </c>
      <c r="K39" s="25" t="s">
        <v>121</v>
      </c>
      <c r="L39" s="25" t="s">
        <v>100</v>
      </c>
    </row>
    <row r="40" spans="2:12" s="1" customFormat="1">
      <c r="B40" s="13" t="s">
        <v>977</v>
      </c>
      <c r="C40" s="13" t="s">
        <v>98</v>
      </c>
      <c r="D40" s="9" t="s">
        <v>733</v>
      </c>
      <c r="E40" s="21" t="s">
        <v>587</v>
      </c>
      <c r="F40" s="71"/>
      <c r="G40" s="71" t="s">
        <v>796</v>
      </c>
      <c r="H40" s="36"/>
      <c r="I40" s="36"/>
      <c r="J40" s="25" t="s">
        <v>99</v>
      </c>
      <c r="K40" s="25" t="s">
        <v>121</v>
      </c>
      <c r="L40" s="25" t="s">
        <v>100</v>
      </c>
    </row>
    <row r="41" spans="2:12" s="1" customFormat="1">
      <c r="B41" s="13" t="s">
        <v>978</v>
      </c>
      <c r="C41" s="13" t="s">
        <v>98</v>
      </c>
      <c r="D41" s="9" t="s">
        <v>734</v>
      </c>
      <c r="E41" s="21" t="s">
        <v>587</v>
      </c>
      <c r="F41" s="71"/>
      <c r="G41" s="71" t="s">
        <v>797</v>
      </c>
      <c r="H41" s="36"/>
      <c r="I41" s="36"/>
      <c r="J41" s="25" t="s">
        <v>99</v>
      </c>
      <c r="K41" s="25" t="s">
        <v>121</v>
      </c>
      <c r="L41" s="25" t="s">
        <v>100</v>
      </c>
    </row>
    <row r="42" spans="2:12" s="1" customFormat="1">
      <c r="B42" s="13" t="s">
        <v>979</v>
      </c>
      <c r="C42" s="13" t="s">
        <v>98</v>
      </c>
      <c r="D42" s="9" t="s">
        <v>735</v>
      </c>
      <c r="E42" s="21" t="s">
        <v>587</v>
      </c>
      <c r="F42" s="71"/>
      <c r="G42" s="71" t="s">
        <v>798</v>
      </c>
      <c r="H42" s="36"/>
      <c r="I42" s="36"/>
      <c r="J42" s="25" t="s">
        <v>99</v>
      </c>
      <c r="K42" s="25" t="s">
        <v>121</v>
      </c>
      <c r="L42" s="25" t="s">
        <v>100</v>
      </c>
    </row>
    <row r="43" spans="2:12" s="1" customFormat="1">
      <c r="B43" s="13" t="s">
        <v>980</v>
      </c>
      <c r="C43" s="13" t="s">
        <v>98</v>
      </c>
      <c r="D43" s="9" t="s">
        <v>981</v>
      </c>
      <c r="E43" s="21" t="s">
        <v>587</v>
      </c>
      <c r="F43" s="71"/>
      <c r="G43" s="19" t="s">
        <v>1165</v>
      </c>
      <c r="H43" s="36"/>
      <c r="I43" s="36"/>
      <c r="J43" s="25" t="s">
        <v>99</v>
      </c>
      <c r="K43" s="25" t="s">
        <v>800</v>
      </c>
      <c r="L43" s="25" t="s">
        <v>100</v>
      </c>
    </row>
    <row r="44" spans="2:12" s="1" customFormat="1">
      <c r="B44" s="13" t="s">
        <v>982</v>
      </c>
      <c r="C44" s="13" t="s">
        <v>98</v>
      </c>
      <c r="D44" s="9" t="s">
        <v>737</v>
      </c>
      <c r="E44" s="21" t="s">
        <v>587</v>
      </c>
      <c r="F44" s="71"/>
      <c r="G44" s="71" t="s">
        <v>1146</v>
      </c>
      <c r="H44" s="36"/>
      <c r="I44" s="36"/>
      <c r="J44" s="25" t="s">
        <v>99</v>
      </c>
      <c r="K44" s="25" t="s">
        <v>121</v>
      </c>
      <c r="L44" s="25" t="s">
        <v>100</v>
      </c>
    </row>
    <row r="45" spans="2:12" s="1" customFormat="1">
      <c r="B45" s="13" t="s">
        <v>983</v>
      </c>
      <c r="C45" s="13" t="s">
        <v>98</v>
      </c>
      <c r="D45" s="9" t="s">
        <v>695</v>
      </c>
      <c r="E45" s="21" t="s">
        <v>587</v>
      </c>
      <c r="F45" s="71"/>
      <c r="G45" s="71" t="s">
        <v>805</v>
      </c>
      <c r="H45" s="36"/>
      <c r="I45" s="36"/>
      <c r="J45" s="25" t="s">
        <v>99</v>
      </c>
      <c r="K45" s="25" t="s">
        <v>121</v>
      </c>
      <c r="L45" s="25" t="s">
        <v>100</v>
      </c>
    </row>
    <row r="46" spans="2:12" s="1" customFormat="1">
      <c r="B46" s="13" t="s">
        <v>984</v>
      </c>
      <c r="C46" s="13" t="s">
        <v>98</v>
      </c>
      <c r="D46" s="9" t="s">
        <v>282</v>
      </c>
      <c r="E46" s="21" t="s">
        <v>587</v>
      </c>
      <c r="F46" s="71"/>
      <c r="G46" s="71" t="s">
        <v>806</v>
      </c>
      <c r="H46" s="36"/>
      <c r="I46" s="36"/>
      <c r="J46" s="25" t="s">
        <v>99</v>
      </c>
      <c r="K46" s="25" t="s">
        <v>121</v>
      </c>
      <c r="L46" s="25" t="s">
        <v>100</v>
      </c>
    </row>
    <row r="47" spans="2:12" s="1" customFormat="1">
      <c r="B47" s="13" t="s">
        <v>985</v>
      </c>
      <c r="C47" s="13" t="s">
        <v>98</v>
      </c>
      <c r="D47" s="9" t="s">
        <v>283</v>
      </c>
      <c r="E47" s="21" t="s">
        <v>587</v>
      </c>
      <c r="F47" s="71"/>
      <c r="G47" s="71" t="s">
        <v>807</v>
      </c>
      <c r="H47" s="36"/>
      <c r="I47" s="36"/>
      <c r="J47" s="25" t="s">
        <v>99</v>
      </c>
      <c r="K47" s="25" t="s">
        <v>121</v>
      </c>
      <c r="L47" s="25" t="s">
        <v>100</v>
      </c>
    </row>
    <row r="48" spans="2:12" s="1" customFormat="1">
      <c r="B48" s="13" t="s">
        <v>986</v>
      </c>
      <c r="C48" s="13" t="s">
        <v>98</v>
      </c>
      <c r="D48" s="9" t="s">
        <v>294</v>
      </c>
      <c r="E48" s="21" t="s">
        <v>587</v>
      </c>
      <c r="F48" s="71"/>
      <c r="G48" s="19" t="s">
        <v>1167</v>
      </c>
      <c r="H48" s="36"/>
      <c r="I48" s="36"/>
      <c r="J48" s="25" t="s">
        <v>99</v>
      </c>
      <c r="K48" s="25" t="s">
        <v>800</v>
      </c>
      <c r="L48" s="25" t="s">
        <v>100</v>
      </c>
    </row>
    <row r="49" spans="2:12" s="1" customFormat="1">
      <c r="B49" s="13" t="s">
        <v>987</v>
      </c>
      <c r="C49" s="13" t="s">
        <v>98</v>
      </c>
      <c r="D49" s="9" t="s">
        <v>738</v>
      </c>
      <c r="E49" s="21" t="s">
        <v>587</v>
      </c>
      <c r="F49" s="71"/>
      <c r="G49" s="71" t="s">
        <v>1147</v>
      </c>
      <c r="H49" s="36"/>
      <c r="I49" s="36"/>
      <c r="J49" s="25" t="s">
        <v>99</v>
      </c>
      <c r="K49" s="25" t="s">
        <v>121</v>
      </c>
      <c r="L49" s="25" t="s">
        <v>100</v>
      </c>
    </row>
    <row r="50" spans="2:12" s="1" customFormat="1">
      <c r="B50" s="13" t="s">
        <v>988</v>
      </c>
      <c r="C50" s="13" t="s">
        <v>98</v>
      </c>
      <c r="D50" s="9" t="s">
        <v>739</v>
      </c>
      <c r="E50" s="21" t="s">
        <v>587</v>
      </c>
      <c r="F50" s="71"/>
      <c r="G50" s="84" t="s">
        <v>817</v>
      </c>
      <c r="H50" s="36"/>
      <c r="I50" s="36"/>
      <c r="J50" s="25" t="s">
        <v>99</v>
      </c>
      <c r="K50" s="25" t="s">
        <v>121</v>
      </c>
      <c r="L50" s="25" t="s">
        <v>100</v>
      </c>
    </row>
    <row r="51" spans="2:12" s="1" customFormat="1">
      <c r="B51" s="13" t="s">
        <v>989</v>
      </c>
      <c r="C51" s="13" t="s">
        <v>98</v>
      </c>
      <c r="D51" s="9" t="s">
        <v>740</v>
      </c>
      <c r="E51" s="21" t="s">
        <v>587</v>
      </c>
      <c r="F51" s="71"/>
      <c r="G51" s="71" t="s">
        <v>818</v>
      </c>
      <c r="H51" s="36"/>
      <c r="I51" s="36"/>
      <c r="J51" s="25" t="s">
        <v>99</v>
      </c>
      <c r="K51" s="25" t="s">
        <v>121</v>
      </c>
      <c r="L51" s="25" t="s">
        <v>100</v>
      </c>
    </row>
    <row r="52" spans="2:12" s="1" customFormat="1">
      <c r="B52" s="13" t="s">
        <v>990</v>
      </c>
      <c r="C52" s="13" t="s">
        <v>98</v>
      </c>
      <c r="D52" s="9" t="s">
        <v>741</v>
      </c>
      <c r="E52" s="21" t="s">
        <v>587</v>
      </c>
      <c r="F52" s="71"/>
      <c r="G52" s="71" t="s">
        <v>819</v>
      </c>
      <c r="H52" s="36"/>
      <c r="I52" s="36"/>
      <c r="J52" s="25" t="s">
        <v>99</v>
      </c>
      <c r="K52" s="25" t="s">
        <v>121</v>
      </c>
      <c r="L52" s="25" t="s">
        <v>100</v>
      </c>
    </row>
    <row r="53" spans="2:12" s="1" customFormat="1">
      <c r="B53" s="13" t="s">
        <v>991</v>
      </c>
      <c r="C53" s="13" t="s">
        <v>98</v>
      </c>
      <c r="D53" s="9" t="s">
        <v>992</v>
      </c>
      <c r="E53" s="21" t="s">
        <v>587</v>
      </c>
      <c r="F53" s="71"/>
      <c r="G53" s="19" t="s">
        <v>1168</v>
      </c>
      <c r="H53" s="36"/>
      <c r="I53" s="36"/>
      <c r="J53" s="25" t="s">
        <v>99</v>
      </c>
      <c r="K53" s="25" t="s">
        <v>800</v>
      </c>
      <c r="L53" s="25" t="s">
        <v>100</v>
      </c>
    </row>
    <row r="54" spans="2:12" s="1" customFormat="1">
      <c r="B54" s="13" t="s">
        <v>993</v>
      </c>
      <c r="C54" s="13" t="s">
        <v>98</v>
      </c>
      <c r="D54" s="9" t="s">
        <v>742</v>
      </c>
      <c r="E54" s="21" t="s">
        <v>587</v>
      </c>
      <c r="F54" s="71"/>
      <c r="G54" s="84" t="s">
        <v>827</v>
      </c>
      <c r="H54" s="36"/>
      <c r="I54" s="36"/>
      <c r="J54" s="25" t="s">
        <v>99</v>
      </c>
      <c r="K54" s="25" t="s">
        <v>121</v>
      </c>
      <c r="L54" s="25" t="s">
        <v>100</v>
      </c>
    </row>
    <row r="55" spans="2:12" s="1" customFormat="1">
      <c r="B55" s="13" t="s">
        <v>994</v>
      </c>
      <c r="C55" s="13" t="s">
        <v>98</v>
      </c>
      <c r="D55" s="9" t="s">
        <v>743</v>
      </c>
      <c r="E55" s="21" t="s">
        <v>587</v>
      </c>
      <c r="F55" s="71"/>
      <c r="G55" s="19" t="s">
        <v>832</v>
      </c>
      <c r="H55" s="36"/>
      <c r="I55" s="36"/>
      <c r="J55" s="25" t="s">
        <v>99</v>
      </c>
      <c r="K55" s="25" t="s">
        <v>121</v>
      </c>
      <c r="L55" s="25" t="s">
        <v>100</v>
      </c>
    </row>
    <row r="56" spans="2:12" s="1" customFormat="1">
      <c r="B56" s="13" t="s">
        <v>995</v>
      </c>
      <c r="C56" s="13" t="s">
        <v>98</v>
      </c>
      <c r="D56" s="9" t="s">
        <v>744</v>
      </c>
      <c r="E56" s="21" t="s">
        <v>587</v>
      </c>
      <c r="F56" s="71"/>
      <c r="G56" s="19" t="s">
        <v>828</v>
      </c>
      <c r="H56" s="36"/>
      <c r="I56" s="36"/>
      <c r="J56" s="25" t="s">
        <v>99</v>
      </c>
      <c r="K56" s="25" t="s">
        <v>121</v>
      </c>
      <c r="L56" s="25" t="s">
        <v>100</v>
      </c>
    </row>
    <row r="57" spans="2:12" s="1" customFormat="1">
      <c r="B57" s="13" t="s">
        <v>996</v>
      </c>
      <c r="C57" s="13" t="s">
        <v>98</v>
      </c>
      <c r="D57" s="9" t="s">
        <v>997</v>
      </c>
      <c r="E57" s="21" t="s">
        <v>587</v>
      </c>
      <c r="F57" s="71"/>
      <c r="G57" s="19" t="s">
        <v>1169</v>
      </c>
      <c r="H57" s="36"/>
      <c r="I57" s="36"/>
      <c r="J57" s="25" t="s">
        <v>99</v>
      </c>
      <c r="K57" s="25" t="s">
        <v>800</v>
      </c>
      <c r="L57" s="25" t="s">
        <v>100</v>
      </c>
    </row>
    <row r="58" spans="2:12" s="1" customFormat="1">
      <c r="B58" s="13" t="s">
        <v>998</v>
      </c>
      <c r="C58" s="13" t="s">
        <v>98</v>
      </c>
      <c r="D58" s="9" t="s">
        <v>745</v>
      </c>
      <c r="E58" s="21" t="s">
        <v>587</v>
      </c>
      <c r="F58" s="71"/>
      <c r="G58" s="19" t="s">
        <v>1148</v>
      </c>
      <c r="H58" s="36"/>
      <c r="I58" s="36"/>
      <c r="J58" s="25" t="s">
        <v>99</v>
      </c>
      <c r="K58" s="25" t="s">
        <v>121</v>
      </c>
      <c r="L58" s="25" t="s">
        <v>100</v>
      </c>
    </row>
    <row r="59" spans="2:12" s="1" customFormat="1">
      <c r="B59" s="13" t="s">
        <v>999</v>
      </c>
      <c r="C59" s="13" t="s">
        <v>98</v>
      </c>
      <c r="D59" s="9" t="s">
        <v>746</v>
      </c>
      <c r="E59" s="21" t="s">
        <v>587</v>
      </c>
      <c r="F59" s="71"/>
      <c r="G59" s="84" t="s">
        <v>829</v>
      </c>
      <c r="H59" s="36"/>
      <c r="I59" s="36"/>
      <c r="J59" s="25" t="s">
        <v>99</v>
      </c>
      <c r="K59" s="25" t="s">
        <v>121</v>
      </c>
      <c r="L59" s="25" t="s">
        <v>100</v>
      </c>
    </row>
    <row r="60" spans="2:12" s="1" customFormat="1">
      <c r="B60" s="13" t="s">
        <v>1000</v>
      </c>
      <c r="C60" s="13" t="s">
        <v>98</v>
      </c>
      <c r="D60" s="9" t="s">
        <v>747</v>
      </c>
      <c r="E60" s="21" t="s">
        <v>587</v>
      </c>
      <c r="F60" s="71"/>
      <c r="G60" s="19" t="s">
        <v>830</v>
      </c>
      <c r="H60" s="36"/>
      <c r="I60" s="36"/>
      <c r="J60" s="25" t="s">
        <v>99</v>
      </c>
      <c r="K60" s="25" t="s">
        <v>121</v>
      </c>
      <c r="L60" s="25" t="s">
        <v>100</v>
      </c>
    </row>
    <row r="61" spans="2:12" s="1" customFormat="1">
      <c r="B61" s="13" t="s">
        <v>1001</v>
      </c>
      <c r="C61" s="13" t="s">
        <v>98</v>
      </c>
      <c r="D61" s="9" t="s">
        <v>748</v>
      </c>
      <c r="E61" s="21" t="s">
        <v>587</v>
      </c>
      <c r="F61" s="71"/>
      <c r="G61" s="19" t="s">
        <v>831</v>
      </c>
      <c r="H61" s="36"/>
      <c r="I61" s="36"/>
      <c r="J61" s="25" t="s">
        <v>99</v>
      </c>
      <c r="K61" s="25" t="s">
        <v>121</v>
      </c>
      <c r="L61" s="25" t="s">
        <v>100</v>
      </c>
    </row>
    <row r="62" spans="2:12" s="1" customFormat="1">
      <c r="B62" s="13" t="s">
        <v>1002</v>
      </c>
      <c r="C62" s="13" t="s">
        <v>98</v>
      </c>
      <c r="D62" s="9" t="s">
        <v>1003</v>
      </c>
      <c r="E62" s="21" t="s">
        <v>587</v>
      </c>
      <c r="F62" s="71"/>
      <c r="G62" s="19" t="s">
        <v>1170</v>
      </c>
      <c r="H62" s="36"/>
      <c r="I62" s="36"/>
      <c r="J62" s="25" t="s">
        <v>99</v>
      </c>
      <c r="K62" s="25" t="s">
        <v>800</v>
      </c>
      <c r="L62" s="25" t="s">
        <v>100</v>
      </c>
    </row>
    <row r="63" spans="2:12" s="1" customFormat="1">
      <c r="B63" s="13" t="s">
        <v>1004</v>
      </c>
      <c r="C63" s="13" t="s">
        <v>98</v>
      </c>
      <c r="D63" s="9" t="s">
        <v>749</v>
      </c>
      <c r="E63" s="21" t="s">
        <v>587</v>
      </c>
      <c r="F63" s="71"/>
      <c r="G63" s="19" t="s">
        <v>1149</v>
      </c>
      <c r="H63" s="36"/>
      <c r="I63" s="36"/>
      <c r="J63" s="25" t="s">
        <v>99</v>
      </c>
      <c r="K63" s="25" t="s">
        <v>121</v>
      </c>
      <c r="L63" s="25" t="s">
        <v>100</v>
      </c>
    </row>
    <row r="64" spans="2:12" s="1" customFormat="1">
      <c r="B64" s="13" t="s">
        <v>1005</v>
      </c>
      <c r="C64" s="13" t="s">
        <v>98</v>
      </c>
      <c r="D64" s="9" t="s">
        <v>1297</v>
      </c>
      <c r="E64" s="21" t="s">
        <v>587</v>
      </c>
      <c r="F64" s="71"/>
      <c r="G64" s="71" t="s">
        <v>833</v>
      </c>
      <c r="H64" s="36"/>
      <c r="I64" s="36"/>
      <c r="J64" s="25" t="s">
        <v>99</v>
      </c>
      <c r="K64" s="25" t="s">
        <v>121</v>
      </c>
      <c r="L64" s="25" t="s">
        <v>100</v>
      </c>
    </row>
    <row r="65" spans="2:12" s="1" customFormat="1">
      <c r="B65" s="13" t="s">
        <v>1292</v>
      </c>
      <c r="C65" s="13" t="s">
        <v>98</v>
      </c>
      <c r="D65" s="9" t="s">
        <v>750</v>
      </c>
      <c r="E65" s="21" t="s">
        <v>587</v>
      </c>
      <c r="F65" s="71"/>
      <c r="G65" s="71" t="s">
        <v>834</v>
      </c>
      <c r="H65" s="36"/>
      <c r="I65" s="36"/>
      <c r="J65" s="25" t="s">
        <v>99</v>
      </c>
      <c r="K65" s="25" t="s">
        <v>121</v>
      </c>
      <c r="L65" s="25" t="s">
        <v>100</v>
      </c>
    </row>
    <row r="66" spans="2:12" s="1" customFormat="1">
      <c r="B66" s="13" t="s">
        <v>1006</v>
      </c>
      <c r="C66" s="13" t="s">
        <v>98</v>
      </c>
      <c r="D66" s="9" t="s">
        <v>700</v>
      </c>
      <c r="E66" s="21" t="s">
        <v>587</v>
      </c>
      <c r="F66" s="71"/>
      <c r="G66" s="84" t="s">
        <v>841</v>
      </c>
      <c r="H66" s="36"/>
      <c r="I66" s="36"/>
      <c r="J66" s="25" t="s">
        <v>99</v>
      </c>
      <c r="K66" s="25" t="s">
        <v>121</v>
      </c>
      <c r="L66" s="25" t="s">
        <v>100</v>
      </c>
    </row>
    <row r="67" spans="2:12" s="1" customFormat="1">
      <c r="B67" s="13" t="s">
        <v>1007</v>
      </c>
      <c r="C67" s="13" t="s">
        <v>98</v>
      </c>
      <c r="D67" s="9" t="s">
        <v>701</v>
      </c>
      <c r="E67" s="21" t="s">
        <v>587</v>
      </c>
      <c r="F67" s="71"/>
      <c r="G67" s="19" t="s">
        <v>842</v>
      </c>
      <c r="H67" s="36"/>
      <c r="I67" s="36"/>
      <c r="J67" s="25" t="s">
        <v>99</v>
      </c>
      <c r="K67" s="25" t="s">
        <v>121</v>
      </c>
      <c r="L67" s="25" t="s">
        <v>100</v>
      </c>
    </row>
    <row r="68" spans="2:12" s="1" customFormat="1">
      <c r="B68" s="13" t="s">
        <v>1008</v>
      </c>
      <c r="C68" s="13" t="s">
        <v>98</v>
      </c>
      <c r="D68" s="9" t="s">
        <v>702</v>
      </c>
      <c r="E68" s="21" t="s">
        <v>587</v>
      </c>
      <c r="F68" s="71"/>
      <c r="G68" s="19" t="s">
        <v>843</v>
      </c>
      <c r="H68" s="36"/>
      <c r="I68" s="36"/>
      <c r="J68" s="25" t="s">
        <v>99</v>
      </c>
      <c r="K68" s="25" t="s">
        <v>121</v>
      </c>
      <c r="L68" s="25" t="s">
        <v>100</v>
      </c>
    </row>
    <row r="69" spans="2:12" s="1" customFormat="1">
      <c r="B69" s="13" t="s">
        <v>1009</v>
      </c>
      <c r="C69" s="13" t="s">
        <v>98</v>
      </c>
      <c r="D69" s="9" t="s">
        <v>1010</v>
      </c>
      <c r="E69" s="21" t="s">
        <v>587</v>
      </c>
      <c r="F69" s="71"/>
      <c r="G69" s="19" t="s">
        <v>1171</v>
      </c>
      <c r="H69" s="36"/>
      <c r="I69" s="36"/>
      <c r="J69" s="25" t="s">
        <v>99</v>
      </c>
      <c r="K69" s="25" t="s">
        <v>800</v>
      </c>
      <c r="L69" s="25" t="s">
        <v>100</v>
      </c>
    </row>
    <row r="70" spans="2:12" s="1" customFormat="1" ht="26.4">
      <c r="B70" s="13" t="s">
        <v>1011</v>
      </c>
      <c r="C70" s="13" t="s">
        <v>98</v>
      </c>
      <c r="D70" s="9" t="s">
        <v>751</v>
      </c>
      <c r="E70" s="21" t="s">
        <v>587</v>
      </c>
      <c r="F70" s="71"/>
      <c r="G70" s="84" t="s">
        <v>845</v>
      </c>
      <c r="H70" s="36"/>
      <c r="I70" s="36"/>
      <c r="J70" s="25" t="s">
        <v>99</v>
      </c>
      <c r="K70" s="25" t="s">
        <v>121</v>
      </c>
      <c r="L70" s="25" t="s">
        <v>100</v>
      </c>
    </row>
    <row r="71" spans="2:12" s="1" customFormat="1" ht="26.4">
      <c r="B71" s="13" t="s">
        <v>1012</v>
      </c>
      <c r="C71" s="13" t="s">
        <v>98</v>
      </c>
      <c r="D71" s="9" t="s">
        <v>752</v>
      </c>
      <c r="E71" s="21" t="s">
        <v>587</v>
      </c>
      <c r="F71" s="71"/>
      <c r="G71" s="19" t="s">
        <v>846</v>
      </c>
      <c r="H71" s="36"/>
      <c r="I71" s="36"/>
      <c r="J71" s="25" t="s">
        <v>99</v>
      </c>
      <c r="K71" s="25" t="s">
        <v>121</v>
      </c>
      <c r="L71" s="25" t="s">
        <v>100</v>
      </c>
    </row>
    <row r="72" spans="2:12" s="1" customFormat="1" ht="26.4">
      <c r="B72" s="13" t="s">
        <v>1013</v>
      </c>
      <c r="C72" s="13" t="s">
        <v>98</v>
      </c>
      <c r="D72" s="9" t="s">
        <v>753</v>
      </c>
      <c r="E72" s="21" t="s">
        <v>587</v>
      </c>
      <c r="F72" s="71"/>
      <c r="G72" s="19" t="s">
        <v>847</v>
      </c>
      <c r="H72" s="36"/>
      <c r="I72" s="36"/>
      <c r="J72" s="25" t="s">
        <v>99</v>
      </c>
      <c r="K72" s="25" t="s">
        <v>121</v>
      </c>
      <c r="L72" s="25" t="s">
        <v>100</v>
      </c>
    </row>
    <row r="73" spans="2:12" s="1" customFormat="1" ht="26.4">
      <c r="B73" s="13" t="s">
        <v>1056</v>
      </c>
      <c r="C73" s="13" t="s">
        <v>98</v>
      </c>
      <c r="D73" s="9" t="s">
        <v>1014</v>
      </c>
      <c r="E73" s="21" t="s">
        <v>587</v>
      </c>
      <c r="F73" s="71"/>
      <c r="G73" s="19" t="s">
        <v>1172</v>
      </c>
      <c r="H73" s="36"/>
      <c r="I73" s="36"/>
      <c r="J73" s="25" t="s">
        <v>99</v>
      </c>
      <c r="K73" s="25" t="s">
        <v>800</v>
      </c>
      <c r="L73" s="25" t="s">
        <v>100</v>
      </c>
    </row>
    <row r="74" spans="2:12" s="1" customFormat="1">
      <c r="B74" s="13" t="s">
        <v>1015</v>
      </c>
      <c r="C74" s="13" t="s">
        <v>98</v>
      </c>
      <c r="D74" s="9" t="s">
        <v>703</v>
      </c>
      <c r="E74" s="21" t="s">
        <v>587</v>
      </c>
      <c r="F74" s="71"/>
      <c r="G74" s="84" t="s">
        <v>854</v>
      </c>
      <c r="H74" s="36"/>
      <c r="I74" s="36"/>
      <c r="J74" s="25" t="s">
        <v>99</v>
      </c>
      <c r="K74" s="25" t="s">
        <v>121</v>
      </c>
      <c r="L74" s="25" t="s">
        <v>100</v>
      </c>
    </row>
    <row r="75" spans="2:12" s="1" customFormat="1">
      <c r="B75" s="13" t="s">
        <v>1016</v>
      </c>
      <c r="C75" s="13" t="s">
        <v>98</v>
      </c>
      <c r="D75" s="9" t="s">
        <v>754</v>
      </c>
      <c r="E75" s="21" t="s">
        <v>587</v>
      </c>
      <c r="F75" s="71"/>
      <c r="G75" s="19" t="s">
        <v>855</v>
      </c>
      <c r="H75" s="36"/>
      <c r="I75" s="36"/>
      <c r="J75" s="25" t="s">
        <v>99</v>
      </c>
      <c r="K75" s="25" t="s">
        <v>121</v>
      </c>
      <c r="L75" s="25" t="s">
        <v>100</v>
      </c>
    </row>
    <row r="76" spans="2:12" s="1" customFormat="1">
      <c r="B76" s="13" t="s">
        <v>1017</v>
      </c>
      <c r="C76" s="13" t="s">
        <v>98</v>
      </c>
      <c r="D76" s="9" t="s">
        <v>755</v>
      </c>
      <c r="E76" s="21" t="s">
        <v>587</v>
      </c>
      <c r="F76" s="71"/>
      <c r="G76" s="19" t="s">
        <v>856</v>
      </c>
      <c r="H76" s="36"/>
      <c r="I76" s="36"/>
      <c r="J76" s="25" t="s">
        <v>99</v>
      </c>
      <c r="K76" s="25" t="s">
        <v>121</v>
      </c>
      <c r="L76" s="25" t="s">
        <v>100</v>
      </c>
    </row>
    <row r="77" spans="2:12" s="1" customFormat="1">
      <c r="B77" s="13" t="s">
        <v>1018</v>
      </c>
      <c r="C77" s="13" t="s">
        <v>98</v>
      </c>
      <c r="D77" s="9" t="s">
        <v>1019</v>
      </c>
      <c r="E77" s="21" t="s">
        <v>587</v>
      </c>
      <c r="F77" s="71"/>
      <c r="G77" s="19" t="s">
        <v>1173</v>
      </c>
      <c r="H77" s="36"/>
      <c r="I77" s="36"/>
      <c r="J77" s="25" t="s">
        <v>99</v>
      </c>
      <c r="K77" s="25" t="s">
        <v>800</v>
      </c>
      <c r="L77" s="25" t="s">
        <v>100</v>
      </c>
    </row>
    <row r="78" spans="2:12" s="1" customFormat="1">
      <c r="B78" s="13" t="s">
        <v>1020</v>
      </c>
      <c r="C78" s="13" t="s">
        <v>75</v>
      </c>
      <c r="D78" s="9" t="s">
        <v>762</v>
      </c>
      <c r="E78" s="21" t="s">
        <v>587</v>
      </c>
      <c r="F78" s="71"/>
      <c r="G78" s="71" t="s">
        <v>876</v>
      </c>
      <c r="H78" s="36"/>
      <c r="I78" s="36"/>
      <c r="J78" s="25" t="s">
        <v>99</v>
      </c>
      <c r="K78" s="25" t="s">
        <v>121</v>
      </c>
      <c r="L78" s="25" t="s">
        <v>100</v>
      </c>
    </row>
    <row r="79" spans="2:12" s="1" customFormat="1">
      <c r="B79" s="13" t="s">
        <v>1021</v>
      </c>
      <c r="C79" s="13" t="s">
        <v>75</v>
      </c>
      <c r="D79" s="9" t="s">
        <v>763</v>
      </c>
      <c r="E79" s="21" t="s">
        <v>587</v>
      </c>
      <c r="F79" s="71"/>
      <c r="G79" s="19" t="s">
        <v>1175</v>
      </c>
      <c r="H79" s="36"/>
      <c r="I79" s="36"/>
      <c r="J79" s="25" t="s">
        <v>99</v>
      </c>
      <c r="K79" s="25" t="s">
        <v>121</v>
      </c>
      <c r="L79" s="25" t="s">
        <v>100</v>
      </c>
    </row>
    <row r="80" spans="2:12" s="1" customFormat="1">
      <c r="B80" s="13" t="s">
        <v>1022</v>
      </c>
      <c r="C80" s="13" t="s">
        <v>75</v>
      </c>
      <c r="D80" s="9" t="s">
        <v>764</v>
      </c>
      <c r="E80" s="21" t="s">
        <v>587</v>
      </c>
      <c r="F80" s="71"/>
      <c r="G80" s="19" t="s">
        <v>878</v>
      </c>
      <c r="H80" s="36"/>
      <c r="I80" s="36"/>
      <c r="J80" s="25" t="s">
        <v>99</v>
      </c>
      <c r="K80" s="25" t="s">
        <v>121</v>
      </c>
      <c r="L80" s="25" t="s">
        <v>100</v>
      </c>
    </row>
    <row r="81" spans="2:12" s="1" customFormat="1">
      <c r="B81" s="13" t="s">
        <v>1023</v>
      </c>
      <c r="C81" s="13" t="s">
        <v>98</v>
      </c>
      <c r="D81" s="9" t="s">
        <v>1024</v>
      </c>
      <c r="E81" s="21" t="s">
        <v>587</v>
      </c>
      <c r="F81" s="71"/>
      <c r="G81" s="19" t="s">
        <v>1174</v>
      </c>
      <c r="H81" s="36"/>
      <c r="I81" s="36"/>
      <c r="J81" s="25" t="s">
        <v>99</v>
      </c>
      <c r="K81" s="25" t="s">
        <v>800</v>
      </c>
      <c r="L81" s="25" t="s">
        <v>100</v>
      </c>
    </row>
    <row r="82" spans="2:12" s="1" customFormat="1">
      <c r="B82" s="13" t="s">
        <v>1025</v>
      </c>
      <c r="C82" s="13" t="s">
        <v>98</v>
      </c>
      <c r="D82" s="9" t="s">
        <v>756</v>
      </c>
      <c r="E82" s="21" t="s">
        <v>587</v>
      </c>
      <c r="F82" s="71"/>
      <c r="G82" s="71" t="s">
        <v>900</v>
      </c>
      <c r="H82" s="36"/>
      <c r="I82" s="36"/>
      <c r="J82" s="25" t="s">
        <v>99</v>
      </c>
      <c r="K82" s="25" t="s">
        <v>121</v>
      </c>
      <c r="L82" s="25" t="s">
        <v>100</v>
      </c>
    </row>
    <row r="83" spans="2:12" s="1" customFormat="1">
      <c r="B83" s="13" t="s">
        <v>1026</v>
      </c>
      <c r="C83" s="13" t="s">
        <v>98</v>
      </c>
      <c r="D83" s="9" t="s">
        <v>757</v>
      </c>
      <c r="E83" s="21" t="s">
        <v>587</v>
      </c>
      <c r="F83" s="71"/>
      <c r="G83" s="71" t="s">
        <v>901</v>
      </c>
      <c r="H83" s="36"/>
      <c r="I83" s="36"/>
      <c r="J83" s="25" t="s">
        <v>99</v>
      </c>
      <c r="K83" s="25" t="s">
        <v>121</v>
      </c>
      <c r="L83" s="25" t="s">
        <v>100</v>
      </c>
    </row>
    <row r="84" spans="2:12" s="1" customFormat="1">
      <c r="B84" s="13" t="s">
        <v>1027</v>
      </c>
      <c r="C84" s="13" t="s">
        <v>98</v>
      </c>
      <c r="D84" s="9" t="s">
        <v>758</v>
      </c>
      <c r="E84" s="21" t="s">
        <v>587</v>
      </c>
      <c r="F84" s="71"/>
      <c r="G84" s="71" t="s">
        <v>902</v>
      </c>
      <c r="H84" s="36"/>
      <c r="I84" s="36"/>
      <c r="J84" s="25" t="s">
        <v>99</v>
      </c>
      <c r="K84" s="25" t="s">
        <v>121</v>
      </c>
      <c r="L84" s="25" t="s">
        <v>100</v>
      </c>
    </row>
    <row r="85" spans="2:12" s="1" customFormat="1">
      <c r="B85" s="13" t="s">
        <v>1028</v>
      </c>
      <c r="C85" s="13" t="s">
        <v>98</v>
      </c>
      <c r="D85" s="9" t="s">
        <v>1029</v>
      </c>
      <c r="E85" s="21" t="s">
        <v>587</v>
      </c>
      <c r="F85" s="71"/>
      <c r="G85" s="19" t="s">
        <v>1176</v>
      </c>
      <c r="H85" s="36"/>
      <c r="I85" s="36"/>
      <c r="J85" s="25" t="s">
        <v>99</v>
      </c>
      <c r="K85" s="25" t="s">
        <v>800</v>
      </c>
      <c r="L85" s="25" t="s">
        <v>100</v>
      </c>
    </row>
    <row r="86" spans="2:12" s="1" customFormat="1">
      <c r="B86" s="13" t="s">
        <v>1030</v>
      </c>
      <c r="C86" s="13" t="s">
        <v>98</v>
      </c>
      <c r="D86" s="9" t="s">
        <v>1177</v>
      </c>
      <c r="E86" s="21" t="s">
        <v>587</v>
      </c>
      <c r="F86" s="71"/>
      <c r="G86" s="84" t="s">
        <v>907</v>
      </c>
      <c r="H86" s="36"/>
      <c r="I86" s="36"/>
      <c r="J86" s="25" t="s">
        <v>99</v>
      </c>
      <c r="K86" s="25" t="s">
        <v>121</v>
      </c>
      <c r="L86" s="25" t="s">
        <v>100</v>
      </c>
    </row>
    <row r="87" spans="2:12" s="1" customFormat="1">
      <c r="B87" s="13" t="s">
        <v>1031</v>
      </c>
      <c r="C87" s="13" t="s">
        <v>98</v>
      </c>
      <c r="D87" s="9" t="s">
        <v>1151</v>
      </c>
      <c r="E87" s="21" t="s">
        <v>587</v>
      </c>
      <c r="F87" s="71"/>
      <c r="G87" s="19" t="s">
        <v>908</v>
      </c>
      <c r="H87" s="36"/>
      <c r="I87" s="36"/>
      <c r="J87" s="25" t="s">
        <v>99</v>
      </c>
      <c r="K87" s="25" t="s">
        <v>121</v>
      </c>
      <c r="L87" s="25" t="s">
        <v>100</v>
      </c>
    </row>
    <row r="88" spans="2:12" s="1" customFormat="1">
      <c r="B88" s="13" t="s">
        <v>1032</v>
      </c>
      <c r="C88" s="13" t="s">
        <v>98</v>
      </c>
      <c r="D88" s="9" t="s">
        <v>1152</v>
      </c>
      <c r="E88" s="21" t="s">
        <v>587</v>
      </c>
      <c r="F88" s="71"/>
      <c r="G88" s="19" t="s">
        <v>909</v>
      </c>
      <c r="H88" s="36"/>
      <c r="I88" s="36"/>
      <c r="J88" s="25" t="s">
        <v>99</v>
      </c>
      <c r="K88" s="25" t="s">
        <v>121</v>
      </c>
      <c r="L88" s="25" t="s">
        <v>100</v>
      </c>
    </row>
    <row r="89" spans="2:12" s="1" customFormat="1">
      <c r="B89" s="13" t="s">
        <v>1033</v>
      </c>
      <c r="C89" s="13" t="s">
        <v>98</v>
      </c>
      <c r="D89" s="9" t="s">
        <v>1153</v>
      </c>
      <c r="E89" s="21" t="s">
        <v>587</v>
      </c>
      <c r="F89" s="71"/>
      <c r="G89" s="19" t="s">
        <v>1178</v>
      </c>
      <c r="H89" s="36"/>
      <c r="I89" s="36"/>
      <c r="J89" s="25" t="s">
        <v>99</v>
      </c>
      <c r="K89" s="25" t="s">
        <v>800</v>
      </c>
      <c r="L89" s="25" t="s">
        <v>100</v>
      </c>
    </row>
    <row r="90" spans="2:12" s="1" customFormat="1">
      <c r="B90" s="13" t="s">
        <v>1034</v>
      </c>
      <c r="C90" s="13" t="s">
        <v>98</v>
      </c>
      <c r="D90" s="9" t="s">
        <v>706</v>
      </c>
      <c r="E90" s="21" t="s">
        <v>587</v>
      </c>
      <c r="F90" s="71"/>
      <c r="G90" s="71" t="s">
        <v>914</v>
      </c>
      <c r="H90" s="36"/>
      <c r="I90" s="36"/>
      <c r="J90" s="25" t="s">
        <v>99</v>
      </c>
      <c r="K90" s="25" t="s">
        <v>121</v>
      </c>
      <c r="L90" s="25" t="s">
        <v>100</v>
      </c>
    </row>
    <row r="91" spans="2:12" s="1" customFormat="1">
      <c r="B91" s="13" t="s">
        <v>1035</v>
      </c>
      <c r="C91" s="13" t="s">
        <v>98</v>
      </c>
      <c r="D91" s="9" t="s">
        <v>707</v>
      </c>
      <c r="E91" s="21" t="s">
        <v>587</v>
      </c>
      <c r="F91" s="71"/>
      <c r="G91" s="71" t="s">
        <v>915</v>
      </c>
      <c r="H91" s="36"/>
      <c r="I91" s="36"/>
      <c r="J91" s="25" t="s">
        <v>99</v>
      </c>
      <c r="K91" s="25" t="s">
        <v>121</v>
      </c>
      <c r="L91" s="25" t="s">
        <v>100</v>
      </c>
    </row>
    <row r="92" spans="2:12" s="1" customFormat="1">
      <c r="B92" s="13" t="s">
        <v>1036</v>
      </c>
      <c r="C92" s="13" t="s">
        <v>98</v>
      </c>
      <c r="D92" s="9" t="s">
        <v>708</v>
      </c>
      <c r="E92" s="21" t="s">
        <v>587</v>
      </c>
      <c r="F92" s="71"/>
      <c r="G92" s="71" t="s">
        <v>916</v>
      </c>
      <c r="H92" s="36"/>
      <c r="I92" s="36"/>
      <c r="J92" s="25" t="s">
        <v>99</v>
      </c>
      <c r="K92" s="25" t="s">
        <v>121</v>
      </c>
      <c r="L92" s="25" t="s">
        <v>100</v>
      </c>
    </row>
    <row r="93" spans="2:12" s="1" customFormat="1">
      <c r="B93" s="13" t="s">
        <v>1037</v>
      </c>
      <c r="C93" s="13" t="s">
        <v>98</v>
      </c>
      <c r="D93" s="9" t="s">
        <v>1038</v>
      </c>
      <c r="E93" s="21" t="s">
        <v>587</v>
      </c>
      <c r="F93" s="71"/>
      <c r="G93" s="19" t="s">
        <v>1179</v>
      </c>
      <c r="H93" s="36"/>
      <c r="I93" s="36"/>
      <c r="J93" s="25" t="s">
        <v>99</v>
      </c>
      <c r="K93" s="25" t="s">
        <v>800</v>
      </c>
      <c r="L93" s="25" t="s">
        <v>100</v>
      </c>
    </row>
    <row r="94" spans="2:12" s="1" customFormat="1">
      <c r="B94" s="13" t="s">
        <v>1057</v>
      </c>
      <c r="C94" s="13" t="s">
        <v>98</v>
      </c>
      <c r="D94" s="9" t="s">
        <v>1039</v>
      </c>
      <c r="E94" s="21" t="s">
        <v>587</v>
      </c>
      <c r="F94" s="71"/>
      <c r="G94" s="71" t="s">
        <v>1150</v>
      </c>
      <c r="H94" s="36"/>
      <c r="I94" s="36"/>
      <c r="J94" s="25" t="s">
        <v>99</v>
      </c>
      <c r="K94" s="25" t="s">
        <v>121</v>
      </c>
      <c r="L94" s="25" t="s">
        <v>100</v>
      </c>
    </row>
    <row r="95" spans="2:12" s="1" customFormat="1" ht="26.4">
      <c r="B95" s="13" t="s">
        <v>1040</v>
      </c>
      <c r="C95" s="13" t="s">
        <v>98</v>
      </c>
      <c r="D95" s="9" t="s">
        <v>759</v>
      </c>
      <c r="E95" s="21" t="s">
        <v>587</v>
      </c>
      <c r="F95" s="71"/>
      <c r="G95" s="84" t="s">
        <v>941</v>
      </c>
      <c r="H95" s="36"/>
      <c r="I95" s="36"/>
      <c r="J95" s="25" t="s">
        <v>99</v>
      </c>
      <c r="K95" s="25" t="s">
        <v>121</v>
      </c>
      <c r="L95" s="25" t="s">
        <v>100</v>
      </c>
    </row>
    <row r="96" spans="2:12" s="1" customFormat="1" ht="26.4">
      <c r="B96" s="13" t="s">
        <v>1041</v>
      </c>
      <c r="C96" s="13" t="s">
        <v>98</v>
      </c>
      <c r="D96" s="9" t="s">
        <v>760</v>
      </c>
      <c r="E96" s="21" t="s">
        <v>587</v>
      </c>
      <c r="F96" s="71"/>
      <c r="G96" s="19" t="s">
        <v>942</v>
      </c>
      <c r="H96" s="36"/>
      <c r="I96" s="36"/>
      <c r="J96" s="25" t="s">
        <v>99</v>
      </c>
      <c r="K96" s="25" t="s">
        <v>121</v>
      </c>
      <c r="L96" s="25" t="s">
        <v>100</v>
      </c>
    </row>
    <row r="97" spans="2:15" s="1" customFormat="1">
      <c r="B97" s="13" t="s">
        <v>1042</v>
      </c>
      <c r="C97" s="13" t="s">
        <v>98</v>
      </c>
      <c r="D97" s="9" t="s">
        <v>761</v>
      </c>
      <c r="E97" s="21" t="s">
        <v>587</v>
      </c>
      <c r="F97" s="71"/>
      <c r="G97" s="19" t="s">
        <v>943</v>
      </c>
      <c r="H97" s="36"/>
      <c r="I97" s="36"/>
      <c r="J97" s="25" t="s">
        <v>99</v>
      </c>
      <c r="K97" s="25" t="s">
        <v>121</v>
      </c>
      <c r="L97" s="25" t="s">
        <v>100</v>
      </c>
    </row>
    <row r="98" spans="2:15" s="1" customFormat="1" ht="26.4">
      <c r="B98" s="13" t="s">
        <v>1043</v>
      </c>
      <c r="C98" s="13" t="s">
        <v>98</v>
      </c>
      <c r="D98" s="9" t="s">
        <v>1044</v>
      </c>
      <c r="E98" s="21" t="s">
        <v>587</v>
      </c>
      <c r="F98" s="71"/>
      <c r="G98" s="19" t="s">
        <v>1180</v>
      </c>
      <c r="H98" s="36"/>
      <c r="I98" s="36"/>
      <c r="J98" s="25" t="s">
        <v>99</v>
      </c>
      <c r="K98" s="25" t="s">
        <v>800</v>
      </c>
      <c r="L98" s="25" t="s">
        <v>100</v>
      </c>
    </row>
    <row r="99" spans="2:15" s="1" customFormat="1">
      <c r="B99" s="13" t="s">
        <v>1045</v>
      </c>
      <c r="C99" s="13" t="s">
        <v>98</v>
      </c>
      <c r="D99" s="9" t="s">
        <v>952</v>
      </c>
      <c r="E99" s="21" t="s">
        <v>587</v>
      </c>
      <c r="F99" s="71"/>
      <c r="G99" s="19" t="s">
        <v>120</v>
      </c>
      <c r="H99" s="36"/>
      <c r="I99" s="36"/>
      <c r="J99" s="25" t="s">
        <v>99</v>
      </c>
      <c r="K99" s="25" t="s">
        <v>121</v>
      </c>
      <c r="L99" s="25" t="s">
        <v>100</v>
      </c>
    </row>
    <row r="100" spans="2:15" s="1" customFormat="1">
      <c r="B100" s="13" t="s">
        <v>1046</v>
      </c>
      <c r="C100" s="13" t="s">
        <v>98</v>
      </c>
      <c r="D100" s="9" t="s">
        <v>953</v>
      </c>
      <c r="E100" s="21" t="s">
        <v>587</v>
      </c>
      <c r="F100" s="71"/>
      <c r="G100" s="19" t="s">
        <v>956</v>
      </c>
      <c r="H100" s="36"/>
      <c r="I100" s="36"/>
      <c r="J100" s="25" t="s">
        <v>99</v>
      </c>
      <c r="K100" s="25" t="s">
        <v>121</v>
      </c>
      <c r="L100" s="25" t="s">
        <v>100</v>
      </c>
    </row>
    <row r="101" spans="2:15" s="1" customFormat="1">
      <c r="B101" s="13" t="s">
        <v>1047</v>
      </c>
      <c r="C101" s="13" t="s">
        <v>98</v>
      </c>
      <c r="D101" s="9" t="s">
        <v>954</v>
      </c>
      <c r="E101" s="21" t="s">
        <v>587</v>
      </c>
      <c r="F101" s="71"/>
      <c r="G101" s="19" t="s">
        <v>957</v>
      </c>
      <c r="H101" s="36"/>
      <c r="I101" s="36"/>
      <c r="J101" s="25" t="s">
        <v>99</v>
      </c>
      <c r="K101" s="25" t="s">
        <v>121</v>
      </c>
      <c r="L101" s="25" t="s">
        <v>100</v>
      </c>
    </row>
    <row r="102" spans="2:15" s="1" customFormat="1">
      <c r="B102" s="13" t="s">
        <v>1048</v>
      </c>
      <c r="C102" s="13" t="s">
        <v>98</v>
      </c>
      <c r="D102" s="9" t="s">
        <v>955</v>
      </c>
      <c r="E102" s="21" t="s">
        <v>587</v>
      </c>
      <c r="F102" s="71"/>
      <c r="G102" s="19" t="s">
        <v>958</v>
      </c>
      <c r="H102" s="36"/>
      <c r="I102" s="36"/>
      <c r="J102" s="25" t="s">
        <v>99</v>
      </c>
      <c r="K102" s="25" t="s">
        <v>121</v>
      </c>
      <c r="L102" s="25" t="s">
        <v>100</v>
      </c>
    </row>
    <row r="103" spans="2:15" s="1" customFormat="1">
      <c r="B103" s="13" t="s">
        <v>295</v>
      </c>
      <c r="C103" s="13" t="s">
        <v>98</v>
      </c>
      <c r="D103" s="9" t="s">
        <v>918</v>
      </c>
      <c r="E103" s="21" t="s">
        <v>587</v>
      </c>
      <c r="F103" s="71"/>
      <c r="G103" s="84" t="s">
        <v>922</v>
      </c>
      <c r="H103" s="36"/>
      <c r="I103" s="36"/>
      <c r="J103" s="25" t="s">
        <v>99</v>
      </c>
      <c r="K103" s="25" t="s">
        <v>121</v>
      </c>
      <c r="L103" s="25" t="s">
        <v>100</v>
      </c>
    </row>
    <row r="104" spans="2:15" s="1" customFormat="1">
      <c r="B104" s="13" t="s">
        <v>296</v>
      </c>
      <c r="C104" s="13" t="s">
        <v>98</v>
      </c>
      <c r="D104" s="9" t="s">
        <v>919</v>
      </c>
      <c r="E104" s="21" t="s">
        <v>587</v>
      </c>
      <c r="F104" s="71"/>
      <c r="G104" s="19" t="s">
        <v>923</v>
      </c>
      <c r="H104" s="36"/>
      <c r="I104" s="36"/>
      <c r="J104" s="25" t="s">
        <v>99</v>
      </c>
      <c r="K104" s="25" t="s">
        <v>121</v>
      </c>
      <c r="L104" s="25" t="s">
        <v>100</v>
      </c>
    </row>
    <row r="105" spans="2:15" s="1" customFormat="1">
      <c r="B105" s="13" t="s">
        <v>297</v>
      </c>
      <c r="C105" s="13" t="s">
        <v>98</v>
      </c>
      <c r="D105" s="9" t="s">
        <v>920</v>
      </c>
      <c r="E105" s="21" t="s">
        <v>587</v>
      </c>
      <c r="F105" s="71"/>
      <c r="G105" s="19" t="s">
        <v>924</v>
      </c>
      <c r="H105" s="36"/>
      <c r="I105" s="36"/>
      <c r="J105" s="25" t="s">
        <v>99</v>
      </c>
      <c r="K105" s="25" t="s">
        <v>121</v>
      </c>
      <c r="L105" s="25" t="s">
        <v>100</v>
      </c>
    </row>
    <row r="106" spans="2:15" s="1" customFormat="1">
      <c r="B106" s="13" t="s">
        <v>298</v>
      </c>
      <c r="C106" s="13" t="s">
        <v>98</v>
      </c>
      <c r="D106" s="9" t="s">
        <v>921</v>
      </c>
      <c r="E106" s="21" t="s">
        <v>587</v>
      </c>
      <c r="F106" s="71"/>
      <c r="G106" s="19" t="s">
        <v>925</v>
      </c>
      <c r="H106" s="36"/>
      <c r="I106" s="36"/>
      <c r="J106" s="25" t="s">
        <v>99</v>
      </c>
      <c r="K106" s="25" t="s">
        <v>121</v>
      </c>
      <c r="L106" s="25" t="s">
        <v>100</v>
      </c>
    </row>
    <row r="107" spans="2:15" s="2" customFormat="1">
      <c r="B107" s="14" t="s">
        <v>80</v>
      </c>
      <c r="C107" s="15" t="s">
        <v>75</v>
      </c>
      <c r="D107" s="16" t="s">
        <v>103</v>
      </c>
      <c r="E107" s="14"/>
      <c r="F107" s="14"/>
      <c r="G107" s="14"/>
      <c r="H107" s="14"/>
      <c r="I107" s="14"/>
      <c r="J107" s="14"/>
      <c r="K107" s="14"/>
      <c r="L107" s="14"/>
      <c r="O107" s="1"/>
    </row>
    <row r="108" spans="2:15" s="2" customFormat="1">
      <c r="B108" s="14" t="s">
        <v>0</v>
      </c>
      <c r="C108" s="15" t="s">
        <v>71</v>
      </c>
      <c r="D108" s="16" t="s">
        <v>104</v>
      </c>
      <c r="E108" s="14"/>
      <c r="F108" s="14"/>
      <c r="G108" s="14"/>
      <c r="H108" s="14"/>
      <c r="I108" s="14"/>
      <c r="J108" s="14"/>
      <c r="K108" s="14"/>
      <c r="L108" s="14"/>
    </row>
    <row r="109" spans="2:15" s="2" customFormat="1">
      <c r="B109" s="14" t="s">
        <v>1</v>
      </c>
      <c r="C109" s="15" t="s">
        <v>75</v>
      </c>
      <c r="D109" s="16" t="s">
        <v>105</v>
      </c>
      <c r="E109" s="14"/>
      <c r="F109" s="14"/>
      <c r="G109" s="14"/>
      <c r="H109" s="14"/>
      <c r="I109" s="14"/>
      <c r="J109" s="14"/>
      <c r="K109" s="14"/>
      <c r="L109" s="14"/>
    </row>
  </sheetData>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86938-6594-4C3B-8874-B7AD27776C29}">
  <dimension ref="A1:O61"/>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36.109375" style="3" customWidth="1"/>
    <col min="3" max="3" width="29.109375" style="3" bestFit="1"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2">
      <c r="B1" s="5" t="str">
        <f>HYPERLINK("#导航!a2","返回")</f>
        <v>返回</v>
      </c>
    </row>
    <row r="2" spans="2:12">
      <c r="B2" s="121"/>
      <c r="C2" s="121"/>
      <c r="D2" s="121"/>
      <c r="E2" s="121"/>
      <c r="F2" s="121"/>
      <c r="G2" s="121"/>
      <c r="H2" s="121"/>
    </row>
    <row r="3" spans="2:12">
      <c r="B3" s="122" t="s">
        <v>45</v>
      </c>
      <c r="C3" s="122"/>
      <c r="D3" s="122"/>
      <c r="E3" s="122"/>
      <c r="F3" s="122"/>
      <c r="G3" s="122"/>
      <c r="H3" s="122"/>
    </row>
    <row r="4" spans="2:12">
      <c r="B4" s="7" t="s">
        <v>11</v>
      </c>
      <c r="C4" s="7" t="s">
        <v>46</v>
      </c>
      <c r="D4" s="7" t="s">
        <v>47</v>
      </c>
      <c r="E4" s="7" t="s">
        <v>48</v>
      </c>
      <c r="F4" s="11" t="s">
        <v>49</v>
      </c>
      <c r="G4" s="11" t="s">
        <v>14</v>
      </c>
      <c r="H4" s="11" t="s">
        <v>50</v>
      </c>
    </row>
    <row r="5" spans="2:12">
      <c r="B5" s="8" t="s">
        <v>39</v>
      </c>
      <c r="C5" s="9" t="s">
        <v>1154</v>
      </c>
      <c r="D5" s="10" t="s">
        <v>1063</v>
      </c>
      <c r="E5" s="12" t="s">
        <v>6</v>
      </c>
      <c r="F5" s="17"/>
      <c r="G5" s="9" t="s">
        <v>1065</v>
      </c>
      <c r="H5" s="12"/>
    </row>
    <row r="6" spans="2:12">
      <c r="B6" s="6"/>
      <c r="C6" s="6"/>
      <c r="D6" s="6"/>
      <c r="E6" s="6"/>
      <c r="F6" s="18"/>
      <c r="G6" s="18"/>
      <c r="H6" s="18"/>
    </row>
    <row r="7" spans="2:12">
      <c r="B7" s="122" t="s">
        <v>51</v>
      </c>
      <c r="C7" s="122"/>
      <c r="D7" s="122"/>
      <c r="E7" s="122"/>
      <c r="F7" s="122"/>
      <c r="G7" s="122"/>
      <c r="H7" s="122"/>
    </row>
    <row r="8" spans="2:12">
      <c r="B8" s="11" t="s">
        <v>52</v>
      </c>
      <c r="C8" s="11" t="s">
        <v>53</v>
      </c>
      <c r="D8" s="11" t="s">
        <v>54</v>
      </c>
      <c r="E8" s="11" t="s">
        <v>55</v>
      </c>
      <c r="F8" s="11" t="s">
        <v>56</v>
      </c>
      <c r="G8" s="11" t="s">
        <v>24</v>
      </c>
      <c r="H8" s="11" t="s">
        <v>57</v>
      </c>
    </row>
    <row r="9" spans="2:12">
      <c r="B9" s="12"/>
      <c r="C9" s="34" t="s">
        <v>765</v>
      </c>
      <c r="D9" s="10" t="s">
        <v>766</v>
      </c>
      <c r="E9" s="12" t="s">
        <v>58</v>
      </c>
      <c r="F9" s="19"/>
      <c r="G9" s="19" t="s">
        <v>1139</v>
      </c>
      <c r="H9" s="20" t="s">
        <v>30</v>
      </c>
    </row>
    <row r="11" spans="2:12">
      <c r="B11" s="3" t="s">
        <v>59</v>
      </c>
    </row>
    <row r="12" spans="2:12">
      <c r="B12" s="122" t="s">
        <v>59</v>
      </c>
      <c r="C12" s="122"/>
      <c r="D12" s="122"/>
      <c r="E12" s="122"/>
      <c r="F12" s="122"/>
      <c r="G12" s="122"/>
      <c r="H12" s="122"/>
      <c r="I12" s="122"/>
      <c r="J12" s="122"/>
      <c r="K12" s="122"/>
      <c r="L12" s="122"/>
    </row>
    <row r="13" spans="2:12">
      <c r="B13" s="7" t="s">
        <v>60</v>
      </c>
      <c r="C13" s="7" t="s">
        <v>61</v>
      </c>
      <c r="D13" s="7" t="s">
        <v>62</v>
      </c>
      <c r="E13" s="7" t="s">
        <v>63</v>
      </c>
      <c r="F13" s="11" t="s">
        <v>64</v>
      </c>
      <c r="G13" s="11" t="s">
        <v>65</v>
      </c>
      <c r="H13" s="11" t="s">
        <v>66</v>
      </c>
      <c r="I13" s="7" t="s">
        <v>24</v>
      </c>
      <c r="J13" s="7" t="s">
        <v>67</v>
      </c>
      <c r="K13" s="7" t="s">
        <v>68</v>
      </c>
      <c r="L13" s="7" t="s">
        <v>69</v>
      </c>
    </row>
    <row r="14" spans="2:12" s="1" customFormat="1">
      <c r="B14" s="13" t="s">
        <v>70</v>
      </c>
      <c r="C14" s="13" t="s">
        <v>71</v>
      </c>
      <c r="D14" s="9" t="s">
        <v>1066</v>
      </c>
      <c r="E14" s="12" t="s">
        <v>58</v>
      </c>
      <c r="F14" s="19" t="s">
        <v>303</v>
      </c>
      <c r="G14" s="19" t="s">
        <v>302</v>
      </c>
      <c r="H14" s="71"/>
      <c r="I14" s="25"/>
      <c r="J14" s="25" t="s">
        <v>304</v>
      </c>
      <c r="K14" s="25" t="s">
        <v>305</v>
      </c>
      <c r="L14" s="25" t="s">
        <v>305</v>
      </c>
    </row>
    <row r="15" spans="2:12" s="1" customFormat="1">
      <c r="B15" s="13" t="s">
        <v>6</v>
      </c>
      <c r="C15" s="13" t="s">
        <v>222</v>
      </c>
      <c r="D15" s="9" t="s">
        <v>1067</v>
      </c>
      <c r="E15" s="12" t="s">
        <v>58</v>
      </c>
      <c r="F15" s="19" t="s">
        <v>1052</v>
      </c>
      <c r="G15" s="19" t="s">
        <v>302</v>
      </c>
      <c r="H15" s="71"/>
      <c r="I15" s="25"/>
      <c r="J15" s="25" t="s">
        <v>304</v>
      </c>
      <c r="K15" s="25" t="s">
        <v>305</v>
      </c>
      <c r="L15" s="25" t="s">
        <v>305</v>
      </c>
    </row>
    <row r="16" spans="2:12" s="1" customFormat="1">
      <c r="B16" s="13" t="s">
        <v>308</v>
      </c>
      <c r="C16" s="13" t="s">
        <v>71</v>
      </c>
      <c r="D16" s="9" t="s">
        <v>968</v>
      </c>
      <c r="E16" s="12" t="s">
        <v>58</v>
      </c>
      <c r="F16" s="19" t="s">
        <v>108</v>
      </c>
      <c r="G16" s="19" t="s">
        <v>302</v>
      </c>
      <c r="H16" s="71"/>
      <c r="I16" s="25"/>
      <c r="J16" s="25" t="s">
        <v>304</v>
      </c>
      <c r="K16" s="25" t="s">
        <v>305</v>
      </c>
      <c r="L16" s="25" t="s">
        <v>305</v>
      </c>
    </row>
    <row r="17" spans="2:12" s="1" customFormat="1">
      <c r="B17" s="13" t="s">
        <v>94</v>
      </c>
      <c r="C17" s="13" t="s">
        <v>71</v>
      </c>
      <c r="D17" s="9" t="s">
        <v>221</v>
      </c>
      <c r="E17" s="12" t="s">
        <v>58</v>
      </c>
      <c r="F17" s="19" t="s">
        <v>94</v>
      </c>
      <c r="G17" s="19" t="s">
        <v>302</v>
      </c>
      <c r="H17" s="71"/>
      <c r="I17" s="25"/>
      <c r="J17" s="25" t="s">
        <v>304</v>
      </c>
      <c r="K17" s="25" t="s">
        <v>305</v>
      </c>
      <c r="L17" s="25" t="s">
        <v>305</v>
      </c>
    </row>
    <row r="18" spans="2:12" s="1" customFormat="1">
      <c r="B18" s="13" t="s">
        <v>92</v>
      </c>
      <c r="C18" s="13" t="s">
        <v>98</v>
      </c>
      <c r="D18" s="9" t="s">
        <v>1068</v>
      </c>
      <c r="E18" s="12" t="s">
        <v>58</v>
      </c>
      <c r="F18" s="19" t="s">
        <v>92</v>
      </c>
      <c r="G18" s="19" t="s">
        <v>302</v>
      </c>
      <c r="H18" s="71"/>
      <c r="I18" s="25"/>
      <c r="J18" s="25" t="s">
        <v>304</v>
      </c>
      <c r="K18" s="25" t="s">
        <v>305</v>
      </c>
      <c r="L18" s="25" t="s">
        <v>305</v>
      </c>
    </row>
    <row r="19" spans="2:12" s="1" customFormat="1">
      <c r="B19" s="13" t="s">
        <v>1055</v>
      </c>
      <c r="C19" s="13" t="s">
        <v>71</v>
      </c>
      <c r="D19" s="9" t="s">
        <v>523</v>
      </c>
      <c r="E19" s="12" t="s">
        <v>58</v>
      </c>
      <c r="F19" s="19" t="s">
        <v>459</v>
      </c>
      <c r="G19" s="19" t="s">
        <v>302</v>
      </c>
      <c r="H19" s="71"/>
      <c r="I19" s="25"/>
      <c r="J19" s="25" t="s">
        <v>304</v>
      </c>
      <c r="K19" s="25" t="s">
        <v>305</v>
      </c>
      <c r="L19" s="25" t="s">
        <v>305</v>
      </c>
    </row>
    <row r="20" spans="2:12" s="1" customFormat="1">
      <c r="B20" s="13" t="s">
        <v>622</v>
      </c>
      <c r="C20" s="13" t="s">
        <v>71</v>
      </c>
      <c r="D20" s="9" t="s">
        <v>1069</v>
      </c>
      <c r="E20" s="12" t="s">
        <v>58</v>
      </c>
      <c r="F20" s="19" t="s">
        <v>460</v>
      </c>
      <c r="G20" s="19" t="s">
        <v>302</v>
      </c>
      <c r="H20" s="71"/>
      <c r="I20" s="25"/>
      <c r="J20" s="25" t="s">
        <v>304</v>
      </c>
      <c r="K20" s="25" t="s">
        <v>305</v>
      </c>
      <c r="L20" s="25" t="s">
        <v>305</v>
      </c>
    </row>
    <row r="21" spans="2:12" s="1" customFormat="1">
      <c r="B21" s="13" t="s">
        <v>96</v>
      </c>
      <c r="C21" s="13" t="s">
        <v>71</v>
      </c>
      <c r="D21" s="9" t="s">
        <v>507</v>
      </c>
      <c r="E21" s="12" t="s">
        <v>58</v>
      </c>
      <c r="F21" s="27" t="s">
        <v>96</v>
      </c>
      <c r="G21" s="19" t="s">
        <v>302</v>
      </c>
      <c r="H21" s="71"/>
      <c r="I21" s="25"/>
      <c r="J21" s="25" t="s">
        <v>304</v>
      </c>
      <c r="K21" s="25" t="s">
        <v>305</v>
      </c>
      <c r="L21" s="25" t="s">
        <v>305</v>
      </c>
    </row>
    <row r="22" spans="2:12" s="1" customFormat="1">
      <c r="B22" s="13" t="s">
        <v>1070</v>
      </c>
      <c r="C22" s="13" t="s">
        <v>98</v>
      </c>
      <c r="D22" s="9" t="s">
        <v>1071</v>
      </c>
      <c r="E22" s="12" t="s">
        <v>58</v>
      </c>
      <c r="F22" s="19"/>
      <c r="G22" s="19" t="s">
        <v>1144</v>
      </c>
      <c r="H22" s="71"/>
      <c r="I22" s="25"/>
      <c r="J22" s="25" t="s">
        <v>306</v>
      </c>
      <c r="K22" s="25" t="s">
        <v>1208</v>
      </c>
      <c r="L22" s="25" t="s">
        <v>1209</v>
      </c>
    </row>
    <row r="23" spans="2:12" s="1" customFormat="1">
      <c r="B23" s="13" t="s">
        <v>1072</v>
      </c>
      <c r="C23" s="13" t="s">
        <v>98</v>
      </c>
      <c r="D23" s="9" t="s">
        <v>1073</v>
      </c>
      <c r="E23" s="12" t="s">
        <v>58</v>
      </c>
      <c r="F23" s="19"/>
      <c r="G23" s="19" t="s">
        <v>1181</v>
      </c>
      <c r="H23" s="71"/>
      <c r="I23" s="25"/>
      <c r="J23" s="25" t="s">
        <v>306</v>
      </c>
      <c r="K23" s="25" t="s">
        <v>1208</v>
      </c>
      <c r="L23" s="25" t="s">
        <v>1209</v>
      </c>
    </row>
    <row r="24" spans="2:12" s="1" customFormat="1">
      <c r="B24" s="13" t="s">
        <v>1074</v>
      </c>
      <c r="C24" s="13" t="s">
        <v>98</v>
      </c>
      <c r="D24" s="9" t="s">
        <v>2364</v>
      </c>
      <c r="E24" s="12" t="s">
        <v>58</v>
      </c>
      <c r="F24" s="19"/>
      <c r="G24" s="19" t="s">
        <v>1182</v>
      </c>
      <c r="H24" s="71"/>
      <c r="I24" s="25"/>
      <c r="J24" s="25" t="s">
        <v>306</v>
      </c>
      <c r="K24" s="25" t="s">
        <v>1208</v>
      </c>
      <c r="L24" s="25" t="s">
        <v>1209</v>
      </c>
    </row>
    <row r="25" spans="2:12" s="1" customFormat="1">
      <c r="B25" s="13" t="s">
        <v>1075</v>
      </c>
      <c r="C25" s="13" t="s">
        <v>98</v>
      </c>
      <c r="D25" s="9" t="s">
        <v>2365</v>
      </c>
      <c r="E25" s="12" t="s">
        <v>58</v>
      </c>
      <c r="F25" s="19"/>
      <c r="G25" s="19" t="s">
        <v>1183</v>
      </c>
      <c r="H25" s="71"/>
      <c r="I25" s="25"/>
      <c r="J25" s="25" t="s">
        <v>306</v>
      </c>
      <c r="K25" s="25" t="s">
        <v>1208</v>
      </c>
      <c r="L25" s="25" t="s">
        <v>1209</v>
      </c>
    </row>
    <row r="26" spans="2:12" s="1" customFormat="1">
      <c r="B26" s="13" t="s">
        <v>1076</v>
      </c>
      <c r="C26" s="13" t="s">
        <v>98</v>
      </c>
      <c r="D26" s="9" t="s">
        <v>1077</v>
      </c>
      <c r="E26" s="12" t="s">
        <v>58</v>
      </c>
      <c r="F26" s="19"/>
      <c r="G26" s="19" t="s">
        <v>806</v>
      </c>
      <c r="H26" s="71"/>
      <c r="I26" s="25"/>
      <c r="J26" s="25" t="s">
        <v>306</v>
      </c>
      <c r="K26" s="25" t="s">
        <v>1208</v>
      </c>
      <c r="L26" s="25" t="s">
        <v>1209</v>
      </c>
    </row>
    <row r="27" spans="2:12" s="1" customFormat="1">
      <c r="B27" s="13" t="s">
        <v>1078</v>
      </c>
      <c r="C27" s="13" t="s">
        <v>98</v>
      </c>
      <c r="D27" s="9" t="s">
        <v>1079</v>
      </c>
      <c r="E27" s="12" t="s">
        <v>58</v>
      </c>
      <c r="F27" s="19"/>
      <c r="G27" s="19" t="s">
        <v>1184</v>
      </c>
      <c r="H27" s="71"/>
      <c r="I27" s="25"/>
      <c r="J27" s="25" t="s">
        <v>306</v>
      </c>
      <c r="K27" s="25" t="s">
        <v>1208</v>
      </c>
      <c r="L27" s="25" t="s">
        <v>1209</v>
      </c>
    </row>
    <row r="28" spans="2:12" s="1" customFormat="1">
      <c r="B28" s="13" t="s">
        <v>1080</v>
      </c>
      <c r="C28" s="13" t="s">
        <v>98</v>
      </c>
      <c r="D28" s="9" t="s">
        <v>1081</v>
      </c>
      <c r="E28" s="12" t="s">
        <v>58</v>
      </c>
      <c r="F28" s="19"/>
      <c r="G28" s="19" t="s">
        <v>842</v>
      </c>
      <c r="H28" s="71"/>
      <c r="I28" s="25"/>
      <c r="J28" s="25" t="s">
        <v>306</v>
      </c>
      <c r="K28" s="25" t="s">
        <v>1208</v>
      </c>
      <c r="L28" s="25" t="s">
        <v>1209</v>
      </c>
    </row>
    <row r="29" spans="2:12" s="1" customFormat="1">
      <c r="B29" s="13" t="s">
        <v>1082</v>
      </c>
      <c r="C29" s="13" t="s">
        <v>98</v>
      </c>
      <c r="D29" s="9" t="s">
        <v>1083</v>
      </c>
      <c r="E29" s="12" t="s">
        <v>58</v>
      </c>
      <c r="F29" s="27"/>
      <c r="G29" s="19" t="s">
        <v>1185</v>
      </c>
      <c r="H29" s="71"/>
      <c r="I29" s="25"/>
      <c r="J29" s="25" t="s">
        <v>306</v>
      </c>
      <c r="K29" s="25" t="s">
        <v>1208</v>
      </c>
      <c r="L29" s="25" t="s">
        <v>1209</v>
      </c>
    </row>
    <row r="30" spans="2:12" s="1" customFormat="1">
      <c r="B30" s="13" t="s">
        <v>1120</v>
      </c>
      <c r="C30" s="13" t="s">
        <v>98</v>
      </c>
      <c r="D30" s="9" t="s">
        <v>1084</v>
      </c>
      <c r="E30" s="12" t="s">
        <v>58</v>
      </c>
      <c r="F30" s="19"/>
      <c r="G30" s="19" t="s">
        <v>915</v>
      </c>
      <c r="H30" s="71"/>
      <c r="I30" s="25"/>
      <c r="J30" s="25" t="s">
        <v>306</v>
      </c>
      <c r="K30" s="25" t="s">
        <v>1208</v>
      </c>
      <c r="L30" s="25" t="s">
        <v>1209</v>
      </c>
    </row>
    <row r="31" spans="2:12" s="1" customFormat="1">
      <c r="B31" s="13" t="s">
        <v>1121</v>
      </c>
      <c r="C31" s="13" t="s">
        <v>98</v>
      </c>
      <c r="D31" s="9" t="s">
        <v>1085</v>
      </c>
      <c r="E31" s="12" t="s">
        <v>58</v>
      </c>
      <c r="F31" s="19"/>
      <c r="G31" s="19" t="s">
        <v>1186</v>
      </c>
      <c r="H31" s="71"/>
      <c r="I31" s="25"/>
      <c r="J31" s="25" t="s">
        <v>306</v>
      </c>
      <c r="K31" s="25" t="s">
        <v>1208</v>
      </c>
      <c r="L31" s="25" t="s">
        <v>1209</v>
      </c>
    </row>
    <row r="32" spans="2:12" s="1" customFormat="1">
      <c r="B32" s="13" t="s">
        <v>1130</v>
      </c>
      <c r="C32" s="13" t="s">
        <v>98</v>
      </c>
      <c r="D32" s="9" t="s">
        <v>1086</v>
      </c>
      <c r="E32" s="12" t="s">
        <v>58</v>
      </c>
      <c r="F32" s="19"/>
      <c r="G32" s="19" t="s">
        <v>1187</v>
      </c>
      <c r="H32" s="71"/>
      <c r="I32" s="25"/>
      <c r="J32" s="25" t="s">
        <v>306</v>
      </c>
      <c r="K32" s="25" t="s">
        <v>1208</v>
      </c>
      <c r="L32" s="25" t="s">
        <v>1209</v>
      </c>
    </row>
    <row r="33" spans="2:12" s="1" customFormat="1">
      <c r="B33" s="13" t="s">
        <v>1087</v>
      </c>
      <c r="C33" s="13" t="s">
        <v>98</v>
      </c>
      <c r="D33" s="9" t="s">
        <v>1088</v>
      </c>
      <c r="E33" s="12" t="s">
        <v>58</v>
      </c>
      <c r="F33" s="19"/>
      <c r="G33" s="19" t="s">
        <v>1188</v>
      </c>
      <c r="H33" s="71"/>
      <c r="I33" s="25"/>
      <c r="J33" s="25" t="s">
        <v>306</v>
      </c>
      <c r="K33" s="25" t="s">
        <v>1208</v>
      </c>
      <c r="L33" s="25" t="s">
        <v>1209</v>
      </c>
    </row>
    <row r="34" spans="2:12" s="1" customFormat="1">
      <c r="B34" s="13" t="s">
        <v>1122</v>
      </c>
      <c r="C34" s="13" t="s">
        <v>98</v>
      </c>
      <c r="D34" s="9" t="s">
        <v>1089</v>
      </c>
      <c r="E34" s="12" t="s">
        <v>58</v>
      </c>
      <c r="F34" s="19"/>
      <c r="G34" s="19" t="s">
        <v>950</v>
      </c>
      <c r="H34" s="71"/>
      <c r="I34" s="25"/>
      <c r="J34" s="25" t="s">
        <v>306</v>
      </c>
      <c r="K34" s="25" t="s">
        <v>1208</v>
      </c>
      <c r="L34" s="25" t="s">
        <v>1209</v>
      </c>
    </row>
    <row r="35" spans="2:12" s="1" customFormat="1">
      <c r="B35" s="13" t="s">
        <v>1123</v>
      </c>
      <c r="C35" s="13" t="s">
        <v>98</v>
      </c>
      <c r="D35" s="27" t="s">
        <v>1090</v>
      </c>
      <c r="E35" s="12" t="s">
        <v>58</v>
      </c>
      <c r="F35" s="19"/>
      <c r="G35" s="19" t="s">
        <v>1189</v>
      </c>
      <c r="H35" s="36"/>
      <c r="I35" s="36"/>
      <c r="J35" s="25" t="s">
        <v>306</v>
      </c>
      <c r="K35" s="25" t="s">
        <v>1208</v>
      </c>
      <c r="L35" s="25" t="s">
        <v>1209</v>
      </c>
    </row>
    <row r="36" spans="2:12" s="1" customFormat="1">
      <c r="B36" s="13" t="s">
        <v>1091</v>
      </c>
      <c r="C36" s="13" t="s">
        <v>98</v>
      </c>
      <c r="D36" s="9" t="s">
        <v>1092</v>
      </c>
      <c r="E36" s="12" t="s">
        <v>58</v>
      </c>
      <c r="F36" s="19"/>
      <c r="G36" s="19" t="s">
        <v>855</v>
      </c>
      <c r="H36" s="36"/>
      <c r="I36" s="36"/>
      <c r="J36" s="25" t="s">
        <v>306</v>
      </c>
      <c r="K36" s="25" t="s">
        <v>1208</v>
      </c>
      <c r="L36" s="25" t="s">
        <v>1209</v>
      </c>
    </row>
    <row r="37" spans="2:12" s="1" customFormat="1">
      <c r="B37" s="13" t="s">
        <v>1093</v>
      </c>
      <c r="C37" s="13" t="s">
        <v>98</v>
      </c>
      <c r="D37" s="9" t="s">
        <v>1094</v>
      </c>
      <c r="E37" s="12" t="s">
        <v>58</v>
      </c>
      <c r="F37" s="19"/>
      <c r="G37" s="19" t="s">
        <v>1190</v>
      </c>
      <c r="H37" s="36"/>
      <c r="I37" s="36"/>
      <c r="J37" s="25" t="s">
        <v>306</v>
      </c>
      <c r="K37" s="25" t="s">
        <v>1208</v>
      </c>
      <c r="L37" s="25" t="s">
        <v>1209</v>
      </c>
    </row>
    <row r="38" spans="2:12" s="1" customFormat="1">
      <c r="B38" s="13" t="s">
        <v>1095</v>
      </c>
      <c r="C38" s="13" t="s">
        <v>98</v>
      </c>
      <c r="D38" s="9" t="s">
        <v>1096</v>
      </c>
      <c r="E38" s="12" t="s">
        <v>58</v>
      </c>
      <c r="F38" s="19"/>
      <c r="G38" s="19" t="s">
        <v>1191</v>
      </c>
      <c r="H38" s="36"/>
      <c r="I38" s="36"/>
      <c r="J38" s="25" t="s">
        <v>306</v>
      </c>
      <c r="K38" s="25" t="s">
        <v>1208</v>
      </c>
      <c r="L38" s="25" t="s">
        <v>1209</v>
      </c>
    </row>
    <row r="39" spans="2:12" s="1" customFormat="1">
      <c r="B39" s="13" t="s">
        <v>1097</v>
      </c>
      <c r="C39" s="13" t="s">
        <v>98</v>
      </c>
      <c r="D39" s="9" t="s">
        <v>1098</v>
      </c>
      <c r="E39" s="12" t="s">
        <v>58</v>
      </c>
      <c r="F39" s="71"/>
      <c r="G39" s="19" t="s">
        <v>1192</v>
      </c>
      <c r="H39" s="36"/>
      <c r="I39" s="36"/>
      <c r="J39" s="25" t="s">
        <v>306</v>
      </c>
      <c r="K39" s="25" t="s">
        <v>1208</v>
      </c>
      <c r="L39" s="25" t="s">
        <v>1209</v>
      </c>
    </row>
    <row r="40" spans="2:12" s="1" customFormat="1">
      <c r="B40" s="13" t="s">
        <v>1031</v>
      </c>
      <c r="C40" s="13" t="s">
        <v>75</v>
      </c>
      <c r="D40" s="9" t="s">
        <v>704</v>
      </c>
      <c r="E40" s="12" t="s">
        <v>58</v>
      </c>
      <c r="F40" s="71"/>
      <c r="G40" s="19" t="s">
        <v>908</v>
      </c>
      <c r="H40" s="36"/>
      <c r="I40" s="36"/>
      <c r="J40" s="25" t="s">
        <v>306</v>
      </c>
      <c r="K40" s="25" t="s">
        <v>1208</v>
      </c>
      <c r="L40" s="25" t="s">
        <v>1209</v>
      </c>
    </row>
    <row r="41" spans="2:12" s="1" customFormat="1">
      <c r="B41" s="13" t="s">
        <v>1032</v>
      </c>
      <c r="C41" s="13" t="s">
        <v>75</v>
      </c>
      <c r="D41" s="9" t="s">
        <v>705</v>
      </c>
      <c r="E41" s="12" t="s">
        <v>58</v>
      </c>
      <c r="F41" s="71"/>
      <c r="G41" s="19" t="s">
        <v>1193</v>
      </c>
      <c r="H41" s="36"/>
      <c r="I41" s="36"/>
      <c r="J41" s="25" t="s">
        <v>306</v>
      </c>
      <c r="K41" s="25" t="s">
        <v>1208</v>
      </c>
      <c r="L41" s="25" t="s">
        <v>1209</v>
      </c>
    </row>
    <row r="42" spans="2:12" s="1" customFormat="1">
      <c r="B42" s="13" t="s">
        <v>1099</v>
      </c>
      <c r="C42" s="13" t="s">
        <v>75</v>
      </c>
      <c r="D42" s="9" t="s">
        <v>1100</v>
      </c>
      <c r="E42" s="12" t="s">
        <v>58</v>
      </c>
      <c r="F42" s="71"/>
      <c r="G42" s="19" t="s">
        <v>938</v>
      </c>
      <c r="H42" s="36"/>
      <c r="I42" s="36"/>
      <c r="J42" s="25" t="s">
        <v>306</v>
      </c>
      <c r="K42" s="25" t="s">
        <v>1208</v>
      </c>
      <c r="L42" s="25" t="s">
        <v>1209</v>
      </c>
    </row>
    <row r="43" spans="2:12" s="1" customFormat="1">
      <c r="B43" s="13" t="s">
        <v>1101</v>
      </c>
      <c r="C43" s="13" t="s">
        <v>75</v>
      </c>
      <c r="D43" s="9" t="s">
        <v>1102</v>
      </c>
      <c r="E43" s="12" t="s">
        <v>58</v>
      </c>
      <c r="F43" s="71"/>
      <c r="G43" s="19" t="s">
        <v>1194</v>
      </c>
      <c r="H43" s="36"/>
      <c r="I43" s="36"/>
      <c r="J43" s="25" t="s">
        <v>306</v>
      </c>
      <c r="K43" s="25" t="s">
        <v>1208</v>
      </c>
      <c r="L43" s="25" t="s">
        <v>1209</v>
      </c>
    </row>
    <row r="44" spans="2:12" s="1" customFormat="1">
      <c r="B44" s="13" t="s">
        <v>1103</v>
      </c>
      <c r="C44" s="13" t="s">
        <v>75</v>
      </c>
      <c r="D44" s="9" t="s">
        <v>711</v>
      </c>
      <c r="E44" s="12" t="s">
        <v>58</v>
      </c>
      <c r="F44" s="71"/>
      <c r="G44" s="19" t="s">
        <v>931</v>
      </c>
      <c r="H44" s="36"/>
      <c r="I44" s="36"/>
      <c r="J44" s="25" t="s">
        <v>306</v>
      </c>
      <c r="K44" s="25" t="s">
        <v>1208</v>
      </c>
      <c r="L44" s="25" t="s">
        <v>1209</v>
      </c>
    </row>
    <row r="45" spans="2:12" s="1" customFormat="1">
      <c r="B45" s="13" t="s">
        <v>1104</v>
      </c>
      <c r="C45" s="13" t="s">
        <v>75</v>
      </c>
      <c r="D45" s="9" t="s">
        <v>712</v>
      </c>
      <c r="E45" s="12" t="s">
        <v>58</v>
      </c>
      <c r="F45" s="71"/>
      <c r="G45" s="19" t="s">
        <v>1195</v>
      </c>
      <c r="H45" s="36"/>
      <c r="I45" s="36"/>
      <c r="J45" s="25" t="s">
        <v>306</v>
      </c>
      <c r="K45" s="25" t="s">
        <v>1208</v>
      </c>
      <c r="L45" s="25" t="s">
        <v>1209</v>
      </c>
    </row>
    <row r="46" spans="2:12" s="1" customFormat="1">
      <c r="B46" s="13" t="s">
        <v>1105</v>
      </c>
      <c r="C46" s="13" t="s">
        <v>98</v>
      </c>
      <c r="D46" s="9" t="s">
        <v>1106</v>
      </c>
      <c r="E46" s="12" t="s">
        <v>58</v>
      </c>
      <c r="F46" s="71"/>
      <c r="G46" s="19" t="s">
        <v>951</v>
      </c>
      <c r="H46" s="36"/>
      <c r="I46" s="36"/>
      <c r="J46" s="25" t="s">
        <v>306</v>
      </c>
      <c r="K46" s="25" t="s">
        <v>1208</v>
      </c>
      <c r="L46" s="25" t="s">
        <v>1209</v>
      </c>
    </row>
    <row r="47" spans="2:12" s="1" customFormat="1">
      <c r="B47" s="13" t="s">
        <v>1107</v>
      </c>
      <c r="C47" s="13" t="s">
        <v>98</v>
      </c>
      <c r="D47" s="9" t="s">
        <v>1108</v>
      </c>
      <c r="E47" s="12" t="s">
        <v>58</v>
      </c>
      <c r="F47" s="71"/>
      <c r="G47" s="19" t="s">
        <v>1196</v>
      </c>
      <c r="H47" s="36"/>
      <c r="I47" s="36"/>
      <c r="J47" s="25" t="s">
        <v>306</v>
      </c>
      <c r="K47" s="25" t="s">
        <v>1208</v>
      </c>
      <c r="L47" s="25" t="s">
        <v>1209</v>
      </c>
    </row>
    <row r="48" spans="2:12" s="1" customFormat="1">
      <c r="B48" s="13" t="s">
        <v>1109</v>
      </c>
      <c r="C48" s="13" t="s">
        <v>75</v>
      </c>
      <c r="D48" s="9" t="s">
        <v>718</v>
      </c>
      <c r="E48" s="12" t="s">
        <v>58</v>
      </c>
      <c r="F48" s="71"/>
      <c r="G48" s="19" t="s">
        <v>1197</v>
      </c>
      <c r="H48" s="36"/>
      <c r="I48" s="36"/>
      <c r="J48" s="25" t="s">
        <v>306</v>
      </c>
      <c r="K48" s="25" t="s">
        <v>1208</v>
      </c>
      <c r="L48" s="25" t="s">
        <v>1209</v>
      </c>
    </row>
    <row r="49" spans="2:15" s="1" customFormat="1">
      <c r="B49" s="13" t="s">
        <v>1110</v>
      </c>
      <c r="C49" s="13" t="s">
        <v>75</v>
      </c>
      <c r="D49" s="9" t="s">
        <v>719</v>
      </c>
      <c r="E49" s="12" t="s">
        <v>58</v>
      </c>
      <c r="F49" s="71"/>
      <c r="G49" s="19" t="s">
        <v>1198</v>
      </c>
      <c r="H49" s="36"/>
      <c r="I49" s="36"/>
      <c r="J49" s="25" t="s">
        <v>306</v>
      </c>
      <c r="K49" s="25" t="s">
        <v>1208</v>
      </c>
      <c r="L49" s="25" t="s">
        <v>1209</v>
      </c>
    </row>
    <row r="50" spans="2:15" s="1" customFormat="1">
      <c r="B50" s="13" t="s">
        <v>1111</v>
      </c>
      <c r="C50" s="13" t="s">
        <v>75</v>
      </c>
      <c r="D50" s="9" t="s">
        <v>720</v>
      </c>
      <c r="E50" s="12" t="s">
        <v>58</v>
      </c>
      <c r="F50" s="71"/>
      <c r="G50" s="19" t="s">
        <v>1199</v>
      </c>
      <c r="H50" s="36"/>
      <c r="I50" s="36"/>
      <c r="J50" s="25" t="s">
        <v>306</v>
      </c>
      <c r="K50" s="25" t="s">
        <v>1208</v>
      </c>
      <c r="L50" s="25" t="s">
        <v>1209</v>
      </c>
    </row>
    <row r="51" spans="2:15" s="1" customFormat="1">
      <c r="B51" s="13" t="s">
        <v>1112</v>
      </c>
      <c r="C51" s="13" t="s">
        <v>75</v>
      </c>
      <c r="D51" s="9" t="s">
        <v>721</v>
      </c>
      <c r="E51" s="12" t="s">
        <v>58</v>
      </c>
      <c r="F51" s="71"/>
      <c r="G51" s="19" t="s">
        <v>1200</v>
      </c>
      <c r="H51" s="36"/>
      <c r="I51" s="36"/>
      <c r="J51" s="25" t="s">
        <v>306</v>
      </c>
      <c r="K51" s="25" t="s">
        <v>1208</v>
      </c>
      <c r="L51" s="25" t="s">
        <v>1209</v>
      </c>
    </row>
    <row r="52" spans="2:15" s="1" customFormat="1">
      <c r="B52" s="13" t="s">
        <v>1113</v>
      </c>
      <c r="C52" s="13" t="s">
        <v>75</v>
      </c>
      <c r="D52" s="9" t="s">
        <v>722</v>
      </c>
      <c r="E52" s="12" t="s">
        <v>58</v>
      </c>
      <c r="F52" s="71"/>
      <c r="G52" s="19" t="s">
        <v>1201</v>
      </c>
      <c r="H52" s="36"/>
      <c r="I52" s="36"/>
      <c r="J52" s="25" t="s">
        <v>306</v>
      </c>
      <c r="K52" s="25" t="s">
        <v>1208</v>
      </c>
      <c r="L52" s="25" t="s">
        <v>1209</v>
      </c>
    </row>
    <row r="53" spans="2:15" s="1" customFormat="1">
      <c r="B53" s="13" t="s">
        <v>1114</v>
      </c>
      <c r="C53" s="13" t="s">
        <v>75</v>
      </c>
      <c r="D53" s="9" t="s">
        <v>723</v>
      </c>
      <c r="E53" s="12" t="s">
        <v>58</v>
      </c>
      <c r="F53" s="71"/>
      <c r="G53" s="19" t="s">
        <v>1202</v>
      </c>
      <c r="H53" s="36"/>
      <c r="I53" s="36"/>
      <c r="J53" s="25" t="s">
        <v>306</v>
      </c>
      <c r="K53" s="25" t="s">
        <v>1208</v>
      </c>
      <c r="L53" s="25" t="s">
        <v>1209</v>
      </c>
    </row>
    <row r="54" spans="2:15" s="1" customFormat="1">
      <c r="B54" s="13" t="s">
        <v>1115</v>
      </c>
      <c r="C54" s="13" t="s">
        <v>75</v>
      </c>
      <c r="D54" s="9" t="s">
        <v>724</v>
      </c>
      <c r="E54" s="12" t="s">
        <v>58</v>
      </c>
      <c r="F54" s="71"/>
      <c r="G54" s="19" t="s">
        <v>1203</v>
      </c>
      <c r="H54" s="36"/>
      <c r="I54" s="36"/>
      <c r="J54" s="25" t="s">
        <v>306</v>
      </c>
      <c r="K54" s="25" t="s">
        <v>1208</v>
      </c>
      <c r="L54" s="25" t="s">
        <v>1209</v>
      </c>
    </row>
    <row r="55" spans="2:15" s="1" customFormat="1">
      <c r="B55" s="13" t="s">
        <v>1116</v>
      </c>
      <c r="C55" s="13" t="s">
        <v>75</v>
      </c>
      <c r="D55" s="9" t="s">
        <v>725</v>
      </c>
      <c r="E55" s="12" t="s">
        <v>58</v>
      </c>
      <c r="F55" s="71"/>
      <c r="G55" s="19" t="s">
        <v>1204</v>
      </c>
      <c r="H55" s="36"/>
      <c r="I55" s="36"/>
      <c r="J55" s="25" t="s">
        <v>306</v>
      </c>
      <c r="K55" s="25" t="s">
        <v>1208</v>
      </c>
      <c r="L55" s="25" t="s">
        <v>1209</v>
      </c>
    </row>
    <row r="56" spans="2:15" s="1" customFormat="1">
      <c r="B56" s="13" t="s">
        <v>1117</v>
      </c>
      <c r="C56" s="13" t="s">
        <v>75</v>
      </c>
      <c r="D56" s="9" t="s">
        <v>726</v>
      </c>
      <c r="E56" s="12" t="s">
        <v>58</v>
      </c>
      <c r="F56" s="71"/>
      <c r="G56" s="19" t="s">
        <v>1205</v>
      </c>
      <c r="H56" s="36"/>
      <c r="I56" s="36"/>
      <c r="J56" s="25" t="s">
        <v>306</v>
      </c>
      <c r="K56" s="25" t="s">
        <v>1208</v>
      </c>
      <c r="L56" s="25" t="s">
        <v>1209</v>
      </c>
    </row>
    <row r="57" spans="2:15" s="1" customFormat="1">
      <c r="B57" s="13" t="s">
        <v>1118</v>
      </c>
      <c r="C57" s="13" t="s">
        <v>75</v>
      </c>
      <c r="D57" s="9" t="s">
        <v>727</v>
      </c>
      <c r="E57" s="12" t="s">
        <v>58</v>
      </c>
      <c r="F57" s="71"/>
      <c r="G57" s="19" t="s">
        <v>1206</v>
      </c>
      <c r="H57" s="36"/>
      <c r="I57" s="36"/>
      <c r="J57" s="25" t="s">
        <v>306</v>
      </c>
      <c r="K57" s="25" t="s">
        <v>1208</v>
      </c>
      <c r="L57" s="25" t="s">
        <v>1209</v>
      </c>
    </row>
    <row r="58" spans="2:15" s="1" customFormat="1">
      <c r="B58" s="13" t="s">
        <v>1119</v>
      </c>
      <c r="C58" s="13" t="s">
        <v>75</v>
      </c>
      <c r="D58" s="9" t="s">
        <v>728</v>
      </c>
      <c r="E58" s="12" t="s">
        <v>58</v>
      </c>
      <c r="F58" s="71"/>
      <c r="G58" s="19" t="s">
        <v>1207</v>
      </c>
      <c r="H58" s="36"/>
      <c r="I58" s="36"/>
      <c r="J58" s="25" t="s">
        <v>306</v>
      </c>
      <c r="K58" s="25" t="s">
        <v>1208</v>
      </c>
      <c r="L58" s="25" t="s">
        <v>1209</v>
      </c>
    </row>
    <row r="59" spans="2:15" s="2" customFormat="1">
      <c r="B59" s="14" t="s">
        <v>80</v>
      </c>
      <c r="C59" s="15" t="s">
        <v>75</v>
      </c>
      <c r="D59" s="16" t="s">
        <v>103</v>
      </c>
      <c r="E59" s="14"/>
      <c r="F59" s="14"/>
      <c r="G59" s="14"/>
      <c r="H59" s="14"/>
      <c r="I59" s="14"/>
      <c r="J59" s="14"/>
      <c r="K59" s="14"/>
      <c r="L59" s="14"/>
      <c r="O59" s="1"/>
    </row>
    <row r="60" spans="2:15" s="2" customFormat="1">
      <c r="B60" s="14" t="s">
        <v>0</v>
      </c>
      <c r="C60" s="15" t="s">
        <v>71</v>
      </c>
      <c r="D60" s="16" t="s">
        <v>104</v>
      </c>
      <c r="E60" s="14"/>
      <c r="F60" s="14"/>
      <c r="G60" s="14"/>
      <c r="H60" s="14"/>
      <c r="I60" s="14"/>
      <c r="J60" s="14"/>
      <c r="K60" s="14"/>
      <c r="L60" s="14"/>
    </row>
    <row r="61" spans="2:15" s="2" customFormat="1">
      <c r="B61" s="14" t="s">
        <v>1</v>
      </c>
      <c r="C61" s="15" t="s">
        <v>75</v>
      </c>
      <c r="D61" s="16" t="s">
        <v>105</v>
      </c>
      <c r="E61" s="14"/>
      <c r="F61" s="14"/>
      <c r="G61" s="14"/>
      <c r="H61" s="14"/>
      <c r="I61" s="14"/>
      <c r="J61" s="14"/>
      <c r="K61" s="14"/>
      <c r="L61" s="14"/>
    </row>
  </sheetData>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6A709-7980-47A9-90CF-7F7A4C2EE21B}">
  <dimension ref="A1:Q121"/>
  <sheetViews>
    <sheetView zoomScale="85" zoomScaleNormal="85" workbookViewId="0">
      <pane ySplit="5" topLeftCell="A6" activePane="bottomLeft" state="frozen"/>
      <selection pane="bottomLeft" activeCell="C10" sqref="C10"/>
    </sheetView>
  </sheetViews>
  <sheetFormatPr defaultColWidth="9" defaultRowHeight="13.2"/>
  <cols>
    <col min="1" max="1" width="1.33203125" style="3" customWidth="1"/>
    <col min="2" max="2" width="43.44140625" style="3" customWidth="1"/>
    <col min="3" max="3" width="27.21875" style="3" bestFit="1"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11" t="s">
        <v>50</v>
      </c>
    </row>
    <row r="5" spans="2:14">
      <c r="B5" s="8" t="s">
        <v>39</v>
      </c>
      <c r="C5" s="9" t="s">
        <v>1156</v>
      </c>
      <c r="D5" s="10" t="s">
        <v>1239</v>
      </c>
      <c r="E5" s="12" t="s">
        <v>6</v>
      </c>
      <c r="F5" s="17"/>
      <c r="G5" s="12"/>
      <c r="H5" s="12"/>
      <c r="N5" s="3"/>
    </row>
    <row r="6" spans="2:14">
      <c r="B6" s="6"/>
      <c r="C6" s="6"/>
      <c r="D6" s="6"/>
      <c r="E6" s="6"/>
      <c r="F6" s="18"/>
      <c r="G6" s="18"/>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2531</v>
      </c>
      <c r="D9" s="10" t="s">
        <v>1155</v>
      </c>
      <c r="E9" s="12" t="s">
        <v>58</v>
      </c>
      <c r="F9" s="19"/>
      <c r="G9" s="19"/>
      <c r="H9" s="20" t="s">
        <v>30</v>
      </c>
    </row>
    <row r="11" spans="2:14">
      <c r="B11" s="3" t="s">
        <v>59</v>
      </c>
    </row>
    <row r="12" spans="2:14">
      <c r="B12" s="122" t="s">
        <v>59</v>
      </c>
      <c r="C12" s="122"/>
      <c r="D12" s="122"/>
      <c r="E12" s="122"/>
      <c r="F12" s="122"/>
      <c r="G12" s="122"/>
      <c r="H12" s="122"/>
      <c r="I12" s="122"/>
      <c r="J12" s="122"/>
      <c r="K12" s="122"/>
      <c r="L12" s="122"/>
    </row>
    <row r="13" spans="2:14">
      <c r="B13" s="7" t="s">
        <v>60</v>
      </c>
      <c r="C13" s="7" t="s">
        <v>61</v>
      </c>
      <c r="D13" s="7" t="s">
        <v>62</v>
      </c>
      <c r="E13" s="7" t="s">
        <v>63</v>
      </c>
      <c r="F13" s="11" t="s">
        <v>64</v>
      </c>
      <c r="G13" s="11" t="s">
        <v>65</v>
      </c>
      <c r="H13" s="11" t="s">
        <v>66</v>
      </c>
      <c r="I13" s="7" t="s">
        <v>24</v>
      </c>
      <c r="J13" s="7" t="s">
        <v>67</v>
      </c>
      <c r="K13" s="7" t="s">
        <v>68</v>
      </c>
      <c r="L13" s="7" t="s">
        <v>69</v>
      </c>
    </row>
    <row r="14" spans="2:14" s="1" customFormat="1">
      <c r="B14" s="13" t="s">
        <v>70</v>
      </c>
      <c r="C14" s="13" t="s">
        <v>71</v>
      </c>
      <c r="D14" s="9" t="s">
        <v>72</v>
      </c>
      <c r="E14" s="21" t="s">
        <v>58</v>
      </c>
      <c r="F14" s="19" t="s">
        <v>0</v>
      </c>
      <c r="G14" s="22" t="s">
        <v>73</v>
      </c>
      <c r="H14" s="71"/>
      <c r="I14" s="25"/>
      <c r="J14" s="25" t="s">
        <v>3</v>
      </c>
      <c r="K14" s="25" t="s">
        <v>74</v>
      </c>
      <c r="L14" s="25" t="s">
        <v>74</v>
      </c>
    </row>
    <row r="15" spans="2:14" s="1" customFormat="1">
      <c r="B15" s="13" t="s">
        <v>6</v>
      </c>
      <c r="C15" s="13" t="s">
        <v>75</v>
      </c>
      <c r="D15" s="9" t="s">
        <v>34</v>
      </c>
      <c r="E15" s="21" t="s">
        <v>58</v>
      </c>
      <c r="F15" s="19" t="s">
        <v>1</v>
      </c>
      <c r="G15" s="22" t="s">
        <v>73</v>
      </c>
      <c r="H15" s="71"/>
      <c r="I15" s="25"/>
      <c r="J15" s="25" t="s">
        <v>3</v>
      </c>
      <c r="K15" s="25" t="s">
        <v>74</v>
      </c>
      <c r="L15" s="25" t="s">
        <v>74</v>
      </c>
    </row>
    <row r="16" spans="2:14" s="1" customFormat="1">
      <c r="B16" s="13" t="s">
        <v>654</v>
      </c>
      <c r="C16" s="13" t="s">
        <v>71</v>
      </c>
      <c r="D16" s="9" t="s">
        <v>1051</v>
      </c>
      <c r="E16" s="21" t="s">
        <v>58</v>
      </c>
      <c r="F16" s="19" t="s">
        <v>83</v>
      </c>
      <c r="G16" s="22" t="s">
        <v>73</v>
      </c>
      <c r="H16" s="71"/>
      <c r="I16" s="25"/>
      <c r="J16" s="25" t="s">
        <v>3</v>
      </c>
      <c r="K16" s="25" t="s">
        <v>74</v>
      </c>
      <c r="L16" s="25" t="s">
        <v>74</v>
      </c>
    </row>
    <row r="17" spans="2:12" s="1" customFormat="1">
      <c r="B17" s="13" t="s">
        <v>81</v>
      </c>
      <c r="C17" s="13" t="s">
        <v>75</v>
      </c>
      <c r="D17" s="9" t="s">
        <v>109</v>
      </c>
      <c r="E17" s="21" t="s">
        <v>58</v>
      </c>
      <c r="F17" s="19" t="s">
        <v>81</v>
      </c>
      <c r="G17" s="22" t="s">
        <v>73</v>
      </c>
      <c r="H17" s="71"/>
      <c r="I17" s="25"/>
      <c r="J17" s="25" t="s">
        <v>3</v>
      </c>
      <c r="K17" s="25" t="s">
        <v>74</v>
      </c>
      <c r="L17" s="25" t="s">
        <v>74</v>
      </c>
    </row>
    <row r="18" spans="2:12" s="1" customFormat="1">
      <c r="B18" s="13" t="s">
        <v>85</v>
      </c>
      <c r="C18" s="13" t="s">
        <v>71</v>
      </c>
      <c r="D18" s="9" t="s">
        <v>111</v>
      </c>
      <c r="E18" s="21" t="s">
        <v>58</v>
      </c>
      <c r="F18" s="19" t="s">
        <v>85</v>
      </c>
      <c r="G18" s="22" t="s">
        <v>73</v>
      </c>
      <c r="H18" s="71"/>
      <c r="I18" s="25"/>
      <c r="J18" s="25" t="s">
        <v>3</v>
      </c>
      <c r="K18" s="25" t="s">
        <v>74</v>
      </c>
      <c r="L18" s="25" t="s">
        <v>74</v>
      </c>
    </row>
    <row r="19" spans="2:12" s="1" customFormat="1">
      <c r="B19" s="13" t="s">
        <v>82</v>
      </c>
      <c r="C19" s="13" t="s">
        <v>75</v>
      </c>
      <c r="D19" s="9" t="s">
        <v>110</v>
      </c>
      <c r="E19" s="21" t="s">
        <v>58</v>
      </c>
      <c r="F19" s="19" t="s">
        <v>82</v>
      </c>
      <c r="G19" s="22" t="s">
        <v>73</v>
      </c>
      <c r="H19" s="71"/>
      <c r="I19" s="25"/>
      <c r="J19" s="25" t="s">
        <v>3</v>
      </c>
      <c r="K19" s="25" t="s">
        <v>74</v>
      </c>
      <c r="L19" s="25" t="s">
        <v>74</v>
      </c>
    </row>
    <row r="20" spans="2:12" s="1" customFormat="1">
      <c r="B20" s="13" t="s">
        <v>87</v>
      </c>
      <c r="C20" s="13" t="s">
        <v>71</v>
      </c>
      <c r="D20" s="9" t="s">
        <v>88</v>
      </c>
      <c r="E20" s="21" t="s">
        <v>58</v>
      </c>
      <c r="F20" s="19" t="s">
        <v>87</v>
      </c>
      <c r="G20" s="22" t="s">
        <v>73</v>
      </c>
      <c r="H20" s="71"/>
      <c r="I20" s="25"/>
      <c r="J20" s="25" t="s">
        <v>3</v>
      </c>
      <c r="K20" s="25" t="s">
        <v>74</v>
      </c>
      <c r="L20" s="25" t="s">
        <v>74</v>
      </c>
    </row>
    <row r="21" spans="2:12" s="1" customFormat="1">
      <c r="B21" s="13" t="s">
        <v>308</v>
      </c>
      <c r="C21" s="13" t="s">
        <v>71</v>
      </c>
      <c r="D21" s="9" t="s">
        <v>170</v>
      </c>
      <c r="E21" s="21" t="s">
        <v>58</v>
      </c>
      <c r="F21" s="19" t="s">
        <v>108</v>
      </c>
      <c r="G21" s="22" t="s">
        <v>73</v>
      </c>
      <c r="H21" s="71"/>
      <c r="I21" s="25"/>
      <c r="J21" s="25" t="s">
        <v>3</v>
      </c>
      <c r="K21" s="25" t="s">
        <v>74</v>
      </c>
      <c r="L21" s="25" t="s">
        <v>74</v>
      </c>
    </row>
    <row r="22" spans="2:12" s="1" customFormat="1">
      <c r="B22" s="13" t="s">
        <v>616</v>
      </c>
      <c r="C22" s="13" t="s">
        <v>71</v>
      </c>
      <c r="D22" s="9" t="s">
        <v>171</v>
      </c>
      <c r="E22" s="21" t="s">
        <v>58</v>
      </c>
      <c r="F22" s="19" t="s">
        <v>123</v>
      </c>
      <c r="G22" s="22" t="s">
        <v>73</v>
      </c>
      <c r="H22" s="71"/>
      <c r="I22" s="25"/>
      <c r="J22" s="25" t="s">
        <v>3</v>
      </c>
      <c r="K22" s="25" t="s">
        <v>74</v>
      </c>
      <c r="L22" s="25" t="s">
        <v>74</v>
      </c>
    </row>
    <row r="23" spans="2:12" s="1" customFormat="1">
      <c r="B23" s="13" t="s">
        <v>94</v>
      </c>
      <c r="C23" s="13" t="s">
        <v>71</v>
      </c>
      <c r="D23" s="9" t="s">
        <v>172</v>
      </c>
      <c r="E23" s="21" t="s">
        <v>58</v>
      </c>
      <c r="F23" s="19" t="s">
        <v>94</v>
      </c>
      <c r="G23" s="22" t="s">
        <v>73</v>
      </c>
      <c r="H23" s="71"/>
      <c r="I23" s="25"/>
      <c r="J23" s="25" t="s">
        <v>3</v>
      </c>
      <c r="K23" s="25" t="s">
        <v>74</v>
      </c>
      <c r="L23" s="25" t="s">
        <v>74</v>
      </c>
    </row>
    <row r="24" spans="2:12" s="1" customFormat="1">
      <c r="B24" s="13" t="s">
        <v>1157</v>
      </c>
      <c r="C24" s="13" t="s">
        <v>75</v>
      </c>
      <c r="D24" s="9" t="s">
        <v>174</v>
      </c>
      <c r="E24" s="21" t="s">
        <v>58</v>
      </c>
      <c r="F24" s="19" t="s">
        <v>173</v>
      </c>
      <c r="G24" s="22" t="s">
        <v>73</v>
      </c>
      <c r="H24" s="71"/>
      <c r="I24" s="25"/>
      <c r="J24" s="25" t="s">
        <v>3</v>
      </c>
      <c r="K24" s="25" t="s">
        <v>74</v>
      </c>
      <c r="L24" s="25" t="s">
        <v>74</v>
      </c>
    </row>
    <row r="25" spans="2:12" s="1" customFormat="1">
      <c r="B25" s="13" t="s">
        <v>96</v>
      </c>
      <c r="C25" s="13" t="s">
        <v>71</v>
      </c>
      <c r="D25" s="9" t="s">
        <v>175</v>
      </c>
      <c r="E25" s="21" t="s">
        <v>58</v>
      </c>
      <c r="F25" s="19" t="s">
        <v>96</v>
      </c>
      <c r="G25" s="22" t="s">
        <v>73</v>
      </c>
      <c r="H25" s="71"/>
      <c r="I25" s="25"/>
      <c r="J25" s="25" t="s">
        <v>3</v>
      </c>
      <c r="K25" s="25" t="s">
        <v>74</v>
      </c>
      <c r="L25" s="25" t="s">
        <v>74</v>
      </c>
    </row>
    <row r="26" spans="2:12" s="1" customFormat="1">
      <c r="B26" s="13" t="s">
        <v>456</v>
      </c>
      <c r="C26" s="13" t="s">
        <v>71</v>
      </c>
      <c r="D26" s="9" t="s">
        <v>520</v>
      </c>
      <c r="E26" s="21" t="s">
        <v>58</v>
      </c>
      <c r="F26" s="19" t="s">
        <v>456</v>
      </c>
      <c r="G26" s="22" t="s">
        <v>73</v>
      </c>
      <c r="H26" s="71"/>
      <c r="I26" s="25"/>
      <c r="J26" s="25" t="s">
        <v>3</v>
      </c>
      <c r="K26" s="25" t="s">
        <v>74</v>
      </c>
      <c r="L26" s="25" t="s">
        <v>74</v>
      </c>
    </row>
    <row r="27" spans="2:12" s="1" customFormat="1">
      <c r="B27" s="13" t="s">
        <v>459</v>
      </c>
      <c r="C27" s="13" t="s">
        <v>71</v>
      </c>
      <c r="D27" s="9" t="s">
        <v>523</v>
      </c>
      <c r="E27" s="21" t="s">
        <v>587</v>
      </c>
      <c r="F27" s="19" t="str">
        <f t="shared" ref="F27" si="0">B27</f>
        <v>ecgi</v>
      </c>
      <c r="G27" s="22" t="s">
        <v>302</v>
      </c>
      <c r="H27" s="71"/>
      <c r="I27" s="25"/>
      <c r="J27" s="25" t="s">
        <v>3</v>
      </c>
      <c r="K27" s="25" t="s">
        <v>74</v>
      </c>
      <c r="L27" s="25" t="s">
        <v>74</v>
      </c>
    </row>
    <row r="28" spans="2:12" s="1" customFormat="1">
      <c r="B28" s="13" t="s">
        <v>307</v>
      </c>
      <c r="C28" s="13" t="s">
        <v>71</v>
      </c>
      <c r="D28" s="9" t="s">
        <v>91</v>
      </c>
      <c r="E28" s="21" t="s">
        <v>58</v>
      </c>
      <c r="F28" s="19" t="s">
        <v>90</v>
      </c>
      <c r="G28" s="22" t="s">
        <v>73</v>
      </c>
      <c r="H28" s="71"/>
      <c r="I28" s="25"/>
      <c r="J28" s="25" t="s">
        <v>3</v>
      </c>
      <c r="K28" s="25" t="s">
        <v>74</v>
      </c>
      <c r="L28" s="25" t="s">
        <v>74</v>
      </c>
    </row>
    <row r="29" spans="2:12" s="1" customFormat="1">
      <c r="B29" s="13" t="s">
        <v>769</v>
      </c>
      <c r="C29" s="13" t="s">
        <v>771</v>
      </c>
      <c r="D29" s="9" t="s">
        <v>768</v>
      </c>
      <c r="E29" s="21" t="s">
        <v>58</v>
      </c>
      <c r="F29" s="19"/>
      <c r="G29" s="84" t="s">
        <v>772</v>
      </c>
      <c r="H29" s="71"/>
      <c r="I29" s="25"/>
      <c r="J29" s="25" t="s">
        <v>99</v>
      </c>
      <c r="K29" s="25" t="s">
        <v>121</v>
      </c>
      <c r="L29" s="25" t="s">
        <v>100</v>
      </c>
    </row>
    <row r="30" spans="2:12" s="1" customFormat="1">
      <c r="B30" s="13" t="s">
        <v>770</v>
      </c>
      <c r="C30" s="13" t="s">
        <v>771</v>
      </c>
      <c r="D30" s="9" t="s">
        <v>773</v>
      </c>
      <c r="E30" s="21" t="s">
        <v>58</v>
      </c>
      <c r="F30" s="19"/>
      <c r="G30" s="19" t="s">
        <v>1144</v>
      </c>
      <c r="H30" s="71"/>
      <c r="I30" s="25"/>
      <c r="J30" s="25" t="s">
        <v>99</v>
      </c>
      <c r="K30" s="25" t="s">
        <v>121</v>
      </c>
      <c r="L30" s="25" t="s">
        <v>100</v>
      </c>
    </row>
    <row r="31" spans="2:12" s="1" customFormat="1">
      <c r="B31" s="13" t="s">
        <v>774</v>
      </c>
      <c r="C31" s="13" t="s">
        <v>771</v>
      </c>
      <c r="D31" s="9" t="s">
        <v>776</v>
      </c>
      <c r="E31" s="21" t="s">
        <v>58</v>
      </c>
      <c r="F31" s="19"/>
      <c r="G31" s="19" t="s">
        <v>787</v>
      </c>
      <c r="H31" s="71"/>
      <c r="I31" s="25"/>
      <c r="J31" s="25" t="s">
        <v>99</v>
      </c>
      <c r="K31" s="25" t="s">
        <v>121</v>
      </c>
      <c r="L31" s="25" t="s">
        <v>100</v>
      </c>
    </row>
    <row r="32" spans="2:12" s="1" customFormat="1">
      <c r="B32" s="13" t="s">
        <v>775</v>
      </c>
      <c r="C32" s="13" t="s">
        <v>771</v>
      </c>
      <c r="D32" s="9" t="s">
        <v>777</v>
      </c>
      <c r="E32" s="21" t="s">
        <v>58</v>
      </c>
      <c r="F32" s="19"/>
      <c r="G32" s="19" t="s">
        <v>1145</v>
      </c>
      <c r="H32" s="71"/>
      <c r="I32" s="25"/>
      <c r="J32" s="25" t="s">
        <v>99</v>
      </c>
      <c r="K32" s="25" t="s">
        <v>121</v>
      </c>
      <c r="L32" s="25" t="s">
        <v>100</v>
      </c>
    </row>
    <row r="33" spans="2:12" s="1" customFormat="1">
      <c r="B33" s="13" t="s">
        <v>779</v>
      </c>
      <c r="C33" s="13" t="s">
        <v>771</v>
      </c>
      <c r="D33" s="9" t="s">
        <v>783</v>
      </c>
      <c r="E33" s="21" t="s">
        <v>58</v>
      </c>
      <c r="F33" s="19"/>
      <c r="G33" s="84" t="s">
        <v>788</v>
      </c>
      <c r="H33" s="71"/>
      <c r="I33" s="25"/>
      <c r="J33" s="25" t="s">
        <v>99</v>
      </c>
      <c r="K33" s="25" t="s">
        <v>121</v>
      </c>
      <c r="L33" s="25" t="s">
        <v>100</v>
      </c>
    </row>
    <row r="34" spans="2:12" s="1" customFormat="1">
      <c r="B34" s="13" t="s">
        <v>780</v>
      </c>
      <c r="C34" s="13" t="s">
        <v>771</v>
      </c>
      <c r="D34" s="9" t="s">
        <v>784</v>
      </c>
      <c r="E34" s="21" t="s">
        <v>58</v>
      </c>
      <c r="F34" s="19"/>
      <c r="G34" s="19" t="s">
        <v>789</v>
      </c>
      <c r="H34" s="71"/>
      <c r="I34" s="25"/>
      <c r="J34" s="25" t="s">
        <v>99</v>
      </c>
      <c r="K34" s="25" t="s">
        <v>121</v>
      </c>
      <c r="L34" s="25" t="s">
        <v>100</v>
      </c>
    </row>
    <row r="35" spans="2:12" s="1" customFormat="1">
      <c r="B35" s="13" t="s">
        <v>781</v>
      </c>
      <c r="C35" s="13" t="s">
        <v>771</v>
      </c>
      <c r="D35" s="9" t="s">
        <v>785</v>
      </c>
      <c r="E35" s="21" t="s">
        <v>58</v>
      </c>
      <c r="F35" s="19"/>
      <c r="G35" s="19" t="s">
        <v>790</v>
      </c>
      <c r="H35" s="71"/>
      <c r="I35" s="25"/>
      <c r="J35" s="25" t="s">
        <v>99</v>
      </c>
      <c r="K35" s="25" t="s">
        <v>121</v>
      </c>
      <c r="L35" s="25" t="s">
        <v>100</v>
      </c>
    </row>
    <row r="36" spans="2:12" s="1" customFormat="1">
      <c r="B36" s="13" t="s">
        <v>782</v>
      </c>
      <c r="C36" s="13" t="s">
        <v>771</v>
      </c>
      <c r="D36" s="9" t="s">
        <v>786</v>
      </c>
      <c r="E36" s="21" t="s">
        <v>58</v>
      </c>
      <c r="F36" s="19"/>
      <c r="G36" s="19" t="s">
        <v>791</v>
      </c>
      <c r="H36" s="71"/>
      <c r="I36" s="25"/>
      <c r="J36" s="25" t="s">
        <v>99</v>
      </c>
      <c r="K36" s="25" t="s">
        <v>121</v>
      </c>
      <c r="L36" s="25" t="s">
        <v>100</v>
      </c>
    </row>
    <row r="37" spans="2:12" s="1" customFormat="1">
      <c r="B37" s="13" t="s">
        <v>792</v>
      </c>
      <c r="C37" s="13" t="s">
        <v>771</v>
      </c>
      <c r="D37" s="9" t="s">
        <v>733</v>
      </c>
      <c r="E37" s="21" t="s">
        <v>58</v>
      </c>
      <c r="F37" s="19"/>
      <c r="G37" s="84" t="s">
        <v>796</v>
      </c>
      <c r="H37" s="71"/>
      <c r="I37" s="25"/>
      <c r="J37" s="25" t="s">
        <v>99</v>
      </c>
      <c r="K37" s="25" t="s">
        <v>121</v>
      </c>
      <c r="L37" s="25" t="s">
        <v>100</v>
      </c>
    </row>
    <row r="38" spans="2:12" s="1" customFormat="1">
      <c r="B38" s="13" t="s">
        <v>793</v>
      </c>
      <c r="C38" s="13" t="s">
        <v>771</v>
      </c>
      <c r="D38" s="9" t="s">
        <v>734</v>
      </c>
      <c r="E38" s="21" t="s">
        <v>58</v>
      </c>
      <c r="F38" s="19"/>
      <c r="G38" s="19" t="s">
        <v>797</v>
      </c>
      <c r="H38" s="71"/>
      <c r="I38" s="25"/>
      <c r="J38" s="25" t="s">
        <v>99</v>
      </c>
      <c r="K38" s="25" t="s">
        <v>121</v>
      </c>
      <c r="L38" s="25" t="s">
        <v>100</v>
      </c>
    </row>
    <row r="39" spans="2:12" s="1" customFormat="1">
      <c r="B39" s="13" t="s">
        <v>794</v>
      </c>
      <c r="C39" s="13" t="s">
        <v>771</v>
      </c>
      <c r="D39" s="9" t="s">
        <v>735</v>
      </c>
      <c r="E39" s="21" t="s">
        <v>58</v>
      </c>
      <c r="F39" s="19"/>
      <c r="G39" s="19" t="s">
        <v>798</v>
      </c>
      <c r="H39" s="71"/>
      <c r="I39" s="25"/>
      <c r="J39" s="25" t="s">
        <v>99</v>
      </c>
      <c r="K39" s="25" t="s">
        <v>121</v>
      </c>
      <c r="L39" s="25" t="s">
        <v>100</v>
      </c>
    </row>
    <row r="40" spans="2:12" s="1" customFormat="1">
      <c r="B40" s="13" t="s">
        <v>795</v>
      </c>
      <c r="C40" s="13" t="s">
        <v>771</v>
      </c>
      <c r="D40" s="9" t="s">
        <v>736</v>
      </c>
      <c r="E40" s="21" t="s">
        <v>58</v>
      </c>
      <c r="F40" s="19"/>
      <c r="G40" s="19" t="s">
        <v>799</v>
      </c>
      <c r="H40" s="71"/>
      <c r="I40" s="25"/>
      <c r="J40" s="25" t="s">
        <v>99</v>
      </c>
      <c r="K40" s="25" t="s">
        <v>121</v>
      </c>
      <c r="L40" s="25" t="s">
        <v>100</v>
      </c>
    </row>
    <row r="41" spans="2:12" s="1" customFormat="1">
      <c r="B41" s="13" t="s">
        <v>801</v>
      </c>
      <c r="C41" s="13" t="s">
        <v>771</v>
      </c>
      <c r="D41" s="9" t="s">
        <v>695</v>
      </c>
      <c r="E41" s="21" t="s">
        <v>58</v>
      </c>
      <c r="F41" s="19"/>
      <c r="G41" s="84" t="s">
        <v>805</v>
      </c>
      <c r="H41" s="71"/>
      <c r="I41" s="25"/>
      <c r="J41" s="25" t="s">
        <v>99</v>
      </c>
      <c r="K41" s="25" t="s">
        <v>121</v>
      </c>
      <c r="L41" s="25" t="s">
        <v>100</v>
      </c>
    </row>
    <row r="42" spans="2:12" s="1" customFormat="1">
      <c r="B42" s="13" t="s">
        <v>802</v>
      </c>
      <c r="C42" s="13" t="s">
        <v>771</v>
      </c>
      <c r="D42" s="9" t="s">
        <v>282</v>
      </c>
      <c r="E42" s="21" t="s">
        <v>58</v>
      </c>
      <c r="F42" s="19"/>
      <c r="G42" s="19" t="s">
        <v>806</v>
      </c>
      <c r="H42" s="71"/>
      <c r="I42" s="25"/>
      <c r="J42" s="25" t="s">
        <v>99</v>
      </c>
      <c r="K42" s="25" t="s">
        <v>121</v>
      </c>
      <c r="L42" s="25" t="s">
        <v>100</v>
      </c>
    </row>
    <row r="43" spans="2:12" s="1" customFormat="1">
      <c r="B43" s="13" t="s">
        <v>803</v>
      </c>
      <c r="C43" s="13" t="s">
        <v>771</v>
      </c>
      <c r="D43" s="9" t="s">
        <v>283</v>
      </c>
      <c r="E43" s="21" t="s">
        <v>58</v>
      </c>
      <c r="F43" s="19"/>
      <c r="G43" s="19" t="s">
        <v>807</v>
      </c>
      <c r="H43" s="71"/>
      <c r="I43" s="25"/>
      <c r="J43" s="25" t="s">
        <v>99</v>
      </c>
      <c r="K43" s="25" t="s">
        <v>121</v>
      </c>
      <c r="L43" s="25" t="s">
        <v>100</v>
      </c>
    </row>
    <row r="44" spans="2:12" s="1" customFormat="1">
      <c r="B44" s="13" t="s">
        <v>804</v>
      </c>
      <c r="C44" s="13" t="s">
        <v>771</v>
      </c>
      <c r="D44" s="9" t="s">
        <v>284</v>
      </c>
      <c r="E44" s="21" t="s">
        <v>58</v>
      </c>
      <c r="F44" s="19"/>
      <c r="G44" s="19" t="s">
        <v>808</v>
      </c>
      <c r="H44" s="71"/>
      <c r="I44" s="25"/>
      <c r="J44" s="25" t="s">
        <v>99</v>
      </c>
      <c r="K44" s="25" t="s">
        <v>121</v>
      </c>
      <c r="L44" s="25" t="s">
        <v>100</v>
      </c>
    </row>
    <row r="45" spans="2:12" s="1" customFormat="1">
      <c r="B45" s="13" t="s">
        <v>809</v>
      </c>
      <c r="C45" s="13" t="s">
        <v>771</v>
      </c>
      <c r="D45" s="9" t="s">
        <v>813</v>
      </c>
      <c r="E45" s="21" t="s">
        <v>58</v>
      </c>
      <c r="F45" s="19"/>
      <c r="G45" s="84" t="s">
        <v>817</v>
      </c>
      <c r="H45" s="71"/>
      <c r="I45" s="25"/>
      <c r="J45" s="25" t="s">
        <v>99</v>
      </c>
      <c r="K45" s="25" t="s">
        <v>121</v>
      </c>
      <c r="L45" s="25" t="s">
        <v>100</v>
      </c>
    </row>
    <row r="46" spans="2:12" s="1" customFormat="1">
      <c r="B46" s="13" t="s">
        <v>810</v>
      </c>
      <c r="C46" s="13" t="s">
        <v>771</v>
      </c>
      <c r="D46" s="9" t="s">
        <v>814</v>
      </c>
      <c r="E46" s="21" t="s">
        <v>58</v>
      </c>
      <c r="F46" s="19"/>
      <c r="G46" s="19" t="s">
        <v>818</v>
      </c>
      <c r="H46" s="71"/>
      <c r="I46" s="25"/>
      <c r="J46" s="25" t="s">
        <v>99</v>
      </c>
      <c r="K46" s="25" t="s">
        <v>121</v>
      </c>
      <c r="L46" s="25" t="s">
        <v>100</v>
      </c>
    </row>
    <row r="47" spans="2:12" s="1" customFormat="1">
      <c r="B47" s="13" t="s">
        <v>811</v>
      </c>
      <c r="C47" s="13" t="s">
        <v>771</v>
      </c>
      <c r="D47" s="9" t="s">
        <v>815</v>
      </c>
      <c r="E47" s="21" t="s">
        <v>58</v>
      </c>
      <c r="F47" s="19"/>
      <c r="G47" s="19" t="s">
        <v>819</v>
      </c>
      <c r="H47" s="71"/>
      <c r="I47" s="25"/>
      <c r="J47" s="25" t="s">
        <v>99</v>
      </c>
      <c r="K47" s="25" t="s">
        <v>121</v>
      </c>
      <c r="L47" s="25" t="s">
        <v>100</v>
      </c>
    </row>
    <row r="48" spans="2:12" s="1" customFormat="1">
      <c r="B48" s="13" t="s">
        <v>812</v>
      </c>
      <c r="C48" s="13" t="s">
        <v>771</v>
      </c>
      <c r="D48" s="9" t="s">
        <v>816</v>
      </c>
      <c r="E48" s="21" t="s">
        <v>58</v>
      </c>
      <c r="F48" s="19"/>
      <c r="G48" s="19" t="s">
        <v>820</v>
      </c>
      <c r="H48" s="71"/>
      <c r="I48" s="25"/>
      <c r="J48" s="25" t="s">
        <v>99</v>
      </c>
      <c r="K48" s="25" t="s">
        <v>121</v>
      </c>
      <c r="L48" s="25" t="s">
        <v>100</v>
      </c>
    </row>
    <row r="49" spans="2:12" s="1" customFormat="1">
      <c r="B49" s="13" t="s">
        <v>821</v>
      </c>
      <c r="C49" s="13" t="s">
        <v>771</v>
      </c>
      <c r="D49" s="9" t="s">
        <v>696</v>
      </c>
      <c r="E49" s="21" t="s">
        <v>58</v>
      </c>
      <c r="F49" s="19"/>
      <c r="G49" s="84" t="s">
        <v>823</v>
      </c>
      <c r="H49" s="71"/>
      <c r="I49" s="25"/>
      <c r="J49" s="25" t="s">
        <v>99</v>
      </c>
      <c r="K49" s="25" t="s">
        <v>121</v>
      </c>
      <c r="L49" s="25" t="s">
        <v>100</v>
      </c>
    </row>
    <row r="50" spans="2:12" s="1" customFormat="1">
      <c r="B50" s="13" t="s">
        <v>1125</v>
      </c>
      <c r="C50" s="13" t="s">
        <v>771</v>
      </c>
      <c r="D50" s="9" t="s">
        <v>697</v>
      </c>
      <c r="E50" s="21" t="s">
        <v>58</v>
      </c>
      <c r="F50" s="19"/>
      <c r="G50" s="19" t="s">
        <v>824</v>
      </c>
      <c r="H50" s="71"/>
      <c r="I50" s="25"/>
      <c r="J50" s="25" t="s">
        <v>99</v>
      </c>
      <c r="K50" s="25" t="s">
        <v>121</v>
      </c>
      <c r="L50" s="25" t="s">
        <v>100</v>
      </c>
    </row>
    <row r="51" spans="2:12" s="1" customFormat="1">
      <c r="B51" s="13" t="s">
        <v>1126</v>
      </c>
      <c r="C51" s="13" t="s">
        <v>771</v>
      </c>
      <c r="D51" s="9" t="s">
        <v>698</v>
      </c>
      <c r="E51" s="21" t="s">
        <v>58</v>
      </c>
      <c r="F51" s="19"/>
      <c r="G51" s="19" t="s">
        <v>825</v>
      </c>
      <c r="H51" s="71"/>
      <c r="I51" s="25"/>
      <c r="J51" s="25" t="s">
        <v>99</v>
      </c>
      <c r="K51" s="25" t="s">
        <v>121</v>
      </c>
      <c r="L51" s="25" t="s">
        <v>100</v>
      </c>
    </row>
    <row r="52" spans="2:12" s="1" customFormat="1">
      <c r="B52" s="13" t="s">
        <v>822</v>
      </c>
      <c r="C52" s="13" t="s">
        <v>771</v>
      </c>
      <c r="D52" s="9" t="s">
        <v>699</v>
      </c>
      <c r="E52" s="21" t="s">
        <v>58</v>
      </c>
      <c r="F52" s="19"/>
      <c r="G52" s="19" t="s">
        <v>826</v>
      </c>
      <c r="H52" s="71"/>
      <c r="I52" s="25"/>
      <c r="J52" s="25" t="s">
        <v>99</v>
      </c>
      <c r="K52" s="25" t="s">
        <v>121</v>
      </c>
      <c r="L52" s="25" t="s">
        <v>100</v>
      </c>
    </row>
    <row r="53" spans="2:12" s="1" customFormat="1">
      <c r="B53" s="13" t="s">
        <v>1293</v>
      </c>
      <c r="C53" s="13" t="s">
        <v>771</v>
      </c>
      <c r="D53" s="9" t="s">
        <v>1298</v>
      </c>
      <c r="E53" s="21" t="s">
        <v>58</v>
      </c>
      <c r="F53" s="19"/>
      <c r="G53" s="84" t="s">
        <v>1302</v>
      </c>
      <c r="H53" s="71"/>
      <c r="I53" s="25"/>
      <c r="J53" s="25" t="s">
        <v>99</v>
      </c>
      <c r="K53" s="25" t="s">
        <v>121</v>
      </c>
      <c r="L53" s="25" t="s">
        <v>100</v>
      </c>
    </row>
    <row r="54" spans="2:12" s="1" customFormat="1">
      <c r="B54" s="13" t="s">
        <v>1294</v>
      </c>
      <c r="C54" s="13" t="s">
        <v>771</v>
      </c>
      <c r="D54" s="9" t="s">
        <v>1299</v>
      </c>
      <c r="E54" s="21" t="s">
        <v>58</v>
      </c>
      <c r="F54" s="19"/>
      <c r="G54" s="19" t="s">
        <v>1303</v>
      </c>
      <c r="H54" s="71"/>
      <c r="I54" s="25"/>
      <c r="J54" s="25" t="s">
        <v>99</v>
      </c>
      <c r="K54" s="25" t="s">
        <v>121</v>
      </c>
      <c r="L54" s="25" t="s">
        <v>100</v>
      </c>
    </row>
    <row r="55" spans="2:12" s="1" customFormat="1">
      <c r="B55" s="13" t="s">
        <v>1295</v>
      </c>
      <c r="C55" s="13" t="s">
        <v>771</v>
      </c>
      <c r="D55" s="9" t="s">
        <v>1300</v>
      </c>
      <c r="E55" s="21" t="s">
        <v>58</v>
      </c>
      <c r="F55" s="19"/>
      <c r="G55" s="19" t="s">
        <v>1304</v>
      </c>
      <c r="H55" s="71"/>
      <c r="I55" s="25"/>
      <c r="J55" s="25" t="s">
        <v>99</v>
      </c>
      <c r="K55" s="25" t="s">
        <v>121</v>
      </c>
      <c r="L55" s="25" t="s">
        <v>100</v>
      </c>
    </row>
    <row r="56" spans="2:12" s="1" customFormat="1">
      <c r="B56" s="13" t="s">
        <v>1296</v>
      </c>
      <c r="C56" s="13" t="s">
        <v>771</v>
      </c>
      <c r="D56" s="9" t="s">
        <v>1301</v>
      </c>
      <c r="E56" s="21" t="s">
        <v>58</v>
      </c>
      <c r="F56" s="19"/>
      <c r="G56" s="19" t="s">
        <v>1305</v>
      </c>
      <c r="H56" s="71"/>
      <c r="I56" s="25"/>
      <c r="J56" s="25" t="s">
        <v>99</v>
      </c>
      <c r="K56" s="25" t="s">
        <v>121</v>
      </c>
      <c r="L56" s="25" t="s">
        <v>100</v>
      </c>
    </row>
    <row r="57" spans="2:12" s="1" customFormat="1">
      <c r="B57" s="13" t="s">
        <v>835</v>
      </c>
      <c r="C57" s="13" t="s">
        <v>771</v>
      </c>
      <c r="D57" s="9" t="s">
        <v>840</v>
      </c>
      <c r="E57" s="21" t="s">
        <v>58</v>
      </c>
      <c r="F57" s="19"/>
      <c r="G57" s="84" t="s">
        <v>841</v>
      </c>
      <c r="H57" s="71"/>
      <c r="I57" s="25"/>
      <c r="J57" s="25" t="s">
        <v>99</v>
      </c>
      <c r="K57" s="25" t="s">
        <v>121</v>
      </c>
      <c r="L57" s="25" t="s">
        <v>100</v>
      </c>
    </row>
    <row r="58" spans="2:12" s="1" customFormat="1">
      <c r="B58" s="13" t="s">
        <v>1127</v>
      </c>
      <c r="C58" s="13" t="s">
        <v>771</v>
      </c>
      <c r="D58" s="9" t="s">
        <v>837</v>
      </c>
      <c r="E58" s="21" t="s">
        <v>58</v>
      </c>
      <c r="F58" s="19"/>
      <c r="G58" s="19" t="s">
        <v>842</v>
      </c>
      <c r="H58" s="71"/>
      <c r="I58" s="25"/>
      <c r="J58" s="25" t="s">
        <v>99</v>
      </c>
      <c r="K58" s="25" t="s">
        <v>121</v>
      </c>
      <c r="L58" s="25" t="s">
        <v>100</v>
      </c>
    </row>
    <row r="59" spans="2:12" s="1" customFormat="1">
      <c r="B59" s="13" t="s">
        <v>1128</v>
      </c>
      <c r="C59" s="13" t="s">
        <v>771</v>
      </c>
      <c r="D59" s="9" t="s">
        <v>838</v>
      </c>
      <c r="E59" s="21" t="s">
        <v>58</v>
      </c>
      <c r="F59" s="19"/>
      <c r="G59" s="19" t="s">
        <v>843</v>
      </c>
      <c r="H59" s="71"/>
      <c r="I59" s="25"/>
      <c r="J59" s="25" t="s">
        <v>99</v>
      </c>
      <c r="K59" s="25" t="s">
        <v>121</v>
      </c>
      <c r="L59" s="25" t="s">
        <v>100</v>
      </c>
    </row>
    <row r="60" spans="2:12" s="1" customFormat="1">
      <c r="B60" s="13" t="s">
        <v>836</v>
      </c>
      <c r="C60" s="13" t="s">
        <v>771</v>
      </c>
      <c r="D60" s="9" t="s">
        <v>839</v>
      </c>
      <c r="E60" s="21" t="s">
        <v>58</v>
      </c>
      <c r="F60" s="19"/>
      <c r="G60" s="19" t="s">
        <v>844</v>
      </c>
      <c r="H60" s="71"/>
      <c r="I60" s="25"/>
      <c r="J60" s="25" t="s">
        <v>99</v>
      </c>
      <c r="K60" s="25" t="s">
        <v>121</v>
      </c>
      <c r="L60" s="25" t="s">
        <v>100</v>
      </c>
    </row>
    <row r="61" spans="2:12" s="1" customFormat="1">
      <c r="B61" s="13" t="s">
        <v>1227</v>
      </c>
      <c r="C61" s="13" t="s">
        <v>771</v>
      </c>
      <c r="D61" s="9" t="s">
        <v>850</v>
      </c>
      <c r="E61" s="21" t="s">
        <v>58</v>
      </c>
      <c r="F61" s="19"/>
      <c r="G61" s="84" t="s">
        <v>854</v>
      </c>
      <c r="H61" s="71"/>
      <c r="I61" s="25"/>
      <c r="J61" s="25" t="s">
        <v>99</v>
      </c>
      <c r="K61" s="25" t="s">
        <v>121</v>
      </c>
      <c r="L61" s="25" t="s">
        <v>100</v>
      </c>
    </row>
    <row r="62" spans="2:12" s="1" customFormat="1">
      <c r="B62" s="13" t="s">
        <v>1132</v>
      </c>
      <c r="C62" s="13" t="s">
        <v>771</v>
      </c>
      <c r="D62" s="9" t="s">
        <v>851</v>
      </c>
      <c r="E62" s="21" t="s">
        <v>58</v>
      </c>
      <c r="F62" s="19"/>
      <c r="G62" s="19" t="s">
        <v>855</v>
      </c>
      <c r="H62" s="71"/>
      <c r="I62" s="25"/>
      <c r="J62" s="25" t="s">
        <v>99</v>
      </c>
      <c r="K62" s="25" t="s">
        <v>121</v>
      </c>
      <c r="L62" s="25" t="s">
        <v>100</v>
      </c>
    </row>
    <row r="63" spans="2:12" s="1" customFormat="1">
      <c r="B63" s="13" t="s">
        <v>848</v>
      </c>
      <c r="C63" s="13" t="s">
        <v>771</v>
      </c>
      <c r="D63" s="9" t="s">
        <v>852</v>
      </c>
      <c r="E63" s="21" t="s">
        <v>58</v>
      </c>
      <c r="F63" s="19"/>
      <c r="G63" s="19" t="s">
        <v>856</v>
      </c>
      <c r="H63" s="71"/>
      <c r="I63" s="25"/>
      <c r="J63" s="25" t="s">
        <v>99</v>
      </c>
      <c r="K63" s="25" t="s">
        <v>121</v>
      </c>
      <c r="L63" s="25" t="s">
        <v>100</v>
      </c>
    </row>
    <row r="64" spans="2:12" s="1" customFormat="1">
      <c r="B64" s="13" t="s">
        <v>849</v>
      </c>
      <c r="C64" s="13" t="s">
        <v>771</v>
      </c>
      <c r="D64" s="9" t="s">
        <v>853</v>
      </c>
      <c r="E64" s="21" t="s">
        <v>58</v>
      </c>
      <c r="F64" s="19"/>
      <c r="G64" s="19" t="s">
        <v>857</v>
      </c>
      <c r="H64" s="71"/>
      <c r="I64" s="25"/>
      <c r="J64" s="25" t="s">
        <v>99</v>
      </c>
      <c r="K64" s="25" t="s">
        <v>121</v>
      </c>
      <c r="L64" s="25" t="s">
        <v>100</v>
      </c>
    </row>
    <row r="65" spans="2:12" s="1" customFormat="1">
      <c r="B65" s="13" t="s">
        <v>1228</v>
      </c>
      <c r="C65" s="13" t="s">
        <v>771</v>
      </c>
      <c r="D65" s="9" t="s">
        <v>860</v>
      </c>
      <c r="E65" s="21" t="s">
        <v>58</v>
      </c>
      <c r="F65" s="19"/>
      <c r="G65" s="84" t="s">
        <v>864</v>
      </c>
      <c r="H65" s="71"/>
      <c r="I65" s="25"/>
      <c r="J65" s="25" t="s">
        <v>99</v>
      </c>
      <c r="K65" s="25" t="s">
        <v>121</v>
      </c>
      <c r="L65" s="25" t="s">
        <v>100</v>
      </c>
    </row>
    <row r="66" spans="2:12" s="1" customFormat="1">
      <c r="B66" s="13" t="s">
        <v>1133</v>
      </c>
      <c r="C66" s="13" t="s">
        <v>771</v>
      </c>
      <c r="D66" s="9" t="s">
        <v>861</v>
      </c>
      <c r="E66" s="21" t="s">
        <v>58</v>
      </c>
      <c r="F66" s="19"/>
      <c r="G66" s="19" t="s">
        <v>865</v>
      </c>
      <c r="H66" s="71"/>
      <c r="I66" s="25"/>
      <c r="J66" s="25" t="s">
        <v>99</v>
      </c>
      <c r="K66" s="25" t="s">
        <v>121</v>
      </c>
      <c r="L66" s="25" t="s">
        <v>100</v>
      </c>
    </row>
    <row r="67" spans="2:12" s="1" customFormat="1">
      <c r="B67" s="13" t="s">
        <v>858</v>
      </c>
      <c r="C67" s="13" t="s">
        <v>771</v>
      </c>
      <c r="D67" s="9" t="s">
        <v>862</v>
      </c>
      <c r="E67" s="21" t="s">
        <v>58</v>
      </c>
      <c r="F67" s="19"/>
      <c r="G67" s="19" t="s">
        <v>866</v>
      </c>
      <c r="H67" s="71"/>
      <c r="I67" s="25"/>
      <c r="J67" s="25" t="s">
        <v>99</v>
      </c>
      <c r="K67" s="25" t="s">
        <v>121</v>
      </c>
      <c r="L67" s="25" t="s">
        <v>100</v>
      </c>
    </row>
    <row r="68" spans="2:12" s="1" customFormat="1">
      <c r="B68" s="13" t="s">
        <v>859</v>
      </c>
      <c r="C68" s="13" t="s">
        <v>771</v>
      </c>
      <c r="D68" s="9" t="s">
        <v>863</v>
      </c>
      <c r="E68" s="21" t="s">
        <v>58</v>
      </c>
      <c r="F68" s="19"/>
      <c r="G68" s="19" t="s">
        <v>867</v>
      </c>
      <c r="H68" s="71"/>
      <c r="I68" s="25"/>
      <c r="J68" s="25" t="s">
        <v>99</v>
      </c>
      <c r="K68" s="25" t="s">
        <v>121</v>
      </c>
      <c r="L68" s="25" t="s">
        <v>100</v>
      </c>
    </row>
    <row r="69" spans="2:12" s="1" customFormat="1">
      <c r="B69" s="13" t="s">
        <v>871</v>
      </c>
      <c r="C69" s="13" t="s">
        <v>771</v>
      </c>
      <c r="D69" s="9" t="s">
        <v>872</v>
      </c>
      <c r="E69" s="21" t="s">
        <v>58</v>
      </c>
      <c r="F69" s="19"/>
      <c r="G69" s="84" t="s">
        <v>876</v>
      </c>
      <c r="H69" s="71"/>
      <c r="I69" s="25"/>
      <c r="J69" s="25" t="s">
        <v>99</v>
      </c>
      <c r="K69" s="25" t="s">
        <v>121</v>
      </c>
      <c r="L69" s="25" t="s">
        <v>100</v>
      </c>
    </row>
    <row r="70" spans="2:12" s="1" customFormat="1">
      <c r="B70" s="13" t="s">
        <v>868</v>
      </c>
      <c r="C70" s="13" t="s">
        <v>771</v>
      </c>
      <c r="D70" s="9" t="s">
        <v>873</v>
      </c>
      <c r="E70" s="21" t="s">
        <v>58</v>
      </c>
      <c r="F70" s="19"/>
      <c r="G70" s="19" t="s">
        <v>877</v>
      </c>
      <c r="H70" s="71"/>
      <c r="I70" s="25"/>
      <c r="J70" s="25" t="s">
        <v>99</v>
      </c>
      <c r="K70" s="25" t="s">
        <v>121</v>
      </c>
      <c r="L70" s="25" t="s">
        <v>100</v>
      </c>
    </row>
    <row r="71" spans="2:12" s="1" customFormat="1">
      <c r="B71" s="13" t="s">
        <v>869</v>
      </c>
      <c r="C71" s="13" t="s">
        <v>771</v>
      </c>
      <c r="D71" s="9" t="s">
        <v>874</v>
      </c>
      <c r="E71" s="21" t="s">
        <v>58</v>
      </c>
      <c r="F71" s="19"/>
      <c r="G71" s="19" t="s">
        <v>878</v>
      </c>
      <c r="H71" s="71"/>
      <c r="I71" s="25"/>
      <c r="J71" s="25" t="s">
        <v>99</v>
      </c>
      <c r="K71" s="25" t="s">
        <v>121</v>
      </c>
      <c r="L71" s="25" t="s">
        <v>100</v>
      </c>
    </row>
    <row r="72" spans="2:12" s="1" customFormat="1">
      <c r="B72" s="13" t="s">
        <v>870</v>
      </c>
      <c r="C72" s="13" t="s">
        <v>771</v>
      </c>
      <c r="D72" s="9" t="s">
        <v>875</v>
      </c>
      <c r="E72" s="21" t="s">
        <v>58</v>
      </c>
      <c r="F72" s="19"/>
      <c r="G72" s="19" t="s">
        <v>879</v>
      </c>
      <c r="H72" s="71"/>
      <c r="I72" s="25"/>
      <c r="J72" s="25" t="s">
        <v>99</v>
      </c>
      <c r="K72" s="25" t="s">
        <v>121</v>
      </c>
      <c r="L72" s="25" t="s">
        <v>100</v>
      </c>
    </row>
    <row r="73" spans="2:12" s="1" customFormat="1">
      <c r="B73" s="13" t="s">
        <v>880</v>
      </c>
      <c r="C73" s="13" t="s">
        <v>771</v>
      </c>
      <c r="D73" s="9" t="s">
        <v>884</v>
      </c>
      <c r="E73" s="21" t="s">
        <v>58</v>
      </c>
      <c r="F73" s="19"/>
      <c r="G73" s="84" t="s">
        <v>888</v>
      </c>
      <c r="H73" s="71"/>
      <c r="I73" s="25"/>
      <c r="J73" s="25" t="s">
        <v>99</v>
      </c>
      <c r="K73" s="25" t="s">
        <v>121</v>
      </c>
      <c r="L73" s="25" t="s">
        <v>100</v>
      </c>
    </row>
    <row r="74" spans="2:12" s="1" customFormat="1">
      <c r="B74" s="13" t="s">
        <v>881</v>
      </c>
      <c r="C74" s="13" t="s">
        <v>771</v>
      </c>
      <c r="D74" s="9" t="s">
        <v>885</v>
      </c>
      <c r="E74" s="21" t="s">
        <v>58</v>
      </c>
      <c r="F74" s="19"/>
      <c r="G74" s="19" t="s">
        <v>889</v>
      </c>
      <c r="H74" s="71"/>
      <c r="I74" s="25"/>
      <c r="J74" s="25" t="s">
        <v>99</v>
      </c>
      <c r="K74" s="25" t="s">
        <v>121</v>
      </c>
      <c r="L74" s="25" t="s">
        <v>100</v>
      </c>
    </row>
    <row r="75" spans="2:12" s="1" customFormat="1">
      <c r="B75" s="13" t="s">
        <v>882</v>
      </c>
      <c r="C75" s="13" t="s">
        <v>771</v>
      </c>
      <c r="D75" s="9" t="s">
        <v>886</v>
      </c>
      <c r="E75" s="21" t="s">
        <v>58</v>
      </c>
      <c r="F75" s="19"/>
      <c r="G75" s="19" t="s">
        <v>890</v>
      </c>
      <c r="H75" s="71"/>
      <c r="I75" s="25"/>
      <c r="J75" s="25" t="s">
        <v>99</v>
      </c>
      <c r="K75" s="25" t="s">
        <v>121</v>
      </c>
      <c r="L75" s="25" t="s">
        <v>100</v>
      </c>
    </row>
    <row r="76" spans="2:12" s="1" customFormat="1">
      <c r="B76" s="13" t="s">
        <v>883</v>
      </c>
      <c r="C76" s="13" t="s">
        <v>771</v>
      </c>
      <c r="D76" s="9" t="s">
        <v>887</v>
      </c>
      <c r="E76" s="21" t="s">
        <v>58</v>
      </c>
      <c r="F76" s="19"/>
      <c r="G76" s="19" t="s">
        <v>891</v>
      </c>
      <c r="H76" s="71"/>
      <c r="I76" s="25"/>
      <c r="J76" s="25" t="s">
        <v>99</v>
      </c>
      <c r="K76" s="25" t="s">
        <v>121</v>
      </c>
      <c r="L76" s="25" t="s">
        <v>100</v>
      </c>
    </row>
    <row r="77" spans="2:12" s="1" customFormat="1">
      <c r="B77" s="13" t="s">
        <v>892</v>
      </c>
      <c r="C77" s="13" t="s">
        <v>771</v>
      </c>
      <c r="D77" s="9" t="s">
        <v>896</v>
      </c>
      <c r="E77" s="21" t="s">
        <v>58</v>
      </c>
      <c r="F77" s="19"/>
      <c r="G77" s="84" t="s">
        <v>900</v>
      </c>
      <c r="H77" s="71"/>
      <c r="I77" s="25"/>
      <c r="J77" s="25" t="s">
        <v>99</v>
      </c>
      <c r="K77" s="25" t="s">
        <v>121</v>
      </c>
      <c r="L77" s="25" t="s">
        <v>100</v>
      </c>
    </row>
    <row r="78" spans="2:12" s="1" customFormat="1">
      <c r="B78" s="13" t="s">
        <v>893</v>
      </c>
      <c r="C78" s="13" t="s">
        <v>771</v>
      </c>
      <c r="D78" s="9" t="s">
        <v>897</v>
      </c>
      <c r="E78" s="21" t="s">
        <v>58</v>
      </c>
      <c r="F78" s="19"/>
      <c r="G78" s="19" t="s">
        <v>901</v>
      </c>
      <c r="H78" s="71"/>
      <c r="I78" s="25"/>
      <c r="J78" s="25" t="s">
        <v>99</v>
      </c>
      <c r="K78" s="25" t="s">
        <v>121</v>
      </c>
      <c r="L78" s="25" t="s">
        <v>100</v>
      </c>
    </row>
    <row r="79" spans="2:12" s="1" customFormat="1">
      <c r="B79" s="13" t="s">
        <v>894</v>
      </c>
      <c r="C79" s="13" t="s">
        <v>771</v>
      </c>
      <c r="D79" s="9" t="s">
        <v>898</v>
      </c>
      <c r="E79" s="21" t="s">
        <v>58</v>
      </c>
      <c r="F79" s="19"/>
      <c r="G79" s="19" t="s">
        <v>902</v>
      </c>
      <c r="H79" s="71"/>
      <c r="I79" s="25"/>
      <c r="J79" s="25" t="s">
        <v>99</v>
      </c>
      <c r="K79" s="25" t="s">
        <v>121</v>
      </c>
      <c r="L79" s="25" t="s">
        <v>100</v>
      </c>
    </row>
    <row r="80" spans="2:12" s="1" customFormat="1">
      <c r="B80" s="13" t="s">
        <v>895</v>
      </c>
      <c r="C80" s="13" t="s">
        <v>771</v>
      </c>
      <c r="D80" s="9" t="s">
        <v>899</v>
      </c>
      <c r="E80" s="21" t="s">
        <v>58</v>
      </c>
      <c r="F80" s="19"/>
      <c r="G80" s="19" t="s">
        <v>903</v>
      </c>
      <c r="H80" s="71"/>
      <c r="I80" s="25"/>
      <c r="J80" s="25" t="s">
        <v>99</v>
      </c>
      <c r="K80" s="25" t="s">
        <v>121</v>
      </c>
      <c r="L80" s="25" t="s">
        <v>100</v>
      </c>
    </row>
    <row r="81" spans="2:12" s="1" customFormat="1">
      <c r="B81" s="13" t="s">
        <v>904</v>
      </c>
      <c r="C81" s="13" t="s">
        <v>771</v>
      </c>
      <c r="D81" s="9" t="s">
        <v>1306</v>
      </c>
      <c r="E81" s="21" t="s">
        <v>58</v>
      </c>
      <c r="F81" s="19"/>
      <c r="G81" s="84" t="s">
        <v>907</v>
      </c>
      <c r="H81" s="71"/>
      <c r="I81" s="25"/>
      <c r="J81" s="25" t="s">
        <v>99</v>
      </c>
      <c r="K81" s="25" t="s">
        <v>121</v>
      </c>
      <c r="L81" s="25" t="s">
        <v>100</v>
      </c>
    </row>
    <row r="82" spans="2:12" s="1" customFormat="1">
      <c r="B82" s="13" t="s">
        <v>1134</v>
      </c>
      <c r="C82" s="13" t="s">
        <v>771</v>
      </c>
      <c r="D82" s="9" t="s">
        <v>1307</v>
      </c>
      <c r="E82" s="21" t="s">
        <v>58</v>
      </c>
      <c r="F82" s="19"/>
      <c r="G82" s="19" t="s">
        <v>908</v>
      </c>
      <c r="H82" s="71"/>
      <c r="I82" s="25"/>
      <c r="J82" s="25" t="s">
        <v>99</v>
      </c>
      <c r="K82" s="25" t="s">
        <v>121</v>
      </c>
      <c r="L82" s="25" t="s">
        <v>100</v>
      </c>
    </row>
    <row r="83" spans="2:12" s="1" customFormat="1">
      <c r="B83" s="13" t="s">
        <v>905</v>
      </c>
      <c r="C83" s="13" t="s">
        <v>771</v>
      </c>
      <c r="D83" s="9" t="s">
        <v>1308</v>
      </c>
      <c r="E83" s="21" t="s">
        <v>58</v>
      </c>
      <c r="F83" s="19"/>
      <c r="G83" s="19" t="s">
        <v>909</v>
      </c>
      <c r="H83" s="71"/>
      <c r="I83" s="25"/>
      <c r="J83" s="25" t="s">
        <v>99</v>
      </c>
      <c r="K83" s="25" t="s">
        <v>121</v>
      </c>
      <c r="L83" s="25" t="s">
        <v>100</v>
      </c>
    </row>
    <row r="84" spans="2:12" s="1" customFormat="1">
      <c r="B84" s="13" t="s">
        <v>906</v>
      </c>
      <c r="C84" s="13" t="s">
        <v>771</v>
      </c>
      <c r="D84" s="9" t="s">
        <v>1309</v>
      </c>
      <c r="E84" s="21" t="s">
        <v>58</v>
      </c>
      <c r="F84" s="19"/>
      <c r="G84" s="19" t="s">
        <v>910</v>
      </c>
      <c r="H84" s="71"/>
      <c r="I84" s="25"/>
      <c r="J84" s="25" t="s">
        <v>99</v>
      </c>
      <c r="K84" s="25" t="s">
        <v>121</v>
      </c>
      <c r="L84" s="25" t="s">
        <v>100</v>
      </c>
    </row>
    <row r="85" spans="2:12" s="1" customFormat="1">
      <c r="B85" s="13" t="s">
        <v>911</v>
      </c>
      <c r="C85" s="13" t="s">
        <v>771</v>
      </c>
      <c r="D85" s="9" t="s">
        <v>706</v>
      </c>
      <c r="E85" s="21" t="s">
        <v>58</v>
      </c>
      <c r="F85" s="19"/>
      <c r="G85" s="84" t="s">
        <v>914</v>
      </c>
      <c r="H85" s="71"/>
      <c r="I85" s="25"/>
      <c r="J85" s="25" t="s">
        <v>99</v>
      </c>
      <c r="K85" s="25" t="s">
        <v>121</v>
      </c>
      <c r="L85" s="25" t="s">
        <v>100</v>
      </c>
    </row>
    <row r="86" spans="2:12" s="1" customFormat="1">
      <c r="B86" s="13" t="s">
        <v>1129</v>
      </c>
      <c r="C86" s="13" t="s">
        <v>771</v>
      </c>
      <c r="D86" s="9" t="s">
        <v>707</v>
      </c>
      <c r="E86" s="21" t="s">
        <v>58</v>
      </c>
      <c r="F86" s="19"/>
      <c r="G86" s="19" t="s">
        <v>915</v>
      </c>
      <c r="H86" s="71"/>
      <c r="I86" s="25"/>
      <c r="J86" s="25" t="s">
        <v>99</v>
      </c>
      <c r="K86" s="25" t="s">
        <v>121</v>
      </c>
      <c r="L86" s="25" t="s">
        <v>100</v>
      </c>
    </row>
    <row r="87" spans="2:12" s="1" customFormat="1">
      <c r="B87" s="13" t="s">
        <v>912</v>
      </c>
      <c r="C87" s="13" t="s">
        <v>771</v>
      </c>
      <c r="D87" s="9" t="s">
        <v>708</v>
      </c>
      <c r="E87" s="21" t="s">
        <v>58</v>
      </c>
      <c r="F87" s="19"/>
      <c r="G87" s="19" t="s">
        <v>916</v>
      </c>
      <c r="H87" s="71"/>
      <c r="I87" s="25"/>
      <c r="J87" s="25" t="s">
        <v>99</v>
      </c>
      <c r="K87" s="25" t="s">
        <v>121</v>
      </c>
      <c r="L87" s="25" t="s">
        <v>100</v>
      </c>
    </row>
    <row r="88" spans="2:12" s="1" customFormat="1">
      <c r="B88" s="13" t="s">
        <v>913</v>
      </c>
      <c r="C88" s="13" t="s">
        <v>771</v>
      </c>
      <c r="D88" s="9" t="s">
        <v>709</v>
      </c>
      <c r="E88" s="21" t="s">
        <v>58</v>
      </c>
      <c r="F88" s="19"/>
      <c r="G88" s="19" t="s">
        <v>917</v>
      </c>
      <c r="H88" s="71"/>
      <c r="I88" s="25"/>
      <c r="J88" s="25" t="s">
        <v>99</v>
      </c>
      <c r="K88" s="25" t="s">
        <v>121</v>
      </c>
      <c r="L88" s="25" t="s">
        <v>100</v>
      </c>
    </row>
    <row r="89" spans="2:12" s="1" customFormat="1">
      <c r="B89" s="13" t="s">
        <v>1311</v>
      </c>
      <c r="C89" s="13" t="s">
        <v>771</v>
      </c>
      <c r="D89" s="9" t="s">
        <v>1315</v>
      </c>
      <c r="E89" s="21" t="s">
        <v>58</v>
      </c>
      <c r="F89" s="19"/>
      <c r="G89" s="84" t="s">
        <v>1319</v>
      </c>
      <c r="H89" s="71"/>
      <c r="I89" s="25"/>
      <c r="J89" s="25" t="s">
        <v>99</v>
      </c>
      <c r="K89" s="25" t="s">
        <v>121</v>
      </c>
      <c r="L89" s="25" t="s">
        <v>100</v>
      </c>
    </row>
    <row r="90" spans="2:12" s="1" customFormat="1">
      <c r="B90" s="13" t="s">
        <v>1312</v>
      </c>
      <c r="C90" s="13" t="s">
        <v>771</v>
      </c>
      <c r="D90" s="9" t="s">
        <v>1316</v>
      </c>
      <c r="E90" s="21" t="s">
        <v>58</v>
      </c>
      <c r="F90" s="19"/>
      <c r="G90" s="19" t="s">
        <v>1320</v>
      </c>
      <c r="H90" s="71"/>
      <c r="I90" s="25"/>
      <c r="J90" s="25" t="s">
        <v>99</v>
      </c>
      <c r="K90" s="25" t="s">
        <v>121</v>
      </c>
      <c r="L90" s="25" t="s">
        <v>100</v>
      </c>
    </row>
    <row r="91" spans="2:12" s="1" customFormat="1">
      <c r="B91" s="13" t="s">
        <v>1313</v>
      </c>
      <c r="C91" s="13" t="s">
        <v>771</v>
      </c>
      <c r="D91" s="9" t="s">
        <v>1317</v>
      </c>
      <c r="E91" s="21" t="s">
        <v>58</v>
      </c>
      <c r="F91" s="19"/>
      <c r="G91" s="19" t="s">
        <v>1321</v>
      </c>
      <c r="H91" s="71"/>
      <c r="I91" s="25"/>
      <c r="J91" s="25" t="s">
        <v>99</v>
      </c>
      <c r="K91" s="25" t="s">
        <v>121</v>
      </c>
      <c r="L91" s="25" t="s">
        <v>100</v>
      </c>
    </row>
    <row r="92" spans="2:12" s="1" customFormat="1">
      <c r="B92" s="13" t="s">
        <v>1314</v>
      </c>
      <c r="C92" s="13" t="s">
        <v>771</v>
      </c>
      <c r="D92" s="9" t="s">
        <v>1318</v>
      </c>
      <c r="E92" s="21" t="s">
        <v>58</v>
      </c>
      <c r="F92" s="19"/>
      <c r="G92" s="19" t="s">
        <v>1322</v>
      </c>
      <c r="H92" s="71"/>
      <c r="I92" s="25"/>
      <c r="J92" s="25" t="s">
        <v>99</v>
      </c>
      <c r="K92" s="25" t="s">
        <v>121</v>
      </c>
      <c r="L92" s="25" t="s">
        <v>100</v>
      </c>
    </row>
    <row r="93" spans="2:12" s="1" customFormat="1">
      <c r="B93" s="13" t="s">
        <v>285</v>
      </c>
      <c r="C93" s="13" t="s">
        <v>771</v>
      </c>
      <c r="D93" s="9" t="s">
        <v>918</v>
      </c>
      <c r="E93" s="21" t="s">
        <v>58</v>
      </c>
      <c r="F93" s="19"/>
      <c r="G93" s="84" t="s">
        <v>922</v>
      </c>
      <c r="H93" s="71"/>
      <c r="I93" s="25"/>
      <c r="J93" s="25" t="s">
        <v>99</v>
      </c>
      <c r="K93" s="25" t="s">
        <v>121</v>
      </c>
      <c r="L93" s="25" t="s">
        <v>100</v>
      </c>
    </row>
    <row r="94" spans="2:12" s="1" customFormat="1">
      <c r="B94" s="13" t="s">
        <v>286</v>
      </c>
      <c r="C94" s="13" t="s">
        <v>771</v>
      </c>
      <c r="D94" s="9" t="s">
        <v>919</v>
      </c>
      <c r="E94" s="21" t="s">
        <v>58</v>
      </c>
      <c r="F94" s="19"/>
      <c r="G94" s="19" t="s">
        <v>923</v>
      </c>
      <c r="H94" s="71"/>
      <c r="I94" s="25"/>
      <c r="J94" s="25" t="s">
        <v>99</v>
      </c>
      <c r="K94" s="25" t="s">
        <v>121</v>
      </c>
      <c r="L94" s="25" t="s">
        <v>100</v>
      </c>
    </row>
    <row r="95" spans="2:12" s="1" customFormat="1">
      <c r="B95" s="13" t="s">
        <v>287</v>
      </c>
      <c r="C95" s="13" t="s">
        <v>771</v>
      </c>
      <c r="D95" s="9" t="s">
        <v>920</v>
      </c>
      <c r="E95" s="21" t="s">
        <v>58</v>
      </c>
      <c r="F95" s="19"/>
      <c r="G95" s="19" t="s">
        <v>924</v>
      </c>
      <c r="H95" s="71"/>
      <c r="I95" s="25"/>
      <c r="J95" s="25" t="s">
        <v>99</v>
      </c>
      <c r="K95" s="25" t="s">
        <v>121</v>
      </c>
      <c r="L95" s="25" t="s">
        <v>100</v>
      </c>
    </row>
    <row r="96" spans="2:12" s="1" customFormat="1">
      <c r="B96" s="13" t="s">
        <v>288</v>
      </c>
      <c r="C96" s="13" t="s">
        <v>771</v>
      </c>
      <c r="D96" s="9" t="s">
        <v>921</v>
      </c>
      <c r="E96" s="21" t="s">
        <v>58</v>
      </c>
      <c r="F96" s="19"/>
      <c r="G96" s="19" t="s">
        <v>925</v>
      </c>
      <c r="H96" s="71"/>
      <c r="I96" s="25"/>
      <c r="J96" s="25" t="s">
        <v>99</v>
      </c>
      <c r="K96" s="25" t="s">
        <v>121</v>
      </c>
      <c r="L96" s="25" t="s">
        <v>100</v>
      </c>
    </row>
    <row r="97" spans="2:12" s="1" customFormat="1">
      <c r="B97" s="13" t="s">
        <v>1310</v>
      </c>
      <c r="C97" s="13" t="s">
        <v>771</v>
      </c>
      <c r="D97" s="9" t="s">
        <v>926</v>
      </c>
      <c r="E97" s="21" t="s">
        <v>58</v>
      </c>
      <c r="F97" s="19"/>
      <c r="G97" s="84" t="s">
        <v>937</v>
      </c>
      <c r="H97" s="71"/>
      <c r="I97" s="25"/>
      <c r="J97" s="25" t="s">
        <v>99</v>
      </c>
      <c r="K97" s="25" t="s">
        <v>121</v>
      </c>
      <c r="L97" s="25" t="s">
        <v>100</v>
      </c>
    </row>
    <row r="98" spans="2:12" s="1" customFormat="1">
      <c r="B98" s="13" t="s">
        <v>1135</v>
      </c>
      <c r="C98" s="13" t="s">
        <v>771</v>
      </c>
      <c r="D98" s="9" t="s">
        <v>927</v>
      </c>
      <c r="E98" s="21" t="s">
        <v>58</v>
      </c>
      <c r="F98" s="19"/>
      <c r="G98" s="19" t="s">
        <v>938</v>
      </c>
      <c r="H98" s="71"/>
      <c r="I98" s="25"/>
      <c r="J98" s="25" t="s">
        <v>99</v>
      </c>
      <c r="K98" s="25" t="s">
        <v>121</v>
      </c>
      <c r="L98" s="25" t="s">
        <v>100</v>
      </c>
    </row>
    <row r="99" spans="2:12" s="1" customFormat="1">
      <c r="B99" s="13" t="s">
        <v>1136</v>
      </c>
      <c r="C99" s="13" t="s">
        <v>771</v>
      </c>
      <c r="D99" s="9" t="s">
        <v>928</v>
      </c>
      <c r="E99" s="21" t="s">
        <v>58</v>
      </c>
      <c r="F99" s="19"/>
      <c r="G99" s="19" t="s">
        <v>939</v>
      </c>
      <c r="H99" s="71"/>
      <c r="I99" s="25"/>
      <c r="J99" s="25" t="s">
        <v>99</v>
      </c>
      <c r="K99" s="25" t="s">
        <v>121</v>
      </c>
      <c r="L99" s="25" t="s">
        <v>100</v>
      </c>
    </row>
    <row r="100" spans="2:12" s="1" customFormat="1">
      <c r="B100" s="13" t="s">
        <v>1137</v>
      </c>
      <c r="C100" s="13" t="s">
        <v>771</v>
      </c>
      <c r="D100" s="9" t="s">
        <v>929</v>
      </c>
      <c r="E100" s="21" t="s">
        <v>58</v>
      </c>
      <c r="F100" s="19"/>
      <c r="G100" s="19" t="s">
        <v>940</v>
      </c>
      <c r="H100" s="71"/>
      <c r="I100" s="25"/>
      <c r="J100" s="25" t="s">
        <v>99</v>
      </c>
      <c r="K100" s="25" t="s">
        <v>121</v>
      </c>
      <c r="L100" s="25" t="s">
        <v>100</v>
      </c>
    </row>
    <row r="101" spans="2:12" s="1" customFormat="1">
      <c r="B101" s="13" t="s">
        <v>934</v>
      </c>
      <c r="C101" s="13" t="s">
        <v>771</v>
      </c>
      <c r="D101" s="9" t="s">
        <v>710</v>
      </c>
      <c r="E101" s="21" t="s">
        <v>58</v>
      </c>
      <c r="F101" s="19"/>
      <c r="G101" s="84" t="s">
        <v>930</v>
      </c>
      <c r="H101" s="71"/>
      <c r="I101" s="25"/>
      <c r="J101" s="25" t="s">
        <v>99</v>
      </c>
      <c r="K101" s="25" t="s">
        <v>121</v>
      </c>
      <c r="L101" s="25" t="s">
        <v>100</v>
      </c>
    </row>
    <row r="102" spans="2:12" s="1" customFormat="1">
      <c r="B102" s="13" t="s">
        <v>1138</v>
      </c>
      <c r="C102" s="13" t="s">
        <v>771</v>
      </c>
      <c r="D102" s="9" t="s">
        <v>711</v>
      </c>
      <c r="E102" s="21" t="s">
        <v>58</v>
      </c>
      <c r="F102" s="19"/>
      <c r="G102" s="19" t="s">
        <v>931</v>
      </c>
      <c r="H102" s="71"/>
      <c r="I102" s="25"/>
      <c r="J102" s="25" t="s">
        <v>99</v>
      </c>
      <c r="K102" s="25" t="s">
        <v>121</v>
      </c>
      <c r="L102" s="25" t="s">
        <v>100</v>
      </c>
    </row>
    <row r="103" spans="2:12" s="1" customFormat="1">
      <c r="B103" s="13" t="s">
        <v>935</v>
      </c>
      <c r="C103" s="13" t="s">
        <v>771</v>
      </c>
      <c r="D103" s="9" t="s">
        <v>712</v>
      </c>
      <c r="E103" s="21" t="s">
        <v>58</v>
      </c>
      <c r="F103" s="19"/>
      <c r="G103" s="19" t="s">
        <v>932</v>
      </c>
      <c r="H103" s="71"/>
      <c r="I103" s="25"/>
      <c r="J103" s="25" t="s">
        <v>99</v>
      </c>
      <c r="K103" s="25" t="s">
        <v>121</v>
      </c>
      <c r="L103" s="25" t="s">
        <v>100</v>
      </c>
    </row>
    <row r="104" spans="2:12" s="1" customFormat="1">
      <c r="B104" s="13" t="s">
        <v>936</v>
      </c>
      <c r="C104" s="13" t="s">
        <v>771</v>
      </c>
      <c r="D104" s="9" t="s">
        <v>713</v>
      </c>
      <c r="E104" s="21" t="s">
        <v>58</v>
      </c>
      <c r="F104" s="19"/>
      <c r="G104" s="19" t="s">
        <v>933</v>
      </c>
      <c r="H104" s="71"/>
      <c r="I104" s="25"/>
      <c r="J104" s="25" t="s">
        <v>99</v>
      </c>
      <c r="K104" s="25" t="s">
        <v>121</v>
      </c>
      <c r="L104" s="25" t="s">
        <v>100</v>
      </c>
    </row>
    <row r="105" spans="2:12" s="1" customFormat="1">
      <c r="B105" s="13" t="s">
        <v>944</v>
      </c>
      <c r="C105" s="13" t="s">
        <v>771</v>
      </c>
      <c r="D105" s="9" t="s">
        <v>714</v>
      </c>
      <c r="E105" s="21" t="s">
        <v>58</v>
      </c>
      <c r="F105" s="19"/>
      <c r="G105" s="84" t="s">
        <v>949</v>
      </c>
      <c r="H105" s="71"/>
      <c r="I105" s="25"/>
      <c r="J105" s="25" t="s">
        <v>99</v>
      </c>
      <c r="K105" s="25" t="s">
        <v>121</v>
      </c>
      <c r="L105" s="25" t="s">
        <v>100</v>
      </c>
    </row>
    <row r="106" spans="2:12" s="1" customFormat="1">
      <c r="B106" s="13" t="s">
        <v>1131</v>
      </c>
      <c r="C106" s="13" t="s">
        <v>771</v>
      </c>
      <c r="D106" s="9" t="s">
        <v>715</v>
      </c>
      <c r="E106" s="21" t="s">
        <v>58</v>
      </c>
      <c r="F106" s="19"/>
      <c r="G106" s="19" t="s">
        <v>950</v>
      </c>
      <c r="H106" s="71"/>
      <c r="I106" s="25"/>
      <c r="J106" s="25" t="s">
        <v>99</v>
      </c>
      <c r="K106" s="25" t="s">
        <v>121</v>
      </c>
      <c r="L106" s="25" t="s">
        <v>100</v>
      </c>
    </row>
    <row r="107" spans="2:12" s="1" customFormat="1">
      <c r="B107" s="13" t="s">
        <v>945</v>
      </c>
      <c r="C107" s="13" t="s">
        <v>771</v>
      </c>
      <c r="D107" s="9" t="s">
        <v>716</v>
      </c>
      <c r="E107" s="21" t="s">
        <v>58</v>
      </c>
      <c r="F107" s="19"/>
      <c r="G107" s="19" t="s">
        <v>947</v>
      </c>
      <c r="H107" s="71"/>
      <c r="I107" s="25"/>
      <c r="J107" s="25" t="s">
        <v>99</v>
      </c>
      <c r="K107" s="25" t="s">
        <v>121</v>
      </c>
      <c r="L107" s="25" t="s">
        <v>100</v>
      </c>
    </row>
    <row r="108" spans="2:12" s="1" customFormat="1">
      <c r="B108" s="13" t="s">
        <v>946</v>
      </c>
      <c r="C108" s="13" t="s">
        <v>771</v>
      </c>
      <c r="D108" s="9" t="s">
        <v>717</v>
      </c>
      <c r="E108" s="21" t="s">
        <v>58</v>
      </c>
      <c r="F108" s="19"/>
      <c r="G108" s="19" t="s">
        <v>948</v>
      </c>
      <c r="H108" s="71"/>
      <c r="I108" s="25"/>
      <c r="J108" s="25" t="s">
        <v>99</v>
      </c>
      <c r="K108" s="25" t="s">
        <v>121</v>
      </c>
      <c r="L108" s="25" t="s">
        <v>100</v>
      </c>
    </row>
    <row r="109" spans="2:12" s="1" customFormat="1">
      <c r="B109" s="13" t="s">
        <v>1465</v>
      </c>
      <c r="C109" s="26" t="s">
        <v>98</v>
      </c>
      <c r="D109" s="9" t="s">
        <v>952</v>
      </c>
      <c r="E109" s="21" t="s">
        <v>58</v>
      </c>
      <c r="F109" s="19"/>
      <c r="G109" s="19" t="s">
        <v>120</v>
      </c>
      <c r="H109" s="71"/>
      <c r="I109" s="25"/>
      <c r="J109" s="25" t="s">
        <v>99</v>
      </c>
      <c r="K109" s="25" t="s">
        <v>121</v>
      </c>
      <c r="L109" s="25" t="s">
        <v>100</v>
      </c>
    </row>
    <row r="110" spans="2:12" s="1" customFormat="1">
      <c r="B110" s="13" t="s">
        <v>289</v>
      </c>
      <c r="C110" s="26" t="s">
        <v>98</v>
      </c>
      <c r="D110" s="9" t="s">
        <v>953</v>
      </c>
      <c r="E110" s="21" t="s">
        <v>58</v>
      </c>
      <c r="F110" s="19"/>
      <c r="G110" s="19" t="s">
        <v>956</v>
      </c>
      <c r="H110" s="71"/>
      <c r="I110" s="25"/>
      <c r="J110" s="25" t="s">
        <v>99</v>
      </c>
      <c r="K110" s="25" t="s">
        <v>121</v>
      </c>
      <c r="L110" s="25" t="s">
        <v>100</v>
      </c>
    </row>
    <row r="111" spans="2:12" s="1" customFormat="1">
      <c r="B111" s="13" t="s">
        <v>290</v>
      </c>
      <c r="C111" s="26" t="s">
        <v>98</v>
      </c>
      <c r="D111" s="9" t="s">
        <v>954</v>
      </c>
      <c r="E111" s="21" t="s">
        <v>58</v>
      </c>
      <c r="F111" s="19"/>
      <c r="G111" s="19" t="s">
        <v>957</v>
      </c>
      <c r="H111" s="71"/>
      <c r="I111" s="25"/>
      <c r="J111" s="25" t="s">
        <v>99</v>
      </c>
      <c r="K111" s="25" t="s">
        <v>121</v>
      </c>
      <c r="L111" s="25" t="s">
        <v>100</v>
      </c>
    </row>
    <row r="112" spans="2:12" s="1" customFormat="1">
      <c r="B112" s="13" t="s">
        <v>291</v>
      </c>
      <c r="C112" s="26" t="s">
        <v>98</v>
      </c>
      <c r="D112" s="9" t="s">
        <v>955</v>
      </c>
      <c r="E112" s="21" t="s">
        <v>58</v>
      </c>
      <c r="F112" s="19"/>
      <c r="G112" s="19" t="s">
        <v>958</v>
      </c>
      <c r="H112" s="71"/>
      <c r="I112" s="25"/>
      <c r="J112" s="25" t="s">
        <v>99</v>
      </c>
      <c r="K112" s="25" t="s">
        <v>121</v>
      </c>
      <c r="L112" s="25" t="s">
        <v>100</v>
      </c>
    </row>
    <row r="113" spans="2:17" s="1" customFormat="1">
      <c r="B113" s="13" t="s">
        <v>200</v>
      </c>
      <c r="C113" s="26" t="s">
        <v>98</v>
      </c>
      <c r="D113" s="9" t="s">
        <v>292</v>
      </c>
      <c r="E113" s="21" t="s">
        <v>58</v>
      </c>
      <c r="F113" s="19"/>
      <c r="G113" s="19" t="s">
        <v>269</v>
      </c>
      <c r="H113" s="71"/>
      <c r="I113" s="25"/>
      <c r="J113" s="25" t="s">
        <v>99</v>
      </c>
      <c r="K113" s="25" t="s">
        <v>121</v>
      </c>
      <c r="L113" s="25" t="s">
        <v>100</v>
      </c>
    </row>
    <row r="114" spans="2:17" s="1" customFormat="1">
      <c r="B114" s="13" t="s">
        <v>203</v>
      </c>
      <c r="C114" s="26" t="s">
        <v>98</v>
      </c>
      <c r="D114" s="9" t="s">
        <v>204</v>
      </c>
      <c r="E114" s="21" t="s">
        <v>58</v>
      </c>
      <c r="F114" s="19"/>
      <c r="G114" s="19" t="s">
        <v>270</v>
      </c>
      <c r="H114" s="71"/>
      <c r="I114" s="25"/>
      <c r="J114" s="25" t="s">
        <v>99</v>
      </c>
      <c r="K114" s="25" t="s">
        <v>121</v>
      </c>
      <c r="L114" s="25" t="s">
        <v>100</v>
      </c>
    </row>
    <row r="115" spans="2:17" s="1" customFormat="1">
      <c r="B115" s="13" t="s">
        <v>959</v>
      </c>
      <c r="C115" s="13" t="s">
        <v>98</v>
      </c>
      <c r="D115" s="9" t="s">
        <v>207</v>
      </c>
      <c r="E115" s="21" t="s">
        <v>58</v>
      </c>
      <c r="F115" s="19"/>
      <c r="G115" s="22" t="s">
        <v>960</v>
      </c>
      <c r="H115" s="71"/>
      <c r="I115" s="25"/>
      <c r="J115" s="25" t="s">
        <v>99</v>
      </c>
      <c r="K115" s="25" t="s">
        <v>121</v>
      </c>
      <c r="L115" s="25" t="s">
        <v>100</v>
      </c>
    </row>
    <row r="116" spans="2:17" s="1" customFormat="1">
      <c r="B116" s="13" t="s">
        <v>1565</v>
      </c>
      <c r="C116" s="13" t="s">
        <v>98</v>
      </c>
      <c r="D116" s="9" t="s">
        <v>1566</v>
      </c>
      <c r="E116" s="21" t="s">
        <v>58</v>
      </c>
      <c r="F116" s="19"/>
      <c r="G116" s="19" t="s">
        <v>1567</v>
      </c>
      <c r="H116" s="71"/>
      <c r="I116" s="25"/>
      <c r="J116" s="25" t="s">
        <v>99</v>
      </c>
      <c r="K116" s="25" t="s">
        <v>121</v>
      </c>
      <c r="L116" s="25" t="s">
        <v>100</v>
      </c>
    </row>
    <row r="117" spans="2:17" s="1" customFormat="1">
      <c r="B117" s="13" t="s">
        <v>118</v>
      </c>
      <c r="C117" s="26" t="s">
        <v>71</v>
      </c>
      <c r="D117" s="9" t="s">
        <v>210</v>
      </c>
      <c r="E117" s="21" t="s">
        <v>58</v>
      </c>
      <c r="F117" s="19"/>
      <c r="G117" s="22" t="s">
        <v>124</v>
      </c>
      <c r="H117" s="71"/>
      <c r="I117" s="25"/>
      <c r="J117" s="25" t="s">
        <v>99</v>
      </c>
      <c r="K117" s="25" t="s">
        <v>212</v>
      </c>
      <c r="L117" s="25" t="s">
        <v>117</v>
      </c>
    </row>
    <row r="118" spans="2:17" s="1" customFormat="1">
      <c r="B118" s="13" t="s">
        <v>119</v>
      </c>
      <c r="C118" s="26" t="s">
        <v>71</v>
      </c>
      <c r="D118" s="9" t="s">
        <v>213</v>
      </c>
      <c r="E118" s="21" t="s">
        <v>58</v>
      </c>
      <c r="F118" s="19"/>
      <c r="G118" s="22" t="s">
        <v>125</v>
      </c>
      <c r="H118" s="71"/>
      <c r="I118" s="25"/>
      <c r="J118" s="25" t="s">
        <v>99</v>
      </c>
      <c r="K118" s="25" t="s">
        <v>212</v>
      </c>
      <c r="L118" s="25" t="s">
        <v>117</v>
      </c>
    </row>
    <row r="119" spans="2:17" s="2" customFormat="1">
      <c r="B119" s="14" t="s">
        <v>80</v>
      </c>
      <c r="C119" s="15" t="s">
        <v>75</v>
      </c>
      <c r="D119" s="16" t="s">
        <v>103</v>
      </c>
      <c r="E119" s="24"/>
      <c r="F119" s="24"/>
      <c r="G119" s="24" t="s">
        <v>293</v>
      </c>
      <c r="H119" s="24" t="s">
        <v>293</v>
      </c>
      <c r="I119" s="14"/>
      <c r="J119" s="14"/>
      <c r="K119" s="14"/>
      <c r="L119" s="14"/>
      <c r="M119" s="14"/>
      <c r="N119" s="14"/>
      <c r="O119" s="14"/>
      <c r="P119" s="14"/>
      <c r="Q119" s="14"/>
    </row>
    <row r="120" spans="2:17" s="2" customFormat="1">
      <c r="B120" s="14" t="s">
        <v>0</v>
      </c>
      <c r="C120" s="15" t="s">
        <v>71</v>
      </c>
      <c r="D120" s="16" t="s">
        <v>104</v>
      </c>
      <c r="E120" s="24"/>
      <c r="F120" s="24"/>
      <c r="G120" s="24" t="s">
        <v>293</v>
      </c>
      <c r="H120" s="24" t="s">
        <v>293</v>
      </c>
      <c r="I120" s="14"/>
      <c r="J120" s="14"/>
      <c r="K120" s="14"/>
      <c r="L120" s="14"/>
      <c r="M120" s="14"/>
      <c r="N120" s="14"/>
      <c r="O120" s="14"/>
      <c r="P120" s="14"/>
      <c r="Q120" s="14"/>
    </row>
    <row r="121" spans="2:17" s="2" customFormat="1">
      <c r="B121" s="14" t="s">
        <v>1</v>
      </c>
      <c r="C121" s="15" t="s">
        <v>75</v>
      </c>
      <c r="D121" s="16" t="s">
        <v>105</v>
      </c>
      <c r="E121" s="24"/>
      <c r="F121" s="24"/>
      <c r="G121" s="24" t="s">
        <v>293</v>
      </c>
      <c r="H121" s="24" t="s">
        <v>293</v>
      </c>
      <c r="I121" s="14"/>
      <c r="J121" s="14"/>
      <c r="K121" s="14"/>
      <c r="L121" s="14"/>
      <c r="M121" s="14"/>
      <c r="N121" s="14"/>
      <c r="O121" s="14"/>
      <c r="P121" s="14"/>
      <c r="Q121" s="14"/>
    </row>
  </sheetData>
  <autoFilter ref="B11:L121" xr:uid="{1CD6A709-7980-47A9-90CF-7F7A4C2EE21B}"/>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0C602-5554-4A37-A6AE-72250635E1D7}">
  <dimension ref="A1:N31"/>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23.6640625" style="3" customWidth="1"/>
    <col min="3" max="3" width="30.21875" style="3" customWidth="1"/>
    <col min="4" max="4" width="30.44140625" style="3" customWidth="1"/>
    <col min="5" max="5" width="16.21875" style="3" customWidth="1"/>
    <col min="6" max="6" width="24.88671875" style="3" customWidth="1"/>
    <col min="7" max="7" width="51.44140625" style="3" customWidth="1"/>
    <col min="8" max="8" width="14.44140625" style="3" customWidth="1"/>
    <col min="9" max="9" width="8.33203125" style="3" customWidth="1"/>
    <col min="10" max="10" width="5.6640625" style="3" customWidth="1"/>
    <col min="11" max="11" width="9.6640625" style="3" customWidth="1"/>
    <col min="12" max="12" width="10.777343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7" t="s">
        <v>49</v>
      </c>
      <c r="G4" s="7" t="s">
        <v>14</v>
      </c>
      <c r="H4" s="7" t="s">
        <v>50</v>
      </c>
    </row>
    <row r="5" spans="2:14">
      <c r="B5" s="8" t="s">
        <v>39</v>
      </c>
      <c r="C5" s="9" t="s">
        <v>1210</v>
      </c>
      <c r="D5" s="10" t="s">
        <v>1211</v>
      </c>
      <c r="E5" s="12" t="s">
        <v>6</v>
      </c>
      <c r="F5" s="29"/>
      <c r="G5" s="19" t="s">
        <v>2368</v>
      </c>
      <c r="H5" s="12"/>
      <c r="N5" s="3"/>
    </row>
    <row r="6" spans="2:14">
      <c r="B6" s="6"/>
      <c r="C6" s="6"/>
      <c r="D6" s="6"/>
      <c r="E6" s="6"/>
      <c r="F6" s="6"/>
      <c r="G6" s="6"/>
      <c r="H6" s="6"/>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ht="13.8" customHeight="1">
      <c r="B9" s="12"/>
      <c r="C9" s="9" t="s">
        <v>1156</v>
      </c>
      <c r="D9" s="10" t="s">
        <v>1240</v>
      </c>
      <c r="E9" s="12" t="s">
        <v>58</v>
      </c>
      <c r="F9" s="19"/>
      <c r="G9" s="123" t="s">
        <v>1231</v>
      </c>
      <c r="H9" s="20"/>
    </row>
    <row r="10" spans="2:14">
      <c r="B10" s="12"/>
      <c r="C10" s="9" t="s">
        <v>1213</v>
      </c>
      <c r="D10" s="9" t="s">
        <v>1214</v>
      </c>
      <c r="E10" s="12" t="s">
        <v>107</v>
      </c>
      <c r="F10" s="92" t="s">
        <v>2355</v>
      </c>
      <c r="G10" s="124"/>
      <c r="H10" s="20"/>
    </row>
    <row r="11" spans="2:14">
      <c r="C11" s="28"/>
      <c r="D11" s="28"/>
      <c r="F11" s="30"/>
      <c r="G11" s="30"/>
    </row>
    <row r="12" spans="2:14">
      <c r="B12" s="3" t="s">
        <v>59</v>
      </c>
    </row>
    <row r="13" spans="2:14">
      <c r="B13" s="122" t="s">
        <v>59</v>
      </c>
      <c r="C13" s="122"/>
      <c r="D13" s="122"/>
      <c r="E13" s="122"/>
      <c r="F13" s="122"/>
      <c r="G13" s="122"/>
      <c r="H13" s="122"/>
      <c r="I13" s="122"/>
      <c r="J13" s="122"/>
      <c r="K13" s="122"/>
      <c r="L13" s="122"/>
    </row>
    <row r="14" spans="2:14" ht="24">
      <c r="B14" s="85" t="s">
        <v>60</v>
      </c>
      <c r="C14" s="85" t="s">
        <v>61</v>
      </c>
      <c r="D14" s="85" t="s">
        <v>62</v>
      </c>
      <c r="E14" s="85" t="s">
        <v>63</v>
      </c>
      <c r="F14" s="85" t="s">
        <v>64</v>
      </c>
      <c r="G14" s="85" t="s">
        <v>65</v>
      </c>
      <c r="H14" s="85" t="s">
        <v>66</v>
      </c>
      <c r="I14" s="85" t="s">
        <v>24</v>
      </c>
      <c r="J14" s="85" t="s">
        <v>67</v>
      </c>
      <c r="K14" s="85" t="s">
        <v>68</v>
      </c>
      <c r="L14" s="85" t="s">
        <v>69</v>
      </c>
    </row>
    <row r="15" spans="2:14" s="1" customFormat="1">
      <c r="B15" s="27" t="s">
        <v>70</v>
      </c>
      <c r="C15" s="27" t="s">
        <v>71</v>
      </c>
      <c r="D15" s="27" t="s">
        <v>72</v>
      </c>
      <c r="E15" s="86"/>
      <c r="F15" s="27" t="s">
        <v>0</v>
      </c>
      <c r="G15" s="27" t="s">
        <v>72</v>
      </c>
      <c r="H15" s="23"/>
      <c r="I15" s="87"/>
      <c r="J15" s="87" t="s">
        <v>3</v>
      </c>
      <c r="K15" s="87" t="s">
        <v>74</v>
      </c>
      <c r="L15" s="87" t="s">
        <v>74</v>
      </c>
    </row>
    <row r="16" spans="2:14" s="1" customFormat="1">
      <c r="B16" s="27" t="s">
        <v>6</v>
      </c>
      <c r="C16" s="27" t="s">
        <v>75</v>
      </c>
      <c r="D16" s="27" t="s">
        <v>34</v>
      </c>
      <c r="E16" s="86"/>
      <c r="F16" s="27" t="s">
        <v>1</v>
      </c>
      <c r="G16" s="27" t="s">
        <v>34</v>
      </c>
      <c r="H16" s="23"/>
      <c r="I16" s="87"/>
      <c r="J16" s="87" t="s">
        <v>3</v>
      </c>
      <c r="K16" s="87" t="s">
        <v>74</v>
      </c>
      <c r="L16" s="87" t="s">
        <v>74</v>
      </c>
    </row>
    <row r="17" spans="1:12" s="1" customFormat="1">
      <c r="B17" s="27" t="s">
        <v>90</v>
      </c>
      <c r="C17" s="27" t="s">
        <v>71</v>
      </c>
      <c r="D17" s="9" t="s">
        <v>91</v>
      </c>
      <c r="E17" s="86" t="s">
        <v>58</v>
      </c>
      <c r="F17" s="27" t="s">
        <v>90</v>
      </c>
      <c r="G17" s="27" t="s">
        <v>73</v>
      </c>
      <c r="H17" s="23"/>
      <c r="I17" s="87"/>
      <c r="J17" s="87" t="s">
        <v>3</v>
      </c>
      <c r="K17" s="87" t="s">
        <v>74</v>
      </c>
      <c r="L17" s="87" t="s">
        <v>74</v>
      </c>
    </row>
    <row r="18" spans="1:12" s="1" customFormat="1">
      <c r="B18" s="27" t="s">
        <v>108</v>
      </c>
      <c r="C18" s="27" t="s">
        <v>71</v>
      </c>
      <c r="D18" s="9" t="s">
        <v>93</v>
      </c>
      <c r="E18" s="86" t="s">
        <v>58</v>
      </c>
      <c r="F18" s="27" t="s">
        <v>108</v>
      </c>
      <c r="G18" s="27" t="s">
        <v>73</v>
      </c>
      <c r="H18" s="23"/>
      <c r="I18" s="87"/>
      <c r="J18" s="87" t="s">
        <v>3</v>
      </c>
      <c r="K18" s="87" t="s">
        <v>74</v>
      </c>
      <c r="L18" s="87" t="s">
        <v>74</v>
      </c>
    </row>
    <row r="19" spans="1:12" s="1" customFormat="1">
      <c r="B19" s="27" t="s">
        <v>94</v>
      </c>
      <c r="C19" s="27" t="s">
        <v>71</v>
      </c>
      <c r="D19" s="9" t="s">
        <v>95</v>
      </c>
      <c r="E19" s="86" t="s">
        <v>58</v>
      </c>
      <c r="F19" s="27" t="s">
        <v>94</v>
      </c>
      <c r="G19" s="27" t="s">
        <v>73</v>
      </c>
      <c r="H19" s="23"/>
      <c r="I19" s="87"/>
      <c r="J19" s="87" t="s">
        <v>3</v>
      </c>
      <c r="K19" s="87" t="s">
        <v>74</v>
      </c>
      <c r="L19" s="87" t="s">
        <v>74</v>
      </c>
    </row>
    <row r="20" spans="1:12" s="1" customFormat="1">
      <c r="B20" s="27" t="s">
        <v>118</v>
      </c>
      <c r="C20" s="27" t="s">
        <v>71</v>
      </c>
      <c r="D20" s="9" t="s">
        <v>210</v>
      </c>
      <c r="E20" s="86" t="s">
        <v>58</v>
      </c>
      <c r="F20" s="27"/>
      <c r="G20" s="27" t="s">
        <v>124</v>
      </c>
      <c r="H20" s="23"/>
      <c r="I20" s="87"/>
      <c r="J20" s="87" t="s">
        <v>99</v>
      </c>
      <c r="K20" s="87" t="s">
        <v>74</v>
      </c>
      <c r="L20" s="87" t="s">
        <v>117</v>
      </c>
    </row>
    <row r="21" spans="1:12" s="1" customFormat="1">
      <c r="B21" s="27" t="s">
        <v>119</v>
      </c>
      <c r="C21" s="27" t="s">
        <v>71</v>
      </c>
      <c r="D21" s="9" t="s">
        <v>213</v>
      </c>
      <c r="E21" s="86" t="s">
        <v>58</v>
      </c>
      <c r="F21" s="27"/>
      <c r="G21" s="27" t="s">
        <v>125</v>
      </c>
      <c r="H21" s="23"/>
      <c r="I21" s="87"/>
      <c r="J21" s="87" t="s">
        <v>99</v>
      </c>
      <c r="K21" s="87" t="s">
        <v>74</v>
      </c>
      <c r="L21" s="87" t="s">
        <v>117</v>
      </c>
    </row>
    <row r="22" spans="1:12" s="1" customFormat="1">
      <c r="B22" s="27" t="s">
        <v>2366</v>
      </c>
      <c r="C22" s="27" t="s">
        <v>98</v>
      </c>
      <c r="D22" s="9" t="s">
        <v>1221</v>
      </c>
      <c r="E22" s="86" t="s">
        <v>58</v>
      </c>
      <c r="F22" s="27"/>
      <c r="G22" s="27" t="s">
        <v>1225</v>
      </c>
      <c r="H22" s="23"/>
      <c r="I22" s="87"/>
      <c r="J22" s="87" t="s">
        <v>99</v>
      </c>
      <c r="K22" s="87" t="s">
        <v>74</v>
      </c>
      <c r="L22" s="87" t="s">
        <v>100</v>
      </c>
    </row>
    <row r="23" spans="1:12" s="1" customFormat="1">
      <c r="B23" s="27" t="s">
        <v>2367</v>
      </c>
      <c r="C23" s="27" t="s">
        <v>98</v>
      </c>
      <c r="D23" s="9" t="s">
        <v>1222</v>
      </c>
      <c r="E23" s="86" t="s">
        <v>58</v>
      </c>
      <c r="F23" s="27"/>
      <c r="G23" s="27" t="s">
        <v>1124</v>
      </c>
      <c r="H23" s="23"/>
      <c r="I23" s="87"/>
      <c r="J23" s="87" t="s">
        <v>99</v>
      </c>
      <c r="K23" s="87" t="s">
        <v>74</v>
      </c>
      <c r="L23" s="87" t="s">
        <v>100</v>
      </c>
    </row>
    <row r="24" spans="1:12" s="1" customFormat="1">
      <c r="B24" s="27" t="s">
        <v>1223</v>
      </c>
      <c r="C24" s="27" t="s">
        <v>102</v>
      </c>
      <c r="D24" s="9" t="s">
        <v>1224</v>
      </c>
      <c r="E24" s="86" t="s">
        <v>58</v>
      </c>
      <c r="F24" s="27"/>
      <c r="G24" s="27" t="s">
        <v>1226</v>
      </c>
      <c r="H24" s="23"/>
      <c r="I24" s="87"/>
      <c r="J24" s="87" t="s">
        <v>99</v>
      </c>
      <c r="K24" s="87" t="s">
        <v>74</v>
      </c>
      <c r="L24" s="87" t="s">
        <v>1215</v>
      </c>
    </row>
    <row r="25" spans="1:12" s="1" customFormat="1">
      <c r="B25" s="27" t="s">
        <v>1216</v>
      </c>
      <c r="C25" s="27" t="s">
        <v>98</v>
      </c>
      <c r="D25" s="9" t="s">
        <v>1217</v>
      </c>
      <c r="E25" s="86" t="s">
        <v>58</v>
      </c>
      <c r="F25" s="27"/>
      <c r="G25" s="27" t="s">
        <v>1229</v>
      </c>
      <c r="H25" s="23"/>
      <c r="I25" s="87"/>
      <c r="J25" s="87" t="s">
        <v>99</v>
      </c>
      <c r="K25" s="87" t="s">
        <v>74</v>
      </c>
      <c r="L25" s="87" t="s">
        <v>100</v>
      </c>
    </row>
    <row r="26" spans="1:12" s="1" customFormat="1">
      <c r="B26" s="27" t="s">
        <v>1218</v>
      </c>
      <c r="C26" s="27" t="s">
        <v>98</v>
      </c>
      <c r="D26" s="9" t="s">
        <v>1219</v>
      </c>
      <c r="E26" s="86" t="s">
        <v>58</v>
      </c>
      <c r="F26" s="27"/>
      <c r="G26" s="27" t="s">
        <v>1230</v>
      </c>
      <c r="H26" s="23"/>
      <c r="I26" s="87"/>
      <c r="J26" s="87" t="s">
        <v>99</v>
      </c>
      <c r="K26" s="87" t="s">
        <v>74</v>
      </c>
      <c r="L26" s="87" t="s">
        <v>100</v>
      </c>
    </row>
    <row r="27" spans="1:12" s="1" customFormat="1">
      <c r="B27" s="27" t="s">
        <v>203</v>
      </c>
      <c r="C27" s="27" t="s">
        <v>98</v>
      </c>
      <c r="D27" s="9" t="s">
        <v>204</v>
      </c>
      <c r="E27" s="86" t="s">
        <v>58</v>
      </c>
      <c r="F27" s="27"/>
      <c r="G27" s="19" t="s">
        <v>270</v>
      </c>
      <c r="H27" s="23"/>
      <c r="I27" s="87"/>
      <c r="J27" s="87" t="s">
        <v>99</v>
      </c>
      <c r="K27" s="87" t="s">
        <v>74</v>
      </c>
      <c r="L27" s="87" t="s">
        <v>100</v>
      </c>
    </row>
    <row r="28" spans="1:12" s="1" customFormat="1">
      <c r="B28" s="27" t="s">
        <v>200</v>
      </c>
      <c r="C28" s="27" t="s">
        <v>98</v>
      </c>
      <c r="D28" s="9" t="s">
        <v>1220</v>
      </c>
      <c r="E28" s="86" t="s">
        <v>58</v>
      </c>
      <c r="F28" s="27"/>
      <c r="G28" s="19" t="s">
        <v>269</v>
      </c>
      <c r="H28" s="23"/>
      <c r="I28" s="87"/>
      <c r="J28" s="87" t="s">
        <v>99</v>
      </c>
      <c r="K28" s="87" t="s">
        <v>74</v>
      </c>
      <c r="L28" s="87" t="s">
        <v>100</v>
      </c>
    </row>
    <row r="29" spans="1:12" s="2" customFormat="1">
      <c r="A29" s="88"/>
      <c r="B29" s="16" t="s">
        <v>80</v>
      </c>
      <c r="C29" s="16" t="s">
        <v>75</v>
      </c>
      <c r="D29" s="16" t="s">
        <v>103</v>
      </c>
      <c r="E29" s="16"/>
      <c r="F29" s="16"/>
      <c r="G29" s="16"/>
      <c r="H29" s="16"/>
      <c r="I29" s="16"/>
      <c r="J29" s="16"/>
      <c r="K29" s="16"/>
      <c r="L29" s="16"/>
    </row>
    <row r="30" spans="1:12" s="2" customFormat="1">
      <c r="A30" s="88"/>
      <c r="B30" s="16" t="s">
        <v>0</v>
      </c>
      <c r="C30" s="16" t="s">
        <v>71</v>
      </c>
      <c r="D30" s="16" t="s">
        <v>104</v>
      </c>
      <c r="E30" s="16"/>
      <c r="F30" s="16"/>
      <c r="G30" s="16"/>
      <c r="H30" s="16"/>
      <c r="I30" s="16"/>
      <c r="J30" s="16"/>
      <c r="K30" s="16"/>
      <c r="L30" s="16"/>
    </row>
    <row r="31" spans="1:12" s="2" customFormat="1">
      <c r="A31" s="88"/>
      <c r="B31" s="16" t="s">
        <v>1</v>
      </c>
      <c r="C31" s="16" t="s">
        <v>75</v>
      </c>
      <c r="D31" s="16" t="s">
        <v>105</v>
      </c>
      <c r="E31" s="16"/>
      <c r="F31" s="16"/>
      <c r="G31" s="16"/>
      <c r="H31" s="16"/>
      <c r="I31" s="16"/>
      <c r="J31" s="16"/>
      <c r="K31" s="16"/>
      <c r="L31" s="16"/>
    </row>
  </sheetData>
  <autoFilter ref="A14:N31" xr:uid="{00000000-0009-0000-0000-00001B000000}"/>
  <mergeCells count="5">
    <mergeCell ref="B13:L13"/>
    <mergeCell ref="B2:H2"/>
    <mergeCell ref="B3:H3"/>
    <mergeCell ref="B7:H7"/>
    <mergeCell ref="G9:G10"/>
  </mergeCells>
  <phoneticPr fontId="23"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64AEA-AE77-408B-AA16-3A97C197F8D8}">
  <dimension ref="A1:N77"/>
  <sheetViews>
    <sheetView zoomScale="85" zoomScaleNormal="85" workbookViewId="0">
      <pane ySplit="5" topLeftCell="A6" activePane="bottomLeft" state="frozen"/>
      <selection pane="bottomLeft" activeCell="C10" sqref="C10"/>
    </sheetView>
  </sheetViews>
  <sheetFormatPr defaultColWidth="9" defaultRowHeight="13.2"/>
  <cols>
    <col min="1" max="1" width="1.33203125" style="3" customWidth="1"/>
    <col min="2" max="2" width="29.21875" style="3" customWidth="1"/>
    <col min="3" max="3" width="31" style="3" customWidth="1"/>
    <col min="4" max="4" width="30.44140625" style="3" customWidth="1"/>
    <col min="5" max="5" width="16.21875" style="3" customWidth="1"/>
    <col min="6" max="6" width="22.6640625" style="3" customWidth="1"/>
    <col min="7" max="7" width="45.77734375" style="3" customWidth="1"/>
    <col min="8" max="8" width="23.88671875" style="3" customWidth="1"/>
    <col min="9" max="9" width="9.21875" style="3" customWidth="1"/>
    <col min="10" max="10" width="10" style="3" customWidth="1"/>
    <col min="11" max="11" width="9.6640625" style="3" customWidth="1"/>
    <col min="12" max="12" width="10.77734375" style="4" customWidth="1"/>
    <col min="13" max="16384" width="9" style="4"/>
  </cols>
  <sheetData>
    <row r="1" spans="1:14">
      <c r="B1" s="5" t="str">
        <f>HYPERLINK("#导航!a2","返回")</f>
        <v>返回</v>
      </c>
    </row>
    <row r="2" spans="1:14">
      <c r="B2" s="121"/>
      <c r="C2" s="121"/>
      <c r="D2" s="121"/>
      <c r="E2" s="121"/>
      <c r="F2" s="121"/>
      <c r="G2" s="121"/>
      <c r="H2" s="121"/>
    </row>
    <row r="3" spans="1:14">
      <c r="B3" s="122" t="s">
        <v>45</v>
      </c>
      <c r="C3" s="122"/>
      <c r="D3" s="122"/>
      <c r="E3" s="122"/>
      <c r="F3" s="122"/>
      <c r="G3" s="122"/>
      <c r="H3" s="122"/>
    </row>
    <row r="4" spans="1:14">
      <c r="B4" s="7" t="s">
        <v>11</v>
      </c>
      <c r="C4" s="7" t="s">
        <v>46</v>
      </c>
      <c r="D4" s="7" t="s">
        <v>47</v>
      </c>
      <c r="E4" s="7" t="s">
        <v>48</v>
      </c>
      <c r="F4" s="7" t="s">
        <v>49</v>
      </c>
      <c r="G4" s="7" t="s">
        <v>14</v>
      </c>
      <c r="H4" s="7" t="s">
        <v>50</v>
      </c>
    </row>
    <row r="5" spans="1:14" ht="26.4">
      <c r="B5" s="8" t="s">
        <v>2481</v>
      </c>
      <c r="C5" s="27" t="s">
        <v>2478</v>
      </c>
      <c r="D5" s="29" t="s">
        <v>2479</v>
      </c>
      <c r="E5" s="12" t="s">
        <v>6</v>
      </c>
      <c r="F5" s="29" t="s">
        <v>2480</v>
      </c>
      <c r="G5" s="12"/>
      <c r="H5" s="12"/>
      <c r="N5" s="3"/>
    </row>
    <row r="6" spans="1:14">
      <c r="B6" s="6"/>
      <c r="C6" s="6"/>
      <c r="D6" s="6"/>
      <c r="E6" s="6"/>
      <c r="F6" s="6"/>
      <c r="G6" s="6"/>
      <c r="H6" s="6"/>
    </row>
    <row r="7" spans="1:14">
      <c r="B7" s="122" t="s">
        <v>51</v>
      </c>
      <c r="C7" s="122"/>
      <c r="D7" s="122"/>
      <c r="E7" s="122"/>
      <c r="F7" s="122"/>
      <c r="G7" s="122"/>
      <c r="H7" s="122"/>
    </row>
    <row r="8" spans="1:14">
      <c r="B8" s="11" t="s">
        <v>52</v>
      </c>
      <c r="C8" s="11" t="s">
        <v>53</v>
      </c>
      <c r="D8" s="11" t="s">
        <v>54</v>
      </c>
      <c r="E8" s="11" t="s">
        <v>55</v>
      </c>
      <c r="F8" s="11" t="s">
        <v>56</v>
      </c>
      <c r="G8" s="11" t="s">
        <v>24</v>
      </c>
      <c r="H8" s="11" t="s">
        <v>57</v>
      </c>
    </row>
    <row r="9" spans="1:14" ht="20.399999999999999" customHeight="1">
      <c r="B9" s="12"/>
      <c r="C9" s="9" t="s">
        <v>1156</v>
      </c>
      <c r="D9" s="10" t="s">
        <v>1239</v>
      </c>
      <c r="E9" s="12" t="s">
        <v>58</v>
      </c>
      <c r="F9" s="12"/>
      <c r="G9" s="125" t="s">
        <v>1241</v>
      </c>
      <c r="H9" s="83" t="s">
        <v>30</v>
      </c>
    </row>
    <row r="10" spans="1:14" ht="20.399999999999999" customHeight="1">
      <c r="B10" s="12"/>
      <c r="C10" s="9" t="s">
        <v>444</v>
      </c>
      <c r="D10" s="9" t="s">
        <v>1242</v>
      </c>
      <c r="E10" s="12" t="s">
        <v>107</v>
      </c>
      <c r="F10" s="12" t="s">
        <v>610</v>
      </c>
      <c r="G10" s="125"/>
      <c r="H10" s="12"/>
    </row>
    <row r="11" spans="1:14" ht="20.399999999999999" customHeight="1">
      <c r="G11" s="30"/>
    </row>
    <row r="12" spans="1:14">
      <c r="B12" s="3" t="s">
        <v>59</v>
      </c>
    </row>
    <row r="13" spans="1:14">
      <c r="B13" s="122" t="s">
        <v>59</v>
      </c>
      <c r="C13" s="122"/>
      <c r="D13" s="122"/>
      <c r="E13" s="122"/>
      <c r="F13" s="122"/>
      <c r="G13" s="122"/>
      <c r="H13" s="122"/>
      <c r="I13" s="122"/>
      <c r="J13" s="122"/>
      <c r="K13" s="122"/>
      <c r="L13" s="122"/>
    </row>
    <row r="14" spans="1:14">
      <c r="B14" s="7" t="s">
        <v>60</v>
      </c>
      <c r="C14" s="7" t="s">
        <v>61</v>
      </c>
      <c r="D14" s="7" t="s">
        <v>62</v>
      </c>
      <c r="E14" s="7" t="s">
        <v>63</v>
      </c>
      <c r="F14" s="7" t="s">
        <v>64</v>
      </c>
      <c r="G14" s="7" t="s">
        <v>65</v>
      </c>
      <c r="H14" s="7" t="s">
        <v>66</v>
      </c>
      <c r="I14" s="7" t="s">
        <v>24</v>
      </c>
      <c r="J14" s="7" t="s">
        <v>67</v>
      </c>
      <c r="K14" s="7" t="s">
        <v>68</v>
      </c>
      <c r="L14" s="7" t="s">
        <v>69</v>
      </c>
    </row>
    <row r="15" spans="1:14" s="1" customFormat="1">
      <c r="A15" s="89"/>
      <c r="B15" s="13" t="s">
        <v>70</v>
      </c>
      <c r="C15" s="13" t="s">
        <v>71</v>
      </c>
      <c r="D15" s="13" t="s">
        <v>72</v>
      </c>
      <c r="E15" s="12" t="s">
        <v>58</v>
      </c>
      <c r="F15" s="87" t="s">
        <v>0</v>
      </c>
      <c r="G15" s="13" t="s">
        <v>73</v>
      </c>
      <c r="H15" s="23"/>
      <c r="I15" s="90"/>
      <c r="J15" s="90"/>
      <c r="K15" s="90"/>
      <c r="L15" s="90"/>
    </row>
    <row r="16" spans="1:14" s="1" customFormat="1">
      <c r="A16" s="89"/>
      <c r="B16" s="13" t="s">
        <v>6</v>
      </c>
      <c r="C16" s="13" t="s">
        <v>75</v>
      </c>
      <c r="D16" s="13" t="s">
        <v>34</v>
      </c>
      <c r="E16" s="12" t="s">
        <v>58</v>
      </c>
      <c r="F16" s="87" t="s">
        <v>1</v>
      </c>
      <c r="G16" s="13" t="s">
        <v>73</v>
      </c>
      <c r="H16" s="23"/>
      <c r="I16" s="90"/>
      <c r="J16" s="90"/>
      <c r="K16" s="90"/>
      <c r="L16" s="90"/>
    </row>
    <row r="17" spans="1:12" s="1" customFormat="1" ht="12" customHeight="1">
      <c r="A17" s="89"/>
      <c r="B17" s="13" t="s">
        <v>78</v>
      </c>
      <c r="C17" s="90" t="s">
        <v>75</v>
      </c>
      <c r="D17" s="13" t="s">
        <v>79</v>
      </c>
      <c r="E17" s="12" t="s">
        <v>58</v>
      </c>
      <c r="F17" s="87" t="s">
        <v>80</v>
      </c>
      <c r="G17" s="13" t="s">
        <v>73</v>
      </c>
      <c r="H17" s="23"/>
      <c r="I17" s="90"/>
      <c r="J17" s="90"/>
      <c r="K17" s="90"/>
      <c r="L17" s="90"/>
    </row>
    <row r="18" spans="1:12" s="1" customFormat="1">
      <c r="A18" s="89"/>
      <c r="B18" s="13" t="s">
        <v>96</v>
      </c>
      <c r="C18" s="90" t="s">
        <v>98</v>
      </c>
      <c r="D18" s="13" t="s">
        <v>1234</v>
      </c>
      <c r="E18" s="12" t="s">
        <v>58</v>
      </c>
      <c r="F18" s="87" t="s">
        <v>96</v>
      </c>
      <c r="G18" s="13" t="s">
        <v>73</v>
      </c>
      <c r="H18" s="23"/>
      <c r="I18" s="90"/>
      <c r="J18" s="90"/>
      <c r="K18" s="90"/>
      <c r="L18" s="90"/>
    </row>
    <row r="19" spans="1:12" s="1" customFormat="1">
      <c r="A19" s="89"/>
      <c r="B19" s="13" t="s">
        <v>1235</v>
      </c>
      <c r="C19" s="90" t="s">
        <v>98</v>
      </c>
      <c r="D19" s="13" t="s">
        <v>1236</v>
      </c>
      <c r="E19" s="12" t="s">
        <v>58</v>
      </c>
      <c r="F19" s="27" t="s">
        <v>1237</v>
      </c>
      <c r="G19" s="13" t="s">
        <v>1237</v>
      </c>
      <c r="H19" s="23"/>
      <c r="I19" s="90"/>
      <c r="J19" s="90"/>
      <c r="K19" s="90"/>
      <c r="L19" s="90"/>
    </row>
    <row r="20" spans="1:12" s="1" customFormat="1">
      <c r="A20" s="89"/>
      <c r="B20" s="13" t="s">
        <v>94</v>
      </c>
      <c r="C20" s="90" t="s">
        <v>71</v>
      </c>
      <c r="D20" s="13" t="s">
        <v>95</v>
      </c>
      <c r="E20" s="12" t="s">
        <v>58</v>
      </c>
      <c r="F20" s="27" t="s">
        <v>94</v>
      </c>
      <c r="G20" s="13" t="s">
        <v>73</v>
      </c>
      <c r="H20" s="23"/>
      <c r="I20" s="90"/>
      <c r="J20" s="90"/>
      <c r="K20" s="90"/>
      <c r="L20" s="90"/>
    </row>
    <row r="21" spans="1:12" s="2" customFormat="1">
      <c r="A21" s="88"/>
      <c r="B21" s="16" t="s">
        <v>80</v>
      </c>
      <c r="C21" s="16" t="s">
        <v>75</v>
      </c>
      <c r="D21" s="16" t="s">
        <v>103</v>
      </c>
      <c r="E21" s="16"/>
      <c r="F21" s="16"/>
      <c r="G21" s="16"/>
      <c r="H21" s="16"/>
      <c r="I21" s="16"/>
      <c r="J21" s="16"/>
      <c r="K21" s="16"/>
      <c r="L21" s="16"/>
    </row>
    <row r="22" spans="1:12" s="2" customFormat="1">
      <c r="A22" s="88"/>
      <c r="B22" s="16" t="s">
        <v>0</v>
      </c>
      <c r="C22" s="16" t="s">
        <v>71</v>
      </c>
      <c r="D22" s="16" t="s">
        <v>1238</v>
      </c>
      <c r="E22" s="16"/>
      <c r="F22" s="16"/>
      <c r="G22" s="16"/>
      <c r="H22" s="16"/>
      <c r="I22" s="16"/>
      <c r="J22" s="16"/>
      <c r="K22" s="16"/>
      <c r="L22" s="16"/>
    </row>
    <row r="23" spans="1:12" s="2" customFormat="1">
      <c r="A23" s="88"/>
      <c r="B23" s="16" t="s">
        <v>1</v>
      </c>
      <c r="C23" s="16" t="s">
        <v>75</v>
      </c>
      <c r="D23" s="16" t="s">
        <v>105</v>
      </c>
      <c r="E23" s="16"/>
      <c r="F23" s="16"/>
      <c r="G23" s="16"/>
      <c r="H23" s="16"/>
      <c r="I23" s="16"/>
      <c r="J23" s="16"/>
      <c r="K23" s="16"/>
      <c r="L23" s="16"/>
    </row>
    <row r="24" spans="1:12" s="1" customFormat="1">
      <c r="A24" s="89"/>
      <c r="B24" s="13"/>
      <c r="C24" s="13"/>
      <c r="D24" s="13"/>
      <c r="E24" s="13"/>
      <c r="F24" s="87"/>
      <c r="G24" s="87"/>
      <c r="H24" s="13"/>
      <c r="I24" s="90"/>
      <c r="J24" s="90"/>
      <c r="K24" s="90"/>
      <c r="L24" s="90"/>
    </row>
    <row r="25" spans="1:12" s="1" customFormat="1">
      <c r="A25" s="89"/>
      <c r="B25" s="13"/>
      <c r="C25" s="13"/>
      <c r="D25" s="13"/>
      <c r="E25" s="13"/>
      <c r="F25" s="87"/>
      <c r="G25" s="87"/>
      <c r="H25" s="13"/>
      <c r="I25" s="90"/>
      <c r="J25" s="90"/>
      <c r="K25" s="90"/>
      <c r="L25" s="90"/>
    </row>
    <row r="26" spans="1:12" s="1" customFormat="1">
      <c r="A26" s="89"/>
      <c r="B26" s="13"/>
      <c r="C26" s="13"/>
      <c r="D26" s="13"/>
      <c r="E26" s="13"/>
      <c r="F26" s="87"/>
      <c r="G26" s="87"/>
      <c r="H26" s="13"/>
      <c r="I26" s="90"/>
      <c r="J26" s="90"/>
      <c r="K26" s="90"/>
      <c r="L26" s="90"/>
    </row>
    <row r="27" spans="1:12" s="1" customFormat="1">
      <c r="A27" s="89"/>
      <c r="B27" s="13"/>
      <c r="C27" s="13"/>
      <c r="D27" s="13"/>
      <c r="E27" s="13"/>
      <c r="F27" s="87"/>
      <c r="G27" s="87"/>
      <c r="H27" s="13"/>
      <c r="I27" s="90"/>
      <c r="J27" s="90"/>
      <c r="K27" s="90"/>
      <c r="L27" s="90"/>
    </row>
    <row r="28" spans="1:12" s="1" customFormat="1">
      <c r="A28" s="89"/>
      <c r="B28" s="13"/>
      <c r="C28" s="13"/>
      <c r="D28" s="13"/>
      <c r="E28" s="13"/>
      <c r="F28" s="87"/>
      <c r="G28" s="87"/>
      <c r="H28" s="13"/>
      <c r="I28" s="90"/>
      <c r="J28" s="90"/>
      <c r="K28" s="90"/>
      <c r="L28" s="90"/>
    </row>
    <row r="29" spans="1:12" s="1" customFormat="1">
      <c r="A29" s="89"/>
      <c r="B29" s="13"/>
      <c r="C29" s="13"/>
      <c r="D29" s="13"/>
      <c r="E29" s="13"/>
      <c r="F29" s="87"/>
      <c r="G29" s="87"/>
      <c r="H29" s="13"/>
      <c r="I29" s="90"/>
      <c r="J29" s="90"/>
      <c r="K29" s="90"/>
      <c r="L29" s="90"/>
    </row>
    <row r="30" spans="1:12" s="1" customFormat="1">
      <c r="A30" s="89"/>
      <c r="B30" s="13"/>
      <c r="C30" s="13"/>
      <c r="D30" s="13"/>
      <c r="E30" s="13"/>
      <c r="F30" s="87"/>
      <c r="G30" s="87"/>
      <c r="H30" s="13"/>
      <c r="I30" s="90"/>
      <c r="J30" s="90"/>
      <c r="K30" s="90"/>
      <c r="L30" s="90"/>
    </row>
    <row r="31" spans="1:12" s="1" customFormat="1">
      <c r="A31" s="89"/>
      <c r="B31" s="13"/>
      <c r="C31" s="13"/>
      <c r="D31" s="13"/>
      <c r="E31" s="13"/>
      <c r="F31" s="87"/>
      <c r="G31" s="87"/>
      <c r="H31" s="13"/>
      <c r="I31" s="90"/>
      <c r="J31" s="90"/>
      <c r="K31" s="90"/>
      <c r="L31" s="90"/>
    </row>
    <row r="32" spans="1:12" s="1" customFormat="1">
      <c r="A32" s="89"/>
      <c r="B32" s="13"/>
      <c r="C32" s="13"/>
      <c r="D32" s="13"/>
      <c r="E32" s="13"/>
      <c r="F32" s="87"/>
      <c r="G32" s="87"/>
      <c r="H32" s="13"/>
      <c r="I32" s="90"/>
      <c r="J32" s="90"/>
      <c r="K32" s="90"/>
      <c r="L32" s="90"/>
    </row>
    <row r="33" spans="1:12" s="1" customFormat="1">
      <c r="A33" s="89"/>
      <c r="B33" s="13"/>
      <c r="C33" s="13"/>
      <c r="D33" s="13"/>
      <c r="E33" s="13"/>
      <c r="F33" s="87"/>
      <c r="G33" s="87"/>
      <c r="H33" s="13"/>
      <c r="I33" s="90"/>
      <c r="J33" s="90"/>
      <c r="K33" s="90"/>
      <c r="L33" s="90"/>
    </row>
    <row r="34" spans="1:12" s="1" customFormat="1">
      <c r="A34" s="89"/>
      <c r="B34" s="13"/>
      <c r="C34" s="13"/>
      <c r="D34" s="13"/>
      <c r="E34" s="13"/>
      <c r="F34" s="87"/>
      <c r="G34" s="87"/>
      <c r="H34" s="13"/>
      <c r="I34" s="90"/>
      <c r="J34" s="90"/>
      <c r="K34" s="90"/>
      <c r="L34" s="90"/>
    </row>
    <row r="35" spans="1:12" s="1" customFormat="1">
      <c r="A35" s="89"/>
      <c r="B35" s="13"/>
      <c r="C35" s="13"/>
      <c r="D35" s="13"/>
      <c r="E35" s="13"/>
      <c r="F35" s="87"/>
      <c r="G35" s="87"/>
      <c r="H35" s="13"/>
      <c r="I35" s="90"/>
      <c r="J35" s="90"/>
      <c r="K35" s="90"/>
      <c r="L35" s="90"/>
    </row>
    <row r="36" spans="1:12" s="1" customFormat="1">
      <c r="A36" s="89"/>
      <c r="B36" s="13"/>
      <c r="C36" s="13"/>
      <c r="D36" s="13"/>
      <c r="E36" s="13"/>
      <c r="F36" s="87"/>
      <c r="G36" s="87"/>
      <c r="H36" s="13"/>
      <c r="I36" s="90"/>
      <c r="J36" s="90"/>
      <c r="K36" s="90"/>
      <c r="L36" s="90"/>
    </row>
    <row r="37" spans="1:12" s="1" customFormat="1">
      <c r="A37" s="89"/>
      <c r="B37" s="13"/>
      <c r="C37" s="13"/>
      <c r="D37" s="13"/>
      <c r="E37" s="13"/>
      <c r="F37" s="87"/>
      <c r="G37" s="87"/>
      <c r="H37" s="13"/>
      <c r="I37" s="90"/>
      <c r="J37" s="90"/>
      <c r="K37" s="90"/>
      <c r="L37" s="90"/>
    </row>
    <row r="38" spans="1:12" s="1" customFormat="1">
      <c r="A38" s="89"/>
      <c r="B38" s="13"/>
      <c r="C38" s="13"/>
      <c r="D38" s="13"/>
      <c r="E38" s="13"/>
      <c r="F38" s="87"/>
      <c r="G38" s="87"/>
      <c r="H38" s="13"/>
      <c r="I38" s="90"/>
      <c r="J38" s="90"/>
      <c r="K38" s="90"/>
      <c r="L38" s="90"/>
    </row>
    <row r="39" spans="1:12" s="1" customFormat="1">
      <c r="A39" s="89"/>
      <c r="B39" s="13"/>
      <c r="C39" s="13"/>
      <c r="D39" s="13"/>
      <c r="E39" s="13"/>
      <c r="F39" s="87"/>
      <c r="G39" s="87"/>
      <c r="H39" s="13"/>
      <c r="I39" s="90"/>
      <c r="J39" s="90"/>
      <c r="K39" s="90"/>
      <c r="L39" s="90"/>
    </row>
    <row r="40" spans="1:12" s="1" customFormat="1">
      <c r="A40" s="89"/>
      <c r="B40" s="13"/>
      <c r="C40" s="13"/>
      <c r="D40" s="13"/>
      <c r="E40" s="13"/>
      <c r="F40" s="87"/>
      <c r="G40" s="87"/>
      <c r="H40" s="13"/>
      <c r="I40" s="90"/>
      <c r="J40" s="90"/>
      <c r="K40" s="90"/>
      <c r="L40" s="90"/>
    </row>
    <row r="41" spans="1:12" s="1" customFormat="1">
      <c r="A41" s="89"/>
      <c r="B41" s="13"/>
      <c r="C41" s="13"/>
      <c r="D41" s="13"/>
      <c r="E41" s="13"/>
      <c r="F41" s="87"/>
      <c r="G41" s="87"/>
      <c r="H41" s="13"/>
      <c r="I41" s="90"/>
      <c r="J41" s="90"/>
      <c r="K41" s="90"/>
      <c r="L41" s="90"/>
    </row>
    <row r="42" spans="1:12" s="1" customFormat="1">
      <c r="A42" s="89"/>
      <c r="B42" s="13"/>
      <c r="C42" s="13"/>
      <c r="D42" s="13"/>
      <c r="E42" s="13"/>
      <c r="F42" s="87"/>
      <c r="G42" s="87"/>
      <c r="H42" s="13"/>
      <c r="I42" s="90"/>
      <c r="J42" s="90"/>
      <c r="K42" s="90"/>
      <c r="L42" s="90"/>
    </row>
    <row r="43" spans="1:12" s="1" customFormat="1">
      <c r="A43" s="89"/>
      <c r="B43" s="13"/>
      <c r="C43" s="13"/>
      <c r="D43" s="13"/>
      <c r="E43" s="13"/>
      <c r="F43" s="87"/>
      <c r="G43" s="87"/>
      <c r="H43" s="13"/>
      <c r="I43" s="90"/>
      <c r="J43" s="90"/>
      <c r="K43" s="90"/>
      <c r="L43" s="90"/>
    </row>
    <row r="44" spans="1:12" s="1" customFormat="1">
      <c r="A44" s="89"/>
      <c r="B44" s="13"/>
      <c r="C44" s="13"/>
      <c r="D44" s="13"/>
      <c r="E44" s="13"/>
      <c r="F44" s="87"/>
      <c r="G44" s="87"/>
      <c r="H44" s="13"/>
      <c r="I44" s="90"/>
      <c r="J44" s="90"/>
      <c r="K44" s="90"/>
      <c r="L44" s="90"/>
    </row>
    <row r="45" spans="1:12" s="1" customFormat="1">
      <c r="A45" s="89"/>
      <c r="B45" s="13"/>
      <c r="C45" s="13"/>
      <c r="D45" s="13"/>
      <c r="E45" s="13"/>
      <c r="F45" s="87"/>
      <c r="G45" s="87"/>
      <c r="H45" s="13"/>
      <c r="I45" s="90"/>
      <c r="J45" s="90"/>
      <c r="K45" s="90"/>
      <c r="L45" s="90"/>
    </row>
    <row r="46" spans="1:12" s="1" customFormat="1">
      <c r="A46" s="89"/>
      <c r="B46" s="13"/>
      <c r="C46" s="13"/>
      <c r="D46" s="13"/>
      <c r="E46" s="13"/>
      <c r="F46" s="87"/>
      <c r="G46" s="87"/>
      <c r="H46" s="13"/>
      <c r="I46" s="90"/>
      <c r="J46" s="90"/>
      <c r="K46" s="90"/>
      <c r="L46" s="90"/>
    </row>
    <row r="47" spans="1:12" s="1" customFormat="1">
      <c r="A47" s="89"/>
      <c r="B47" s="13"/>
      <c r="C47" s="13"/>
      <c r="D47" s="13"/>
      <c r="E47" s="13"/>
      <c r="F47" s="87"/>
      <c r="G47" s="87"/>
      <c r="H47" s="13"/>
      <c r="I47" s="90"/>
      <c r="J47" s="90"/>
      <c r="K47" s="90"/>
      <c r="L47" s="90"/>
    </row>
    <row r="48" spans="1:12" s="1" customFormat="1">
      <c r="A48" s="89"/>
      <c r="B48" s="13"/>
      <c r="C48" s="13"/>
      <c r="D48" s="13"/>
      <c r="E48" s="13"/>
      <c r="F48" s="87"/>
      <c r="G48" s="87"/>
      <c r="H48" s="13"/>
      <c r="I48" s="90"/>
      <c r="J48" s="90"/>
      <c r="K48" s="90"/>
      <c r="L48" s="90"/>
    </row>
    <row r="49" spans="1:12" s="1" customFormat="1">
      <c r="A49" s="89"/>
      <c r="B49" s="13"/>
      <c r="C49" s="13"/>
      <c r="D49" s="13"/>
      <c r="E49" s="13"/>
      <c r="F49" s="87"/>
      <c r="G49" s="87"/>
      <c r="H49" s="13"/>
      <c r="I49" s="90"/>
      <c r="J49" s="90"/>
      <c r="K49" s="90"/>
      <c r="L49" s="90"/>
    </row>
    <row r="50" spans="1:12" s="1" customFormat="1">
      <c r="A50" s="89"/>
      <c r="B50" s="13"/>
      <c r="C50" s="13"/>
      <c r="D50" s="13"/>
      <c r="E50" s="13"/>
      <c r="F50" s="87"/>
      <c r="G50" s="87"/>
      <c r="H50" s="13"/>
      <c r="I50" s="90"/>
      <c r="J50" s="90"/>
      <c r="K50" s="90"/>
      <c r="L50" s="90"/>
    </row>
    <row r="51" spans="1:12" s="1" customFormat="1">
      <c r="A51" s="89"/>
      <c r="B51" s="13"/>
      <c r="C51" s="13"/>
      <c r="D51" s="13"/>
      <c r="E51" s="13"/>
      <c r="F51" s="87"/>
      <c r="G51" s="87"/>
      <c r="H51" s="13"/>
      <c r="I51" s="90"/>
      <c r="J51" s="90"/>
      <c r="K51" s="90"/>
      <c r="L51" s="90"/>
    </row>
    <row r="52" spans="1:12" s="1" customFormat="1">
      <c r="A52" s="89"/>
      <c r="B52" s="13"/>
      <c r="C52" s="13"/>
      <c r="D52" s="13"/>
      <c r="E52" s="13"/>
      <c r="F52" s="87"/>
      <c r="G52" s="87"/>
      <c r="H52" s="13"/>
      <c r="I52" s="90"/>
      <c r="J52" s="90"/>
      <c r="K52" s="90"/>
      <c r="L52" s="90"/>
    </row>
    <row r="53" spans="1:12" s="1" customFormat="1">
      <c r="A53" s="89"/>
      <c r="B53" s="13"/>
      <c r="C53" s="13"/>
      <c r="D53" s="13"/>
      <c r="E53" s="13"/>
      <c r="F53" s="87"/>
      <c r="G53" s="87"/>
      <c r="H53" s="13"/>
      <c r="I53" s="90"/>
      <c r="J53" s="90"/>
      <c r="K53" s="90"/>
      <c r="L53" s="90"/>
    </row>
    <row r="54" spans="1:12" s="1" customFormat="1">
      <c r="A54" s="89"/>
      <c r="B54" s="13"/>
      <c r="C54" s="13"/>
      <c r="D54" s="13"/>
      <c r="E54" s="13"/>
      <c r="F54" s="87"/>
      <c r="G54" s="87"/>
      <c r="H54" s="13"/>
      <c r="I54" s="90"/>
      <c r="J54" s="90"/>
      <c r="K54" s="90"/>
      <c r="L54" s="90"/>
    </row>
    <row r="55" spans="1:12" s="1" customFormat="1">
      <c r="A55" s="89"/>
      <c r="B55" s="13"/>
      <c r="C55" s="13"/>
      <c r="D55" s="13"/>
      <c r="E55" s="13"/>
      <c r="F55" s="87"/>
      <c r="G55" s="87"/>
      <c r="H55" s="13"/>
      <c r="I55" s="90"/>
      <c r="J55" s="90"/>
      <c r="K55" s="90"/>
      <c r="L55" s="90"/>
    </row>
    <row r="56" spans="1:12" s="1" customFormat="1">
      <c r="A56" s="89"/>
      <c r="B56" s="13"/>
      <c r="C56" s="13"/>
      <c r="D56" s="13"/>
      <c r="E56" s="13"/>
      <c r="F56" s="87"/>
      <c r="G56" s="87"/>
      <c r="H56" s="13"/>
      <c r="I56" s="90"/>
      <c r="J56" s="90"/>
      <c r="K56" s="90"/>
      <c r="L56" s="90"/>
    </row>
    <row r="57" spans="1:12" s="1" customFormat="1">
      <c r="A57" s="89"/>
      <c r="B57" s="13"/>
      <c r="C57" s="13"/>
      <c r="D57" s="13"/>
      <c r="E57" s="13"/>
      <c r="F57" s="87"/>
      <c r="G57" s="87"/>
      <c r="H57" s="13"/>
      <c r="I57" s="90"/>
      <c r="J57" s="90"/>
      <c r="K57" s="90"/>
      <c r="L57" s="90"/>
    </row>
    <row r="58" spans="1:12" s="1" customFormat="1">
      <c r="A58" s="89"/>
      <c r="B58" s="13"/>
      <c r="C58" s="13"/>
      <c r="D58" s="13"/>
      <c r="E58" s="13"/>
      <c r="F58" s="87"/>
      <c r="G58" s="87"/>
      <c r="H58" s="13"/>
      <c r="I58" s="90"/>
      <c r="J58" s="90"/>
      <c r="K58" s="90"/>
      <c r="L58" s="90"/>
    </row>
    <row r="59" spans="1:12" s="1" customFormat="1">
      <c r="A59" s="89"/>
      <c r="B59" s="13"/>
      <c r="C59" s="13"/>
      <c r="D59" s="13"/>
      <c r="E59" s="13"/>
      <c r="F59" s="87"/>
      <c r="G59" s="87"/>
      <c r="H59" s="13"/>
      <c r="I59" s="90"/>
      <c r="J59" s="90"/>
      <c r="K59" s="90"/>
      <c r="L59" s="90"/>
    </row>
    <row r="60" spans="1:12" s="1" customFormat="1">
      <c r="A60" s="89"/>
      <c r="B60" s="13"/>
      <c r="C60" s="13"/>
      <c r="D60" s="13"/>
      <c r="E60" s="13"/>
      <c r="F60" s="87"/>
      <c r="G60" s="87"/>
      <c r="H60" s="13"/>
      <c r="I60" s="90"/>
      <c r="J60" s="90"/>
      <c r="K60" s="90"/>
      <c r="L60" s="90"/>
    </row>
    <row r="61" spans="1:12" s="1" customFormat="1">
      <c r="A61" s="89"/>
      <c r="B61" s="13"/>
      <c r="C61" s="13"/>
      <c r="D61" s="12"/>
      <c r="E61" s="13"/>
      <c r="F61" s="87"/>
      <c r="G61" s="87"/>
      <c r="H61" s="13"/>
      <c r="I61" s="90"/>
      <c r="J61" s="90"/>
      <c r="K61" s="90"/>
      <c r="L61" s="90"/>
    </row>
    <row r="62" spans="1:12" s="1" customFormat="1">
      <c r="A62" s="89"/>
      <c r="B62" s="13"/>
      <c r="C62" s="13"/>
      <c r="D62" s="12"/>
      <c r="E62" s="13"/>
      <c r="F62" s="87"/>
      <c r="G62" s="87"/>
      <c r="H62" s="13"/>
      <c r="I62" s="90"/>
      <c r="J62" s="90"/>
      <c r="K62" s="90"/>
      <c r="L62" s="90"/>
    </row>
    <row r="63" spans="1:12" s="1" customFormat="1">
      <c r="A63" s="89"/>
      <c r="B63" s="13"/>
      <c r="C63" s="13"/>
      <c r="D63" s="12"/>
      <c r="E63" s="13"/>
      <c r="F63" s="87"/>
      <c r="G63" s="87"/>
      <c r="H63" s="13"/>
      <c r="I63" s="90"/>
      <c r="J63" s="90"/>
      <c r="K63" s="90"/>
      <c r="L63" s="90"/>
    </row>
    <row r="64" spans="1:12" s="1" customFormat="1">
      <c r="A64" s="89"/>
      <c r="B64" s="13"/>
      <c r="C64" s="13"/>
      <c r="D64" s="12"/>
      <c r="E64" s="13"/>
      <c r="F64" s="87"/>
      <c r="G64" s="87"/>
      <c r="H64" s="13"/>
      <c r="I64" s="90"/>
      <c r="J64" s="90"/>
      <c r="K64" s="90"/>
      <c r="L64" s="90"/>
    </row>
    <row r="65" spans="1:12" s="1" customFormat="1">
      <c r="A65" s="89"/>
      <c r="B65" s="13"/>
      <c r="C65" s="13"/>
      <c r="D65" s="12"/>
      <c r="E65" s="13"/>
      <c r="F65" s="87"/>
      <c r="G65" s="87"/>
      <c r="H65" s="13"/>
      <c r="I65" s="90"/>
      <c r="J65" s="90"/>
      <c r="K65" s="90"/>
      <c r="L65" s="90"/>
    </row>
    <row r="66" spans="1:12" s="1" customFormat="1">
      <c r="A66" s="89"/>
      <c r="B66" s="13"/>
      <c r="C66" s="13"/>
      <c r="D66" s="13"/>
      <c r="E66" s="13"/>
      <c r="F66" s="87"/>
      <c r="G66" s="87"/>
      <c r="H66" s="13"/>
      <c r="I66" s="90"/>
      <c r="J66" s="90"/>
      <c r="K66" s="90"/>
      <c r="L66" s="90"/>
    </row>
    <row r="67" spans="1:12" s="1" customFormat="1">
      <c r="A67" s="89"/>
      <c r="B67" s="13"/>
      <c r="C67" s="13"/>
      <c r="D67" s="13"/>
      <c r="E67" s="13"/>
      <c r="F67" s="87"/>
      <c r="G67" s="87"/>
      <c r="H67" s="13"/>
      <c r="I67" s="90"/>
      <c r="J67" s="90"/>
      <c r="K67" s="90"/>
      <c r="L67" s="90"/>
    </row>
    <row r="68" spans="1:12" s="1" customFormat="1">
      <c r="A68" s="89"/>
      <c r="B68" s="13"/>
      <c r="C68" s="13"/>
      <c r="D68" s="13"/>
      <c r="E68" s="13"/>
      <c r="F68" s="87"/>
      <c r="G68" s="87"/>
      <c r="H68" s="13"/>
      <c r="I68" s="90"/>
      <c r="J68" s="90"/>
      <c r="K68" s="90"/>
      <c r="L68" s="90"/>
    </row>
    <row r="69" spans="1:12" s="1" customFormat="1">
      <c r="A69" s="89"/>
      <c r="B69" s="13"/>
      <c r="C69" s="13"/>
      <c r="D69" s="13"/>
      <c r="E69" s="13"/>
      <c r="F69" s="87"/>
      <c r="G69" s="87"/>
      <c r="H69" s="13"/>
      <c r="I69" s="90"/>
      <c r="J69" s="90"/>
      <c r="K69" s="90"/>
      <c r="L69" s="90"/>
    </row>
    <row r="70" spans="1:12" s="1" customFormat="1">
      <c r="A70" s="89"/>
      <c r="B70" s="13"/>
      <c r="C70" s="13"/>
      <c r="D70" s="13"/>
      <c r="E70" s="13"/>
      <c r="F70" s="87"/>
      <c r="G70" s="87"/>
      <c r="H70" s="13"/>
      <c r="I70" s="90"/>
      <c r="J70" s="90"/>
      <c r="K70" s="90"/>
      <c r="L70" s="90"/>
    </row>
    <row r="71" spans="1:12" s="1" customFormat="1">
      <c r="A71" s="89"/>
      <c r="B71" s="13"/>
      <c r="C71" s="13"/>
      <c r="D71" s="13"/>
      <c r="E71" s="13"/>
      <c r="F71" s="87"/>
      <c r="G71" s="87"/>
      <c r="H71" s="13"/>
      <c r="I71" s="90"/>
      <c r="J71" s="90"/>
      <c r="K71" s="90"/>
      <c r="L71" s="90"/>
    </row>
    <row r="72" spans="1:12" s="1" customFormat="1">
      <c r="A72" s="89"/>
      <c r="B72" s="13"/>
      <c r="C72" s="13"/>
      <c r="D72" s="13"/>
      <c r="E72" s="13"/>
      <c r="F72" s="87"/>
      <c r="G72" s="87"/>
      <c r="H72" s="13"/>
      <c r="I72" s="90"/>
      <c r="J72" s="90"/>
      <c r="K72" s="90"/>
      <c r="L72" s="90"/>
    </row>
    <row r="73" spans="1:12" s="1" customFormat="1">
      <c r="A73" s="89"/>
      <c r="B73" s="13"/>
      <c r="C73" s="13"/>
      <c r="D73" s="13"/>
      <c r="E73" s="13"/>
      <c r="F73" s="87"/>
      <c r="G73" s="87"/>
      <c r="H73" s="13"/>
      <c r="I73" s="90"/>
      <c r="J73" s="90"/>
      <c r="K73" s="90"/>
      <c r="L73" s="90"/>
    </row>
    <row r="74" spans="1:12" s="1" customFormat="1">
      <c r="A74" s="89"/>
      <c r="B74" s="13"/>
      <c r="C74" s="13"/>
      <c r="D74" s="13"/>
      <c r="E74" s="13"/>
      <c r="F74" s="87"/>
      <c r="G74" s="87"/>
      <c r="H74" s="13"/>
      <c r="I74" s="90"/>
      <c r="J74" s="90"/>
      <c r="K74" s="90"/>
      <c r="L74" s="90"/>
    </row>
    <row r="75" spans="1:12" s="1" customFormat="1">
      <c r="A75" s="89"/>
      <c r="B75" s="13"/>
      <c r="C75" s="13"/>
      <c r="D75" s="13"/>
      <c r="E75" s="13"/>
      <c r="F75" s="87"/>
      <c r="G75" s="87"/>
      <c r="H75" s="13"/>
      <c r="I75" s="90"/>
      <c r="J75" s="90"/>
      <c r="K75" s="90"/>
      <c r="L75" s="90"/>
    </row>
    <row r="76" spans="1:12" s="1" customFormat="1">
      <c r="A76" s="89"/>
      <c r="B76" s="13"/>
      <c r="C76" s="13"/>
      <c r="D76" s="13"/>
      <c r="E76" s="13"/>
      <c r="F76" s="87"/>
      <c r="G76" s="87"/>
      <c r="H76" s="13"/>
      <c r="I76" s="90"/>
      <c r="J76" s="90"/>
      <c r="K76" s="90"/>
      <c r="L76" s="90"/>
    </row>
    <row r="77" spans="1:12" s="1" customFormat="1">
      <c r="A77" s="89"/>
      <c r="B77" s="13"/>
      <c r="C77" s="13"/>
      <c r="D77" s="13"/>
      <c r="E77" s="13"/>
      <c r="F77" s="87"/>
      <c r="G77" s="87"/>
      <c r="H77" s="13"/>
      <c r="I77" s="90"/>
      <c r="J77" s="90"/>
      <c r="K77" s="90"/>
      <c r="L77" s="90"/>
    </row>
  </sheetData>
  <autoFilter ref="A14:N23" xr:uid="{00000000-0009-0000-0000-00001F000000}"/>
  <mergeCells count="5">
    <mergeCell ref="B2:H2"/>
    <mergeCell ref="B3:H3"/>
    <mergeCell ref="B7:H7"/>
    <mergeCell ref="G9:G10"/>
    <mergeCell ref="B13:L13"/>
  </mergeCells>
  <phoneticPr fontId="23"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638B4-1C77-405E-98B8-F4E2DD94C86F}">
  <dimension ref="A1:Q25"/>
  <sheetViews>
    <sheetView zoomScale="85" zoomScaleNormal="85" workbookViewId="0">
      <pane ySplit="5" topLeftCell="A6" activePane="bottomLeft" state="frozen"/>
      <selection pane="bottomLeft"/>
    </sheetView>
  </sheetViews>
  <sheetFormatPr defaultColWidth="9" defaultRowHeight="13.2"/>
  <cols>
    <col min="1" max="1" width="1.33203125" style="3" customWidth="1"/>
    <col min="2" max="2" width="43.44140625" style="3" customWidth="1"/>
    <col min="3" max="3" width="29.77734375" style="3" bestFit="1"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11" t="s">
        <v>50</v>
      </c>
    </row>
    <row r="5" spans="2:14">
      <c r="B5" s="8" t="s">
        <v>39</v>
      </c>
      <c r="C5" s="9" t="s">
        <v>2420</v>
      </c>
      <c r="D5" s="10" t="s">
        <v>1247</v>
      </c>
      <c r="E5" s="12" t="s">
        <v>6</v>
      </c>
      <c r="F5" s="17"/>
      <c r="G5" s="12"/>
      <c r="H5" s="12"/>
      <c r="N5" s="3"/>
    </row>
    <row r="6" spans="2:14">
      <c r="B6" s="6"/>
      <c r="C6" s="6"/>
      <c r="D6" s="6"/>
      <c r="E6" s="6"/>
      <c r="F6" s="18"/>
      <c r="G6" s="18"/>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645</v>
      </c>
      <c r="D9" s="10" t="s">
        <v>676</v>
      </c>
      <c r="E9" s="12" t="s">
        <v>58</v>
      </c>
      <c r="F9" s="19"/>
      <c r="G9" s="19"/>
      <c r="H9" s="20" t="s">
        <v>30</v>
      </c>
    </row>
    <row r="11" spans="2:14">
      <c r="B11" s="3" t="s">
        <v>59</v>
      </c>
    </row>
    <row r="12" spans="2:14">
      <c r="B12" s="122" t="s">
        <v>59</v>
      </c>
      <c r="C12" s="122"/>
      <c r="D12" s="122"/>
      <c r="E12" s="122"/>
      <c r="F12" s="122"/>
      <c r="G12" s="122"/>
      <c r="H12" s="122"/>
      <c r="I12" s="122"/>
      <c r="J12" s="122"/>
      <c r="K12" s="122"/>
      <c r="L12" s="122"/>
    </row>
    <row r="13" spans="2:14">
      <c r="B13" s="7" t="s">
        <v>60</v>
      </c>
      <c r="C13" s="7" t="s">
        <v>61</v>
      </c>
      <c r="D13" s="7" t="s">
        <v>62</v>
      </c>
      <c r="E13" s="7" t="s">
        <v>63</v>
      </c>
      <c r="F13" s="11" t="s">
        <v>64</v>
      </c>
      <c r="G13" s="11" t="s">
        <v>65</v>
      </c>
      <c r="H13" s="11" t="s">
        <v>66</v>
      </c>
      <c r="I13" s="7" t="s">
        <v>24</v>
      </c>
      <c r="J13" s="7" t="s">
        <v>67</v>
      </c>
      <c r="K13" s="7" t="s">
        <v>68</v>
      </c>
      <c r="L13" s="7" t="s">
        <v>69</v>
      </c>
    </row>
    <row r="14" spans="2:14" s="1" customFormat="1">
      <c r="B14" s="13" t="s">
        <v>70</v>
      </c>
      <c r="C14" s="13" t="s">
        <v>71</v>
      </c>
      <c r="D14" s="9" t="s">
        <v>72</v>
      </c>
      <c r="E14" s="21" t="s">
        <v>58</v>
      </c>
      <c r="F14" s="19" t="s">
        <v>0</v>
      </c>
      <c r="G14" s="22" t="s">
        <v>73</v>
      </c>
      <c r="H14" s="71"/>
      <c r="I14" s="25"/>
      <c r="J14" s="25" t="s">
        <v>3</v>
      </c>
      <c r="K14" s="25" t="s">
        <v>74</v>
      </c>
      <c r="L14" s="25" t="s">
        <v>74</v>
      </c>
    </row>
    <row r="15" spans="2:14" s="1" customFormat="1">
      <c r="B15" s="13" t="s">
        <v>6</v>
      </c>
      <c r="C15" s="13" t="s">
        <v>75</v>
      </c>
      <c r="D15" s="9" t="s">
        <v>34</v>
      </c>
      <c r="E15" s="21" t="s">
        <v>58</v>
      </c>
      <c r="F15" s="19" t="s">
        <v>1</v>
      </c>
      <c r="G15" s="22" t="s">
        <v>73</v>
      </c>
      <c r="H15" s="71"/>
      <c r="I15" s="25"/>
      <c r="J15" s="25" t="s">
        <v>3</v>
      </c>
      <c r="K15" s="25" t="s">
        <v>74</v>
      </c>
      <c r="L15" s="25" t="s">
        <v>74</v>
      </c>
    </row>
    <row r="16" spans="2:14" s="1" customFormat="1">
      <c r="B16" s="13" t="s">
        <v>308</v>
      </c>
      <c r="C16" s="13" t="s">
        <v>71</v>
      </c>
      <c r="D16" s="9" t="s">
        <v>170</v>
      </c>
      <c r="E16" s="21" t="s">
        <v>58</v>
      </c>
      <c r="F16" s="19" t="s">
        <v>108</v>
      </c>
      <c r="G16" s="22" t="s">
        <v>73</v>
      </c>
      <c r="H16" s="71"/>
      <c r="I16" s="25"/>
      <c r="J16" s="25" t="s">
        <v>3</v>
      </c>
      <c r="K16" s="25" t="s">
        <v>74</v>
      </c>
      <c r="L16" s="25" t="s">
        <v>74</v>
      </c>
    </row>
    <row r="17" spans="2:17" s="1" customFormat="1">
      <c r="B17" s="13" t="s">
        <v>616</v>
      </c>
      <c r="C17" s="13" t="s">
        <v>71</v>
      </c>
      <c r="D17" s="9" t="s">
        <v>171</v>
      </c>
      <c r="E17" s="21" t="s">
        <v>58</v>
      </c>
      <c r="F17" s="19" t="s">
        <v>123</v>
      </c>
      <c r="G17" s="22" t="s">
        <v>73</v>
      </c>
      <c r="H17" s="71"/>
      <c r="I17" s="25"/>
      <c r="J17" s="25" t="s">
        <v>3</v>
      </c>
      <c r="K17" s="25" t="s">
        <v>74</v>
      </c>
      <c r="L17" s="25" t="s">
        <v>74</v>
      </c>
    </row>
    <row r="18" spans="2:17" s="1" customFormat="1">
      <c r="B18" s="13" t="s">
        <v>94</v>
      </c>
      <c r="C18" s="13" t="s">
        <v>71</v>
      </c>
      <c r="D18" s="9" t="s">
        <v>172</v>
      </c>
      <c r="E18" s="21" t="s">
        <v>58</v>
      </c>
      <c r="F18" s="19" t="s">
        <v>94</v>
      </c>
      <c r="G18" s="22" t="s">
        <v>73</v>
      </c>
      <c r="H18" s="71"/>
      <c r="I18" s="25"/>
      <c r="J18" s="25" t="s">
        <v>3</v>
      </c>
      <c r="K18" s="25" t="s">
        <v>74</v>
      </c>
      <c r="L18" s="25" t="s">
        <v>74</v>
      </c>
    </row>
    <row r="19" spans="2:17" s="1" customFormat="1">
      <c r="B19" s="13" t="s">
        <v>96</v>
      </c>
      <c r="C19" s="13" t="s">
        <v>71</v>
      </c>
      <c r="D19" s="9" t="s">
        <v>175</v>
      </c>
      <c r="E19" s="21" t="s">
        <v>58</v>
      </c>
      <c r="F19" s="19" t="s">
        <v>96</v>
      </c>
      <c r="G19" s="22" t="s">
        <v>73</v>
      </c>
      <c r="H19" s="71"/>
      <c r="I19" s="25"/>
      <c r="J19" s="25" t="s">
        <v>3</v>
      </c>
      <c r="K19" s="25" t="s">
        <v>74</v>
      </c>
      <c r="L19" s="25" t="s">
        <v>74</v>
      </c>
    </row>
    <row r="20" spans="2:17" s="1" customFormat="1">
      <c r="B20" s="13" t="s">
        <v>307</v>
      </c>
      <c r="C20" s="13" t="s">
        <v>71</v>
      </c>
      <c r="D20" s="9" t="s">
        <v>91</v>
      </c>
      <c r="E20" s="21" t="s">
        <v>58</v>
      </c>
      <c r="F20" s="19" t="s">
        <v>90</v>
      </c>
      <c r="G20" s="22" t="s">
        <v>73</v>
      </c>
      <c r="H20" s="71"/>
      <c r="I20" s="25"/>
      <c r="J20" s="25" t="s">
        <v>3</v>
      </c>
      <c r="K20" s="25" t="s">
        <v>74</v>
      </c>
      <c r="L20" s="25" t="s">
        <v>74</v>
      </c>
    </row>
    <row r="21" spans="2:17" s="1" customFormat="1">
      <c r="B21" s="13" t="s">
        <v>2369</v>
      </c>
      <c r="C21" s="13" t="s">
        <v>98</v>
      </c>
      <c r="D21" s="9" t="s">
        <v>634</v>
      </c>
      <c r="E21" s="21" t="s">
        <v>58</v>
      </c>
      <c r="F21" s="22"/>
      <c r="G21" s="22" t="s">
        <v>632</v>
      </c>
      <c r="H21" s="71"/>
      <c r="I21" s="25"/>
      <c r="J21" s="25" t="s">
        <v>306</v>
      </c>
      <c r="K21" s="25" t="s">
        <v>305</v>
      </c>
      <c r="L21" s="25" t="s">
        <v>631</v>
      </c>
    </row>
    <row r="22" spans="2:17" s="1" customFormat="1">
      <c r="B22" s="13" t="s">
        <v>2370</v>
      </c>
      <c r="C22" s="13" t="s">
        <v>98</v>
      </c>
      <c r="D22" s="9" t="s">
        <v>550</v>
      </c>
      <c r="E22" s="21" t="s">
        <v>58</v>
      </c>
      <c r="F22" s="22"/>
      <c r="G22" s="22" t="s">
        <v>633</v>
      </c>
      <c r="H22" s="71"/>
      <c r="I22" s="25"/>
      <c r="J22" s="25" t="s">
        <v>306</v>
      </c>
      <c r="K22" s="25" t="s">
        <v>305</v>
      </c>
      <c r="L22" s="25" t="s">
        <v>631</v>
      </c>
    </row>
    <row r="23" spans="2:17" s="2" customFormat="1">
      <c r="B23" s="14" t="s">
        <v>80</v>
      </c>
      <c r="C23" s="15" t="s">
        <v>75</v>
      </c>
      <c r="D23" s="16" t="s">
        <v>103</v>
      </c>
      <c r="E23" s="24"/>
      <c r="F23" s="24"/>
      <c r="G23" s="24" t="s">
        <v>293</v>
      </c>
      <c r="H23" s="24" t="s">
        <v>293</v>
      </c>
      <c r="I23" s="14"/>
      <c r="J23" s="14"/>
      <c r="K23" s="14"/>
      <c r="L23" s="14"/>
      <c r="M23" s="14"/>
      <c r="N23" s="14"/>
      <c r="O23" s="14"/>
      <c r="P23" s="14"/>
      <c r="Q23" s="14"/>
    </row>
    <row r="24" spans="2:17" s="2" customFormat="1">
      <c r="B24" s="14" t="s">
        <v>0</v>
      </c>
      <c r="C24" s="15" t="s">
        <v>71</v>
      </c>
      <c r="D24" s="16" t="s">
        <v>104</v>
      </c>
      <c r="E24" s="24"/>
      <c r="F24" s="24"/>
      <c r="G24" s="24" t="s">
        <v>293</v>
      </c>
      <c r="H24" s="24" t="s">
        <v>293</v>
      </c>
      <c r="I24" s="14"/>
      <c r="J24" s="14"/>
      <c r="K24" s="14"/>
      <c r="L24" s="14"/>
      <c r="M24" s="14"/>
      <c r="N24" s="14"/>
      <c r="O24" s="14"/>
      <c r="P24" s="14"/>
      <c r="Q24" s="14"/>
    </row>
    <row r="25" spans="2:17" s="2" customFormat="1">
      <c r="B25" s="14" t="s">
        <v>1</v>
      </c>
      <c r="C25" s="15" t="s">
        <v>75</v>
      </c>
      <c r="D25" s="16" t="s">
        <v>105</v>
      </c>
      <c r="E25" s="24"/>
      <c r="F25" s="24"/>
      <c r="G25" s="24" t="s">
        <v>293</v>
      </c>
      <c r="H25" s="24" t="s">
        <v>293</v>
      </c>
      <c r="I25" s="14"/>
      <c r="J25" s="14"/>
      <c r="K25" s="14"/>
      <c r="L25" s="14"/>
      <c r="M25" s="14"/>
      <c r="N25" s="14"/>
      <c r="O25" s="14"/>
      <c r="P25" s="14"/>
      <c r="Q25" s="14"/>
    </row>
  </sheetData>
  <autoFilter ref="B11:L25" xr:uid="{1CD6A709-7980-47A9-90CF-7F7A4C2EE21B}"/>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7836-EA7F-4A96-847C-6BFFFB35AC9A}">
  <dimension ref="A1:Q22"/>
  <sheetViews>
    <sheetView zoomScale="85" zoomScaleNormal="85" workbookViewId="0">
      <pane ySplit="5" topLeftCell="A6" activePane="bottomLeft" state="frozen"/>
      <selection pane="bottomLeft" activeCell="D9" sqref="C9:D9"/>
    </sheetView>
  </sheetViews>
  <sheetFormatPr defaultColWidth="9" defaultRowHeight="13.2"/>
  <cols>
    <col min="1" max="1" width="1.33203125" style="3" customWidth="1"/>
    <col min="2" max="2" width="43.44140625" style="3" customWidth="1"/>
    <col min="3" max="3" width="29.77734375" style="3" bestFit="1" customWidth="1"/>
    <col min="4" max="4" width="32.21875" style="3" customWidth="1"/>
    <col min="5" max="5" width="10.109375" style="3" customWidth="1"/>
    <col min="6" max="6" width="15.44140625" style="3" customWidth="1"/>
    <col min="7" max="7" width="13.88671875" style="3" bestFit="1"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11" t="s">
        <v>50</v>
      </c>
    </row>
    <row r="5" spans="2:14">
      <c r="B5" s="8" t="s">
        <v>39</v>
      </c>
      <c r="C5" s="9" t="s">
        <v>2413</v>
      </c>
      <c r="D5" s="10" t="s">
        <v>2423</v>
      </c>
      <c r="E5" s="12" t="s">
        <v>1259</v>
      </c>
      <c r="F5" s="17"/>
      <c r="G5" s="12"/>
      <c r="H5" s="12"/>
      <c r="N5" s="3"/>
    </row>
    <row r="6" spans="2:14">
      <c r="B6" s="6"/>
      <c r="C6" s="6"/>
      <c r="D6" s="6"/>
      <c r="E6" s="6"/>
      <c r="F6" s="18"/>
      <c r="G6" s="18"/>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2419</v>
      </c>
      <c r="D9" s="10" t="s">
        <v>1247</v>
      </c>
      <c r="E9" s="12" t="s">
        <v>58</v>
      </c>
      <c r="F9" s="19"/>
      <c r="G9" s="19"/>
      <c r="H9" s="20" t="s">
        <v>30</v>
      </c>
    </row>
    <row r="11" spans="2:14">
      <c r="B11" s="3" t="s">
        <v>59</v>
      </c>
    </row>
    <row r="12" spans="2:14">
      <c r="B12" s="122" t="s">
        <v>59</v>
      </c>
      <c r="C12" s="122"/>
      <c r="D12" s="122"/>
      <c r="E12" s="122"/>
      <c r="F12" s="122"/>
      <c r="G12" s="122"/>
      <c r="H12" s="122"/>
      <c r="I12" s="122"/>
      <c r="J12" s="122"/>
      <c r="K12" s="122"/>
      <c r="L12" s="122"/>
    </row>
    <row r="13" spans="2:14">
      <c r="B13" s="7" t="s">
        <v>60</v>
      </c>
      <c r="C13" s="7" t="s">
        <v>61</v>
      </c>
      <c r="D13" s="7" t="s">
        <v>62</v>
      </c>
      <c r="E13" s="7" t="s">
        <v>63</v>
      </c>
      <c r="F13" s="11" t="s">
        <v>64</v>
      </c>
      <c r="G13" s="11" t="s">
        <v>65</v>
      </c>
      <c r="H13" s="11" t="s">
        <v>66</v>
      </c>
      <c r="I13" s="7" t="s">
        <v>24</v>
      </c>
      <c r="J13" s="7" t="s">
        <v>67</v>
      </c>
      <c r="K13" s="7" t="s">
        <v>68</v>
      </c>
      <c r="L13" s="7" t="s">
        <v>69</v>
      </c>
    </row>
    <row r="14" spans="2:14" s="1" customFormat="1">
      <c r="B14" s="13" t="s">
        <v>78</v>
      </c>
      <c r="C14" s="13" t="s">
        <v>75</v>
      </c>
      <c r="D14" s="9" t="s">
        <v>79</v>
      </c>
      <c r="E14" s="21" t="s">
        <v>58</v>
      </c>
      <c r="F14" s="19" t="s">
        <v>301</v>
      </c>
      <c r="G14" s="22" t="s">
        <v>73</v>
      </c>
      <c r="H14" s="71"/>
      <c r="I14" s="25"/>
      <c r="J14" s="25" t="s">
        <v>3</v>
      </c>
      <c r="K14" s="25" t="s">
        <v>74</v>
      </c>
      <c r="L14" s="25" t="s">
        <v>74</v>
      </c>
    </row>
    <row r="15" spans="2:14" s="1" customFormat="1">
      <c r="B15" s="13" t="s">
        <v>108</v>
      </c>
      <c r="C15" s="13" t="s">
        <v>71</v>
      </c>
      <c r="D15" s="9" t="s">
        <v>649</v>
      </c>
      <c r="E15" s="21" t="s">
        <v>58</v>
      </c>
      <c r="F15" s="27" t="s">
        <v>108</v>
      </c>
      <c r="G15" s="22" t="s">
        <v>73</v>
      </c>
      <c r="H15" s="71"/>
      <c r="I15" s="25"/>
      <c r="J15" s="25" t="s">
        <v>3</v>
      </c>
      <c r="K15" s="25" t="s">
        <v>74</v>
      </c>
      <c r="L15" s="25" t="s">
        <v>74</v>
      </c>
    </row>
    <row r="16" spans="2:14" s="1" customFormat="1">
      <c r="B16" s="13" t="s">
        <v>123</v>
      </c>
      <c r="C16" s="13" t="s">
        <v>71</v>
      </c>
      <c r="D16" s="9" t="s">
        <v>650</v>
      </c>
      <c r="E16" s="21" t="s">
        <v>58</v>
      </c>
      <c r="F16" s="27" t="s">
        <v>123</v>
      </c>
      <c r="G16" s="22" t="s">
        <v>73</v>
      </c>
      <c r="H16" s="71"/>
      <c r="I16" s="25"/>
      <c r="J16" s="25" t="s">
        <v>3</v>
      </c>
      <c r="K16" s="25" t="s">
        <v>74</v>
      </c>
      <c r="L16" s="25" t="s">
        <v>74</v>
      </c>
    </row>
    <row r="17" spans="2:17" s="1" customFormat="1">
      <c r="B17" s="13" t="s">
        <v>94</v>
      </c>
      <c r="C17" s="13" t="s">
        <v>71</v>
      </c>
      <c r="D17" s="9" t="s">
        <v>172</v>
      </c>
      <c r="E17" s="21" t="s">
        <v>58</v>
      </c>
      <c r="F17" s="27" t="s">
        <v>94</v>
      </c>
      <c r="G17" s="22" t="s">
        <v>73</v>
      </c>
      <c r="H17" s="71"/>
      <c r="I17" s="25"/>
      <c r="J17" s="25" t="s">
        <v>3</v>
      </c>
      <c r="K17" s="25" t="s">
        <v>74</v>
      </c>
      <c r="L17" s="25" t="s">
        <v>74</v>
      </c>
    </row>
    <row r="18" spans="2:17" s="1" customFormat="1">
      <c r="B18" s="13" t="s">
        <v>1253</v>
      </c>
      <c r="C18" s="13" t="s">
        <v>98</v>
      </c>
      <c r="D18" s="9" t="s">
        <v>634</v>
      </c>
      <c r="E18" s="21" t="s">
        <v>58</v>
      </c>
      <c r="F18" s="19"/>
      <c r="G18" s="22" t="s">
        <v>632</v>
      </c>
      <c r="H18" s="71"/>
      <c r="I18" s="25"/>
      <c r="J18" s="25" t="s">
        <v>306</v>
      </c>
      <c r="K18" s="25" t="s">
        <v>305</v>
      </c>
      <c r="L18" s="25" t="s">
        <v>631</v>
      </c>
    </row>
    <row r="19" spans="2:17" s="1" customFormat="1">
      <c r="B19" s="13" t="s">
        <v>628</v>
      </c>
      <c r="C19" s="13" t="s">
        <v>75</v>
      </c>
      <c r="D19" s="9" t="s">
        <v>1255</v>
      </c>
      <c r="E19" s="21" t="s">
        <v>58</v>
      </c>
      <c r="F19" s="19"/>
      <c r="G19" s="22" t="s">
        <v>633</v>
      </c>
      <c r="H19" s="71"/>
      <c r="I19" s="25"/>
      <c r="J19" s="25" t="s">
        <v>306</v>
      </c>
      <c r="K19" s="25" t="s">
        <v>305</v>
      </c>
      <c r="L19" s="25" t="s">
        <v>631</v>
      </c>
    </row>
    <row r="20" spans="2:17" s="1" customFormat="1">
      <c r="B20" s="13" t="s">
        <v>96</v>
      </c>
      <c r="C20" s="13" t="s">
        <v>75</v>
      </c>
      <c r="D20" s="9" t="s">
        <v>1254</v>
      </c>
      <c r="E20" s="21" t="s">
        <v>58</v>
      </c>
      <c r="F20" s="19" t="s">
        <v>96</v>
      </c>
      <c r="G20" s="22" t="s">
        <v>73</v>
      </c>
      <c r="H20" s="71"/>
      <c r="I20" s="25"/>
      <c r="J20" s="25" t="s">
        <v>3</v>
      </c>
      <c r="K20" s="25" t="s">
        <v>74</v>
      </c>
      <c r="L20" s="25" t="s">
        <v>74</v>
      </c>
    </row>
    <row r="21" spans="2:17" s="2" customFormat="1">
      <c r="B21" s="14" t="s">
        <v>80</v>
      </c>
      <c r="C21" s="15" t="s">
        <v>75</v>
      </c>
      <c r="D21" s="16" t="s">
        <v>103</v>
      </c>
      <c r="E21" s="24"/>
      <c r="F21" s="24"/>
      <c r="G21" s="24" t="s">
        <v>293</v>
      </c>
      <c r="H21" s="24" t="s">
        <v>293</v>
      </c>
      <c r="I21" s="14"/>
      <c r="J21" s="14"/>
      <c r="K21" s="14"/>
      <c r="L21" s="14"/>
      <c r="M21" s="14"/>
      <c r="N21" s="14"/>
      <c r="O21" s="14"/>
      <c r="P21" s="14"/>
      <c r="Q21" s="14"/>
    </row>
    <row r="22" spans="2:17" s="2" customFormat="1">
      <c r="B22" s="14" t="s">
        <v>0</v>
      </c>
      <c r="C22" s="15" t="s">
        <v>71</v>
      </c>
      <c r="D22" s="16" t="s">
        <v>104</v>
      </c>
      <c r="E22" s="24"/>
      <c r="F22" s="24"/>
      <c r="G22" s="24" t="s">
        <v>293</v>
      </c>
      <c r="H22" s="24" t="s">
        <v>293</v>
      </c>
      <c r="I22" s="14"/>
      <c r="J22" s="14"/>
      <c r="K22" s="14"/>
      <c r="L22" s="14"/>
      <c r="M22" s="14"/>
      <c r="N22" s="14"/>
      <c r="O22" s="14"/>
      <c r="P22" s="14"/>
      <c r="Q22" s="14"/>
    </row>
  </sheetData>
  <autoFilter ref="B11:L22" xr:uid="{1CD6A709-7980-47A9-90CF-7F7A4C2EE21B}"/>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D1A83-AD3A-4073-8837-A9110C2586E3}">
  <dimension ref="A1:Q20"/>
  <sheetViews>
    <sheetView zoomScale="85" zoomScaleNormal="85" workbookViewId="0">
      <pane ySplit="5" topLeftCell="A6" activePane="bottomLeft" state="frozen"/>
      <selection pane="bottomLeft" activeCell="C10" sqref="C10"/>
    </sheetView>
  </sheetViews>
  <sheetFormatPr defaultColWidth="9" defaultRowHeight="13.2"/>
  <cols>
    <col min="1" max="1" width="1.33203125" style="3" customWidth="1"/>
    <col min="2" max="2" width="43.44140625" style="3" customWidth="1"/>
    <col min="3" max="3" width="29.77734375" style="3" bestFit="1" customWidth="1"/>
    <col min="4" max="4" width="32.21875" style="3" customWidth="1"/>
    <col min="5" max="5" width="10.109375" style="3" customWidth="1"/>
    <col min="6" max="6" width="23.88671875" style="3" customWidth="1"/>
    <col min="7" max="7" width="22.109375" style="3" customWidth="1"/>
    <col min="8" max="8" width="14.44140625" style="3" customWidth="1"/>
    <col min="9" max="9" width="8.441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11" t="s">
        <v>50</v>
      </c>
    </row>
    <row r="5" spans="2:14">
      <c r="B5" s="8" t="s">
        <v>39</v>
      </c>
      <c r="C5" s="9" t="s">
        <v>2417</v>
      </c>
      <c r="D5" s="10" t="s">
        <v>2424</v>
      </c>
      <c r="E5" s="12" t="s">
        <v>6</v>
      </c>
      <c r="F5" s="17"/>
      <c r="G5" s="12"/>
      <c r="H5" s="12"/>
      <c r="N5" s="3"/>
    </row>
    <row r="6" spans="2:14">
      <c r="B6" s="6"/>
      <c r="C6" s="6"/>
      <c r="D6" s="6"/>
      <c r="E6" s="6"/>
      <c r="F6" s="18"/>
      <c r="G6" s="18"/>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2419</v>
      </c>
      <c r="D9" s="10" t="s">
        <v>2422</v>
      </c>
      <c r="E9" s="12" t="s">
        <v>58</v>
      </c>
      <c r="F9" s="125" t="s">
        <v>1262</v>
      </c>
      <c r="G9" s="19"/>
      <c r="H9" s="83" t="s">
        <v>30</v>
      </c>
    </row>
    <row r="10" spans="2:14">
      <c r="B10" s="12"/>
      <c r="C10" s="9" t="s">
        <v>2413</v>
      </c>
      <c r="D10" s="10" t="s">
        <v>2423</v>
      </c>
      <c r="E10" s="12" t="s">
        <v>665</v>
      </c>
      <c r="F10" s="125"/>
      <c r="G10" s="19" t="s">
        <v>1263</v>
      </c>
      <c r="H10" s="83"/>
    </row>
    <row r="12" spans="2:14">
      <c r="B12" s="3" t="s">
        <v>59</v>
      </c>
    </row>
    <row r="13" spans="2:14">
      <c r="B13" s="122" t="s">
        <v>59</v>
      </c>
      <c r="C13" s="122"/>
      <c r="D13" s="122"/>
      <c r="E13" s="122"/>
      <c r="F13" s="122"/>
      <c r="G13" s="122"/>
      <c r="H13" s="122"/>
      <c r="I13" s="122"/>
      <c r="J13" s="122"/>
      <c r="K13" s="122"/>
      <c r="L13" s="122"/>
    </row>
    <row r="14" spans="2:14">
      <c r="B14" s="7" t="s">
        <v>60</v>
      </c>
      <c r="C14" s="7" t="s">
        <v>61</v>
      </c>
      <c r="D14" s="7" t="s">
        <v>62</v>
      </c>
      <c r="E14" s="7" t="s">
        <v>63</v>
      </c>
      <c r="F14" s="11" t="s">
        <v>64</v>
      </c>
      <c r="G14" s="11" t="s">
        <v>65</v>
      </c>
      <c r="H14" s="11" t="s">
        <v>66</v>
      </c>
      <c r="I14" s="7" t="s">
        <v>24</v>
      </c>
      <c r="J14" s="7" t="s">
        <v>67</v>
      </c>
      <c r="K14" s="7" t="s">
        <v>68</v>
      </c>
      <c r="L14" s="7" t="s">
        <v>69</v>
      </c>
    </row>
    <row r="15" spans="2:14" s="1" customFormat="1">
      <c r="B15" s="13" t="s">
        <v>2371</v>
      </c>
      <c r="C15" s="13" t="s">
        <v>75</v>
      </c>
      <c r="D15" s="9" t="s">
        <v>562</v>
      </c>
      <c r="E15" s="21" t="s">
        <v>58</v>
      </c>
      <c r="F15" s="19"/>
      <c r="G15" s="22" t="s">
        <v>1260</v>
      </c>
      <c r="H15" s="71"/>
      <c r="I15" s="25"/>
      <c r="J15" s="25" t="s">
        <v>3</v>
      </c>
      <c r="K15" s="25" t="s">
        <v>74</v>
      </c>
      <c r="L15" s="25" t="s">
        <v>74</v>
      </c>
    </row>
    <row r="16" spans="2:14" s="1" customFormat="1">
      <c r="B16" s="13" t="s">
        <v>113</v>
      </c>
      <c r="C16" s="13" t="s">
        <v>75</v>
      </c>
      <c r="D16" s="9" t="s">
        <v>563</v>
      </c>
      <c r="E16" s="21" t="s">
        <v>58</v>
      </c>
      <c r="F16" s="27"/>
      <c r="G16" s="22" t="s">
        <v>1261</v>
      </c>
      <c r="H16" s="71"/>
      <c r="I16" s="25"/>
      <c r="J16" s="25" t="s">
        <v>3</v>
      </c>
      <c r="K16" s="25" t="s">
        <v>74</v>
      </c>
      <c r="L16" s="25" t="s">
        <v>74</v>
      </c>
    </row>
    <row r="17" spans="2:17" s="1" customFormat="1">
      <c r="B17" s="13" t="s">
        <v>2372</v>
      </c>
      <c r="C17" s="13" t="s">
        <v>98</v>
      </c>
      <c r="D17" s="9" t="s">
        <v>1258</v>
      </c>
      <c r="E17" s="21" t="s">
        <v>58</v>
      </c>
      <c r="F17" s="27"/>
      <c r="G17" s="22" t="s">
        <v>1264</v>
      </c>
      <c r="H17" s="71"/>
      <c r="I17" s="25"/>
      <c r="J17" s="25" t="s">
        <v>306</v>
      </c>
      <c r="K17" s="25" t="s">
        <v>1265</v>
      </c>
      <c r="L17" s="25" t="s">
        <v>1209</v>
      </c>
    </row>
    <row r="18" spans="2:17" s="2" customFormat="1">
      <c r="B18" s="14" t="s">
        <v>80</v>
      </c>
      <c r="C18" s="15" t="s">
        <v>75</v>
      </c>
      <c r="D18" s="16" t="s">
        <v>103</v>
      </c>
      <c r="E18" s="24"/>
      <c r="F18" s="24"/>
      <c r="G18" s="24" t="s">
        <v>293</v>
      </c>
      <c r="H18" s="24" t="s">
        <v>293</v>
      </c>
      <c r="I18" s="14"/>
      <c r="J18" s="14"/>
      <c r="K18" s="14"/>
      <c r="L18" s="14"/>
      <c r="M18" s="14"/>
      <c r="N18" s="14"/>
      <c r="O18" s="14"/>
      <c r="P18" s="14"/>
      <c r="Q18" s="14"/>
    </row>
    <row r="19" spans="2:17" s="2" customFormat="1">
      <c r="B19" s="14" t="s">
        <v>0</v>
      </c>
      <c r="C19" s="15" t="s">
        <v>71</v>
      </c>
      <c r="D19" s="16" t="s">
        <v>104</v>
      </c>
      <c r="E19" s="24"/>
      <c r="F19" s="24"/>
      <c r="G19" s="24" t="s">
        <v>293</v>
      </c>
      <c r="H19" s="24" t="s">
        <v>293</v>
      </c>
      <c r="I19" s="14"/>
      <c r="J19" s="14"/>
      <c r="K19" s="14"/>
      <c r="L19" s="14"/>
      <c r="M19" s="14"/>
      <c r="N19" s="14"/>
      <c r="O19" s="14"/>
      <c r="P19" s="14"/>
      <c r="Q19" s="14"/>
    </row>
    <row r="20" spans="2:17" s="2" customFormat="1">
      <c r="B20" s="14" t="s">
        <v>1</v>
      </c>
      <c r="C20" s="15" t="s">
        <v>75</v>
      </c>
      <c r="D20" s="16" t="s">
        <v>105</v>
      </c>
      <c r="E20" s="24"/>
      <c r="F20" s="24"/>
      <c r="G20" s="24" t="s">
        <v>293</v>
      </c>
      <c r="H20" s="24" t="s">
        <v>293</v>
      </c>
      <c r="I20" s="14"/>
      <c r="J20" s="14"/>
      <c r="K20" s="14"/>
      <c r="L20" s="14"/>
      <c r="M20" s="14"/>
      <c r="N20" s="14"/>
      <c r="O20" s="14"/>
      <c r="P20" s="14"/>
      <c r="Q20" s="14"/>
    </row>
  </sheetData>
  <autoFilter ref="B12:L19" xr:uid="{1CD6A709-7980-47A9-90CF-7F7A4C2EE21B}"/>
  <mergeCells count="5">
    <mergeCell ref="B2:H2"/>
    <mergeCell ref="B3:H3"/>
    <mergeCell ref="B7:H7"/>
    <mergeCell ref="B13:L13"/>
    <mergeCell ref="F9:F10"/>
  </mergeCells>
  <phoneticPr fontId="23"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A6B46-0B6A-440A-8E93-A5124E013943}">
  <dimension ref="A1:Q21"/>
  <sheetViews>
    <sheetView zoomScale="85" zoomScaleNormal="85" workbookViewId="0">
      <pane ySplit="5" topLeftCell="A6" activePane="bottomLeft" state="frozen"/>
      <selection pane="bottomLeft" activeCell="C9" sqref="C9:D10"/>
    </sheetView>
  </sheetViews>
  <sheetFormatPr defaultColWidth="9" defaultRowHeight="13.2"/>
  <cols>
    <col min="1" max="1" width="1.33203125" style="3" customWidth="1"/>
    <col min="2" max="2" width="43.44140625" style="3" customWidth="1"/>
    <col min="3" max="3" width="29.77734375" style="3" bestFit="1" customWidth="1"/>
    <col min="4" max="4" width="32.21875" style="3" customWidth="1"/>
    <col min="5" max="5" width="10.109375" style="3" customWidth="1"/>
    <col min="6" max="6" width="42.21875" style="3" customWidth="1"/>
    <col min="7" max="7" width="22.109375" style="3" customWidth="1"/>
    <col min="8" max="8" width="14.44140625" style="3" customWidth="1"/>
    <col min="9" max="9" width="8.441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11" t="s">
        <v>50</v>
      </c>
    </row>
    <row r="5" spans="2:14">
      <c r="B5" s="8" t="s">
        <v>39</v>
      </c>
      <c r="C5" s="9" t="s">
        <v>2415</v>
      </c>
      <c r="D5" s="10" t="s">
        <v>2425</v>
      </c>
      <c r="E5" s="12" t="s">
        <v>1272</v>
      </c>
      <c r="F5" s="17"/>
      <c r="G5" s="12"/>
      <c r="H5" s="12"/>
      <c r="N5" s="3"/>
    </row>
    <row r="6" spans="2:14">
      <c r="B6" s="6"/>
      <c r="C6" s="6"/>
      <c r="D6" s="6"/>
      <c r="E6" s="6"/>
      <c r="F6" s="18"/>
      <c r="G6" s="18"/>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1274</v>
      </c>
      <c r="D9" s="10" t="s">
        <v>1266</v>
      </c>
      <c r="E9" s="12" t="s">
        <v>58</v>
      </c>
      <c r="F9" s="125" t="s">
        <v>1270</v>
      </c>
      <c r="G9" s="19"/>
      <c r="H9" s="83" t="s">
        <v>30</v>
      </c>
    </row>
    <row r="10" spans="2:14">
      <c r="B10" s="12"/>
      <c r="C10" s="9" t="s">
        <v>2413</v>
      </c>
      <c r="D10" s="10" t="s">
        <v>2423</v>
      </c>
      <c r="E10" s="12" t="s">
        <v>665</v>
      </c>
      <c r="F10" s="125"/>
      <c r="G10" s="19" t="s">
        <v>1275</v>
      </c>
      <c r="H10" s="83"/>
    </row>
    <row r="12" spans="2:14">
      <c r="B12" s="3" t="s">
        <v>59</v>
      </c>
    </row>
    <row r="13" spans="2:14">
      <c r="B13" s="122" t="s">
        <v>59</v>
      </c>
      <c r="C13" s="122"/>
      <c r="D13" s="122"/>
      <c r="E13" s="122"/>
      <c r="F13" s="122"/>
      <c r="G13" s="122"/>
      <c r="H13" s="122"/>
      <c r="I13" s="122"/>
      <c r="J13" s="122"/>
      <c r="K13" s="122"/>
      <c r="L13" s="122"/>
    </row>
    <row r="14" spans="2:14">
      <c r="B14" s="7" t="s">
        <v>60</v>
      </c>
      <c r="C14" s="7" t="s">
        <v>61</v>
      </c>
      <c r="D14" s="7" t="s">
        <v>62</v>
      </c>
      <c r="E14" s="7" t="s">
        <v>63</v>
      </c>
      <c r="F14" s="11" t="s">
        <v>64</v>
      </c>
      <c r="G14" s="11" t="s">
        <v>65</v>
      </c>
      <c r="H14" s="11" t="s">
        <v>66</v>
      </c>
      <c r="I14" s="7" t="s">
        <v>24</v>
      </c>
      <c r="J14" s="7" t="s">
        <v>67</v>
      </c>
      <c r="K14" s="7" t="s">
        <v>68</v>
      </c>
      <c r="L14" s="7" t="s">
        <v>69</v>
      </c>
    </row>
    <row r="15" spans="2:14" s="1" customFormat="1">
      <c r="B15" s="13" t="s">
        <v>1256</v>
      </c>
      <c r="C15" s="13" t="s">
        <v>75</v>
      </c>
      <c r="D15" s="9" t="s">
        <v>562</v>
      </c>
      <c r="E15" s="21" t="s">
        <v>58</v>
      </c>
      <c r="F15" s="19"/>
      <c r="G15" s="22" t="s">
        <v>1260</v>
      </c>
      <c r="H15" s="71"/>
      <c r="I15" s="25"/>
      <c r="J15" s="25" t="s">
        <v>3</v>
      </c>
      <c r="K15" s="25" t="s">
        <v>74</v>
      </c>
      <c r="L15" s="25" t="s">
        <v>74</v>
      </c>
    </row>
    <row r="16" spans="2:14" s="1" customFormat="1">
      <c r="B16" s="13" t="s">
        <v>113</v>
      </c>
      <c r="C16" s="13" t="s">
        <v>75</v>
      </c>
      <c r="D16" s="9" t="s">
        <v>563</v>
      </c>
      <c r="E16" s="21" t="s">
        <v>58</v>
      </c>
      <c r="F16" s="27"/>
      <c r="G16" s="22" t="s">
        <v>1261</v>
      </c>
      <c r="H16" s="71"/>
      <c r="I16" s="25"/>
      <c r="J16" s="25" t="s">
        <v>3</v>
      </c>
      <c r="K16" s="25" t="s">
        <v>74</v>
      </c>
      <c r="L16" s="25" t="s">
        <v>74</v>
      </c>
    </row>
    <row r="17" spans="2:17" s="1" customFormat="1">
      <c r="B17" s="13" t="s">
        <v>1257</v>
      </c>
      <c r="C17" s="13" t="s">
        <v>98</v>
      </c>
      <c r="D17" s="9" t="s">
        <v>1258</v>
      </c>
      <c r="E17" s="21" t="s">
        <v>58</v>
      </c>
      <c r="F17" s="27"/>
      <c r="G17" s="22" t="s">
        <v>1264</v>
      </c>
      <c r="H17" s="71"/>
      <c r="I17" s="25"/>
      <c r="J17" s="25" t="s">
        <v>306</v>
      </c>
      <c r="K17" s="25" t="s">
        <v>1265</v>
      </c>
      <c r="L17" s="25" t="s">
        <v>1209</v>
      </c>
    </row>
    <row r="18" spans="2:17" s="2" customFormat="1">
      <c r="B18" s="14" t="s">
        <v>80</v>
      </c>
      <c r="C18" s="15" t="s">
        <v>75</v>
      </c>
      <c r="D18" s="16" t="s">
        <v>103</v>
      </c>
      <c r="E18" s="24"/>
      <c r="F18" s="24"/>
      <c r="G18" s="24" t="s">
        <v>293</v>
      </c>
      <c r="H18" s="24" t="s">
        <v>293</v>
      </c>
      <c r="I18" s="14"/>
      <c r="J18" s="14"/>
      <c r="K18" s="14"/>
      <c r="L18" s="14"/>
      <c r="M18" s="14"/>
      <c r="N18" s="14"/>
      <c r="O18" s="14"/>
      <c r="P18" s="14"/>
      <c r="Q18" s="14"/>
    </row>
    <row r="19" spans="2:17" s="2" customFormat="1">
      <c r="B19" s="14" t="s">
        <v>0</v>
      </c>
      <c r="C19" s="15" t="s">
        <v>71</v>
      </c>
      <c r="D19" s="16" t="s">
        <v>104</v>
      </c>
      <c r="E19" s="24"/>
      <c r="F19" s="24"/>
      <c r="G19" s="24" t="s">
        <v>293</v>
      </c>
      <c r="H19" s="24" t="s">
        <v>293</v>
      </c>
      <c r="I19" s="14"/>
      <c r="J19" s="14"/>
      <c r="K19" s="14"/>
      <c r="L19" s="14"/>
      <c r="M19" s="14"/>
      <c r="N19" s="14"/>
      <c r="O19" s="14"/>
      <c r="P19" s="14"/>
      <c r="Q19" s="14"/>
    </row>
    <row r="20" spans="2:17" s="2" customFormat="1">
      <c r="B20" s="14" t="s">
        <v>1</v>
      </c>
      <c r="C20" s="15" t="s">
        <v>75</v>
      </c>
      <c r="D20" s="16" t="s">
        <v>105</v>
      </c>
      <c r="E20" s="24"/>
      <c r="F20" s="24"/>
      <c r="G20" s="24" t="s">
        <v>293</v>
      </c>
      <c r="H20" s="24" t="s">
        <v>293</v>
      </c>
      <c r="I20" s="14"/>
      <c r="J20" s="14"/>
      <c r="K20" s="14"/>
      <c r="L20" s="14"/>
      <c r="M20" s="14"/>
      <c r="N20" s="14"/>
      <c r="O20" s="14"/>
      <c r="P20" s="14"/>
      <c r="Q20" s="14"/>
    </row>
    <row r="21" spans="2:17" s="2" customFormat="1">
      <c r="B21" s="14" t="s">
        <v>1267</v>
      </c>
      <c r="C21" s="15" t="s">
        <v>75</v>
      </c>
      <c r="D21" s="16" t="s">
        <v>1268</v>
      </c>
      <c r="E21" s="24"/>
      <c r="F21" s="24"/>
      <c r="G21" s="24" t="s">
        <v>293</v>
      </c>
      <c r="H21" s="24" t="s">
        <v>293</v>
      </c>
      <c r="I21" s="14"/>
      <c r="J21" s="14"/>
      <c r="K21" s="14"/>
      <c r="L21" s="14"/>
      <c r="M21" s="14"/>
      <c r="N21" s="14"/>
      <c r="O21" s="14"/>
      <c r="P21" s="14"/>
      <c r="Q21" s="14"/>
    </row>
  </sheetData>
  <autoFilter ref="B12:L19" xr:uid="{1CD6A709-7980-47A9-90CF-7F7A4C2EE21B}"/>
  <mergeCells count="5">
    <mergeCell ref="B2:H2"/>
    <mergeCell ref="B3:H3"/>
    <mergeCell ref="B7:H7"/>
    <mergeCell ref="F9:F10"/>
    <mergeCell ref="B13:L13"/>
  </mergeCells>
  <phoneticPr fontId="23"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09C09-AC8B-47C7-AE7B-641D4D00151E}">
  <dimension ref="A1:Q117"/>
  <sheetViews>
    <sheetView zoomScale="85" zoomScaleNormal="85" workbookViewId="0">
      <pane ySplit="5" topLeftCell="A6" activePane="bottomLeft" state="frozen"/>
      <selection pane="bottomLeft" activeCell="D19" sqref="D19"/>
    </sheetView>
  </sheetViews>
  <sheetFormatPr defaultColWidth="9" defaultRowHeight="13.2"/>
  <cols>
    <col min="1" max="1" width="1.33203125" style="3" customWidth="1"/>
    <col min="2" max="2" width="43.44140625" style="3" customWidth="1"/>
    <col min="3" max="3" width="27.33203125" style="3" bestFit="1" customWidth="1"/>
    <col min="4" max="4" width="32.21875" style="3" customWidth="1"/>
    <col min="5" max="5" width="10.109375" style="3" customWidth="1"/>
    <col min="6" max="6" width="15.44140625" style="3" customWidth="1"/>
    <col min="7" max="7" width="37.5546875" style="3" bestFit="1"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11" t="s">
        <v>50</v>
      </c>
    </row>
    <row r="5" spans="2:14">
      <c r="B5" s="8" t="s">
        <v>39</v>
      </c>
      <c r="C5" s="9" t="s">
        <v>1323</v>
      </c>
      <c r="D5" s="10" t="s">
        <v>1325</v>
      </c>
      <c r="E5" s="12" t="s">
        <v>1259</v>
      </c>
      <c r="F5" s="17"/>
      <c r="G5" s="12"/>
      <c r="H5" s="12"/>
      <c r="N5" s="3"/>
    </row>
    <row r="6" spans="2:14">
      <c r="B6" s="6"/>
      <c r="C6" s="6"/>
      <c r="D6" s="6"/>
      <c r="E6" s="6"/>
      <c r="F6" s="18"/>
      <c r="G6" s="18"/>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1156</v>
      </c>
      <c r="D9" s="10" t="s">
        <v>1239</v>
      </c>
      <c r="E9" s="12" t="s">
        <v>58</v>
      </c>
      <c r="F9" s="19"/>
      <c r="G9" s="19"/>
      <c r="H9" s="20" t="s">
        <v>30</v>
      </c>
    </row>
    <row r="11" spans="2:14">
      <c r="B11" s="3" t="s">
        <v>59</v>
      </c>
    </row>
    <row r="12" spans="2:14">
      <c r="B12" s="122" t="s">
        <v>59</v>
      </c>
      <c r="C12" s="122"/>
      <c r="D12" s="122"/>
      <c r="E12" s="122"/>
      <c r="F12" s="122"/>
      <c r="G12" s="122"/>
      <c r="H12" s="122"/>
      <c r="I12" s="122"/>
      <c r="J12" s="122"/>
      <c r="K12" s="122"/>
      <c r="L12" s="122"/>
    </row>
    <row r="13" spans="2:14">
      <c r="B13" s="7" t="s">
        <v>60</v>
      </c>
      <c r="C13" s="7" t="s">
        <v>61</v>
      </c>
      <c r="D13" s="7" t="s">
        <v>62</v>
      </c>
      <c r="E13" s="7" t="s">
        <v>63</v>
      </c>
      <c r="F13" s="11" t="s">
        <v>64</v>
      </c>
      <c r="G13" s="11" t="s">
        <v>65</v>
      </c>
      <c r="H13" s="11" t="s">
        <v>66</v>
      </c>
      <c r="I13" s="7" t="s">
        <v>24</v>
      </c>
      <c r="J13" s="7" t="s">
        <v>67</v>
      </c>
      <c r="K13" s="7" t="s">
        <v>68</v>
      </c>
      <c r="L13" s="7" t="s">
        <v>69</v>
      </c>
    </row>
    <row r="14" spans="2:14" s="1" customFormat="1">
      <c r="B14" s="13" t="s">
        <v>70</v>
      </c>
      <c r="C14" s="13" t="s">
        <v>71</v>
      </c>
      <c r="D14" s="9" t="s">
        <v>72</v>
      </c>
      <c r="E14" s="21" t="s">
        <v>58</v>
      </c>
      <c r="F14" s="19" t="s">
        <v>0</v>
      </c>
      <c r="G14" s="22" t="s">
        <v>73</v>
      </c>
      <c r="H14" s="71"/>
      <c r="I14" s="25"/>
      <c r="J14" s="25" t="s">
        <v>3</v>
      </c>
      <c r="K14" s="25" t="s">
        <v>74</v>
      </c>
      <c r="L14" s="25" t="s">
        <v>74</v>
      </c>
    </row>
    <row r="15" spans="2:14" s="1" customFormat="1">
      <c r="B15" s="13" t="s">
        <v>654</v>
      </c>
      <c r="C15" s="13" t="s">
        <v>71</v>
      </c>
      <c r="D15" s="9" t="s">
        <v>1051</v>
      </c>
      <c r="E15" s="21" t="s">
        <v>58</v>
      </c>
      <c r="F15" s="27" t="s">
        <v>654</v>
      </c>
      <c r="G15" s="22" t="s">
        <v>73</v>
      </c>
      <c r="H15" s="71"/>
      <c r="I15" s="25"/>
      <c r="J15" s="25" t="s">
        <v>3</v>
      </c>
      <c r="K15" s="25" t="s">
        <v>74</v>
      </c>
      <c r="L15" s="25" t="s">
        <v>74</v>
      </c>
    </row>
    <row r="16" spans="2:14" s="1" customFormat="1">
      <c r="B16" s="13" t="s">
        <v>81</v>
      </c>
      <c r="C16" s="13" t="s">
        <v>75</v>
      </c>
      <c r="D16" s="9" t="s">
        <v>109</v>
      </c>
      <c r="E16" s="21" t="s">
        <v>58</v>
      </c>
      <c r="F16" s="19" t="s">
        <v>81</v>
      </c>
      <c r="G16" s="22" t="s">
        <v>73</v>
      </c>
      <c r="H16" s="71"/>
      <c r="I16" s="25"/>
      <c r="J16" s="25" t="s">
        <v>3</v>
      </c>
      <c r="K16" s="25" t="s">
        <v>74</v>
      </c>
      <c r="L16" s="25" t="s">
        <v>74</v>
      </c>
    </row>
    <row r="17" spans="2:12" s="1" customFormat="1">
      <c r="B17" s="13" t="s">
        <v>85</v>
      </c>
      <c r="C17" s="13" t="s">
        <v>71</v>
      </c>
      <c r="D17" s="9" t="s">
        <v>111</v>
      </c>
      <c r="E17" s="21" t="s">
        <v>58</v>
      </c>
      <c r="F17" s="19" t="s">
        <v>85</v>
      </c>
      <c r="G17" s="22" t="s">
        <v>73</v>
      </c>
      <c r="H17" s="71"/>
      <c r="I17" s="25"/>
      <c r="J17" s="25" t="s">
        <v>3</v>
      </c>
      <c r="K17" s="25" t="s">
        <v>74</v>
      </c>
      <c r="L17" s="25" t="s">
        <v>74</v>
      </c>
    </row>
    <row r="18" spans="2:12" s="1" customFormat="1">
      <c r="B18" s="13" t="s">
        <v>82</v>
      </c>
      <c r="C18" s="13" t="s">
        <v>75</v>
      </c>
      <c r="D18" s="9" t="s">
        <v>110</v>
      </c>
      <c r="E18" s="21" t="s">
        <v>58</v>
      </c>
      <c r="F18" s="19" t="s">
        <v>82</v>
      </c>
      <c r="G18" s="22" t="s">
        <v>73</v>
      </c>
      <c r="H18" s="71"/>
      <c r="I18" s="25"/>
      <c r="J18" s="25" t="s">
        <v>3</v>
      </c>
      <c r="K18" s="25" t="s">
        <v>74</v>
      </c>
      <c r="L18" s="25" t="s">
        <v>74</v>
      </c>
    </row>
    <row r="19" spans="2:12" s="1" customFormat="1">
      <c r="B19" s="13" t="s">
        <v>87</v>
      </c>
      <c r="C19" s="13" t="s">
        <v>71</v>
      </c>
      <c r="D19" s="9" t="s">
        <v>88</v>
      </c>
      <c r="E19" s="21" t="s">
        <v>58</v>
      </c>
      <c r="F19" s="19" t="s">
        <v>87</v>
      </c>
      <c r="G19" s="22" t="s">
        <v>73</v>
      </c>
      <c r="H19" s="71"/>
      <c r="I19" s="25"/>
      <c r="J19" s="25" t="s">
        <v>3</v>
      </c>
      <c r="K19" s="25" t="s">
        <v>74</v>
      </c>
      <c r="L19" s="25" t="s">
        <v>74</v>
      </c>
    </row>
    <row r="20" spans="2:12" s="1" customFormat="1">
      <c r="B20" s="13" t="s">
        <v>308</v>
      </c>
      <c r="C20" s="13" t="s">
        <v>71</v>
      </c>
      <c r="D20" s="9" t="s">
        <v>170</v>
      </c>
      <c r="E20" s="21" t="s">
        <v>58</v>
      </c>
      <c r="F20" s="19" t="s">
        <v>108</v>
      </c>
      <c r="G20" s="22" t="s">
        <v>73</v>
      </c>
      <c r="H20" s="71"/>
      <c r="I20" s="25"/>
      <c r="J20" s="25" t="s">
        <v>3</v>
      </c>
      <c r="K20" s="25" t="s">
        <v>74</v>
      </c>
      <c r="L20" s="25" t="s">
        <v>74</v>
      </c>
    </row>
    <row r="21" spans="2:12" s="1" customFormat="1">
      <c r="B21" s="13" t="s">
        <v>616</v>
      </c>
      <c r="C21" s="13" t="s">
        <v>71</v>
      </c>
      <c r="D21" s="9" t="s">
        <v>171</v>
      </c>
      <c r="E21" s="21" t="s">
        <v>58</v>
      </c>
      <c r="F21" s="19" t="s">
        <v>123</v>
      </c>
      <c r="G21" s="22" t="s">
        <v>73</v>
      </c>
      <c r="H21" s="71"/>
      <c r="I21" s="25"/>
      <c r="J21" s="25" t="s">
        <v>3</v>
      </c>
      <c r="K21" s="25" t="s">
        <v>74</v>
      </c>
      <c r="L21" s="25" t="s">
        <v>74</v>
      </c>
    </row>
    <row r="22" spans="2:12" s="1" customFormat="1">
      <c r="B22" s="13" t="s">
        <v>94</v>
      </c>
      <c r="C22" s="13" t="s">
        <v>71</v>
      </c>
      <c r="D22" s="9" t="s">
        <v>172</v>
      </c>
      <c r="E22" s="21" t="s">
        <v>58</v>
      </c>
      <c r="F22" s="19" t="s">
        <v>94</v>
      </c>
      <c r="G22" s="22" t="s">
        <v>73</v>
      </c>
      <c r="H22" s="71"/>
      <c r="I22" s="25"/>
      <c r="J22" s="25" t="s">
        <v>3</v>
      </c>
      <c r="K22" s="25" t="s">
        <v>74</v>
      </c>
      <c r="L22" s="25" t="s">
        <v>74</v>
      </c>
    </row>
    <row r="23" spans="2:12" s="1" customFormat="1">
      <c r="B23" s="13" t="s">
        <v>1157</v>
      </c>
      <c r="C23" s="13" t="s">
        <v>75</v>
      </c>
      <c r="D23" s="9" t="s">
        <v>174</v>
      </c>
      <c r="E23" s="21" t="s">
        <v>58</v>
      </c>
      <c r="F23" s="19" t="s">
        <v>173</v>
      </c>
      <c r="G23" s="22" t="s">
        <v>73</v>
      </c>
      <c r="H23" s="71"/>
      <c r="I23" s="25"/>
      <c r="J23" s="25" t="s">
        <v>3</v>
      </c>
      <c r="K23" s="25" t="s">
        <v>74</v>
      </c>
      <c r="L23" s="25" t="s">
        <v>74</v>
      </c>
    </row>
    <row r="24" spans="2:12" s="1" customFormat="1">
      <c r="B24" s="13" t="s">
        <v>96</v>
      </c>
      <c r="C24" s="13" t="s">
        <v>71</v>
      </c>
      <c r="D24" s="9" t="s">
        <v>175</v>
      </c>
      <c r="E24" s="21" t="s">
        <v>58</v>
      </c>
      <c r="F24" s="19" t="s">
        <v>96</v>
      </c>
      <c r="G24" s="22" t="s">
        <v>73</v>
      </c>
      <c r="H24" s="71"/>
      <c r="I24" s="25"/>
      <c r="J24" s="25" t="s">
        <v>3</v>
      </c>
      <c r="K24" s="25" t="s">
        <v>74</v>
      </c>
      <c r="L24" s="25" t="s">
        <v>74</v>
      </c>
    </row>
    <row r="25" spans="2:12" s="1" customFormat="1">
      <c r="B25" s="13" t="s">
        <v>456</v>
      </c>
      <c r="C25" s="13" t="s">
        <v>71</v>
      </c>
      <c r="D25" s="9" t="s">
        <v>520</v>
      </c>
      <c r="E25" s="21" t="s">
        <v>58</v>
      </c>
      <c r="F25" s="19" t="s">
        <v>456</v>
      </c>
      <c r="G25" s="22" t="s">
        <v>73</v>
      </c>
      <c r="H25" s="71"/>
      <c r="I25" s="25"/>
      <c r="J25" s="25" t="s">
        <v>3</v>
      </c>
      <c r="K25" s="25" t="s">
        <v>74</v>
      </c>
      <c r="L25" s="25" t="s">
        <v>74</v>
      </c>
    </row>
    <row r="26" spans="2:12" s="1" customFormat="1">
      <c r="B26" s="13" t="s">
        <v>459</v>
      </c>
      <c r="C26" s="13" t="s">
        <v>71</v>
      </c>
      <c r="D26" s="9" t="s">
        <v>523</v>
      </c>
      <c r="E26" s="21" t="s">
        <v>587</v>
      </c>
      <c r="F26" s="19" t="str">
        <f t="shared" ref="F26" si="0">B26</f>
        <v>ecgi</v>
      </c>
      <c r="G26" s="22" t="s">
        <v>302</v>
      </c>
      <c r="H26" s="71"/>
      <c r="I26" s="25"/>
      <c r="J26" s="25" t="s">
        <v>3</v>
      </c>
      <c r="K26" s="25" t="s">
        <v>74</v>
      </c>
      <c r="L26" s="25" t="s">
        <v>74</v>
      </c>
    </row>
    <row r="27" spans="2:12" s="1" customFormat="1">
      <c r="B27" s="13" t="s">
        <v>307</v>
      </c>
      <c r="C27" s="13" t="s">
        <v>71</v>
      </c>
      <c r="D27" s="9" t="s">
        <v>91</v>
      </c>
      <c r="E27" s="21" t="s">
        <v>58</v>
      </c>
      <c r="F27" s="19" t="s">
        <v>90</v>
      </c>
      <c r="G27" s="22" t="s">
        <v>73</v>
      </c>
      <c r="H27" s="71"/>
      <c r="I27" s="25"/>
      <c r="J27" s="25" t="s">
        <v>3</v>
      </c>
      <c r="K27" s="25" t="s">
        <v>74</v>
      </c>
      <c r="L27" s="25" t="s">
        <v>74</v>
      </c>
    </row>
    <row r="28" spans="2:12" s="1" customFormat="1">
      <c r="B28" s="13" t="s">
        <v>769</v>
      </c>
      <c r="C28" s="13" t="s">
        <v>771</v>
      </c>
      <c r="D28" s="9" t="s">
        <v>768</v>
      </c>
      <c r="E28" s="21" t="s">
        <v>58</v>
      </c>
      <c r="F28" s="19"/>
      <c r="G28" s="84" t="s">
        <v>1328</v>
      </c>
      <c r="H28" s="71"/>
      <c r="I28" s="25"/>
      <c r="J28" s="25" t="s">
        <v>99</v>
      </c>
      <c r="K28" s="25" t="s">
        <v>121</v>
      </c>
      <c r="L28" s="25" t="s">
        <v>100</v>
      </c>
    </row>
    <row r="29" spans="2:12" s="1" customFormat="1">
      <c r="B29" s="13" t="s">
        <v>770</v>
      </c>
      <c r="C29" s="13" t="s">
        <v>771</v>
      </c>
      <c r="D29" s="9" t="s">
        <v>773</v>
      </c>
      <c r="E29" s="21" t="s">
        <v>58</v>
      </c>
      <c r="F29" s="19"/>
      <c r="G29" s="84" t="s">
        <v>1329</v>
      </c>
      <c r="H29" s="71"/>
      <c r="I29" s="25"/>
      <c r="J29" s="25" t="s">
        <v>99</v>
      </c>
      <c r="K29" s="25" t="s">
        <v>121</v>
      </c>
      <c r="L29" s="25" t="s">
        <v>100</v>
      </c>
    </row>
    <row r="30" spans="2:12" s="1" customFormat="1">
      <c r="B30" s="13" t="s">
        <v>774</v>
      </c>
      <c r="C30" s="13" t="s">
        <v>771</v>
      </c>
      <c r="D30" s="9" t="s">
        <v>776</v>
      </c>
      <c r="E30" s="21" t="s">
        <v>58</v>
      </c>
      <c r="F30" s="19"/>
      <c r="G30" s="84" t="s">
        <v>1330</v>
      </c>
      <c r="H30" s="71"/>
      <c r="I30" s="25"/>
      <c r="J30" s="25" t="s">
        <v>99</v>
      </c>
      <c r="K30" s="25" t="s">
        <v>121</v>
      </c>
      <c r="L30" s="25" t="s">
        <v>100</v>
      </c>
    </row>
    <row r="31" spans="2:12" s="1" customFormat="1">
      <c r="B31" s="13" t="s">
        <v>775</v>
      </c>
      <c r="C31" s="13" t="s">
        <v>771</v>
      </c>
      <c r="D31" s="9" t="s">
        <v>777</v>
      </c>
      <c r="E31" s="21" t="s">
        <v>58</v>
      </c>
      <c r="F31" s="19"/>
      <c r="G31" s="84" t="s">
        <v>1331</v>
      </c>
      <c r="H31" s="71"/>
      <c r="I31" s="25"/>
      <c r="J31" s="25" t="s">
        <v>99</v>
      </c>
      <c r="K31" s="25" t="s">
        <v>121</v>
      </c>
      <c r="L31" s="25" t="s">
        <v>100</v>
      </c>
    </row>
    <row r="32" spans="2:12" s="1" customFormat="1">
      <c r="B32" s="13" t="s">
        <v>779</v>
      </c>
      <c r="C32" s="13" t="s">
        <v>771</v>
      </c>
      <c r="D32" s="9" t="s">
        <v>783</v>
      </c>
      <c r="E32" s="21" t="s">
        <v>58</v>
      </c>
      <c r="F32" s="19"/>
      <c r="G32" s="84" t="s">
        <v>1332</v>
      </c>
      <c r="H32" s="71"/>
      <c r="I32" s="25"/>
      <c r="J32" s="25" t="s">
        <v>99</v>
      </c>
      <c r="K32" s="25" t="s">
        <v>121</v>
      </c>
      <c r="L32" s="25" t="s">
        <v>100</v>
      </c>
    </row>
    <row r="33" spans="2:12" s="1" customFormat="1">
      <c r="B33" s="13" t="s">
        <v>780</v>
      </c>
      <c r="C33" s="13" t="s">
        <v>771</v>
      </c>
      <c r="D33" s="9" t="s">
        <v>784</v>
      </c>
      <c r="E33" s="21" t="s">
        <v>58</v>
      </c>
      <c r="F33" s="19"/>
      <c r="G33" s="84" t="s">
        <v>1333</v>
      </c>
      <c r="H33" s="71"/>
      <c r="I33" s="25"/>
      <c r="J33" s="25" t="s">
        <v>99</v>
      </c>
      <c r="K33" s="25" t="s">
        <v>121</v>
      </c>
      <c r="L33" s="25" t="s">
        <v>100</v>
      </c>
    </row>
    <row r="34" spans="2:12" s="1" customFormat="1">
      <c r="B34" s="13" t="s">
        <v>781</v>
      </c>
      <c r="C34" s="13" t="s">
        <v>771</v>
      </c>
      <c r="D34" s="9" t="s">
        <v>785</v>
      </c>
      <c r="E34" s="21" t="s">
        <v>58</v>
      </c>
      <c r="F34" s="19"/>
      <c r="G34" s="84" t="s">
        <v>1334</v>
      </c>
      <c r="H34" s="71"/>
      <c r="I34" s="25"/>
      <c r="J34" s="25" t="s">
        <v>99</v>
      </c>
      <c r="K34" s="25" t="s">
        <v>121</v>
      </c>
      <c r="L34" s="25" t="s">
        <v>100</v>
      </c>
    </row>
    <row r="35" spans="2:12" s="1" customFormat="1">
      <c r="B35" s="13" t="s">
        <v>782</v>
      </c>
      <c r="C35" s="13" t="s">
        <v>771</v>
      </c>
      <c r="D35" s="9" t="s">
        <v>786</v>
      </c>
      <c r="E35" s="21" t="s">
        <v>58</v>
      </c>
      <c r="F35" s="19"/>
      <c r="G35" s="84" t="s">
        <v>1335</v>
      </c>
      <c r="H35" s="71"/>
      <c r="I35" s="25"/>
      <c r="J35" s="25" t="s">
        <v>99</v>
      </c>
      <c r="K35" s="25" t="s">
        <v>121</v>
      </c>
      <c r="L35" s="25" t="s">
        <v>100</v>
      </c>
    </row>
    <row r="36" spans="2:12" s="1" customFormat="1">
      <c r="B36" s="13" t="s">
        <v>792</v>
      </c>
      <c r="C36" s="13" t="s">
        <v>771</v>
      </c>
      <c r="D36" s="9" t="s">
        <v>733</v>
      </c>
      <c r="E36" s="21" t="s">
        <v>58</v>
      </c>
      <c r="F36" s="19"/>
      <c r="G36" s="84" t="s">
        <v>1336</v>
      </c>
      <c r="H36" s="71"/>
      <c r="I36" s="25"/>
      <c r="J36" s="25" t="s">
        <v>99</v>
      </c>
      <c r="K36" s="25" t="s">
        <v>121</v>
      </c>
      <c r="L36" s="25" t="s">
        <v>100</v>
      </c>
    </row>
    <row r="37" spans="2:12" s="1" customFormat="1">
      <c r="B37" s="13" t="s">
        <v>793</v>
      </c>
      <c r="C37" s="13" t="s">
        <v>771</v>
      </c>
      <c r="D37" s="9" t="s">
        <v>734</v>
      </c>
      <c r="E37" s="21" t="s">
        <v>58</v>
      </c>
      <c r="F37" s="19"/>
      <c r="G37" s="84" t="s">
        <v>1337</v>
      </c>
      <c r="H37" s="71"/>
      <c r="I37" s="25"/>
      <c r="J37" s="25" t="s">
        <v>99</v>
      </c>
      <c r="K37" s="25" t="s">
        <v>121</v>
      </c>
      <c r="L37" s="25" t="s">
        <v>100</v>
      </c>
    </row>
    <row r="38" spans="2:12" s="1" customFormat="1">
      <c r="B38" s="13" t="s">
        <v>794</v>
      </c>
      <c r="C38" s="13" t="s">
        <v>771</v>
      </c>
      <c r="D38" s="9" t="s">
        <v>735</v>
      </c>
      <c r="E38" s="21" t="s">
        <v>58</v>
      </c>
      <c r="F38" s="19"/>
      <c r="G38" s="84" t="s">
        <v>1338</v>
      </c>
      <c r="H38" s="71"/>
      <c r="I38" s="25"/>
      <c r="J38" s="25" t="s">
        <v>99</v>
      </c>
      <c r="K38" s="25" t="s">
        <v>121</v>
      </c>
      <c r="L38" s="25" t="s">
        <v>100</v>
      </c>
    </row>
    <row r="39" spans="2:12" s="1" customFormat="1">
      <c r="B39" s="13" t="s">
        <v>795</v>
      </c>
      <c r="C39" s="13" t="s">
        <v>771</v>
      </c>
      <c r="D39" s="9" t="s">
        <v>736</v>
      </c>
      <c r="E39" s="21" t="s">
        <v>58</v>
      </c>
      <c r="F39" s="19"/>
      <c r="G39" s="84" t="s">
        <v>1339</v>
      </c>
      <c r="H39" s="71"/>
      <c r="I39" s="25"/>
      <c r="J39" s="25" t="s">
        <v>99</v>
      </c>
      <c r="K39" s="25" t="s">
        <v>121</v>
      </c>
      <c r="L39" s="25" t="s">
        <v>100</v>
      </c>
    </row>
    <row r="40" spans="2:12" s="1" customFormat="1">
      <c r="B40" s="13" t="s">
        <v>801</v>
      </c>
      <c r="C40" s="13" t="s">
        <v>771</v>
      </c>
      <c r="D40" s="9" t="s">
        <v>695</v>
      </c>
      <c r="E40" s="21" t="s">
        <v>58</v>
      </c>
      <c r="F40" s="19"/>
      <c r="G40" s="84" t="s">
        <v>1340</v>
      </c>
      <c r="H40" s="71"/>
      <c r="I40" s="25"/>
      <c r="J40" s="25" t="s">
        <v>99</v>
      </c>
      <c r="K40" s="25" t="s">
        <v>121</v>
      </c>
      <c r="L40" s="25" t="s">
        <v>100</v>
      </c>
    </row>
    <row r="41" spans="2:12" s="1" customFormat="1">
      <c r="B41" s="13" t="s">
        <v>802</v>
      </c>
      <c r="C41" s="13" t="s">
        <v>771</v>
      </c>
      <c r="D41" s="9" t="s">
        <v>282</v>
      </c>
      <c r="E41" s="21" t="s">
        <v>58</v>
      </c>
      <c r="F41" s="19"/>
      <c r="G41" s="84" t="s">
        <v>1341</v>
      </c>
      <c r="H41" s="71"/>
      <c r="I41" s="25"/>
      <c r="J41" s="25" t="s">
        <v>99</v>
      </c>
      <c r="K41" s="25" t="s">
        <v>121</v>
      </c>
      <c r="L41" s="25" t="s">
        <v>100</v>
      </c>
    </row>
    <row r="42" spans="2:12" s="1" customFormat="1">
      <c r="B42" s="13" t="s">
        <v>803</v>
      </c>
      <c r="C42" s="13" t="s">
        <v>771</v>
      </c>
      <c r="D42" s="9" t="s">
        <v>283</v>
      </c>
      <c r="E42" s="21" t="s">
        <v>58</v>
      </c>
      <c r="F42" s="19"/>
      <c r="G42" s="84" t="s">
        <v>1342</v>
      </c>
      <c r="H42" s="71"/>
      <c r="I42" s="25"/>
      <c r="J42" s="25" t="s">
        <v>99</v>
      </c>
      <c r="K42" s="25" t="s">
        <v>121</v>
      </c>
      <c r="L42" s="25" t="s">
        <v>100</v>
      </c>
    </row>
    <row r="43" spans="2:12" s="1" customFormat="1">
      <c r="B43" s="13" t="s">
        <v>804</v>
      </c>
      <c r="C43" s="13" t="s">
        <v>771</v>
      </c>
      <c r="D43" s="9" t="s">
        <v>284</v>
      </c>
      <c r="E43" s="21" t="s">
        <v>58</v>
      </c>
      <c r="F43" s="19"/>
      <c r="G43" s="84" t="s">
        <v>1343</v>
      </c>
      <c r="H43" s="71"/>
      <c r="I43" s="25"/>
      <c r="J43" s="25" t="s">
        <v>99</v>
      </c>
      <c r="K43" s="25" t="s">
        <v>121</v>
      </c>
      <c r="L43" s="25" t="s">
        <v>100</v>
      </c>
    </row>
    <row r="44" spans="2:12" s="1" customFormat="1">
      <c r="B44" s="13" t="s">
        <v>809</v>
      </c>
      <c r="C44" s="13" t="s">
        <v>771</v>
      </c>
      <c r="D44" s="9" t="s">
        <v>813</v>
      </c>
      <c r="E44" s="21" t="s">
        <v>58</v>
      </c>
      <c r="F44" s="19"/>
      <c r="G44" s="84" t="s">
        <v>1344</v>
      </c>
      <c r="H44" s="71"/>
      <c r="I44" s="25"/>
      <c r="J44" s="25" t="s">
        <v>99</v>
      </c>
      <c r="K44" s="25" t="s">
        <v>121</v>
      </c>
      <c r="L44" s="25" t="s">
        <v>100</v>
      </c>
    </row>
    <row r="45" spans="2:12" s="1" customFormat="1">
      <c r="B45" s="13" t="s">
        <v>810</v>
      </c>
      <c r="C45" s="13" t="s">
        <v>771</v>
      </c>
      <c r="D45" s="9" t="s">
        <v>814</v>
      </c>
      <c r="E45" s="21" t="s">
        <v>58</v>
      </c>
      <c r="F45" s="19"/>
      <c r="G45" s="84" t="s">
        <v>1345</v>
      </c>
      <c r="H45" s="71"/>
      <c r="I45" s="25"/>
      <c r="J45" s="25" t="s">
        <v>99</v>
      </c>
      <c r="K45" s="25" t="s">
        <v>121</v>
      </c>
      <c r="L45" s="25" t="s">
        <v>100</v>
      </c>
    </row>
    <row r="46" spans="2:12" s="1" customFormat="1">
      <c r="B46" s="13" t="s">
        <v>811</v>
      </c>
      <c r="C46" s="13" t="s">
        <v>771</v>
      </c>
      <c r="D46" s="9" t="s">
        <v>815</v>
      </c>
      <c r="E46" s="21" t="s">
        <v>58</v>
      </c>
      <c r="F46" s="19"/>
      <c r="G46" s="84" t="s">
        <v>1346</v>
      </c>
      <c r="H46" s="71"/>
      <c r="I46" s="25"/>
      <c r="J46" s="25" t="s">
        <v>99</v>
      </c>
      <c r="K46" s="25" t="s">
        <v>121</v>
      </c>
      <c r="L46" s="25" t="s">
        <v>100</v>
      </c>
    </row>
    <row r="47" spans="2:12" s="1" customFormat="1">
      <c r="B47" s="13" t="s">
        <v>812</v>
      </c>
      <c r="C47" s="13" t="s">
        <v>771</v>
      </c>
      <c r="D47" s="9" t="s">
        <v>816</v>
      </c>
      <c r="E47" s="21" t="s">
        <v>58</v>
      </c>
      <c r="F47" s="19"/>
      <c r="G47" s="84" t="s">
        <v>1347</v>
      </c>
      <c r="H47" s="71"/>
      <c r="I47" s="25"/>
      <c r="J47" s="25" t="s">
        <v>99</v>
      </c>
      <c r="K47" s="25" t="s">
        <v>121</v>
      </c>
      <c r="L47" s="25" t="s">
        <v>100</v>
      </c>
    </row>
    <row r="48" spans="2:12" s="1" customFormat="1">
      <c r="B48" s="13" t="s">
        <v>821</v>
      </c>
      <c r="C48" s="13" t="s">
        <v>771</v>
      </c>
      <c r="D48" s="9" t="s">
        <v>696</v>
      </c>
      <c r="E48" s="21" t="s">
        <v>58</v>
      </c>
      <c r="F48" s="19"/>
      <c r="G48" s="84" t="s">
        <v>1348</v>
      </c>
      <c r="H48" s="71"/>
      <c r="I48" s="25"/>
      <c r="J48" s="25" t="s">
        <v>99</v>
      </c>
      <c r="K48" s="25" t="s">
        <v>121</v>
      </c>
      <c r="L48" s="25" t="s">
        <v>100</v>
      </c>
    </row>
    <row r="49" spans="2:12" s="1" customFormat="1">
      <c r="B49" s="13" t="s">
        <v>1125</v>
      </c>
      <c r="C49" s="13" t="s">
        <v>771</v>
      </c>
      <c r="D49" s="9" t="s">
        <v>697</v>
      </c>
      <c r="E49" s="21" t="s">
        <v>58</v>
      </c>
      <c r="F49" s="19"/>
      <c r="G49" s="84" t="s">
        <v>1349</v>
      </c>
      <c r="H49" s="71"/>
      <c r="I49" s="25"/>
      <c r="J49" s="25" t="s">
        <v>99</v>
      </c>
      <c r="K49" s="25" t="s">
        <v>121</v>
      </c>
      <c r="L49" s="25" t="s">
        <v>100</v>
      </c>
    </row>
    <row r="50" spans="2:12" s="1" customFormat="1">
      <c r="B50" s="13" t="s">
        <v>1126</v>
      </c>
      <c r="C50" s="13" t="s">
        <v>771</v>
      </c>
      <c r="D50" s="9" t="s">
        <v>698</v>
      </c>
      <c r="E50" s="21" t="s">
        <v>58</v>
      </c>
      <c r="F50" s="19"/>
      <c r="G50" s="84" t="s">
        <v>1350</v>
      </c>
      <c r="H50" s="71"/>
      <c r="I50" s="25"/>
      <c r="J50" s="25" t="s">
        <v>99</v>
      </c>
      <c r="K50" s="25" t="s">
        <v>121</v>
      </c>
      <c r="L50" s="25" t="s">
        <v>100</v>
      </c>
    </row>
    <row r="51" spans="2:12" s="1" customFormat="1">
      <c r="B51" s="13" t="s">
        <v>822</v>
      </c>
      <c r="C51" s="13" t="s">
        <v>771</v>
      </c>
      <c r="D51" s="9" t="s">
        <v>699</v>
      </c>
      <c r="E51" s="21" t="s">
        <v>58</v>
      </c>
      <c r="F51" s="19"/>
      <c r="G51" s="84" t="s">
        <v>1351</v>
      </c>
      <c r="H51" s="71"/>
      <c r="I51" s="25"/>
      <c r="J51" s="25" t="s">
        <v>99</v>
      </c>
      <c r="K51" s="25" t="s">
        <v>121</v>
      </c>
      <c r="L51" s="25" t="s">
        <v>100</v>
      </c>
    </row>
    <row r="52" spans="2:12" s="1" customFormat="1">
      <c r="B52" s="13" t="s">
        <v>1293</v>
      </c>
      <c r="C52" s="13" t="s">
        <v>771</v>
      </c>
      <c r="D52" s="9" t="s">
        <v>1298</v>
      </c>
      <c r="E52" s="21" t="s">
        <v>58</v>
      </c>
      <c r="F52" s="19"/>
      <c r="G52" s="84" t="s">
        <v>1352</v>
      </c>
      <c r="H52" s="71"/>
      <c r="I52" s="25"/>
      <c r="J52" s="25" t="s">
        <v>99</v>
      </c>
      <c r="K52" s="25" t="s">
        <v>121</v>
      </c>
      <c r="L52" s="25" t="s">
        <v>100</v>
      </c>
    </row>
    <row r="53" spans="2:12" s="1" customFormat="1">
      <c r="B53" s="13" t="s">
        <v>1294</v>
      </c>
      <c r="C53" s="13" t="s">
        <v>771</v>
      </c>
      <c r="D53" s="9" t="s">
        <v>1299</v>
      </c>
      <c r="E53" s="21" t="s">
        <v>58</v>
      </c>
      <c r="F53" s="19"/>
      <c r="G53" s="84" t="s">
        <v>1353</v>
      </c>
      <c r="H53" s="71"/>
      <c r="I53" s="25"/>
      <c r="J53" s="25" t="s">
        <v>99</v>
      </c>
      <c r="K53" s="25" t="s">
        <v>121</v>
      </c>
      <c r="L53" s="25" t="s">
        <v>100</v>
      </c>
    </row>
    <row r="54" spans="2:12" s="1" customFormat="1">
      <c r="B54" s="13" t="s">
        <v>1295</v>
      </c>
      <c r="C54" s="13" t="s">
        <v>771</v>
      </c>
      <c r="D54" s="9" t="s">
        <v>1300</v>
      </c>
      <c r="E54" s="21" t="s">
        <v>58</v>
      </c>
      <c r="F54" s="19"/>
      <c r="G54" s="84" t="s">
        <v>1354</v>
      </c>
      <c r="H54" s="71"/>
      <c r="I54" s="25"/>
      <c r="J54" s="25" t="s">
        <v>99</v>
      </c>
      <c r="K54" s="25" t="s">
        <v>121</v>
      </c>
      <c r="L54" s="25" t="s">
        <v>100</v>
      </c>
    </row>
    <row r="55" spans="2:12" s="1" customFormat="1">
      <c r="B55" s="13" t="s">
        <v>1296</v>
      </c>
      <c r="C55" s="13" t="s">
        <v>771</v>
      </c>
      <c r="D55" s="9" t="s">
        <v>1301</v>
      </c>
      <c r="E55" s="21" t="s">
        <v>58</v>
      </c>
      <c r="F55" s="19"/>
      <c r="G55" s="84" t="s">
        <v>1355</v>
      </c>
      <c r="H55" s="71"/>
      <c r="I55" s="25"/>
      <c r="J55" s="25" t="s">
        <v>99</v>
      </c>
      <c r="K55" s="25" t="s">
        <v>121</v>
      </c>
      <c r="L55" s="25" t="s">
        <v>100</v>
      </c>
    </row>
    <row r="56" spans="2:12" s="1" customFormat="1">
      <c r="B56" s="13" t="s">
        <v>835</v>
      </c>
      <c r="C56" s="13" t="s">
        <v>771</v>
      </c>
      <c r="D56" s="9" t="s">
        <v>840</v>
      </c>
      <c r="E56" s="21" t="s">
        <v>58</v>
      </c>
      <c r="F56" s="19"/>
      <c r="G56" s="84" t="s">
        <v>1356</v>
      </c>
      <c r="H56" s="71"/>
      <c r="I56" s="25"/>
      <c r="J56" s="25" t="s">
        <v>99</v>
      </c>
      <c r="K56" s="25" t="s">
        <v>121</v>
      </c>
      <c r="L56" s="25" t="s">
        <v>100</v>
      </c>
    </row>
    <row r="57" spans="2:12" s="1" customFormat="1">
      <c r="B57" s="13" t="s">
        <v>1127</v>
      </c>
      <c r="C57" s="13" t="s">
        <v>771</v>
      </c>
      <c r="D57" s="9" t="s">
        <v>837</v>
      </c>
      <c r="E57" s="21" t="s">
        <v>58</v>
      </c>
      <c r="F57" s="19"/>
      <c r="G57" s="84" t="s">
        <v>1357</v>
      </c>
      <c r="H57" s="71"/>
      <c r="I57" s="25"/>
      <c r="J57" s="25" t="s">
        <v>99</v>
      </c>
      <c r="K57" s="25" t="s">
        <v>121</v>
      </c>
      <c r="L57" s="25" t="s">
        <v>100</v>
      </c>
    </row>
    <row r="58" spans="2:12" s="1" customFormat="1">
      <c r="B58" s="13" t="s">
        <v>1128</v>
      </c>
      <c r="C58" s="13" t="s">
        <v>771</v>
      </c>
      <c r="D58" s="9" t="s">
        <v>838</v>
      </c>
      <c r="E58" s="21" t="s">
        <v>58</v>
      </c>
      <c r="F58" s="19"/>
      <c r="G58" s="84" t="s">
        <v>1358</v>
      </c>
      <c r="H58" s="71"/>
      <c r="I58" s="25"/>
      <c r="J58" s="25" t="s">
        <v>99</v>
      </c>
      <c r="K58" s="25" t="s">
        <v>121</v>
      </c>
      <c r="L58" s="25" t="s">
        <v>100</v>
      </c>
    </row>
    <row r="59" spans="2:12" s="1" customFormat="1">
      <c r="B59" s="13" t="s">
        <v>836</v>
      </c>
      <c r="C59" s="13" t="s">
        <v>771</v>
      </c>
      <c r="D59" s="9" t="s">
        <v>839</v>
      </c>
      <c r="E59" s="21" t="s">
        <v>58</v>
      </c>
      <c r="F59" s="19"/>
      <c r="G59" s="84" t="s">
        <v>1359</v>
      </c>
      <c r="H59" s="71"/>
      <c r="I59" s="25"/>
      <c r="J59" s="25" t="s">
        <v>99</v>
      </c>
      <c r="K59" s="25" t="s">
        <v>121</v>
      </c>
      <c r="L59" s="25" t="s">
        <v>100</v>
      </c>
    </row>
    <row r="60" spans="2:12" s="1" customFormat="1">
      <c r="B60" s="13" t="s">
        <v>1227</v>
      </c>
      <c r="C60" s="13" t="s">
        <v>771</v>
      </c>
      <c r="D60" s="9" t="s">
        <v>850</v>
      </c>
      <c r="E60" s="21" t="s">
        <v>58</v>
      </c>
      <c r="F60" s="19"/>
      <c r="G60" s="84" t="s">
        <v>1360</v>
      </c>
      <c r="H60" s="71"/>
      <c r="I60" s="25"/>
      <c r="J60" s="25" t="s">
        <v>99</v>
      </c>
      <c r="K60" s="25" t="s">
        <v>121</v>
      </c>
      <c r="L60" s="25" t="s">
        <v>100</v>
      </c>
    </row>
    <row r="61" spans="2:12" s="1" customFormat="1">
      <c r="B61" s="13" t="s">
        <v>1132</v>
      </c>
      <c r="C61" s="13" t="s">
        <v>771</v>
      </c>
      <c r="D61" s="9" t="s">
        <v>851</v>
      </c>
      <c r="E61" s="21" t="s">
        <v>58</v>
      </c>
      <c r="F61" s="19"/>
      <c r="G61" s="84" t="s">
        <v>1361</v>
      </c>
      <c r="H61" s="71"/>
      <c r="I61" s="25"/>
      <c r="J61" s="25" t="s">
        <v>99</v>
      </c>
      <c r="K61" s="25" t="s">
        <v>121</v>
      </c>
      <c r="L61" s="25" t="s">
        <v>100</v>
      </c>
    </row>
    <row r="62" spans="2:12" s="1" customFormat="1">
      <c r="B62" s="13" t="s">
        <v>848</v>
      </c>
      <c r="C62" s="13" t="s">
        <v>771</v>
      </c>
      <c r="D62" s="9" t="s">
        <v>852</v>
      </c>
      <c r="E62" s="21" t="s">
        <v>58</v>
      </c>
      <c r="F62" s="19"/>
      <c r="G62" s="84" t="s">
        <v>1362</v>
      </c>
      <c r="H62" s="71"/>
      <c r="I62" s="25"/>
      <c r="J62" s="25" t="s">
        <v>99</v>
      </c>
      <c r="K62" s="25" t="s">
        <v>121</v>
      </c>
      <c r="L62" s="25" t="s">
        <v>100</v>
      </c>
    </row>
    <row r="63" spans="2:12" s="1" customFormat="1">
      <c r="B63" s="13" t="s">
        <v>849</v>
      </c>
      <c r="C63" s="13" t="s">
        <v>771</v>
      </c>
      <c r="D63" s="9" t="s">
        <v>853</v>
      </c>
      <c r="E63" s="21" t="s">
        <v>58</v>
      </c>
      <c r="F63" s="19"/>
      <c r="G63" s="84" t="s">
        <v>1363</v>
      </c>
      <c r="H63" s="71"/>
      <c r="I63" s="25"/>
      <c r="J63" s="25" t="s">
        <v>99</v>
      </c>
      <c r="K63" s="25" t="s">
        <v>121</v>
      </c>
      <c r="L63" s="25" t="s">
        <v>100</v>
      </c>
    </row>
    <row r="64" spans="2:12" s="1" customFormat="1">
      <c r="B64" s="13" t="s">
        <v>1228</v>
      </c>
      <c r="C64" s="13" t="s">
        <v>771</v>
      </c>
      <c r="D64" s="9" t="s">
        <v>860</v>
      </c>
      <c r="E64" s="21" t="s">
        <v>58</v>
      </c>
      <c r="F64" s="19"/>
      <c r="G64" s="84" t="s">
        <v>1364</v>
      </c>
      <c r="H64" s="71"/>
      <c r="I64" s="25"/>
      <c r="J64" s="25" t="s">
        <v>99</v>
      </c>
      <c r="K64" s="25" t="s">
        <v>121</v>
      </c>
      <c r="L64" s="25" t="s">
        <v>100</v>
      </c>
    </row>
    <row r="65" spans="2:12" s="1" customFormat="1">
      <c r="B65" s="13" t="s">
        <v>1133</v>
      </c>
      <c r="C65" s="13" t="s">
        <v>771</v>
      </c>
      <c r="D65" s="9" t="s">
        <v>861</v>
      </c>
      <c r="E65" s="21" t="s">
        <v>58</v>
      </c>
      <c r="F65" s="19"/>
      <c r="G65" s="84" t="s">
        <v>1365</v>
      </c>
      <c r="H65" s="71"/>
      <c r="I65" s="25"/>
      <c r="J65" s="25" t="s">
        <v>99</v>
      </c>
      <c r="K65" s="25" t="s">
        <v>121</v>
      </c>
      <c r="L65" s="25" t="s">
        <v>100</v>
      </c>
    </row>
    <row r="66" spans="2:12" s="1" customFormat="1">
      <c r="B66" s="13" t="s">
        <v>858</v>
      </c>
      <c r="C66" s="13" t="s">
        <v>771</v>
      </c>
      <c r="D66" s="9" t="s">
        <v>862</v>
      </c>
      <c r="E66" s="21" t="s">
        <v>58</v>
      </c>
      <c r="F66" s="19"/>
      <c r="G66" s="84" t="s">
        <v>1366</v>
      </c>
      <c r="H66" s="71"/>
      <c r="I66" s="25"/>
      <c r="J66" s="25" t="s">
        <v>99</v>
      </c>
      <c r="K66" s="25" t="s">
        <v>121</v>
      </c>
      <c r="L66" s="25" t="s">
        <v>100</v>
      </c>
    </row>
    <row r="67" spans="2:12" s="1" customFormat="1">
      <c r="B67" s="13" t="s">
        <v>859</v>
      </c>
      <c r="C67" s="13" t="s">
        <v>771</v>
      </c>
      <c r="D67" s="9" t="s">
        <v>863</v>
      </c>
      <c r="E67" s="21" t="s">
        <v>58</v>
      </c>
      <c r="F67" s="19"/>
      <c r="G67" s="84" t="s">
        <v>1367</v>
      </c>
      <c r="H67" s="71"/>
      <c r="I67" s="25"/>
      <c r="J67" s="25" t="s">
        <v>99</v>
      </c>
      <c r="K67" s="25" t="s">
        <v>121</v>
      </c>
      <c r="L67" s="25" t="s">
        <v>100</v>
      </c>
    </row>
    <row r="68" spans="2:12" s="1" customFormat="1">
      <c r="B68" s="13" t="s">
        <v>871</v>
      </c>
      <c r="C68" s="13" t="s">
        <v>771</v>
      </c>
      <c r="D68" s="9" t="s">
        <v>872</v>
      </c>
      <c r="E68" s="21" t="s">
        <v>58</v>
      </c>
      <c r="F68" s="19"/>
      <c r="G68" s="84" t="s">
        <v>1368</v>
      </c>
      <c r="H68" s="71"/>
      <c r="I68" s="25"/>
      <c r="J68" s="25" t="s">
        <v>99</v>
      </c>
      <c r="K68" s="25" t="s">
        <v>121</v>
      </c>
      <c r="L68" s="25" t="s">
        <v>100</v>
      </c>
    </row>
    <row r="69" spans="2:12" s="1" customFormat="1">
      <c r="B69" s="13" t="s">
        <v>868</v>
      </c>
      <c r="C69" s="13" t="s">
        <v>771</v>
      </c>
      <c r="D69" s="9" t="s">
        <v>873</v>
      </c>
      <c r="E69" s="21" t="s">
        <v>58</v>
      </c>
      <c r="F69" s="19"/>
      <c r="G69" s="84" t="s">
        <v>1369</v>
      </c>
      <c r="H69" s="71"/>
      <c r="I69" s="25"/>
      <c r="J69" s="25" t="s">
        <v>99</v>
      </c>
      <c r="K69" s="25" t="s">
        <v>121</v>
      </c>
      <c r="L69" s="25" t="s">
        <v>100</v>
      </c>
    </row>
    <row r="70" spans="2:12" s="1" customFormat="1">
      <c r="B70" s="13" t="s">
        <v>869</v>
      </c>
      <c r="C70" s="13" t="s">
        <v>771</v>
      </c>
      <c r="D70" s="9" t="s">
        <v>874</v>
      </c>
      <c r="E70" s="21" t="s">
        <v>58</v>
      </c>
      <c r="F70" s="19"/>
      <c r="G70" s="84" t="s">
        <v>1370</v>
      </c>
      <c r="H70" s="71"/>
      <c r="I70" s="25"/>
      <c r="J70" s="25" t="s">
        <v>99</v>
      </c>
      <c r="K70" s="25" t="s">
        <v>121</v>
      </c>
      <c r="L70" s="25" t="s">
        <v>100</v>
      </c>
    </row>
    <row r="71" spans="2:12" s="1" customFormat="1">
      <c r="B71" s="13" t="s">
        <v>870</v>
      </c>
      <c r="C71" s="13" t="s">
        <v>771</v>
      </c>
      <c r="D71" s="9" t="s">
        <v>875</v>
      </c>
      <c r="E71" s="21" t="s">
        <v>58</v>
      </c>
      <c r="F71" s="19"/>
      <c r="G71" s="84" t="s">
        <v>1371</v>
      </c>
      <c r="H71" s="71"/>
      <c r="I71" s="25"/>
      <c r="J71" s="25" t="s">
        <v>99</v>
      </c>
      <c r="K71" s="25" t="s">
        <v>121</v>
      </c>
      <c r="L71" s="25" t="s">
        <v>100</v>
      </c>
    </row>
    <row r="72" spans="2:12" s="1" customFormat="1">
      <c r="B72" s="13" t="s">
        <v>880</v>
      </c>
      <c r="C72" s="13" t="s">
        <v>771</v>
      </c>
      <c r="D72" s="9" t="s">
        <v>884</v>
      </c>
      <c r="E72" s="21" t="s">
        <v>58</v>
      </c>
      <c r="F72" s="19"/>
      <c r="G72" s="84" t="s">
        <v>1372</v>
      </c>
      <c r="H72" s="71"/>
      <c r="I72" s="25"/>
      <c r="J72" s="25" t="s">
        <v>99</v>
      </c>
      <c r="K72" s="25" t="s">
        <v>121</v>
      </c>
      <c r="L72" s="25" t="s">
        <v>100</v>
      </c>
    </row>
    <row r="73" spans="2:12" s="1" customFormat="1">
      <c r="B73" s="13" t="s">
        <v>881</v>
      </c>
      <c r="C73" s="13" t="s">
        <v>771</v>
      </c>
      <c r="D73" s="9" t="s">
        <v>885</v>
      </c>
      <c r="E73" s="21" t="s">
        <v>58</v>
      </c>
      <c r="F73" s="19"/>
      <c r="G73" s="84" t="s">
        <v>1373</v>
      </c>
      <c r="H73" s="71"/>
      <c r="I73" s="25"/>
      <c r="J73" s="25" t="s">
        <v>99</v>
      </c>
      <c r="K73" s="25" t="s">
        <v>121</v>
      </c>
      <c r="L73" s="25" t="s">
        <v>100</v>
      </c>
    </row>
    <row r="74" spans="2:12" s="1" customFormat="1">
      <c r="B74" s="13" t="s">
        <v>882</v>
      </c>
      <c r="C74" s="13" t="s">
        <v>771</v>
      </c>
      <c r="D74" s="9" t="s">
        <v>886</v>
      </c>
      <c r="E74" s="21" t="s">
        <v>58</v>
      </c>
      <c r="F74" s="19"/>
      <c r="G74" s="84" t="s">
        <v>1374</v>
      </c>
      <c r="H74" s="71"/>
      <c r="I74" s="25"/>
      <c r="J74" s="25" t="s">
        <v>99</v>
      </c>
      <c r="K74" s="25" t="s">
        <v>121</v>
      </c>
      <c r="L74" s="25" t="s">
        <v>100</v>
      </c>
    </row>
    <row r="75" spans="2:12" s="1" customFormat="1">
      <c r="B75" s="13" t="s">
        <v>883</v>
      </c>
      <c r="C75" s="13" t="s">
        <v>771</v>
      </c>
      <c r="D75" s="9" t="s">
        <v>887</v>
      </c>
      <c r="E75" s="21" t="s">
        <v>58</v>
      </c>
      <c r="F75" s="19"/>
      <c r="G75" s="84" t="s">
        <v>1375</v>
      </c>
      <c r="H75" s="71"/>
      <c r="I75" s="25"/>
      <c r="J75" s="25" t="s">
        <v>99</v>
      </c>
      <c r="K75" s="25" t="s">
        <v>121</v>
      </c>
      <c r="L75" s="25" t="s">
        <v>100</v>
      </c>
    </row>
    <row r="76" spans="2:12" s="1" customFormat="1">
      <c r="B76" s="13" t="s">
        <v>892</v>
      </c>
      <c r="C76" s="13" t="s">
        <v>771</v>
      </c>
      <c r="D76" s="9" t="s">
        <v>896</v>
      </c>
      <c r="E76" s="21" t="s">
        <v>58</v>
      </c>
      <c r="F76" s="19"/>
      <c r="G76" s="84" t="s">
        <v>1376</v>
      </c>
      <c r="H76" s="71"/>
      <c r="I76" s="25"/>
      <c r="J76" s="25" t="s">
        <v>99</v>
      </c>
      <c r="K76" s="25" t="s">
        <v>121</v>
      </c>
      <c r="L76" s="25" t="s">
        <v>100</v>
      </c>
    </row>
    <row r="77" spans="2:12" s="1" customFormat="1">
      <c r="B77" s="13" t="s">
        <v>893</v>
      </c>
      <c r="C77" s="13" t="s">
        <v>771</v>
      </c>
      <c r="D77" s="9" t="s">
        <v>897</v>
      </c>
      <c r="E77" s="21" t="s">
        <v>58</v>
      </c>
      <c r="F77" s="19"/>
      <c r="G77" s="84" t="s">
        <v>1377</v>
      </c>
      <c r="H77" s="71"/>
      <c r="I77" s="25"/>
      <c r="J77" s="25" t="s">
        <v>99</v>
      </c>
      <c r="K77" s="25" t="s">
        <v>121</v>
      </c>
      <c r="L77" s="25" t="s">
        <v>100</v>
      </c>
    </row>
    <row r="78" spans="2:12" s="1" customFormat="1">
      <c r="B78" s="13" t="s">
        <v>894</v>
      </c>
      <c r="C78" s="13" t="s">
        <v>771</v>
      </c>
      <c r="D78" s="9" t="s">
        <v>898</v>
      </c>
      <c r="E78" s="21" t="s">
        <v>58</v>
      </c>
      <c r="F78" s="19"/>
      <c r="G78" s="84" t="s">
        <v>1378</v>
      </c>
      <c r="H78" s="71"/>
      <c r="I78" s="25"/>
      <c r="J78" s="25" t="s">
        <v>99</v>
      </c>
      <c r="K78" s="25" t="s">
        <v>121</v>
      </c>
      <c r="L78" s="25" t="s">
        <v>100</v>
      </c>
    </row>
    <row r="79" spans="2:12" s="1" customFormat="1">
      <c r="B79" s="13" t="s">
        <v>895</v>
      </c>
      <c r="C79" s="13" t="s">
        <v>771</v>
      </c>
      <c r="D79" s="9" t="s">
        <v>899</v>
      </c>
      <c r="E79" s="21" t="s">
        <v>58</v>
      </c>
      <c r="F79" s="19"/>
      <c r="G79" s="84" t="s">
        <v>1379</v>
      </c>
      <c r="H79" s="71"/>
      <c r="I79" s="25"/>
      <c r="J79" s="25" t="s">
        <v>99</v>
      </c>
      <c r="K79" s="25" t="s">
        <v>121</v>
      </c>
      <c r="L79" s="25" t="s">
        <v>100</v>
      </c>
    </row>
    <row r="80" spans="2:12" s="1" customFormat="1">
      <c r="B80" s="13" t="s">
        <v>904</v>
      </c>
      <c r="C80" s="13" t="s">
        <v>771</v>
      </c>
      <c r="D80" s="9" t="s">
        <v>1306</v>
      </c>
      <c r="E80" s="21" t="s">
        <v>58</v>
      </c>
      <c r="F80" s="19"/>
      <c r="G80" s="84" t="s">
        <v>1380</v>
      </c>
      <c r="H80" s="71"/>
      <c r="I80" s="25"/>
      <c r="J80" s="25" t="s">
        <v>99</v>
      </c>
      <c r="K80" s="25" t="s">
        <v>121</v>
      </c>
      <c r="L80" s="25" t="s">
        <v>100</v>
      </c>
    </row>
    <row r="81" spans="2:12" s="1" customFormat="1">
      <c r="B81" s="13" t="s">
        <v>1134</v>
      </c>
      <c r="C81" s="13" t="s">
        <v>771</v>
      </c>
      <c r="D81" s="9" t="s">
        <v>1307</v>
      </c>
      <c r="E81" s="21" t="s">
        <v>58</v>
      </c>
      <c r="F81" s="19"/>
      <c r="G81" s="84" t="s">
        <v>1381</v>
      </c>
      <c r="H81" s="71"/>
      <c r="I81" s="25"/>
      <c r="J81" s="25" t="s">
        <v>99</v>
      </c>
      <c r="K81" s="25" t="s">
        <v>121</v>
      </c>
      <c r="L81" s="25" t="s">
        <v>100</v>
      </c>
    </row>
    <row r="82" spans="2:12" s="1" customFormat="1">
      <c r="B82" s="13" t="s">
        <v>905</v>
      </c>
      <c r="C82" s="13" t="s">
        <v>771</v>
      </c>
      <c r="D82" s="9" t="s">
        <v>1308</v>
      </c>
      <c r="E82" s="21" t="s">
        <v>58</v>
      </c>
      <c r="F82" s="19"/>
      <c r="G82" s="84" t="s">
        <v>1382</v>
      </c>
      <c r="H82" s="71"/>
      <c r="I82" s="25"/>
      <c r="J82" s="25" t="s">
        <v>99</v>
      </c>
      <c r="K82" s="25" t="s">
        <v>121</v>
      </c>
      <c r="L82" s="25" t="s">
        <v>100</v>
      </c>
    </row>
    <row r="83" spans="2:12" s="1" customFormat="1">
      <c r="B83" s="13" t="s">
        <v>906</v>
      </c>
      <c r="C83" s="13" t="s">
        <v>771</v>
      </c>
      <c r="D83" s="9" t="s">
        <v>1309</v>
      </c>
      <c r="E83" s="21" t="s">
        <v>58</v>
      </c>
      <c r="F83" s="19"/>
      <c r="G83" s="84" t="s">
        <v>1383</v>
      </c>
      <c r="H83" s="71"/>
      <c r="I83" s="25"/>
      <c r="J83" s="25" t="s">
        <v>99</v>
      </c>
      <c r="K83" s="25" t="s">
        <v>121</v>
      </c>
      <c r="L83" s="25" t="s">
        <v>100</v>
      </c>
    </row>
    <row r="84" spans="2:12" s="1" customFormat="1">
      <c r="B84" s="13" t="s">
        <v>911</v>
      </c>
      <c r="C84" s="13" t="s">
        <v>771</v>
      </c>
      <c r="D84" s="9" t="s">
        <v>706</v>
      </c>
      <c r="E84" s="21" t="s">
        <v>58</v>
      </c>
      <c r="F84" s="19"/>
      <c r="G84" s="84" t="s">
        <v>1384</v>
      </c>
      <c r="H84" s="71"/>
      <c r="I84" s="25"/>
      <c r="J84" s="25" t="s">
        <v>99</v>
      </c>
      <c r="K84" s="25" t="s">
        <v>121</v>
      </c>
      <c r="L84" s="25" t="s">
        <v>100</v>
      </c>
    </row>
    <row r="85" spans="2:12" s="1" customFormat="1">
      <c r="B85" s="13" t="s">
        <v>1129</v>
      </c>
      <c r="C85" s="13" t="s">
        <v>771</v>
      </c>
      <c r="D85" s="9" t="s">
        <v>707</v>
      </c>
      <c r="E85" s="21" t="s">
        <v>58</v>
      </c>
      <c r="F85" s="19"/>
      <c r="G85" s="84" t="s">
        <v>1385</v>
      </c>
      <c r="H85" s="71"/>
      <c r="I85" s="25"/>
      <c r="J85" s="25" t="s">
        <v>99</v>
      </c>
      <c r="K85" s="25" t="s">
        <v>121</v>
      </c>
      <c r="L85" s="25" t="s">
        <v>100</v>
      </c>
    </row>
    <row r="86" spans="2:12" s="1" customFormat="1">
      <c r="B86" s="13" t="s">
        <v>912</v>
      </c>
      <c r="C86" s="13" t="s">
        <v>771</v>
      </c>
      <c r="D86" s="9" t="s">
        <v>708</v>
      </c>
      <c r="E86" s="21" t="s">
        <v>58</v>
      </c>
      <c r="F86" s="19"/>
      <c r="G86" s="84" t="s">
        <v>1386</v>
      </c>
      <c r="H86" s="71"/>
      <c r="I86" s="25"/>
      <c r="J86" s="25" t="s">
        <v>99</v>
      </c>
      <c r="K86" s="25" t="s">
        <v>121</v>
      </c>
      <c r="L86" s="25" t="s">
        <v>100</v>
      </c>
    </row>
    <row r="87" spans="2:12" s="1" customFormat="1">
      <c r="B87" s="13" t="s">
        <v>913</v>
      </c>
      <c r="C87" s="13" t="s">
        <v>771</v>
      </c>
      <c r="D87" s="9" t="s">
        <v>709</v>
      </c>
      <c r="E87" s="21" t="s">
        <v>58</v>
      </c>
      <c r="F87" s="19"/>
      <c r="G87" s="84" t="s">
        <v>1387</v>
      </c>
      <c r="H87" s="71"/>
      <c r="I87" s="25"/>
      <c r="J87" s="25" t="s">
        <v>99</v>
      </c>
      <c r="K87" s="25" t="s">
        <v>121</v>
      </c>
      <c r="L87" s="25" t="s">
        <v>100</v>
      </c>
    </row>
    <row r="88" spans="2:12" s="1" customFormat="1">
      <c r="B88" s="13" t="s">
        <v>1311</v>
      </c>
      <c r="C88" s="13" t="s">
        <v>771</v>
      </c>
      <c r="D88" s="9" t="s">
        <v>1315</v>
      </c>
      <c r="E88" s="21" t="s">
        <v>58</v>
      </c>
      <c r="F88" s="19"/>
      <c r="G88" s="84" t="s">
        <v>1388</v>
      </c>
      <c r="H88" s="71"/>
      <c r="I88" s="25"/>
      <c r="J88" s="25" t="s">
        <v>99</v>
      </c>
      <c r="K88" s="25" t="s">
        <v>121</v>
      </c>
      <c r="L88" s="25" t="s">
        <v>100</v>
      </c>
    </row>
    <row r="89" spans="2:12" s="1" customFormat="1">
      <c r="B89" s="13" t="s">
        <v>1312</v>
      </c>
      <c r="C89" s="13" t="s">
        <v>771</v>
      </c>
      <c r="D89" s="9" t="s">
        <v>1316</v>
      </c>
      <c r="E89" s="21" t="s">
        <v>58</v>
      </c>
      <c r="F89" s="19"/>
      <c r="G89" s="84" t="s">
        <v>1389</v>
      </c>
      <c r="H89" s="71"/>
      <c r="I89" s="25"/>
      <c r="J89" s="25" t="s">
        <v>99</v>
      </c>
      <c r="K89" s="25" t="s">
        <v>121</v>
      </c>
      <c r="L89" s="25" t="s">
        <v>100</v>
      </c>
    </row>
    <row r="90" spans="2:12" s="1" customFormat="1">
      <c r="B90" s="13" t="s">
        <v>1313</v>
      </c>
      <c r="C90" s="13" t="s">
        <v>771</v>
      </c>
      <c r="D90" s="9" t="s">
        <v>1317</v>
      </c>
      <c r="E90" s="21" t="s">
        <v>58</v>
      </c>
      <c r="F90" s="19"/>
      <c r="G90" s="84" t="s">
        <v>1390</v>
      </c>
      <c r="H90" s="71"/>
      <c r="I90" s="25"/>
      <c r="J90" s="25" t="s">
        <v>99</v>
      </c>
      <c r="K90" s="25" t="s">
        <v>121</v>
      </c>
      <c r="L90" s="25" t="s">
        <v>100</v>
      </c>
    </row>
    <row r="91" spans="2:12" s="1" customFormat="1">
      <c r="B91" s="13" t="s">
        <v>1314</v>
      </c>
      <c r="C91" s="13" t="s">
        <v>771</v>
      </c>
      <c r="D91" s="9" t="s">
        <v>1318</v>
      </c>
      <c r="E91" s="21" t="s">
        <v>58</v>
      </c>
      <c r="F91" s="19"/>
      <c r="G91" s="84" t="s">
        <v>1391</v>
      </c>
      <c r="H91" s="71"/>
      <c r="I91" s="25"/>
      <c r="J91" s="25" t="s">
        <v>99</v>
      </c>
      <c r="K91" s="25" t="s">
        <v>121</v>
      </c>
      <c r="L91" s="25" t="s">
        <v>100</v>
      </c>
    </row>
    <row r="92" spans="2:12" s="1" customFormat="1">
      <c r="B92" s="13" t="s">
        <v>285</v>
      </c>
      <c r="C92" s="13" t="s">
        <v>771</v>
      </c>
      <c r="D92" s="9" t="s">
        <v>918</v>
      </c>
      <c r="E92" s="21" t="s">
        <v>58</v>
      </c>
      <c r="F92" s="19"/>
      <c r="G92" s="84" t="s">
        <v>1392</v>
      </c>
      <c r="H92" s="71"/>
      <c r="I92" s="25"/>
      <c r="J92" s="25" t="s">
        <v>99</v>
      </c>
      <c r="K92" s="25" t="s">
        <v>121</v>
      </c>
      <c r="L92" s="25" t="s">
        <v>100</v>
      </c>
    </row>
    <row r="93" spans="2:12" s="1" customFormat="1">
      <c r="B93" s="13" t="s">
        <v>286</v>
      </c>
      <c r="C93" s="13" t="s">
        <v>771</v>
      </c>
      <c r="D93" s="9" t="s">
        <v>919</v>
      </c>
      <c r="E93" s="21" t="s">
        <v>58</v>
      </c>
      <c r="F93" s="19"/>
      <c r="G93" s="84" t="s">
        <v>1393</v>
      </c>
      <c r="H93" s="71"/>
      <c r="I93" s="25"/>
      <c r="J93" s="25" t="s">
        <v>99</v>
      </c>
      <c r="K93" s="25" t="s">
        <v>121</v>
      </c>
      <c r="L93" s="25" t="s">
        <v>100</v>
      </c>
    </row>
    <row r="94" spans="2:12" s="1" customFormat="1">
      <c r="B94" s="13" t="s">
        <v>287</v>
      </c>
      <c r="C94" s="13" t="s">
        <v>771</v>
      </c>
      <c r="D94" s="9" t="s">
        <v>920</v>
      </c>
      <c r="E94" s="21" t="s">
        <v>58</v>
      </c>
      <c r="F94" s="19"/>
      <c r="G94" s="84" t="s">
        <v>1394</v>
      </c>
      <c r="H94" s="71"/>
      <c r="I94" s="25"/>
      <c r="J94" s="25" t="s">
        <v>99</v>
      </c>
      <c r="K94" s="25" t="s">
        <v>121</v>
      </c>
      <c r="L94" s="25" t="s">
        <v>100</v>
      </c>
    </row>
    <row r="95" spans="2:12" s="1" customFormat="1">
      <c r="B95" s="13" t="s">
        <v>288</v>
      </c>
      <c r="C95" s="13" t="s">
        <v>771</v>
      </c>
      <c r="D95" s="9" t="s">
        <v>921</v>
      </c>
      <c r="E95" s="21" t="s">
        <v>58</v>
      </c>
      <c r="F95" s="19"/>
      <c r="G95" s="84" t="s">
        <v>1395</v>
      </c>
      <c r="H95" s="71"/>
      <c r="I95" s="25"/>
      <c r="J95" s="25" t="s">
        <v>99</v>
      </c>
      <c r="K95" s="25" t="s">
        <v>121</v>
      </c>
      <c r="L95" s="25" t="s">
        <v>100</v>
      </c>
    </row>
    <row r="96" spans="2:12" s="1" customFormat="1">
      <c r="B96" s="13" t="s">
        <v>1310</v>
      </c>
      <c r="C96" s="13" t="s">
        <v>771</v>
      </c>
      <c r="D96" s="9" t="s">
        <v>926</v>
      </c>
      <c r="E96" s="21" t="s">
        <v>58</v>
      </c>
      <c r="F96" s="19"/>
      <c r="G96" s="84" t="s">
        <v>1396</v>
      </c>
      <c r="H96" s="71"/>
      <c r="I96" s="25"/>
      <c r="J96" s="25" t="s">
        <v>99</v>
      </c>
      <c r="K96" s="25" t="s">
        <v>121</v>
      </c>
      <c r="L96" s="25" t="s">
        <v>100</v>
      </c>
    </row>
    <row r="97" spans="2:12" s="1" customFormat="1">
      <c r="B97" s="13" t="s">
        <v>1135</v>
      </c>
      <c r="C97" s="13" t="s">
        <v>771</v>
      </c>
      <c r="D97" s="9" t="s">
        <v>927</v>
      </c>
      <c r="E97" s="21" t="s">
        <v>58</v>
      </c>
      <c r="F97" s="19"/>
      <c r="G97" s="84" t="s">
        <v>1397</v>
      </c>
      <c r="H97" s="71"/>
      <c r="I97" s="25"/>
      <c r="J97" s="25" t="s">
        <v>99</v>
      </c>
      <c r="K97" s="25" t="s">
        <v>121</v>
      </c>
      <c r="L97" s="25" t="s">
        <v>100</v>
      </c>
    </row>
    <row r="98" spans="2:12" s="1" customFormat="1">
      <c r="B98" s="13" t="s">
        <v>1136</v>
      </c>
      <c r="C98" s="13" t="s">
        <v>771</v>
      </c>
      <c r="D98" s="9" t="s">
        <v>928</v>
      </c>
      <c r="E98" s="21" t="s">
        <v>58</v>
      </c>
      <c r="F98" s="19"/>
      <c r="G98" s="84" t="s">
        <v>1398</v>
      </c>
      <c r="H98" s="71"/>
      <c r="I98" s="25"/>
      <c r="J98" s="25" t="s">
        <v>99</v>
      </c>
      <c r="K98" s="25" t="s">
        <v>121</v>
      </c>
      <c r="L98" s="25" t="s">
        <v>100</v>
      </c>
    </row>
    <row r="99" spans="2:12" s="1" customFormat="1">
      <c r="B99" s="13" t="s">
        <v>1137</v>
      </c>
      <c r="C99" s="13" t="s">
        <v>771</v>
      </c>
      <c r="D99" s="9" t="s">
        <v>929</v>
      </c>
      <c r="E99" s="21" t="s">
        <v>58</v>
      </c>
      <c r="F99" s="19"/>
      <c r="G99" s="84" t="s">
        <v>1399</v>
      </c>
      <c r="H99" s="71"/>
      <c r="I99" s="25"/>
      <c r="J99" s="25" t="s">
        <v>99</v>
      </c>
      <c r="K99" s="25" t="s">
        <v>121</v>
      </c>
      <c r="L99" s="25" t="s">
        <v>100</v>
      </c>
    </row>
    <row r="100" spans="2:12" s="1" customFormat="1">
      <c r="B100" s="13" t="s">
        <v>934</v>
      </c>
      <c r="C100" s="13" t="s">
        <v>771</v>
      </c>
      <c r="D100" s="9" t="s">
        <v>710</v>
      </c>
      <c r="E100" s="21" t="s">
        <v>58</v>
      </c>
      <c r="F100" s="19"/>
      <c r="G100" s="84" t="s">
        <v>1400</v>
      </c>
      <c r="H100" s="71"/>
      <c r="I100" s="25"/>
      <c r="J100" s="25" t="s">
        <v>99</v>
      </c>
      <c r="K100" s="25" t="s">
        <v>121</v>
      </c>
      <c r="L100" s="25" t="s">
        <v>100</v>
      </c>
    </row>
    <row r="101" spans="2:12" s="1" customFormat="1">
      <c r="B101" s="13" t="s">
        <v>1138</v>
      </c>
      <c r="C101" s="13" t="s">
        <v>771</v>
      </c>
      <c r="D101" s="9" t="s">
        <v>711</v>
      </c>
      <c r="E101" s="21" t="s">
        <v>58</v>
      </c>
      <c r="F101" s="19"/>
      <c r="G101" s="84" t="s">
        <v>1401</v>
      </c>
      <c r="H101" s="71"/>
      <c r="I101" s="25"/>
      <c r="J101" s="25" t="s">
        <v>99</v>
      </c>
      <c r="K101" s="25" t="s">
        <v>121</v>
      </c>
      <c r="L101" s="25" t="s">
        <v>100</v>
      </c>
    </row>
    <row r="102" spans="2:12" s="1" customFormat="1">
      <c r="B102" s="13" t="s">
        <v>935</v>
      </c>
      <c r="C102" s="13" t="s">
        <v>771</v>
      </c>
      <c r="D102" s="9" t="s">
        <v>712</v>
      </c>
      <c r="E102" s="21" t="s">
        <v>58</v>
      </c>
      <c r="F102" s="19"/>
      <c r="G102" s="84" t="s">
        <v>1402</v>
      </c>
      <c r="H102" s="71"/>
      <c r="I102" s="25"/>
      <c r="J102" s="25" t="s">
        <v>99</v>
      </c>
      <c r="K102" s="25" t="s">
        <v>121</v>
      </c>
      <c r="L102" s="25" t="s">
        <v>100</v>
      </c>
    </row>
    <row r="103" spans="2:12" s="1" customFormat="1">
      <c r="B103" s="13" t="s">
        <v>936</v>
      </c>
      <c r="C103" s="13" t="s">
        <v>771</v>
      </c>
      <c r="D103" s="9" t="s">
        <v>713</v>
      </c>
      <c r="E103" s="21" t="s">
        <v>58</v>
      </c>
      <c r="F103" s="19"/>
      <c r="G103" s="84" t="s">
        <v>1403</v>
      </c>
      <c r="H103" s="71"/>
      <c r="I103" s="25"/>
      <c r="J103" s="25" t="s">
        <v>99</v>
      </c>
      <c r="K103" s="25" t="s">
        <v>121</v>
      </c>
      <c r="L103" s="25" t="s">
        <v>100</v>
      </c>
    </row>
    <row r="104" spans="2:12" s="1" customFormat="1">
      <c r="B104" s="13" t="s">
        <v>944</v>
      </c>
      <c r="C104" s="13" t="s">
        <v>771</v>
      </c>
      <c r="D104" s="9" t="s">
        <v>714</v>
      </c>
      <c r="E104" s="21" t="s">
        <v>58</v>
      </c>
      <c r="F104" s="19"/>
      <c r="G104" s="84" t="s">
        <v>1404</v>
      </c>
      <c r="H104" s="71"/>
      <c r="I104" s="25"/>
      <c r="J104" s="25" t="s">
        <v>99</v>
      </c>
      <c r="K104" s="25" t="s">
        <v>121</v>
      </c>
      <c r="L104" s="25" t="s">
        <v>100</v>
      </c>
    </row>
    <row r="105" spans="2:12" s="1" customFormat="1">
      <c r="B105" s="13" t="s">
        <v>1131</v>
      </c>
      <c r="C105" s="13" t="s">
        <v>771</v>
      </c>
      <c r="D105" s="9" t="s">
        <v>715</v>
      </c>
      <c r="E105" s="21" t="s">
        <v>58</v>
      </c>
      <c r="F105" s="19"/>
      <c r="G105" s="84" t="s">
        <v>1405</v>
      </c>
      <c r="H105" s="71"/>
      <c r="I105" s="25"/>
      <c r="J105" s="25" t="s">
        <v>99</v>
      </c>
      <c r="K105" s="25" t="s">
        <v>121</v>
      </c>
      <c r="L105" s="25" t="s">
        <v>100</v>
      </c>
    </row>
    <row r="106" spans="2:12" s="1" customFormat="1">
      <c r="B106" s="13" t="s">
        <v>945</v>
      </c>
      <c r="C106" s="13" t="s">
        <v>771</v>
      </c>
      <c r="D106" s="9" t="s">
        <v>716</v>
      </c>
      <c r="E106" s="21" t="s">
        <v>58</v>
      </c>
      <c r="F106" s="19"/>
      <c r="G106" s="84" t="s">
        <v>1406</v>
      </c>
      <c r="H106" s="71"/>
      <c r="I106" s="25"/>
      <c r="J106" s="25" t="s">
        <v>99</v>
      </c>
      <c r="K106" s="25" t="s">
        <v>121</v>
      </c>
      <c r="L106" s="25" t="s">
        <v>100</v>
      </c>
    </row>
    <row r="107" spans="2:12" s="1" customFormat="1">
      <c r="B107" s="13" t="s">
        <v>946</v>
      </c>
      <c r="C107" s="13" t="s">
        <v>771</v>
      </c>
      <c r="D107" s="9" t="s">
        <v>717</v>
      </c>
      <c r="E107" s="21" t="s">
        <v>58</v>
      </c>
      <c r="F107" s="19"/>
      <c r="G107" s="84" t="s">
        <v>1407</v>
      </c>
      <c r="H107" s="71"/>
      <c r="I107" s="25"/>
      <c r="J107" s="25" t="s">
        <v>99</v>
      </c>
      <c r="K107" s="25" t="s">
        <v>121</v>
      </c>
      <c r="L107" s="25" t="s">
        <v>100</v>
      </c>
    </row>
    <row r="108" spans="2:12" s="1" customFormat="1">
      <c r="B108" s="13" t="s">
        <v>1466</v>
      </c>
      <c r="C108" s="26" t="s">
        <v>98</v>
      </c>
      <c r="D108" s="9" t="s">
        <v>952</v>
      </c>
      <c r="E108" s="21" t="s">
        <v>58</v>
      </c>
      <c r="F108" s="19"/>
      <c r="G108" s="84" t="s">
        <v>1467</v>
      </c>
      <c r="H108" s="71"/>
      <c r="I108" s="25"/>
      <c r="J108" s="25" t="s">
        <v>99</v>
      </c>
      <c r="K108" s="25" t="s">
        <v>121</v>
      </c>
      <c r="L108" s="25" t="s">
        <v>100</v>
      </c>
    </row>
    <row r="109" spans="2:12" s="1" customFormat="1">
      <c r="B109" s="13" t="s">
        <v>289</v>
      </c>
      <c r="C109" s="26" t="s">
        <v>98</v>
      </c>
      <c r="D109" s="9" t="s">
        <v>953</v>
      </c>
      <c r="E109" s="21" t="s">
        <v>58</v>
      </c>
      <c r="F109" s="19"/>
      <c r="G109" s="84" t="s">
        <v>1408</v>
      </c>
      <c r="H109" s="71"/>
      <c r="I109" s="25"/>
      <c r="J109" s="25" t="s">
        <v>99</v>
      </c>
      <c r="K109" s="25" t="s">
        <v>121</v>
      </c>
      <c r="L109" s="25" t="s">
        <v>100</v>
      </c>
    </row>
    <row r="110" spans="2:12" s="1" customFormat="1">
      <c r="B110" s="13" t="s">
        <v>290</v>
      </c>
      <c r="C110" s="26" t="s">
        <v>98</v>
      </c>
      <c r="D110" s="9" t="s">
        <v>954</v>
      </c>
      <c r="E110" s="21" t="s">
        <v>58</v>
      </c>
      <c r="F110" s="19"/>
      <c r="G110" s="84" t="s">
        <v>1409</v>
      </c>
      <c r="H110" s="71"/>
      <c r="I110" s="25"/>
      <c r="J110" s="25" t="s">
        <v>99</v>
      </c>
      <c r="K110" s="25" t="s">
        <v>121</v>
      </c>
      <c r="L110" s="25" t="s">
        <v>100</v>
      </c>
    </row>
    <row r="111" spans="2:12" s="1" customFormat="1">
      <c r="B111" s="13" t="s">
        <v>291</v>
      </c>
      <c r="C111" s="26" t="s">
        <v>98</v>
      </c>
      <c r="D111" s="9" t="s">
        <v>955</v>
      </c>
      <c r="E111" s="21" t="s">
        <v>58</v>
      </c>
      <c r="F111" s="19"/>
      <c r="G111" s="84" t="s">
        <v>1410</v>
      </c>
      <c r="H111" s="71"/>
      <c r="I111" s="25"/>
      <c r="J111" s="25" t="s">
        <v>99</v>
      </c>
      <c r="K111" s="25" t="s">
        <v>121</v>
      </c>
      <c r="L111" s="25" t="s">
        <v>100</v>
      </c>
    </row>
    <row r="112" spans="2:12" s="1" customFormat="1">
      <c r="B112" s="13" t="s">
        <v>200</v>
      </c>
      <c r="C112" s="26" t="s">
        <v>98</v>
      </c>
      <c r="D112" s="9" t="s">
        <v>292</v>
      </c>
      <c r="E112" s="21" t="s">
        <v>58</v>
      </c>
      <c r="F112" s="19"/>
      <c r="G112" s="84" t="s">
        <v>269</v>
      </c>
      <c r="H112" s="71"/>
      <c r="I112" s="25"/>
      <c r="J112" s="25" t="s">
        <v>99</v>
      </c>
      <c r="K112" s="25" t="s">
        <v>121</v>
      </c>
      <c r="L112" s="25" t="s">
        <v>100</v>
      </c>
    </row>
    <row r="113" spans="2:17" s="1" customFormat="1">
      <c r="B113" s="13" t="s">
        <v>203</v>
      </c>
      <c r="C113" s="26" t="s">
        <v>98</v>
      </c>
      <c r="D113" s="9" t="s">
        <v>204</v>
      </c>
      <c r="E113" s="21" t="s">
        <v>58</v>
      </c>
      <c r="F113" s="19"/>
      <c r="G113" s="84" t="s">
        <v>270</v>
      </c>
      <c r="H113" s="71"/>
      <c r="I113" s="25"/>
      <c r="J113" s="25" t="s">
        <v>99</v>
      </c>
      <c r="K113" s="25" t="s">
        <v>121</v>
      </c>
      <c r="L113" s="25" t="s">
        <v>100</v>
      </c>
    </row>
    <row r="114" spans="2:17" s="1" customFormat="1">
      <c r="B114" s="13" t="s">
        <v>959</v>
      </c>
      <c r="C114" s="13" t="s">
        <v>98</v>
      </c>
      <c r="D114" s="9" t="s">
        <v>207</v>
      </c>
      <c r="E114" s="21" t="s">
        <v>58</v>
      </c>
      <c r="F114" s="19"/>
      <c r="G114" s="84" t="s">
        <v>271</v>
      </c>
      <c r="H114" s="71"/>
      <c r="I114" s="25"/>
      <c r="J114" s="25" t="s">
        <v>99</v>
      </c>
      <c r="K114" s="25" t="s">
        <v>121</v>
      </c>
      <c r="L114" s="25" t="s">
        <v>100</v>
      </c>
    </row>
    <row r="115" spans="2:17" s="1" customFormat="1">
      <c r="B115" s="13" t="s">
        <v>1565</v>
      </c>
      <c r="C115" s="13" t="s">
        <v>98</v>
      </c>
      <c r="D115" s="9" t="s">
        <v>1566</v>
      </c>
      <c r="E115" s="21" t="s">
        <v>58</v>
      </c>
      <c r="F115" s="19"/>
      <c r="G115" s="19" t="s">
        <v>1568</v>
      </c>
      <c r="H115" s="71"/>
      <c r="I115" s="25"/>
      <c r="J115" s="25" t="s">
        <v>99</v>
      </c>
      <c r="K115" s="25" t="s">
        <v>121</v>
      </c>
      <c r="L115" s="25" t="s">
        <v>100</v>
      </c>
    </row>
    <row r="116" spans="2:17" s="2" customFormat="1">
      <c r="B116" s="14" t="s">
        <v>80</v>
      </c>
      <c r="C116" s="15" t="s">
        <v>75</v>
      </c>
      <c r="D116" s="16" t="s">
        <v>103</v>
      </c>
      <c r="E116" s="24"/>
      <c r="F116" s="24"/>
      <c r="G116" s="24" t="s">
        <v>293</v>
      </c>
      <c r="H116" s="24"/>
      <c r="I116" s="14"/>
      <c r="J116" s="14"/>
      <c r="K116" s="14"/>
      <c r="L116" s="14"/>
      <c r="M116" s="14"/>
      <c r="N116" s="14"/>
      <c r="O116" s="14"/>
      <c r="P116" s="14"/>
      <c r="Q116" s="14"/>
    </row>
    <row r="117" spans="2:17" s="2" customFormat="1">
      <c r="B117" s="14" t="s">
        <v>0</v>
      </c>
      <c r="C117" s="15" t="s">
        <v>71</v>
      </c>
      <c r="D117" s="16" t="s">
        <v>104</v>
      </c>
      <c r="E117" s="24"/>
      <c r="F117" s="24"/>
      <c r="G117" s="24" t="s">
        <v>293</v>
      </c>
      <c r="H117" s="24"/>
      <c r="I117" s="14"/>
      <c r="J117" s="14"/>
      <c r="K117" s="14"/>
      <c r="L117" s="14"/>
      <c r="M117" s="14"/>
      <c r="N117" s="14"/>
      <c r="O117" s="14"/>
      <c r="P117" s="14"/>
      <c r="Q117" s="14"/>
    </row>
  </sheetData>
  <autoFilter ref="B11:L117" xr:uid="{1CD6A709-7980-47A9-90CF-7F7A4C2EE21B}"/>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614CE-8CC1-48B4-9F43-8B7FDCB5458A}">
  <dimension ref="A1:Q112"/>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32.6640625" style="3" bestFit="1" customWidth="1"/>
    <col min="3" max="3" width="27.33203125" style="3" bestFit="1" customWidth="1"/>
    <col min="4" max="4" width="32.21875" style="3" customWidth="1"/>
    <col min="5" max="5" width="10.109375" style="3" customWidth="1"/>
    <col min="6" max="6" width="15.44140625" style="3" customWidth="1"/>
    <col min="7" max="7" width="37.5546875" style="3" bestFit="1"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11" t="s">
        <v>50</v>
      </c>
    </row>
    <row r="5" spans="2:14">
      <c r="B5" s="8" t="s">
        <v>39</v>
      </c>
      <c r="C5" s="9" t="s">
        <v>1412</v>
      </c>
      <c r="D5" s="10" t="s">
        <v>1416</v>
      </c>
      <c r="E5" s="12" t="s">
        <v>1259</v>
      </c>
      <c r="F5" s="17"/>
      <c r="G5" s="12"/>
      <c r="H5" s="12"/>
      <c r="N5" s="3"/>
    </row>
    <row r="6" spans="2:14">
      <c r="B6" s="6"/>
      <c r="C6" s="6"/>
      <c r="D6" s="6"/>
      <c r="E6" s="6"/>
      <c r="F6" s="18"/>
      <c r="G6" s="18"/>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1323</v>
      </c>
      <c r="D9" s="10" t="s">
        <v>1325</v>
      </c>
      <c r="E9" s="12" t="s">
        <v>58</v>
      </c>
      <c r="F9" s="19"/>
      <c r="G9" s="19"/>
      <c r="H9" s="20" t="s">
        <v>30</v>
      </c>
    </row>
    <row r="11" spans="2:14">
      <c r="B11" s="3" t="s">
        <v>59</v>
      </c>
    </row>
    <row r="12" spans="2:14">
      <c r="B12" s="122" t="s">
        <v>59</v>
      </c>
      <c r="C12" s="122"/>
      <c r="D12" s="122"/>
      <c r="E12" s="122"/>
      <c r="F12" s="122"/>
      <c r="G12" s="122"/>
      <c r="H12" s="122"/>
      <c r="I12" s="122"/>
      <c r="J12" s="122"/>
      <c r="K12" s="122"/>
      <c r="L12" s="122"/>
    </row>
    <row r="13" spans="2:14">
      <c r="B13" s="7" t="s">
        <v>60</v>
      </c>
      <c r="C13" s="7" t="s">
        <v>61</v>
      </c>
      <c r="D13" s="7" t="s">
        <v>62</v>
      </c>
      <c r="E13" s="7" t="s">
        <v>63</v>
      </c>
      <c r="F13" s="11" t="s">
        <v>64</v>
      </c>
      <c r="G13" s="11" t="s">
        <v>65</v>
      </c>
      <c r="H13" s="11" t="s">
        <v>66</v>
      </c>
      <c r="I13" s="7" t="s">
        <v>24</v>
      </c>
      <c r="J13" s="7" t="s">
        <v>67</v>
      </c>
      <c r="K13" s="7" t="s">
        <v>68</v>
      </c>
      <c r="L13" s="7" t="s">
        <v>69</v>
      </c>
    </row>
    <row r="14" spans="2:14" s="1" customFormat="1">
      <c r="B14" s="13" t="s">
        <v>70</v>
      </c>
      <c r="C14" s="13" t="s">
        <v>71</v>
      </c>
      <c r="D14" s="9" t="s">
        <v>72</v>
      </c>
      <c r="E14" s="21" t="s">
        <v>58</v>
      </c>
      <c r="F14" s="19" t="s">
        <v>0</v>
      </c>
      <c r="G14" s="22" t="s">
        <v>73</v>
      </c>
      <c r="H14" s="71"/>
      <c r="I14" s="25"/>
      <c r="J14" s="25" t="s">
        <v>3</v>
      </c>
      <c r="K14" s="25" t="s">
        <v>74</v>
      </c>
      <c r="L14" s="25" t="s">
        <v>74</v>
      </c>
    </row>
    <row r="15" spans="2:14" s="1" customFormat="1">
      <c r="B15" s="13" t="s">
        <v>654</v>
      </c>
      <c r="C15" s="13" t="s">
        <v>71</v>
      </c>
      <c r="D15" s="9" t="s">
        <v>1051</v>
      </c>
      <c r="E15" s="21" t="s">
        <v>58</v>
      </c>
      <c r="F15" s="27" t="s">
        <v>654</v>
      </c>
      <c r="G15" s="22" t="s">
        <v>73</v>
      </c>
      <c r="H15" s="71"/>
      <c r="I15" s="25"/>
      <c r="J15" s="25" t="s">
        <v>3</v>
      </c>
      <c r="K15" s="25" t="s">
        <v>74</v>
      </c>
      <c r="L15" s="25" t="s">
        <v>74</v>
      </c>
    </row>
    <row r="16" spans="2:14" s="1" customFormat="1">
      <c r="B16" s="13" t="s">
        <v>81</v>
      </c>
      <c r="C16" s="13" t="s">
        <v>75</v>
      </c>
      <c r="D16" s="9" t="s">
        <v>109</v>
      </c>
      <c r="E16" s="21" t="s">
        <v>58</v>
      </c>
      <c r="F16" s="19" t="s">
        <v>81</v>
      </c>
      <c r="G16" s="22" t="s">
        <v>73</v>
      </c>
      <c r="H16" s="71"/>
      <c r="I16" s="25"/>
      <c r="J16" s="25" t="s">
        <v>3</v>
      </c>
      <c r="K16" s="25" t="s">
        <v>74</v>
      </c>
      <c r="L16" s="25" t="s">
        <v>74</v>
      </c>
    </row>
    <row r="17" spans="2:12" s="1" customFormat="1">
      <c r="B17" s="13" t="s">
        <v>85</v>
      </c>
      <c r="C17" s="13" t="s">
        <v>71</v>
      </c>
      <c r="D17" s="9" t="s">
        <v>111</v>
      </c>
      <c r="E17" s="21" t="s">
        <v>58</v>
      </c>
      <c r="F17" s="19" t="s">
        <v>85</v>
      </c>
      <c r="G17" s="22" t="s">
        <v>73</v>
      </c>
      <c r="H17" s="71"/>
      <c r="I17" s="25"/>
      <c r="J17" s="25" t="s">
        <v>3</v>
      </c>
      <c r="K17" s="25" t="s">
        <v>74</v>
      </c>
      <c r="L17" s="25" t="s">
        <v>74</v>
      </c>
    </row>
    <row r="18" spans="2:12" s="1" customFormat="1">
      <c r="B18" s="13" t="s">
        <v>82</v>
      </c>
      <c r="C18" s="13" t="s">
        <v>75</v>
      </c>
      <c r="D18" s="9" t="s">
        <v>110</v>
      </c>
      <c r="E18" s="21" t="s">
        <v>58</v>
      </c>
      <c r="F18" s="19" t="s">
        <v>82</v>
      </c>
      <c r="G18" s="22" t="s">
        <v>73</v>
      </c>
      <c r="H18" s="71"/>
      <c r="I18" s="25"/>
      <c r="J18" s="25" t="s">
        <v>3</v>
      </c>
      <c r="K18" s="25" t="s">
        <v>74</v>
      </c>
      <c r="L18" s="25" t="s">
        <v>74</v>
      </c>
    </row>
    <row r="19" spans="2:12" s="1" customFormat="1">
      <c r="B19" s="13" t="s">
        <v>87</v>
      </c>
      <c r="C19" s="13" t="s">
        <v>71</v>
      </c>
      <c r="D19" s="9" t="s">
        <v>88</v>
      </c>
      <c r="E19" s="21" t="s">
        <v>58</v>
      </c>
      <c r="F19" s="19" t="s">
        <v>87</v>
      </c>
      <c r="G19" s="22" t="s">
        <v>73</v>
      </c>
      <c r="H19" s="71"/>
      <c r="I19" s="25"/>
      <c r="J19" s="25" t="s">
        <v>3</v>
      </c>
      <c r="K19" s="25" t="s">
        <v>74</v>
      </c>
      <c r="L19" s="25" t="s">
        <v>74</v>
      </c>
    </row>
    <row r="20" spans="2:12" s="1" customFormat="1">
      <c r="B20" s="13" t="s">
        <v>1503</v>
      </c>
      <c r="C20" s="13" t="s">
        <v>71</v>
      </c>
      <c r="D20" s="9" t="s">
        <v>520</v>
      </c>
      <c r="E20" s="21" t="s">
        <v>58</v>
      </c>
      <c r="F20" s="19" t="s">
        <v>456</v>
      </c>
      <c r="G20" s="22" t="s">
        <v>73</v>
      </c>
      <c r="H20" s="71"/>
      <c r="I20" s="25"/>
      <c r="J20" s="25" t="s">
        <v>3</v>
      </c>
      <c r="K20" s="25" t="s">
        <v>74</v>
      </c>
      <c r="L20" s="25" t="s">
        <v>74</v>
      </c>
    </row>
    <row r="21" spans="2:12" s="1" customFormat="1">
      <c r="B21" s="13" t="s">
        <v>459</v>
      </c>
      <c r="C21" s="13" t="s">
        <v>71</v>
      </c>
      <c r="D21" s="9" t="s">
        <v>523</v>
      </c>
      <c r="E21" s="21" t="s">
        <v>587</v>
      </c>
      <c r="F21" s="19" t="str">
        <f t="shared" ref="F21" si="0">B21</f>
        <v>ecgi</v>
      </c>
      <c r="G21" s="22" t="s">
        <v>302</v>
      </c>
      <c r="H21" s="71"/>
      <c r="I21" s="25"/>
      <c r="J21" s="25" t="s">
        <v>3</v>
      </c>
      <c r="K21" s="25" t="s">
        <v>74</v>
      </c>
      <c r="L21" s="25" t="s">
        <v>74</v>
      </c>
    </row>
    <row r="22" spans="2:12" s="1" customFormat="1">
      <c r="B22" s="13" t="s">
        <v>307</v>
      </c>
      <c r="C22" s="13" t="s">
        <v>71</v>
      </c>
      <c r="D22" s="9" t="s">
        <v>91</v>
      </c>
      <c r="E22" s="21" t="s">
        <v>58</v>
      </c>
      <c r="F22" s="19" t="s">
        <v>90</v>
      </c>
      <c r="G22" s="22" t="s">
        <v>73</v>
      </c>
      <c r="H22" s="71"/>
      <c r="I22" s="25"/>
      <c r="J22" s="25" t="s">
        <v>3</v>
      </c>
      <c r="K22" s="25" t="s">
        <v>74</v>
      </c>
      <c r="L22" s="25" t="s">
        <v>74</v>
      </c>
    </row>
    <row r="23" spans="2:12" s="1" customFormat="1">
      <c r="B23" s="13" t="s">
        <v>769</v>
      </c>
      <c r="C23" s="13" t="s">
        <v>771</v>
      </c>
      <c r="D23" s="9" t="s">
        <v>768</v>
      </c>
      <c r="E23" s="21" t="s">
        <v>58</v>
      </c>
      <c r="F23" s="19"/>
      <c r="G23" s="84" t="s">
        <v>1328</v>
      </c>
      <c r="H23" s="71"/>
      <c r="I23" s="25"/>
      <c r="J23" s="25" t="s">
        <v>99</v>
      </c>
      <c r="K23" s="25" t="s">
        <v>121</v>
      </c>
      <c r="L23" s="25" t="s">
        <v>100</v>
      </c>
    </row>
    <row r="24" spans="2:12" s="1" customFormat="1">
      <c r="B24" s="13" t="s">
        <v>770</v>
      </c>
      <c r="C24" s="13" t="s">
        <v>771</v>
      </c>
      <c r="D24" s="9" t="s">
        <v>773</v>
      </c>
      <c r="E24" s="21" t="s">
        <v>58</v>
      </c>
      <c r="F24" s="19"/>
      <c r="G24" s="84" t="s">
        <v>1329</v>
      </c>
      <c r="H24" s="71"/>
      <c r="I24" s="25"/>
      <c r="J24" s="25" t="s">
        <v>99</v>
      </c>
      <c r="K24" s="25" t="s">
        <v>121</v>
      </c>
      <c r="L24" s="25" t="s">
        <v>100</v>
      </c>
    </row>
    <row r="25" spans="2:12" s="1" customFormat="1">
      <c r="B25" s="13" t="s">
        <v>774</v>
      </c>
      <c r="C25" s="13" t="s">
        <v>771</v>
      </c>
      <c r="D25" s="9" t="s">
        <v>776</v>
      </c>
      <c r="E25" s="21" t="s">
        <v>58</v>
      </c>
      <c r="F25" s="19"/>
      <c r="G25" s="84" t="s">
        <v>1330</v>
      </c>
      <c r="H25" s="71"/>
      <c r="I25" s="25"/>
      <c r="J25" s="25" t="s">
        <v>99</v>
      </c>
      <c r="K25" s="25" t="s">
        <v>121</v>
      </c>
      <c r="L25" s="25" t="s">
        <v>100</v>
      </c>
    </row>
    <row r="26" spans="2:12" s="1" customFormat="1">
      <c r="B26" s="13" t="s">
        <v>775</v>
      </c>
      <c r="C26" s="13" t="s">
        <v>771</v>
      </c>
      <c r="D26" s="9" t="s">
        <v>777</v>
      </c>
      <c r="E26" s="21" t="s">
        <v>58</v>
      </c>
      <c r="F26" s="19"/>
      <c r="G26" s="84" t="s">
        <v>1331</v>
      </c>
      <c r="H26" s="71"/>
      <c r="I26" s="25"/>
      <c r="J26" s="25" t="s">
        <v>99</v>
      </c>
      <c r="K26" s="25" t="s">
        <v>121</v>
      </c>
      <c r="L26" s="25" t="s">
        <v>100</v>
      </c>
    </row>
    <row r="27" spans="2:12" s="1" customFormat="1">
      <c r="B27" s="13" t="s">
        <v>779</v>
      </c>
      <c r="C27" s="13" t="s">
        <v>771</v>
      </c>
      <c r="D27" s="9" t="s">
        <v>783</v>
      </c>
      <c r="E27" s="21" t="s">
        <v>58</v>
      </c>
      <c r="F27" s="19"/>
      <c r="G27" s="84" t="s">
        <v>1332</v>
      </c>
      <c r="H27" s="71"/>
      <c r="I27" s="25"/>
      <c r="J27" s="25" t="s">
        <v>99</v>
      </c>
      <c r="K27" s="25" t="s">
        <v>121</v>
      </c>
      <c r="L27" s="25" t="s">
        <v>100</v>
      </c>
    </row>
    <row r="28" spans="2:12" s="1" customFormat="1">
      <c r="B28" s="13" t="s">
        <v>780</v>
      </c>
      <c r="C28" s="13" t="s">
        <v>771</v>
      </c>
      <c r="D28" s="9" t="s">
        <v>784</v>
      </c>
      <c r="E28" s="21" t="s">
        <v>58</v>
      </c>
      <c r="F28" s="19"/>
      <c r="G28" s="84" t="s">
        <v>1333</v>
      </c>
      <c r="H28" s="71"/>
      <c r="I28" s="25"/>
      <c r="J28" s="25" t="s">
        <v>99</v>
      </c>
      <c r="K28" s="25" t="s">
        <v>121</v>
      </c>
      <c r="L28" s="25" t="s">
        <v>100</v>
      </c>
    </row>
    <row r="29" spans="2:12" s="1" customFormat="1">
      <c r="B29" s="13" t="s">
        <v>781</v>
      </c>
      <c r="C29" s="13" t="s">
        <v>771</v>
      </c>
      <c r="D29" s="9" t="s">
        <v>785</v>
      </c>
      <c r="E29" s="21" t="s">
        <v>58</v>
      </c>
      <c r="F29" s="19"/>
      <c r="G29" s="84" t="s">
        <v>1334</v>
      </c>
      <c r="H29" s="71"/>
      <c r="I29" s="25"/>
      <c r="J29" s="25" t="s">
        <v>99</v>
      </c>
      <c r="K29" s="25" t="s">
        <v>121</v>
      </c>
      <c r="L29" s="25" t="s">
        <v>100</v>
      </c>
    </row>
    <row r="30" spans="2:12" s="1" customFormat="1">
      <c r="B30" s="13" t="s">
        <v>782</v>
      </c>
      <c r="C30" s="13" t="s">
        <v>771</v>
      </c>
      <c r="D30" s="9" t="s">
        <v>786</v>
      </c>
      <c r="E30" s="21" t="s">
        <v>58</v>
      </c>
      <c r="F30" s="19"/>
      <c r="G30" s="84" t="s">
        <v>1335</v>
      </c>
      <c r="H30" s="71"/>
      <c r="I30" s="25"/>
      <c r="J30" s="25" t="s">
        <v>99</v>
      </c>
      <c r="K30" s="25" t="s">
        <v>121</v>
      </c>
      <c r="L30" s="25" t="s">
        <v>100</v>
      </c>
    </row>
    <row r="31" spans="2:12" s="1" customFormat="1">
      <c r="B31" s="13" t="s">
        <v>792</v>
      </c>
      <c r="C31" s="13" t="s">
        <v>771</v>
      </c>
      <c r="D31" s="9" t="s">
        <v>733</v>
      </c>
      <c r="E31" s="21" t="s">
        <v>58</v>
      </c>
      <c r="F31" s="19"/>
      <c r="G31" s="84" t="s">
        <v>1336</v>
      </c>
      <c r="H31" s="71"/>
      <c r="I31" s="25"/>
      <c r="J31" s="25" t="s">
        <v>99</v>
      </c>
      <c r="K31" s="25" t="s">
        <v>121</v>
      </c>
      <c r="L31" s="25" t="s">
        <v>100</v>
      </c>
    </row>
    <row r="32" spans="2:12" s="1" customFormat="1">
      <c r="B32" s="13" t="s">
        <v>793</v>
      </c>
      <c r="C32" s="13" t="s">
        <v>771</v>
      </c>
      <c r="D32" s="9" t="s">
        <v>734</v>
      </c>
      <c r="E32" s="21" t="s">
        <v>58</v>
      </c>
      <c r="F32" s="19"/>
      <c r="G32" s="84" t="s">
        <v>1337</v>
      </c>
      <c r="H32" s="71"/>
      <c r="I32" s="25"/>
      <c r="J32" s="25" t="s">
        <v>99</v>
      </c>
      <c r="K32" s="25" t="s">
        <v>121</v>
      </c>
      <c r="L32" s="25" t="s">
        <v>100</v>
      </c>
    </row>
    <row r="33" spans="2:12" s="1" customFormat="1">
      <c r="B33" s="13" t="s">
        <v>794</v>
      </c>
      <c r="C33" s="13" t="s">
        <v>771</v>
      </c>
      <c r="D33" s="9" t="s">
        <v>735</v>
      </c>
      <c r="E33" s="21" t="s">
        <v>58</v>
      </c>
      <c r="F33" s="19"/>
      <c r="G33" s="84" t="s">
        <v>1338</v>
      </c>
      <c r="H33" s="71"/>
      <c r="I33" s="25"/>
      <c r="J33" s="25" t="s">
        <v>99</v>
      </c>
      <c r="K33" s="25" t="s">
        <v>121</v>
      </c>
      <c r="L33" s="25" t="s">
        <v>100</v>
      </c>
    </row>
    <row r="34" spans="2:12" s="1" customFormat="1">
      <c r="B34" s="13" t="s">
        <v>795</v>
      </c>
      <c r="C34" s="13" t="s">
        <v>771</v>
      </c>
      <c r="D34" s="9" t="s">
        <v>736</v>
      </c>
      <c r="E34" s="21" t="s">
        <v>58</v>
      </c>
      <c r="F34" s="19"/>
      <c r="G34" s="84" t="s">
        <v>1339</v>
      </c>
      <c r="H34" s="71"/>
      <c r="I34" s="25"/>
      <c r="J34" s="25" t="s">
        <v>99</v>
      </c>
      <c r="K34" s="25" t="s">
        <v>121</v>
      </c>
      <c r="L34" s="25" t="s">
        <v>100</v>
      </c>
    </row>
    <row r="35" spans="2:12" s="1" customFormat="1">
      <c r="B35" s="13" t="s">
        <v>801</v>
      </c>
      <c r="C35" s="13" t="s">
        <v>771</v>
      </c>
      <c r="D35" s="9" t="s">
        <v>695</v>
      </c>
      <c r="E35" s="21" t="s">
        <v>58</v>
      </c>
      <c r="F35" s="19"/>
      <c r="G35" s="84" t="s">
        <v>1340</v>
      </c>
      <c r="H35" s="71"/>
      <c r="I35" s="25"/>
      <c r="J35" s="25" t="s">
        <v>99</v>
      </c>
      <c r="K35" s="25" t="s">
        <v>121</v>
      </c>
      <c r="L35" s="25" t="s">
        <v>100</v>
      </c>
    </row>
    <row r="36" spans="2:12" s="1" customFormat="1">
      <c r="B36" s="13" t="s">
        <v>802</v>
      </c>
      <c r="C36" s="13" t="s">
        <v>771</v>
      </c>
      <c r="D36" s="9" t="s">
        <v>282</v>
      </c>
      <c r="E36" s="21" t="s">
        <v>58</v>
      </c>
      <c r="F36" s="19"/>
      <c r="G36" s="84" t="s">
        <v>1341</v>
      </c>
      <c r="H36" s="71"/>
      <c r="I36" s="25"/>
      <c r="J36" s="25" t="s">
        <v>99</v>
      </c>
      <c r="K36" s="25" t="s">
        <v>121</v>
      </c>
      <c r="L36" s="25" t="s">
        <v>100</v>
      </c>
    </row>
    <row r="37" spans="2:12" s="1" customFormat="1">
      <c r="B37" s="13" t="s">
        <v>803</v>
      </c>
      <c r="C37" s="13" t="s">
        <v>771</v>
      </c>
      <c r="D37" s="9" t="s">
        <v>283</v>
      </c>
      <c r="E37" s="21" t="s">
        <v>58</v>
      </c>
      <c r="F37" s="19"/>
      <c r="G37" s="84" t="s">
        <v>1342</v>
      </c>
      <c r="H37" s="71"/>
      <c r="I37" s="25"/>
      <c r="J37" s="25" t="s">
        <v>99</v>
      </c>
      <c r="K37" s="25" t="s">
        <v>121</v>
      </c>
      <c r="L37" s="25" t="s">
        <v>100</v>
      </c>
    </row>
    <row r="38" spans="2:12" s="1" customFormat="1">
      <c r="B38" s="13" t="s">
        <v>804</v>
      </c>
      <c r="C38" s="13" t="s">
        <v>771</v>
      </c>
      <c r="D38" s="9" t="s">
        <v>284</v>
      </c>
      <c r="E38" s="21" t="s">
        <v>58</v>
      </c>
      <c r="F38" s="19"/>
      <c r="G38" s="84" t="s">
        <v>1343</v>
      </c>
      <c r="H38" s="71"/>
      <c r="I38" s="25"/>
      <c r="J38" s="25" t="s">
        <v>99</v>
      </c>
      <c r="K38" s="25" t="s">
        <v>121</v>
      </c>
      <c r="L38" s="25" t="s">
        <v>100</v>
      </c>
    </row>
    <row r="39" spans="2:12" s="1" customFormat="1">
      <c r="B39" s="13" t="s">
        <v>809</v>
      </c>
      <c r="C39" s="13" t="s">
        <v>771</v>
      </c>
      <c r="D39" s="9" t="s">
        <v>813</v>
      </c>
      <c r="E39" s="21" t="s">
        <v>58</v>
      </c>
      <c r="F39" s="19"/>
      <c r="G39" s="84" t="s">
        <v>1344</v>
      </c>
      <c r="H39" s="71"/>
      <c r="I39" s="25"/>
      <c r="J39" s="25" t="s">
        <v>99</v>
      </c>
      <c r="K39" s="25" t="s">
        <v>121</v>
      </c>
      <c r="L39" s="25" t="s">
        <v>100</v>
      </c>
    </row>
    <row r="40" spans="2:12" s="1" customFormat="1">
      <c r="B40" s="13" t="s">
        <v>810</v>
      </c>
      <c r="C40" s="13" t="s">
        <v>771</v>
      </c>
      <c r="D40" s="9" t="s">
        <v>814</v>
      </c>
      <c r="E40" s="21" t="s">
        <v>58</v>
      </c>
      <c r="F40" s="19"/>
      <c r="G40" s="84" t="s">
        <v>1345</v>
      </c>
      <c r="H40" s="71"/>
      <c r="I40" s="25"/>
      <c r="J40" s="25" t="s">
        <v>99</v>
      </c>
      <c r="K40" s="25" t="s">
        <v>121</v>
      </c>
      <c r="L40" s="25" t="s">
        <v>100</v>
      </c>
    </row>
    <row r="41" spans="2:12" s="1" customFormat="1">
      <c r="B41" s="13" t="s">
        <v>811</v>
      </c>
      <c r="C41" s="13" t="s">
        <v>771</v>
      </c>
      <c r="D41" s="9" t="s">
        <v>815</v>
      </c>
      <c r="E41" s="21" t="s">
        <v>58</v>
      </c>
      <c r="F41" s="19"/>
      <c r="G41" s="84" t="s">
        <v>1346</v>
      </c>
      <c r="H41" s="71"/>
      <c r="I41" s="25"/>
      <c r="J41" s="25" t="s">
        <v>99</v>
      </c>
      <c r="K41" s="25" t="s">
        <v>121</v>
      </c>
      <c r="L41" s="25" t="s">
        <v>100</v>
      </c>
    </row>
    <row r="42" spans="2:12" s="1" customFormat="1">
      <c r="B42" s="13" t="s">
        <v>812</v>
      </c>
      <c r="C42" s="13" t="s">
        <v>771</v>
      </c>
      <c r="D42" s="9" t="s">
        <v>816</v>
      </c>
      <c r="E42" s="21" t="s">
        <v>58</v>
      </c>
      <c r="F42" s="19"/>
      <c r="G42" s="84" t="s">
        <v>1347</v>
      </c>
      <c r="H42" s="71"/>
      <c r="I42" s="25"/>
      <c r="J42" s="25" t="s">
        <v>99</v>
      </c>
      <c r="K42" s="25" t="s">
        <v>121</v>
      </c>
      <c r="L42" s="25" t="s">
        <v>100</v>
      </c>
    </row>
    <row r="43" spans="2:12" s="1" customFormat="1">
      <c r="B43" s="13" t="s">
        <v>821</v>
      </c>
      <c r="C43" s="13" t="s">
        <v>771</v>
      </c>
      <c r="D43" s="9" t="s">
        <v>696</v>
      </c>
      <c r="E43" s="21" t="s">
        <v>58</v>
      </c>
      <c r="F43" s="19"/>
      <c r="G43" s="84" t="s">
        <v>1348</v>
      </c>
      <c r="H43" s="71"/>
      <c r="I43" s="25"/>
      <c r="J43" s="25" t="s">
        <v>99</v>
      </c>
      <c r="K43" s="25" t="s">
        <v>121</v>
      </c>
      <c r="L43" s="25" t="s">
        <v>100</v>
      </c>
    </row>
    <row r="44" spans="2:12" s="1" customFormat="1">
      <c r="B44" s="13" t="s">
        <v>1125</v>
      </c>
      <c r="C44" s="13" t="s">
        <v>771</v>
      </c>
      <c r="D44" s="9" t="s">
        <v>697</v>
      </c>
      <c r="E44" s="21" t="s">
        <v>58</v>
      </c>
      <c r="F44" s="19"/>
      <c r="G44" s="84" t="s">
        <v>1349</v>
      </c>
      <c r="H44" s="71"/>
      <c r="I44" s="25"/>
      <c r="J44" s="25" t="s">
        <v>99</v>
      </c>
      <c r="K44" s="25" t="s">
        <v>121</v>
      </c>
      <c r="L44" s="25" t="s">
        <v>100</v>
      </c>
    </row>
    <row r="45" spans="2:12" s="1" customFormat="1">
      <c r="B45" s="13" t="s">
        <v>1126</v>
      </c>
      <c r="C45" s="13" t="s">
        <v>771</v>
      </c>
      <c r="D45" s="9" t="s">
        <v>698</v>
      </c>
      <c r="E45" s="21" t="s">
        <v>58</v>
      </c>
      <c r="F45" s="19"/>
      <c r="G45" s="84" t="s">
        <v>1350</v>
      </c>
      <c r="H45" s="71"/>
      <c r="I45" s="25"/>
      <c r="J45" s="25" t="s">
        <v>99</v>
      </c>
      <c r="K45" s="25" t="s">
        <v>121</v>
      </c>
      <c r="L45" s="25" t="s">
        <v>100</v>
      </c>
    </row>
    <row r="46" spans="2:12" s="1" customFormat="1">
      <c r="B46" s="13" t="s">
        <v>822</v>
      </c>
      <c r="C46" s="13" t="s">
        <v>771</v>
      </c>
      <c r="D46" s="9" t="s">
        <v>699</v>
      </c>
      <c r="E46" s="21" t="s">
        <v>58</v>
      </c>
      <c r="F46" s="19"/>
      <c r="G46" s="84" t="s">
        <v>1351</v>
      </c>
      <c r="H46" s="71"/>
      <c r="I46" s="25"/>
      <c r="J46" s="25" t="s">
        <v>99</v>
      </c>
      <c r="K46" s="25" t="s">
        <v>121</v>
      </c>
      <c r="L46" s="25" t="s">
        <v>100</v>
      </c>
    </row>
    <row r="47" spans="2:12" s="1" customFormat="1">
      <c r="B47" s="13" t="s">
        <v>1293</v>
      </c>
      <c r="C47" s="13" t="s">
        <v>771</v>
      </c>
      <c r="D47" s="9" t="s">
        <v>1298</v>
      </c>
      <c r="E47" s="21" t="s">
        <v>58</v>
      </c>
      <c r="F47" s="19"/>
      <c r="G47" s="84" t="s">
        <v>1352</v>
      </c>
      <c r="H47" s="71"/>
      <c r="I47" s="25"/>
      <c r="J47" s="25" t="s">
        <v>99</v>
      </c>
      <c r="K47" s="25" t="s">
        <v>121</v>
      </c>
      <c r="L47" s="25" t="s">
        <v>100</v>
      </c>
    </row>
    <row r="48" spans="2:12" s="1" customFormat="1">
      <c r="B48" s="13" t="s">
        <v>1294</v>
      </c>
      <c r="C48" s="13" t="s">
        <v>771</v>
      </c>
      <c r="D48" s="9" t="s">
        <v>1299</v>
      </c>
      <c r="E48" s="21" t="s">
        <v>58</v>
      </c>
      <c r="F48" s="19"/>
      <c r="G48" s="84" t="s">
        <v>1353</v>
      </c>
      <c r="H48" s="71"/>
      <c r="I48" s="25"/>
      <c r="J48" s="25" t="s">
        <v>99</v>
      </c>
      <c r="K48" s="25" t="s">
        <v>121</v>
      </c>
      <c r="L48" s="25" t="s">
        <v>100</v>
      </c>
    </row>
    <row r="49" spans="2:12" s="1" customFormat="1">
      <c r="B49" s="13" t="s">
        <v>1295</v>
      </c>
      <c r="C49" s="13" t="s">
        <v>771</v>
      </c>
      <c r="D49" s="9" t="s">
        <v>1300</v>
      </c>
      <c r="E49" s="21" t="s">
        <v>58</v>
      </c>
      <c r="F49" s="19"/>
      <c r="G49" s="84" t="s">
        <v>1354</v>
      </c>
      <c r="H49" s="71"/>
      <c r="I49" s="25"/>
      <c r="J49" s="25" t="s">
        <v>99</v>
      </c>
      <c r="K49" s="25" t="s">
        <v>121</v>
      </c>
      <c r="L49" s="25" t="s">
        <v>100</v>
      </c>
    </row>
    <row r="50" spans="2:12" s="1" customFormat="1">
      <c r="B50" s="13" t="s">
        <v>1296</v>
      </c>
      <c r="C50" s="13" t="s">
        <v>771</v>
      </c>
      <c r="D50" s="9" t="s">
        <v>1301</v>
      </c>
      <c r="E50" s="21" t="s">
        <v>58</v>
      </c>
      <c r="F50" s="19"/>
      <c r="G50" s="84" t="s">
        <v>1355</v>
      </c>
      <c r="H50" s="71"/>
      <c r="I50" s="25"/>
      <c r="J50" s="25" t="s">
        <v>99</v>
      </c>
      <c r="K50" s="25" t="s">
        <v>121</v>
      </c>
      <c r="L50" s="25" t="s">
        <v>100</v>
      </c>
    </row>
    <row r="51" spans="2:12" s="1" customFormat="1">
      <c r="B51" s="13" t="s">
        <v>835</v>
      </c>
      <c r="C51" s="13" t="s">
        <v>771</v>
      </c>
      <c r="D51" s="9" t="s">
        <v>840</v>
      </c>
      <c r="E51" s="21" t="s">
        <v>58</v>
      </c>
      <c r="F51" s="19"/>
      <c r="G51" s="84" t="s">
        <v>1356</v>
      </c>
      <c r="H51" s="71"/>
      <c r="I51" s="25"/>
      <c r="J51" s="25" t="s">
        <v>99</v>
      </c>
      <c r="K51" s="25" t="s">
        <v>121</v>
      </c>
      <c r="L51" s="25" t="s">
        <v>100</v>
      </c>
    </row>
    <row r="52" spans="2:12" s="1" customFormat="1">
      <c r="B52" s="13" t="s">
        <v>1127</v>
      </c>
      <c r="C52" s="13" t="s">
        <v>771</v>
      </c>
      <c r="D52" s="9" t="s">
        <v>837</v>
      </c>
      <c r="E52" s="21" t="s">
        <v>58</v>
      </c>
      <c r="F52" s="19"/>
      <c r="G52" s="84" t="s">
        <v>1357</v>
      </c>
      <c r="H52" s="71"/>
      <c r="I52" s="25"/>
      <c r="J52" s="25" t="s">
        <v>99</v>
      </c>
      <c r="K52" s="25" t="s">
        <v>121</v>
      </c>
      <c r="L52" s="25" t="s">
        <v>100</v>
      </c>
    </row>
    <row r="53" spans="2:12" s="1" customFormat="1">
      <c r="B53" s="13" t="s">
        <v>1128</v>
      </c>
      <c r="C53" s="13" t="s">
        <v>771</v>
      </c>
      <c r="D53" s="9" t="s">
        <v>838</v>
      </c>
      <c r="E53" s="21" t="s">
        <v>58</v>
      </c>
      <c r="F53" s="19"/>
      <c r="G53" s="84" t="s">
        <v>1358</v>
      </c>
      <c r="H53" s="71"/>
      <c r="I53" s="25"/>
      <c r="J53" s="25" t="s">
        <v>99</v>
      </c>
      <c r="K53" s="25" t="s">
        <v>121</v>
      </c>
      <c r="L53" s="25" t="s">
        <v>100</v>
      </c>
    </row>
    <row r="54" spans="2:12" s="1" customFormat="1">
      <c r="B54" s="13" t="s">
        <v>836</v>
      </c>
      <c r="C54" s="13" t="s">
        <v>771</v>
      </c>
      <c r="D54" s="9" t="s">
        <v>839</v>
      </c>
      <c r="E54" s="21" t="s">
        <v>58</v>
      </c>
      <c r="F54" s="19"/>
      <c r="G54" s="84" t="s">
        <v>1359</v>
      </c>
      <c r="H54" s="71"/>
      <c r="I54" s="25"/>
      <c r="J54" s="25" t="s">
        <v>99</v>
      </c>
      <c r="K54" s="25" t="s">
        <v>121</v>
      </c>
      <c r="L54" s="25" t="s">
        <v>100</v>
      </c>
    </row>
    <row r="55" spans="2:12" s="1" customFormat="1">
      <c r="B55" s="13" t="s">
        <v>1227</v>
      </c>
      <c r="C55" s="13" t="s">
        <v>771</v>
      </c>
      <c r="D55" s="9" t="s">
        <v>850</v>
      </c>
      <c r="E55" s="21" t="s">
        <v>58</v>
      </c>
      <c r="F55" s="19"/>
      <c r="G55" s="84" t="s">
        <v>1360</v>
      </c>
      <c r="H55" s="71"/>
      <c r="I55" s="25"/>
      <c r="J55" s="25" t="s">
        <v>99</v>
      </c>
      <c r="K55" s="25" t="s">
        <v>121</v>
      </c>
      <c r="L55" s="25" t="s">
        <v>100</v>
      </c>
    </row>
    <row r="56" spans="2:12" s="1" customFormat="1">
      <c r="B56" s="13" t="s">
        <v>1132</v>
      </c>
      <c r="C56" s="13" t="s">
        <v>771</v>
      </c>
      <c r="D56" s="9" t="s">
        <v>851</v>
      </c>
      <c r="E56" s="21" t="s">
        <v>58</v>
      </c>
      <c r="F56" s="19"/>
      <c r="G56" s="84" t="s">
        <v>1361</v>
      </c>
      <c r="H56" s="71"/>
      <c r="I56" s="25"/>
      <c r="J56" s="25" t="s">
        <v>99</v>
      </c>
      <c r="K56" s="25" t="s">
        <v>121</v>
      </c>
      <c r="L56" s="25" t="s">
        <v>100</v>
      </c>
    </row>
    <row r="57" spans="2:12" s="1" customFormat="1">
      <c r="B57" s="13" t="s">
        <v>848</v>
      </c>
      <c r="C57" s="13" t="s">
        <v>771</v>
      </c>
      <c r="D57" s="9" t="s">
        <v>852</v>
      </c>
      <c r="E57" s="21" t="s">
        <v>58</v>
      </c>
      <c r="F57" s="19"/>
      <c r="G57" s="84" t="s">
        <v>1362</v>
      </c>
      <c r="H57" s="71"/>
      <c r="I57" s="25"/>
      <c r="J57" s="25" t="s">
        <v>99</v>
      </c>
      <c r="K57" s="25" t="s">
        <v>121</v>
      </c>
      <c r="L57" s="25" t="s">
        <v>100</v>
      </c>
    </row>
    <row r="58" spans="2:12" s="1" customFormat="1">
      <c r="B58" s="13" t="s">
        <v>849</v>
      </c>
      <c r="C58" s="13" t="s">
        <v>771</v>
      </c>
      <c r="D58" s="9" t="s">
        <v>853</v>
      </c>
      <c r="E58" s="21" t="s">
        <v>58</v>
      </c>
      <c r="F58" s="19"/>
      <c r="G58" s="84" t="s">
        <v>1363</v>
      </c>
      <c r="H58" s="71"/>
      <c r="I58" s="25"/>
      <c r="J58" s="25" t="s">
        <v>99</v>
      </c>
      <c r="K58" s="25" t="s">
        <v>121</v>
      </c>
      <c r="L58" s="25" t="s">
        <v>100</v>
      </c>
    </row>
    <row r="59" spans="2:12" s="1" customFormat="1">
      <c r="B59" s="13" t="s">
        <v>1228</v>
      </c>
      <c r="C59" s="13" t="s">
        <v>771</v>
      </c>
      <c r="D59" s="9" t="s">
        <v>860</v>
      </c>
      <c r="E59" s="21" t="s">
        <v>58</v>
      </c>
      <c r="F59" s="19"/>
      <c r="G59" s="84" t="s">
        <v>1364</v>
      </c>
      <c r="H59" s="71"/>
      <c r="I59" s="25"/>
      <c r="J59" s="25" t="s">
        <v>99</v>
      </c>
      <c r="K59" s="25" t="s">
        <v>121</v>
      </c>
      <c r="L59" s="25" t="s">
        <v>100</v>
      </c>
    </row>
    <row r="60" spans="2:12" s="1" customFormat="1">
      <c r="B60" s="13" t="s">
        <v>1133</v>
      </c>
      <c r="C60" s="13" t="s">
        <v>771</v>
      </c>
      <c r="D60" s="9" t="s">
        <v>861</v>
      </c>
      <c r="E60" s="21" t="s">
        <v>58</v>
      </c>
      <c r="F60" s="19"/>
      <c r="G60" s="84" t="s">
        <v>1365</v>
      </c>
      <c r="H60" s="71"/>
      <c r="I60" s="25"/>
      <c r="J60" s="25" t="s">
        <v>99</v>
      </c>
      <c r="K60" s="25" t="s">
        <v>121</v>
      </c>
      <c r="L60" s="25" t="s">
        <v>100</v>
      </c>
    </row>
    <row r="61" spans="2:12" s="1" customFormat="1">
      <c r="B61" s="13" t="s">
        <v>858</v>
      </c>
      <c r="C61" s="13" t="s">
        <v>771</v>
      </c>
      <c r="D61" s="9" t="s">
        <v>862</v>
      </c>
      <c r="E61" s="21" t="s">
        <v>58</v>
      </c>
      <c r="F61" s="19"/>
      <c r="G61" s="84" t="s">
        <v>1366</v>
      </c>
      <c r="H61" s="71"/>
      <c r="I61" s="25"/>
      <c r="J61" s="25" t="s">
        <v>99</v>
      </c>
      <c r="K61" s="25" t="s">
        <v>121</v>
      </c>
      <c r="L61" s="25" t="s">
        <v>100</v>
      </c>
    </row>
    <row r="62" spans="2:12" s="1" customFormat="1">
      <c r="B62" s="13" t="s">
        <v>859</v>
      </c>
      <c r="C62" s="13" t="s">
        <v>771</v>
      </c>
      <c r="D62" s="9" t="s">
        <v>863</v>
      </c>
      <c r="E62" s="21" t="s">
        <v>58</v>
      </c>
      <c r="F62" s="19"/>
      <c r="G62" s="84" t="s">
        <v>1367</v>
      </c>
      <c r="H62" s="71"/>
      <c r="I62" s="25"/>
      <c r="J62" s="25" t="s">
        <v>99</v>
      </c>
      <c r="K62" s="25" t="s">
        <v>121</v>
      </c>
      <c r="L62" s="25" t="s">
        <v>100</v>
      </c>
    </row>
    <row r="63" spans="2:12" s="1" customFormat="1">
      <c r="B63" s="13" t="s">
        <v>871</v>
      </c>
      <c r="C63" s="13" t="s">
        <v>771</v>
      </c>
      <c r="D63" s="9" t="s">
        <v>872</v>
      </c>
      <c r="E63" s="21" t="s">
        <v>58</v>
      </c>
      <c r="F63" s="19"/>
      <c r="G63" s="84" t="s">
        <v>1368</v>
      </c>
      <c r="H63" s="71"/>
      <c r="I63" s="25"/>
      <c r="J63" s="25" t="s">
        <v>99</v>
      </c>
      <c r="K63" s="25" t="s">
        <v>121</v>
      </c>
      <c r="L63" s="25" t="s">
        <v>100</v>
      </c>
    </row>
    <row r="64" spans="2:12" s="1" customFormat="1">
      <c r="B64" s="13" t="s">
        <v>868</v>
      </c>
      <c r="C64" s="13" t="s">
        <v>771</v>
      </c>
      <c r="D64" s="9" t="s">
        <v>873</v>
      </c>
      <c r="E64" s="21" t="s">
        <v>58</v>
      </c>
      <c r="F64" s="19"/>
      <c r="G64" s="84" t="s">
        <v>1369</v>
      </c>
      <c r="H64" s="71"/>
      <c r="I64" s="25"/>
      <c r="J64" s="25" t="s">
        <v>99</v>
      </c>
      <c r="K64" s="25" t="s">
        <v>121</v>
      </c>
      <c r="L64" s="25" t="s">
        <v>100</v>
      </c>
    </row>
    <row r="65" spans="2:12" s="1" customFormat="1">
      <c r="B65" s="13" t="s">
        <v>869</v>
      </c>
      <c r="C65" s="13" t="s">
        <v>771</v>
      </c>
      <c r="D65" s="9" t="s">
        <v>874</v>
      </c>
      <c r="E65" s="21" t="s">
        <v>58</v>
      </c>
      <c r="F65" s="19"/>
      <c r="G65" s="84" t="s">
        <v>1370</v>
      </c>
      <c r="H65" s="71"/>
      <c r="I65" s="25"/>
      <c r="J65" s="25" t="s">
        <v>99</v>
      </c>
      <c r="K65" s="25" t="s">
        <v>121</v>
      </c>
      <c r="L65" s="25" t="s">
        <v>100</v>
      </c>
    </row>
    <row r="66" spans="2:12" s="1" customFormat="1">
      <c r="B66" s="13" t="s">
        <v>870</v>
      </c>
      <c r="C66" s="13" t="s">
        <v>771</v>
      </c>
      <c r="D66" s="9" t="s">
        <v>875</v>
      </c>
      <c r="E66" s="21" t="s">
        <v>58</v>
      </c>
      <c r="F66" s="19"/>
      <c r="G66" s="84" t="s">
        <v>1371</v>
      </c>
      <c r="H66" s="71"/>
      <c r="I66" s="25"/>
      <c r="J66" s="25" t="s">
        <v>99</v>
      </c>
      <c r="K66" s="25" t="s">
        <v>121</v>
      </c>
      <c r="L66" s="25" t="s">
        <v>100</v>
      </c>
    </row>
    <row r="67" spans="2:12" s="1" customFormat="1">
      <c r="B67" s="13" t="s">
        <v>880</v>
      </c>
      <c r="C67" s="13" t="s">
        <v>771</v>
      </c>
      <c r="D67" s="9" t="s">
        <v>884</v>
      </c>
      <c r="E67" s="21" t="s">
        <v>58</v>
      </c>
      <c r="F67" s="19"/>
      <c r="G67" s="84" t="s">
        <v>1372</v>
      </c>
      <c r="H67" s="71"/>
      <c r="I67" s="25"/>
      <c r="J67" s="25" t="s">
        <v>99</v>
      </c>
      <c r="K67" s="25" t="s">
        <v>121</v>
      </c>
      <c r="L67" s="25" t="s">
        <v>100</v>
      </c>
    </row>
    <row r="68" spans="2:12" s="1" customFormat="1">
      <c r="B68" s="13" t="s">
        <v>881</v>
      </c>
      <c r="C68" s="13" t="s">
        <v>771</v>
      </c>
      <c r="D68" s="9" t="s">
        <v>885</v>
      </c>
      <c r="E68" s="21" t="s">
        <v>58</v>
      </c>
      <c r="F68" s="19"/>
      <c r="G68" s="84" t="s">
        <v>1373</v>
      </c>
      <c r="H68" s="71"/>
      <c r="I68" s="25"/>
      <c r="J68" s="25" t="s">
        <v>99</v>
      </c>
      <c r="K68" s="25" t="s">
        <v>121</v>
      </c>
      <c r="L68" s="25" t="s">
        <v>100</v>
      </c>
    </row>
    <row r="69" spans="2:12" s="1" customFormat="1">
      <c r="B69" s="13" t="s">
        <v>882</v>
      </c>
      <c r="C69" s="13" t="s">
        <v>771</v>
      </c>
      <c r="D69" s="9" t="s">
        <v>886</v>
      </c>
      <c r="E69" s="21" t="s">
        <v>58</v>
      </c>
      <c r="F69" s="19"/>
      <c r="G69" s="84" t="s">
        <v>1374</v>
      </c>
      <c r="H69" s="71"/>
      <c r="I69" s="25"/>
      <c r="J69" s="25" t="s">
        <v>99</v>
      </c>
      <c r="K69" s="25" t="s">
        <v>121</v>
      </c>
      <c r="L69" s="25" t="s">
        <v>100</v>
      </c>
    </row>
    <row r="70" spans="2:12" s="1" customFormat="1">
      <c r="B70" s="13" t="s">
        <v>883</v>
      </c>
      <c r="C70" s="13" t="s">
        <v>771</v>
      </c>
      <c r="D70" s="9" t="s">
        <v>887</v>
      </c>
      <c r="E70" s="21" t="s">
        <v>58</v>
      </c>
      <c r="F70" s="19"/>
      <c r="G70" s="84" t="s">
        <v>1375</v>
      </c>
      <c r="H70" s="71"/>
      <c r="I70" s="25"/>
      <c r="J70" s="25" t="s">
        <v>99</v>
      </c>
      <c r="K70" s="25" t="s">
        <v>121</v>
      </c>
      <c r="L70" s="25" t="s">
        <v>100</v>
      </c>
    </row>
    <row r="71" spans="2:12" s="1" customFormat="1">
      <c r="B71" s="13" t="s">
        <v>892</v>
      </c>
      <c r="C71" s="13" t="s">
        <v>771</v>
      </c>
      <c r="D71" s="9" t="s">
        <v>896</v>
      </c>
      <c r="E71" s="21" t="s">
        <v>58</v>
      </c>
      <c r="F71" s="19"/>
      <c r="G71" s="84" t="s">
        <v>1376</v>
      </c>
      <c r="H71" s="71"/>
      <c r="I71" s="25"/>
      <c r="J71" s="25" t="s">
        <v>99</v>
      </c>
      <c r="K71" s="25" t="s">
        <v>121</v>
      </c>
      <c r="L71" s="25" t="s">
        <v>100</v>
      </c>
    </row>
    <row r="72" spans="2:12" s="1" customFormat="1">
      <c r="B72" s="13" t="s">
        <v>893</v>
      </c>
      <c r="C72" s="13" t="s">
        <v>771</v>
      </c>
      <c r="D72" s="9" t="s">
        <v>897</v>
      </c>
      <c r="E72" s="21" t="s">
        <v>58</v>
      </c>
      <c r="F72" s="19"/>
      <c r="G72" s="84" t="s">
        <v>1377</v>
      </c>
      <c r="H72" s="71"/>
      <c r="I72" s="25"/>
      <c r="J72" s="25" t="s">
        <v>99</v>
      </c>
      <c r="K72" s="25" t="s">
        <v>121</v>
      </c>
      <c r="L72" s="25" t="s">
        <v>100</v>
      </c>
    </row>
    <row r="73" spans="2:12" s="1" customFormat="1">
      <c r="B73" s="13" t="s">
        <v>894</v>
      </c>
      <c r="C73" s="13" t="s">
        <v>771</v>
      </c>
      <c r="D73" s="9" t="s">
        <v>898</v>
      </c>
      <c r="E73" s="21" t="s">
        <v>58</v>
      </c>
      <c r="F73" s="19"/>
      <c r="G73" s="84" t="s">
        <v>1378</v>
      </c>
      <c r="H73" s="71"/>
      <c r="I73" s="25"/>
      <c r="J73" s="25" t="s">
        <v>99</v>
      </c>
      <c r="K73" s="25" t="s">
        <v>121</v>
      </c>
      <c r="L73" s="25" t="s">
        <v>100</v>
      </c>
    </row>
    <row r="74" spans="2:12" s="1" customFormat="1">
      <c r="B74" s="13" t="s">
        <v>895</v>
      </c>
      <c r="C74" s="13" t="s">
        <v>771</v>
      </c>
      <c r="D74" s="9" t="s">
        <v>899</v>
      </c>
      <c r="E74" s="21" t="s">
        <v>58</v>
      </c>
      <c r="F74" s="19"/>
      <c r="G74" s="84" t="s">
        <v>1379</v>
      </c>
      <c r="H74" s="71"/>
      <c r="I74" s="25"/>
      <c r="J74" s="25" t="s">
        <v>99</v>
      </c>
      <c r="K74" s="25" t="s">
        <v>121</v>
      </c>
      <c r="L74" s="25" t="s">
        <v>100</v>
      </c>
    </row>
    <row r="75" spans="2:12" s="1" customFormat="1">
      <c r="B75" s="13" t="s">
        <v>904</v>
      </c>
      <c r="C75" s="13" t="s">
        <v>771</v>
      </c>
      <c r="D75" s="9" t="s">
        <v>1306</v>
      </c>
      <c r="E75" s="21" t="s">
        <v>58</v>
      </c>
      <c r="F75" s="19"/>
      <c r="G75" s="84" t="s">
        <v>1380</v>
      </c>
      <c r="H75" s="71"/>
      <c r="I75" s="25"/>
      <c r="J75" s="25" t="s">
        <v>99</v>
      </c>
      <c r="K75" s="25" t="s">
        <v>121</v>
      </c>
      <c r="L75" s="25" t="s">
        <v>100</v>
      </c>
    </row>
    <row r="76" spans="2:12" s="1" customFormat="1">
      <c r="B76" s="13" t="s">
        <v>1134</v>
      </c>
      <c r="C76" s="13" t="s">
        <v>771</v>
      </c>
      <c r="D76" s="9" t="s">
        <v>1307</v>
      </c>
      <c r="E76" s="21" t="s">
        <v>58</v>
      </c>
      <c r="F76" s="19"/>
      <c r="G76" s="84" t="s">
        <v>1381</v>
      </c>
      <c r="H76" s="71"/>
      <c r="I76" s="25"/>
      <c r="J76" s="25" t="s">
        <v>99</v>
      </c>
      <c r="K76" s="25" t="s">
        <v>121</v>
      </c>
      <c r="L76" s="25" t="s">
        <v>100</v>
      </c>
    </row>
    <row r="77" spans="2:12" s="1" customFormat="1">
      <c r="B77" s="13" t="s">
        <v>905</v>
      </c>
      <c r="C77" s="13" t="s">
        <v>771</v>
      </c>
      <c r="D77" s="9" t="s">
        <v>1308</v>
      </c>
      <c r="E77" s="21" t="s">
        <v>58</v>
      </c>
      <c r="F77" s="19"/>
      <c r="G77" s="84" t="s">
        <v>1382</v>
      </c>
      <c r="H77" s="71"/>
      <c r="I77" s="25"/>
      <c r="J77" s="25" t="s">
        <v>99</v>
      </c>
      <c r="K77" s="25" t="s">
        <v>121</v>
      </c>
      <c r="L77" s="25" t="s">
        <v>100</v>
      </c>
    </row>
    <row r="78" spans="2:12" s="1" customFormat="1">
      <c r="B78" s="13" t="s">
        <v>906</v>
      </c>
      <c r="C78" s="13" t="s">
        <v>771</v>
      </c>
      <c r="D78" s="9" t="s">
        <v>1309</v>
      </c>
      <c r="E78" s="21" t="s">
        <v>58</v>
      </c>
      <c r="F78" s="19"/>
      <c r="G78" s="84" t="s">
        <v>1383</v>
      </c>
      <c r="H78" s="71"/>
      <c r="I78" s="25"/>
      <c r="J78" s="25" t="s">
        <v>99</v>
      </c>
      <c r="K78" s="25" t="s">
        <v>121</v>
      </c>
      <c r="L78" s="25" t="s">
        <v>100</v>
      </c>
    </row>
    <row r="79" spans="2:12" s="1" customFormat="1">
      <c r="B79" s="13" t="s">
        <v>911</v>
      </c>
      <c r="C79" s="13" t="s">
        <v>771</v>
      </c>
      <c r="D79" s="9" t="s">
        <v>706</v>
      </c>
      <c r="E79" s="21" t="s">
        <v>58</v>
      </c>
      <c r="F79" s="19"/>
      <c r="G79" s="84" t="s">
        <v>1384</v>
      </c>
      <c r="H79" s="71"/>
      <c r="I79" s="25"/>
      <c r="J79" s="25" t="s">
        <v>99</v>
      </c>
      <c r="K79" s="25" t="s">
        <v>121</v>
      </c>
      <c r="L79" s="25" t="s">
        <v>100</v>
      </c>
    </row>
    <row r="80" spans="2:12" s="1" customFormat="1">
      <c r="B80" s="13" t="s">
        <v>1129</v>
      </c>
      <c r="C80" s="13" t="s">
        <v>771</v>
      </c>
      <c r="D80" s="9" t="s">
        <v>707</v>
      </c>
      <c r="E80" s="21" t="s">
        <v>58</v>
      </c>
      <c r="F80" s="19"/>
      <c r="G80" s="84" t="s">
        <v>1385</v>
      </c>
      <c r="H80" s="71"/>
      <c r="I80" s="25"/>
      <c r="J80" s="25" t="s">
        <v>99</v>
      </c>
      <c r="K80" s="25" t="s">
        <v>121</v>
      </c>
      <c r="L80" s="25" t="s">
        <v>100</v>
      </c>
    </row>
    <row r="81" spans="2:12" s="1" customFormat="1">
      <c r="B81" s="13" t="s">
        <v>912</v>
      </c>
      <c r="C81" s="13" t="s">
        <v>771</v>
      </c>
      <c r="D81" s="9" t="s">
        <v>708</v>
      </c>
      <c r="E81" s="21" t="s">
        <v>58</v>
      </c>
      <c r="F81" s="19"/>
      <c r="G81" s="84" t="s">
        <v>1386</v>
      </c>
      <c r="H81" s="71"/>
      <c r="I81" s="25"/>
      <c r="J81" s="25" t="s">
        <v>99</v>
      </c>
      <c r="K81" s="25" t="s">
        <v>121</v>
      </c>
      <c r="L81" s="25" t="s">
        <v>100</v>
      </c>
    </row>
    <row r="82" spans="2:12" s="1" customFormat="1">
      <c r="B82" s="13" t="s">
        <v>913</v>
      </c>
      <c r="C82" s="13" t="s">
        <v>771</v>
      </c>
      <c r="D82" s="9" t="s">
        <v>709</v>
      </c>
      <c r="E82" s="21" t="s">
        <v>58</v>
      </c>
      <c r="F82" s="19"/>
      <c r="G82" s="84" t="s">
        <v>1387</v>
      </c>
      <c r="H82" s="71"/>
      <c r="I82" s="25"/>
      <c r="J82" s="25" t="s">
        <v>99</v>
      </c>
      <c r="K82" s="25" t="s">
        <v>121</v>
      </c>
      <c r="L82" s="25" t="s">
        <v>100</v>
      </c>
    </row>
    <row r="83" spans="2:12" s="1" customFormat="1">
      <c r="B83" s="13" t="s">
        <v>1311</v>
      </c>
      <c r="C83" s="13" t="s">
        <v>771</v>
      </c>
      <c r="D83" s="9" t="s">
        <v>1315</v>
      </c>
      <c r="E83" s="21" t="s">
        <v>58</v>
      </c>
      <c r="F83" s="19"/>
      <c r="G83" s="84" t="s">
        <v>1388</v>
      </c>
      <c r="H83" s="71"/>
      <c r="I83" s="25"/>
      <c r="J83" s="25" t="s">
        <v>99</v>
      </c>
      <c r="K83" s="25" t="s">
        <v>121</v>
      </c>
      <c r="L83" s="25" t="s">
        <v>100</v>
      </c>
    </row>
    <row r="84" spans="2:12" s="1" customFormat="1">
      <c r="B84" s="13" t="s">
        <v>1312</v>
      </c>
      <c r="C84" s="13" t="s">
        <v>771</v>
      </c>
      <c r="D84" s="9" t="s">
        <v>1316</v>
      </c>
      <c r="E84" s="21" t="s">
        <v>58</v>
      </c>
      <c r="F84" s="19"/>
      <c r="G84" s="84" t="s">
        <v>1389</v>
      </c>
      <c r="H84" s="71"/>
      <c r="I84" s="25"/>
      <c r="J84" s="25" t="s">
        <v>99</v>
      </c>
      <c r="K84" s="25" t="s">
        <v>121</v>
      </c>
      <c r="L84" s="25" t="s">
        <v>100</v>
      </c>
    </row>
    <row r="85" spans="2:12" s="1" customFormat="1">
      <c r="B85" s="13" t="s">
        <v>1313</v>
      </c>
      <c r="C85" s="13" t="s">
        <v>771</v>
      </c>
      <c r="D85" s="9" t="s">
        <v>1317</v>
      </c>
      <c r="E85" s="21" t="s">
        <v>58</v>
      </c>
      <c r="F85" s="19"/>
      <c r="G85" s="84" t="s">
        <v>1390</v>
      </c>
      <c r="H85" s="71"/>
      <c r="I85" s="25"/>
      <c r="J85" s="25" t="s">
        <v>99</v>
      </c>
      <c r="K85" s="25" t="s">
        <v>121</v>
      </c>
      <c r="L85" s="25" t="s">
        <v>100</v>
      </c>
    </row>
    <row r="86" spans="2:12" s="1" customFormat="1">
      <c r="B86" s="13" t="s">
        <v>1314</v>
      </c>
      <c r="C86" s="13" t="s">
        <v>771</v>
      </c>
      <c r="D86" s="9" t="s">
        <v>1318</v>
      </c>
      <c r="E86" s="21" t="s">
        <v>58</v>
      </c>
      <c r="F86" s="19"/>
      <c r="G86" s="84" t="s">
        <v>1391</v>
      </c>
      <c r="H86" s="71"/>
      <c r="I86" s="25"/>
      <c r="J86" s="25" t="s">
        <v>99</v>
      </c>
      <c r="K86" s="25" t="s">
        <v>121</v>
      </c>
      <c r="L86" s="25" t="s">
        <v>100</v>
      </c>
    </row>
    <row r="87" spans="2:12" s="1" customFormat="1">
      <c r="B87" s="13" t="s">
        <v>285</v>
      </c>
      <c r="C87" s="13" t="s">
        <v>771</v>
      </c>
      <c r="D87" s="9" t="s">
        <v>918</v>
      </c>
      <c r="E87" s="21" t="s">
        <v>58</v>
      </c>
      <c r="F87" s="19"/>
      <c r="G87" s="84" t="s">
        <v>1392</v>
      </c>
      <c r="H87" s="71"/>
      <c r="I87" s="25"/>
      <c r="J87" s="25" t="s">
        <v>99</v>
      </c>
      <c r="K87" s="25" t="s">
        <v>121</v>
      </c>
      <c r="L87" s="25" t="s">
        <v>100</v>
      </c>
    </row>
    <row r="88" spans="2:12" s="1" customFormat="1">
      <c r="B88" s="13" t="s">
        <v>286</v>
      </c>
      <c r="C88" s="13" t="s">
        <v>771</v>
      </c>
      <c r="D88" s="9" t="s">
        <v>919</v>
      </c>
      <c r="E88" s="21" t="s">
        <v>58</v>
      </c>
      <c r="F88" s="19"/>
      <c r="G88" s="84" t="s">
        <v>1393</v>
      </c>
      <c r="H88" s="71"/>
      <c r="I88" s="25"/>
      <c r="J88" s="25" t="s">
        <v>99</v>
      </c>
      <c r="K88" s="25" t="s">
        <v>121</v>
      </c>
      <c r="L88" s="25" t="s">
        <v>100</v>
      </c>
    </row>
    <row r="89" spans="2:12" s="1" customFormat="1">
      <c r="B89" s="13" t="s">
        <v>287</v>
      </c>
      <c r="C89" s="13" t="s">
        <v>771</v>
      </c>
      <c r="D89" s="9" t="s">
        <v>920</v>
      </c>
      <c r="E89" s="21" t="s">
        <v>58</v>
      </c>
      <c r="F89" s="19"/>
      <c r="G89" s="84" t="s">
        <v>1394</v>
      </c>
      <c r="H89" s="71"/>
      <c r="I89" s="25"/>
      <c r="J89" s="25" t="s">
        <v>99</v>
      </c>
      <c r="K89" s="25" t="s">
        <v>121</v>
      </c>
      <c r="L89" s="25" t="s">
        <v>100</v>
      </c>
    </row>
    <row r="90" spans="2:12" s="1" customFormat="1">
      <c r="B90" s="13" t="s">
        <v>288</v>
      </c>
      <c r="C90" s="13" t="s">
        <v>771</v>
      </c>
      <c r="D90" s="9" t="s">
        <v>921</v>
      </c>
      <c r="E90" s="21" t="s">
        <v>58</v>
      </c>
      <c r="F90" s="19"/>
      <c r="G90" s="84" t="s">
        <v>1395</v>
      </c>
      <c r="H90" s="71"/>
      <c r="I90" s="25"/>
      <c r="J90" s="25" t="s">
        <v>99</v>
      </c>
      <c r="K90" s="25" t="s">
        <v>121</v>
      </c>
      <c r="L90" s="25" t="s">
        <v>100</v>
      </c>
    </row>
    <row r="91" spans="2:12" s="1" customFormat="1">
      <c r="B91" s="13" t="s">
        <v>1310</v>
      </c>
      <c r="C91" s="13" t="s">
        <v>771</v>
      </c>
      <c r="D91" s="9" t="s">
        <v>926</v>
      </c>
      <c r="E91" s="21" t="s">
        <v>58</v>
      </c>
      <c r="F91" s="19"/>
      <c r="G91" s="84" t="s">
        <v>1396</v>
      </c>
      <c r="H91" s="71"/>
      <c r="I91" s="25"/>
      <c r="J91" s="25" t="s">
        <v>99</v>
      </c>
      <c r="K91" s="25" t="s">
        <v>121</v>
      </c>
      <c r="L91" s="25" t="s">
        <v>100</v>
      </c>
    </row>
    <row r="92" spans="2:12" s="1" customFormat="1">
      <c r="B92" s="13" t="s">
        <v>1135</v>
      </c>
      <c r="C92" s="13" t="s">
        <v>771</v>
      </c>
      <c r="D92" s="9" t="s">
        <v>927</v>
      </c>
      <c r="E92" s="21" t="s">
        <v>58</v>
      </c>
      <c r="F92" s="19"/>
      <c r="G92" s="84" t="s">
        <v>1397</v>
      </c>
      <c r="H92" s="71"/>
      <c r="I92" s="25"/>
      <c r="J92" s="25" t="s">
        <v>99</v>
      </c>
      <c r="K92" s="25" t="s">
        <v>121</v>
      </c>
      <c r="L92" s="25" t="s">
        <v>100</v>
      </c>
    </row>
    <row r="93" spans="2:12" s="1" customFormat="1">
      <c r="B93" s="13" t="s">
        <v>1136</v>
      </c>
      <c r="C93" s="13" t="s">
        <v>771</v>
      </c>
      <c r="D93" s="9" t="s">
        <v>928</v>
      </c>
      <c r="E93" s="21" t="s">
        <v>58</v>
      </c>
      <c r="F93" s="19"/>
      <c r="G93" s="84" t="s">
        <v>1398</v>
      </c>
      <c r="H93" s="71"/>
      <c r="I93" s="25"/>
      <c r="J93" s="25" t="s">
        <v>99</v>
      </c>
      <c r="K93" s="25" t="s">
        <v>121</v>
      </c>
      <c r="L93" s="25" t="s">
        <v>100</v>
      </c>
    </row>
    <row r="94" spans="2:12" s="1" customFormat="1">
      <c r="B94" s="13" t="s">
        <v>1137</v>
      </c>
      <c r="C94" s="13" t="s">
        <v>771</v>
      </c>
      <c r="D94" s="9" t="s">
        <v>929</v>
      </c>
      <c r="E94" s="21" t="s">
        <v>58</v>
      </c>
      <c r="F94" s="19"/>
      <c r="G94" s="84" t="s">
        <v>1399</v>
      </c>
      <c r="H94" s="71"/>
      <c r="I94" s="25"/>
      <c r="J94" s="25" t="s">
        <v>99</v>
      </c>
      <c r="K94" s="25" t="s">
        <v>121</v>
      </c>
      <c r="L94" s="25" t="s">
        <v>100</v>
      </c>
    </row>
    <row r="95" spans="2:12" s="1" customFormat="1">
      <c r="B95" s="13" t="s">
        <v>934</v>
      </c>
      <c r="C95" s="13" t="s">
        <v>771</v>
      </c>
      <c r="D95" s="9" t="s">
        <v>710</v>
      </c>
      <c r="E95" s="21" t="s">
        <v>58</v>
      </c>
      <c r="F95" s="19"/>
      <c r="G95" s="84" t="s">
        <v>1400</v>
      </c>
      <c r="H95" s="71"/>
      <c r="I95" s="25"/>
      <c r="J95" s="25" t="s">
        <v>99</v>
      </c>
      <c r="K95" s="25" t="s">
        <v>121</v>
      </c>
      <c r="L95" s="25" t="s">
        <v>100</v>
      </c>
    </row>
    <row r="96" spans="2:12" s="1" customFormat="1">
      <c r="B96" s="13" t="s">
        <v>1138</v>
      </c>
      <c r="C96" s="13" t="s">
        <v>771</v>
      </c>
      <c r="D96" s="9" t="s">
        <v>711</v>
      </c>
      <c r="E96" s="21" t="s">
        <v>58</v>
      </c>
      <c r="F96" s="19"/>
      <c r="G96" s="84" t="s">
        <v>1401</v>
      </c>
      <c r="H96" s="71"/>
      <c r="I96" s="25"/>
      <c r="J96" s="25" t="s">
        <v>99</v>
      </c>
      <c r="K96" s="25" t="s">
        <v>121</v>
      </c>
      <c r="L96" s="25" t="s">
        <v>100</v>
      </c>
    </row>
    <row r="97" spans="2:17" s="1" customFormat="1">
      <c r="B97" s="13" t="s">
        <v>935</v>
      </c>
      <c r="C97" s="13" t="s">
        <v>771</v>
      </c>
      <c r="D97" s="9" t="s">
        <v>712</v>
      </c>
      <c r="E97" s="21" t="s">
        <v>58</v>
      </c>
      <c r="F97" s="19"/>
      <c r="G97" s="84" t="s">
        <v>1402</v>
      </c>
      <c r="H97" s="71"/>
      <c r="I97" s="25"/>
      <c r="J97" s="25" t="s">
        <v>99</v>
      </c>
      <c r="K97" s="25" t="s">
        <v>121</v>
      </c>
      <c r="L97" s="25" t="s">
        <v>100</v>
      </c>
    </row>
    <row r="98" spans="2:17" s="1" customFormat="1">
      <c r="B98" s="13" t="s">
        <v>936</v>
      </c>
      <c r="C98" s="13" t="s">
        <v>771</v>
      </c>
      <c r="D98" s="9" t="s">
        <v>713</v>
      </c>
      <c r="E98" s="21" t="s">
        <v>58</v>
      </c>
      <c r="F98" s="19"/>
      <c r="G98" s="84" t="s">
        <v>1403</v>
      </c>
      <c r="H98" s="71"/>
      <c r="I98" s="25"/>
      <c r="J98" s="25" t="s">
        <v>99</v>
      </c>
      <c r="K98" s="25" t="s">
        <v>121</v>
      </c>
      <c r="L98" s="25" t="s">
        <v>100</v>
      </c>
    </row>
    <row r="99" spans="2:17" s="1" customFormat="1">
      <c r="B99" s="13" t="s">
        <v>944</v>
      </c>
      <c r="C99" s="13" t="s">
        <v>771</v>
      </c>
      <c r="D99" s="9" t="s">
        <v>714</v>
      </c>
      <c r="E99" s="21" t="s">
        <v>58</v>
      </c>
      <c r="F99" s="19"/>
      <c r="G99" s="84" t="s">
        <v>1404</v>
      </c>
      <c r="H99" s="71"/>
      <c r="I99" s="25"/>
      <c r="J99" s="25" t="s">
        <v>99</v>
      </c>
      <c r="K99" s="25" t="s">
        <v>121</v>
      </c>
      <c r="L99" s="25" t="s">
        <v>100</v>
      </c>
    </row>
    <row r="100" spans="2:17" s="1" customFormat="1">
      <c r="B100" s="13" t="s">
        <v>1131</v>
      </c>
      <c r="C100" s="13" t="s">
        <v>771</v>
      </c>
      <c r="D100" s="9" t="s">
        <v>715</v>
      </c>
      <c r="E100" s="21" t="s">
        <v>58</v>
      </c>
      <c r="F100" s="19"/>
      <c r="G100" s="84" t="s">
        <v>1405</v>
      </c>
      <c r="H100" s="71"/>
      <c r="I100" s="25"/>
      <c r="J100" s="25" t="s">
        <v>99</v>
      </c>
      <c r="K100" s="25" t="s">
        <v>121</v>
      </c>
      <c r="L100" s="25" t="s">
        <v>100</v>
      </c>
    </row>
    <row r="101" spans="2:17" s="1" customFormat="1">
      <c r="B101" s="13" t="s">
        <v>945</v>
      </c>
      <c r="C101" s="13" t="s">
        <v>771</v>
      </c>
      <c r="D101" s="9" t="s">
        <v>716</v>
      </c>
      <c r="E101" s="21" t="s">
        <v>58</v>
      </c>
      <c r="F101" s="19"/>
      <c r="G101" s="84" t="s">
        <v>1406</v>
      </c>
      <c r="H101" s="71"/>
      <c r="I101" s="25"/>
      <c r="J101" s="25" t="s">
        <v>99</v>
      </c>
      <c r="K101" s="25" t="s">
        <v>121</v>
      </c>
      <c r="L101" s="25" t="s">
        <v>100</v>
      </c>
    </row>
    <row r="102" spans="2:17" s="1" customFormat="1">
      <c r="B102" s="13" t="s">
        <v>946</v>
      </c>
      <c r="C102" s="13" t="s">
        <v>771</v>
      </c>
      <c r="D102" s="9" t="s">
        <v>717</v>
      </c>
      <c r="E102" s="21" t="s">
        <v>58</v>
      </c>
      <c r="F102" s="19"/>
      <c r="G102" s="84" t="s">
        <v>1407</v>
      </c>
      <c r="H102" s="71"/>
      <c r="I102" s="25"/>
      <c r="J102" s="25" t="s">
        <v>99</v>
      </c>
      <c r="K102" s="25" t="s">
        <v>121</v>
      </c>
      <c r="L102" s="25" t="s">
        <v>100</v>
      </c>
    </row>
    <row r="103" spans="2:17" s="1" customFormat="1">
      <c r="B103" s="13" t="s">
        <v>1466</v>
      </c>
      <c r="C103" s="26" t="s">
        <v>98</v>
      </c>
      <c r="D103" s="9" t="s">
        <v>952</v>
      </c>
      <c r="E103" s="21" t="s">
        <v>58</v>
      </c>
      <c r="F103" s="19"/>
      <c r="G103" s="84" t="s">
        <v>1467</v>
      </c>
      <c r="H103" s="71"/>
      <c r="I103" s="25"/>
      <c r="J103" s="25" t="s">
        <v>99</v>
      </c>
      <c r="K103" s="25" t="s">
        <v>121</v>
      </c>
      <c r="L103" s="25" t="s">
        <v>100</v>
      </c>
    </row>
    <row r="104" spans="2:17" s="1" customFormat="1">
      <c r="B104" s="13" t="s">
        <v>289</v>
      </c>
      <c r="C104" s="26" t="s">
        <v>98</v>
      </c>
      <c r="D104" s="9" t="s">
        <v>953</v>
      </c>
      <c r="E104" s="21" t="s">
        <v>58</v>
      </c>
      <c r="F104" s="19"/>
      <c r="G104" s="84" t="s">
        <v>1408</v>
      </c>
      <c r="H104" s="71"/>
      <c r="I104" s="25"/>
      <c r="J104" s="25" t="s">
        <v>99</v>
      </c>
      <c r="K104" s="25" t="s">
        <v>121</v>
      </c>
      <c r="L104" s="25" t="s">
        <v>100</v>
      </c>
    </row>
    <row r="105" spans="2:17" s="1" customFormat="1">
      <c r="B105" s="13" t="s">
        <v>290</v>
      </c>
      <c r="C105" s="26" t="s">
        <v>98</v>
      </c>
      <c r="D105" s="9" t="s">
        <v>954</v>
      </c>
      <c r="E105" s="21" t="s">
        <v>58</v>
      </c>
      <c r="F105" s="19"/>
      <c r="G105" s="84" t="s">
        <v>1409</v>
      </c>
      <c r="H105" s="71"/>
      <c r="I105" s="25"/>
      <c r="J105" s="25" t="s">
        <v>99</v>
      </c>
      <c r="K105" s="25" t="s">
        <v>121</v>
      </c>
      <c r="L105" s="25" t="s">
        <v>100</v>
      </c>
    </row>
    <row r="106" spans="2:17" s="1" customFormat="1">
      <c r="B106" s="13" t="s">
        <v>291</v>
      </c>
      <c r="C106" s="26" t="s">
        <v>98</v>
      </c>
      <c r="D106" s="9" t="s">
        <v>955</v>
      </c>
      <c r="E106" s="21" t="s">
        <v>58</v>
      </c>
      <c r="F106" s="19"/>
      <c r="G106" s="84" t="s">
        <v>1410</v>
      </c>
      <c r="H106" s="71"/>
      <c r="I106" s="25"/>
      <c r="J106" s="25" t="s">
        <v>99</v>
      </c>
      <c r="K106" s="25" t="s">
        <v>121</v>
      </c>
      <c r="L106" s="25" t="s">
        <v>100</v>
      </c>
    </row>
    <row r="107" spans="2:17" s="1" customFormat="1">
      <c r="B107" s="13" t="s">
        <v>200</v>
      </c>
      <c r="C107" s="26" t="s">
        <v>98</v>
      </c>
      <c r="D107" s="9" t="s">
        <v>292</v>
      </c>
      <c r="E107" s="21" t="s">
        <v>58</v>
      </c>
      <c r="F107" s="19"/>
      <c r="G107" s="84" t="s">
        <v>269</v>
      </c>
      <c r="H107" s="71"/>
      <c r="I107" s="25"/>
      <c r="J107" s="25" t="s">
        <v>99</v>
      </c>
      <c r="K107" s="25" t="s">
        <v>121</v>
      </c>
      <c r="L107" s="25" t="s">
        <v>100</v>
      </c>
    </row>
    <row r="108" spans="2:17" s="1" customFormat="1">
      <c r="B108" s="13" t="s">
        <v>203</v>
      </c>
      <c r="C108" s="26" t="s">
        <v>98</v>
      </c>
      <c r="D108" s="9" t="s">
        <v>204</v>
      </c>
      <c r="E108" s="21" t="s">
        <v>58</v>
      </c>
      <c r="F108" s="19"/>
      <c r="G108" s="84" t="s">
        <v>270</v>
      </c>
      <c r="H108" s="71"/>
      <c r="I108" s="25"/>
      <c r="J108" s="25" t="s">
        <v>99</v>
      </c>
      <c r="K108" s="25" t="s">
        <v>121</v>
      </c>
      <c r="L108" s="25" t="s">
        <v>100</v>
      </c>
    </row>
    <row r="109" spans="2:17" s="1" customFormat="1">
      <c r="B109" s="13" t="s">
        <v>959</v>
      </c>
      <c r="C109" s="13" t="s">
        <v>98</v>
      </c>
      <c r="D109" s="9" t="s">
        <v>207</v>
      </c>
      <c r="E109" s="21" t="s">
        <v>58</v>
      </c>
      <c r="F109" s="19"/>
      <c r="G109" s="84" t="s">
        <v>271</v>
      </c>
      <c r="H109" s="71"/>
      <c r="I109" s="25"/>
      <c r="J109" s="25" t="s">
        <v>99</v>
      </c>
      <c r="K109" s="25" t="s">
        <v>121</v>
      </c>
      <c r="L109" s="25" t="s">
        <v>100</v>
      </c>
    </row>
    <row r="110" spans="2:17" s="1" customFormat="1">
      <c r="B110" s="13" t="s">
        <v>1565</v>
      </c>
      <c r="C110" s="13" t="s">
        <v>98</v>
      </c>
      <c r="D110" s="9" t="s">
        <v>1566</v>
      </c>
      <c r="E110" s="21" t="s">
        <v>58</v>
      </c>
      <c r="F110" s="19"/>
      <c r="G110" s="19" t="s">
        <v>1568</v>
      </c>
      <c r="H110" s="71"/>
      <c r="I110" s="25"/>
      <c r="J110" s="25" t="s">
        <v>99</v>
      </c>
      <c r="K110" s="25" t="s">
        <v>121</v>
      </c>
      <c r="L110" s="25" t="s">
        <v>100</v>
      </c>
    </row>
    <row r="111" spans="2:17" s="2" customFormat="1">
      <c r="B111" s="14" t="s">
        <v>80</v>
      </c>
      <c r="C111" s="15" t="s">
        <v>75</v>
      </c>
      <c r="D111" s="16" t="s">
        <v>103</v>
      </c>
      <c r="E111" s="24"/>
      <c r="F111" s="24"/>
      <c r="G111" s="24" t="s">
        <v>293</v>
      </c>
      <c r="H111" s="24"/>
      <c r="I111" s="14"/>
      <c r="J111" s="14"/>
      <c r="K111" s="14"/>
      <c r="L111" s="14"/>
      <c r="M111" s="14"/>
      <c r="N111" s="14"/>
      <c r="O111" s="14"/>
      <c r="P111" s="14"/>
      <c r="Q111" s="14"/>
    </row>
    <row r="112" spans="2:17" s="2" customFormat="1">
      <c r="B112" s="14" t="s">
        <v>0</v>
      </c>
      <c r="C112" s="15" t="s">
        <v>71</v>
      </c>
      <c r="D112" s="16" t="s">
        <v>104</v>
      </c>
      <c r="E112" s="24"/>
      <c r="F112" s="24"/>
      <c r="G112" s="24" t="s">
        <v>293</v>
      </c>
      <c r="H112" s="24"/>
      <c r="I112" s="14"/>
      <c r="J112" s="14"/>
      <c r="K112" s="14"/>
      <c r="L112" s="14"/>
      <c r="M112" s="14"/>
      <c r="N112" s="14"/>
      <c r="O112" s="14"/>
      <c r="P112" s="14"/>
      <c r="Q112" s="14"/>
    </row>
  </sheetData>
  <autoFilter ref="B11:L112" xr:uid="{1CD6A709-7980-47A9-90CF-7F7A4C2EE21B}"/>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BABE-55C7-4304-B6B1-349ADC4655DE}">
  <dimension ref="A1:Q114"/>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43.44140625" style="3" customWidth="1"/>
    <col min="3" max="3" width="27.33203125" style="3" bestFit="1" customWidth="1"/>
    <col min="4" max="4" width="32.21875" style="3" customWidth="1"/>
    <col min="5" max="5" width="10.109375" style="3" customWidth="1"/>
    <col min="6" max="6" width="15.44140625" style="3" customWidth="1"/>
    <col min="7" max="7" width="37.5546875" style="3" bestFit="1"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11" t="s">
        <v>50</v>
      </c>
    </row>
    <row r="5" spans="2:14">
      <c r="B5" s="8" t="s">
        <v>39</v>
      </c>
      <c r="C5" s="9" t="s">
        <v>1413</v>
      </c>
      <c r="D5" s="10" t="s">
        <v>1415</v>
      </c>
      <c r="E5" s="12" t="s">
        <v>1259</v>
      </c>
      <c r="F5" s="17"/>
      <c r="G5" s="12"/>
      <c r="H5" s="12"/>
      <c r="N5" s="3"/>
    </row>
    <row r="6" spans="2:14">
      <c r="B6" s="6"/>
      <c r="C6" s="6"/>
      <c r="D6" s="6"/>
      <c r="E6" s="6"/>
      <c r="F6" s="18"/>
      <c r="G6" s="18"/>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1323</v>
      </c>
      <c r="D9" s="10" t="s">
        <v>1325</v>
      </c>
      <c r="E9" s="12" t="s">
        <v>58</v>
      </c>
      <c r="F9" s="19"/>
      <c r="G9" s="19"/>
      <c r="H9" s="20" t="s">
        <v>30</v>
      </c>
    </row>
    <row r="11" spans="2:14">
      <c r="B11" s="3" t="s">
        <v>59</v>
      </c>
    </row>
    <row r="12" spans="2:14">
      <c r="B12" s="122" t="s">
        <v>59</v>
      </c>
      <c r="C12" s="122"/>
      <c r="D12" s="122"/>
      <c r="E12" s="122"/>
      <c r="F12" s="122"/>
      <c r="G12" s="122"/>
      <c r="H12" s="122"/>
      <c r="I12" s="122"/>
      <c r="J12" s="122"/>
      <c r="K12" s="122"/>
      <c r="L12" s="122"/>
    </row>
    <row r="13" spans="2:14">
      <c r="B13" s="7" t="s">
        <v>60</v>
      </c>
      <c r="C13" s="7" t="s">
        <v>61</v>
      </c>
      <c r="D13" s="7" t="s">
        <v>62</v>
      </c>
      <c r="E13" s="7" t="s">
        <v>63</v>
      </c>
      <c r="F13" s="11" t="s">
        <v>64</v>
      </c>
      <c r="G13" s="11" t="s">
        <v>65</v>
      </c>
      <c r="H13" s="11" t="s">
        <v>66</v>
      </c>
      <c r="I13" s="7" t="s">
        <v>24</v>
      </c>
      <c r="J13" s="7" t="s">
        <v>67</v>
      </c>
      <c r="K13" s="7" t="s">
        <v>68</v>
      </c>
      <c r="L13" s="7" t="s">
        <v>69</v>
      </c>
    </row>
    <row r="14" spans="2:14" s="1" customFormat="1">
      <c r="B14" s="13" t="s">
        <v>70</v>
      </c>
      <c r="C14" s="13" t="s">
        <v>71</v>
      </c>
      <c r="D14" s="9" t="s">
        <v>72</v>
      </c>
      <c r="E14" s="21" t="s">
        <v>58</v>
      </c>
      <c r="F14" s="19" t="s">
        <v>0</v>
      </c>
      <c r="G14" s="22" t="s">
        <v>73</v>
      </c>
      <c r="H14" s="71"/>
      <c r="I14" s="25"/>
      <c r="J14" s="25" t="s">
        <v>3</v>
      </c>
      <c r="K14" s="25" t="s">
        <v>74</v>
      </c>
      <c r="L14" s="25" t="s">
        <v>74</v>
      </c>
    </row>
    <row r="15" spans="2:14" s="1" customFormat="1">
      <c r="B15" s="13" t="s">
        <v>654</v>
      </c>
      <c r="C15" s="13" t="s">
        <v>71</v>
      </c>
      <c r="D15" s="9" t="s">
        <v>1051</v>
      </c>
      <c r="E15" s="21" t="s">
        <v>58</v>
      </c>
      <c r="F15" s="27" t="s">
        <v>654</v>
      </c>
      <c r="G15" s="22" t="s">
        <v>73</v>
      </c>
      <c r="H15" s="71"/>
      <c r="I15" s="25"/>
      <c r="J15" s="25" t="s">
        <v>3</v>
      </c>
      <c r="K15" s="25" t="s">
        <v>74</v>
      </c>
      <c r="L15" s="25" t="s">
        <v>74</v>
      </c>
    </row>
    <row r="16" spans="2:14" s="1" customFormat="1">
      <c r="B16" s="13" t="s">
        <v>81</v>
      </c>
      <c r="C16" s="13" t="s">
        <v>75</v>
      </c>
      <c r="D16" s="9" t="s">
        <v>109</v>
      </c>
      <c r="E16" s="21" t="s">
        <v>58</v>
      </c>
      <c r="F16" s="19" t="s">
        <v>81</v>
      </c>
      <c r="G16" s="22" t="s">
        <v>73</v>
      </c>
      <c r="H16" s="71"/>
      <c r="I16" s="25"/>
      <c r="J16" s="25" t="s">
        <v>3</v>
      </c>
      <c r="K16" s="25" t="s">
        <v>74</v>
      </c>
      <c r="L16" s="25" t="s">
        <v>74</v>
      </c>
    </row>
    <row r="17" spans="2:12" s="1" customFormat="1">
      <c r="B17" s="13" t="s">
        <v>85</v>
      </c>
      <c r="C17" s="13" t="s">
        <v>71</v>
      </c>
      <c r="D17" s="9" t="s">
        <v>111</v>
      </c>
      <c r="E17" s="21" t="s">
        <v>58</v>
      </c>
      <c r="F17" s="19" t="s">
        <v>85</v>
      </c>
      <c r="G17" s="22" t="s">
        <v>73</v>
      </c>
      <c r="H17" s="71"/>
      <c r="I17" s="25"/>
      <c r="J17" s="25" t="s">
        <v>3</v>
      </c>
      <c r="K17" s="25" t="s">
        <v>74</v>
      </c>
      <c r="L17" s="25" t="s">
        <v>74</v>
      </c>
    </row>
    <row r="18" spans="2:12" s="1" customFormat="1">
      <c r="B18" s="13" t="s">
        <v>82</v>
      </c>
      <c r="C18" s="13" t="s">
        <v>75</v>
      </c>
      <c r="D18" s="9" t="s">
        <v>110</v>
      </c>
      <c r="E18" s="21" t="s">
        <v>58</v>
      </c>
      <c r="F18" s="19" t="s">
        <v>82</v>
      </c>
      <c r="G18" s="22" t="s">
        <v>73</v>
      </c>
      <c r="H18" s="71"/>
      <c r="I18" s="25"/>
      <c r="J18" s="25" t="s">
        <v>3</v>
      </c>
      <c r="K18" s="25" t="s">
        <v>74</v>
      </c>
      <c r="L18" s="25" t="s">
        <v>74</v>
      </c>
    </row>
    <row r="19" spans="2:12" s="1" customFormat="1">
      <c r="B19" s="13" t="s">
        <v>87</v>
      </c>
      <c r="C19" s="13" t="s">
        <v>71</v>
      </c>
      <c r="D19" s="9" t="s">
        <v>88</v>
      </c>
      <c r="E19" s="21" t="s">
        <v>58</v>
      </c>
      <c r="F19" s="19" t="s">
        <v>87</v>
      </c>
      <c r="G19" s="22" t="s">
        <v>73</v>
      </c>
      <c r="H19" s="71"/>
      <c r="I19" s="25"/>
      <c r="J19" s="25" t="s">
        <v>3</v>
      </c>
      <c r="K19" s="25" t="s">
        <v>74</v>
      </c>
      <c r="L19" s="25" t="s">
        <v>74</v>
      </c>
    </row>
    <row r="20" spans="2:12" s="1" customFormat="1">
      <c r="B20" s="13" t="s">
        <v>308</v>
      </c>
      <c r="C20" s="13" t="s">
        <v>71</v>
      </c>
      <c r="D20" s="9" t="s">
        <v>170</v>
      </c>
      <c r="E20" s="21" t="s">
        <v>58</v>
      </c>
      <c r="F20" s="19" t="s">
        <v>108</v>
      </c>
      <c r="G20" s="22" t="s">
        <v>73</v>
      </c>
      <c r="H20" s="71"/>
      <c r="I20" s="25"/>
      <c r="J20" s="25" t="s">
        <v>3</v>
      </c>
      <c r="K20" s="25" t="s">
        <v>74</v>
      </c>
      <c r="L20" s="25" t="s">
        <v>74</v>
      </c>
    </row>
    <row r="21" spans="2:12" s="1" customFormat="1">
      <c r="B21" s="13" t="s">
        <v>616</v>
      </c>
      <c r="C21" s="13" t="s">
        <v>71</v>
      </c>
      <c r="D21" s="9" t="s">
        <v>171</v>
      </c>
      <c r="E21" s="21" t="s">
        <v>58</v>
      </c>
      <c r="F21" s="19" t="s">
        <v>123</v>
      </c>
      <c r="G21" s="22" t="s">
        <v>73</v>
      </c>
      <c r="H21" s="71"/>
      <c r="I21" s="25"/>
      <c r="J21" s="25" t="s">
        <v>3</v>
      </c>
      <c r="K21" s="25" t="s">
        <v>74</v>
      </c>
      <c r="L21" s="25" t="s">
        <v>74</v>
      </c>
    </row>
    <row r="22" spans="2:12" s="1" customFormat="1">
      <c r="B22" s="13" t="s">
        <v>94</v>
      </c>
      <c r="C22" s="13" t="s">
        <v>71</v>
      </c>
      <c r="D22" s="9" t="s">
        <v>172</v>
      </c>
      <c r="E22" s="21" t="s">
        <v>58</v>
      </c>
      <c r="F22" s="19" t="s">
        <v>94</v>
      </c>
      <c r="G22" s="22" t="s">
        <v>73</v>
      </c>
      <c r="H22" s="71"/>
      <c r="I22" s="25"/>
      <c r="J22" s="25" t="s">
        <v>3</v>
      </c>
      <c r="K22" s="25" t="s">
        <v>74</v>
      </c>
      <c r="L22" s="25" t="s">
        <v>74</v>
      </c>
    </row>
    <row r="23" spans="2:12" s="1" customFormat="1">
      <c r="B23" s="13" t="s">
        <v>1157</v>
      </c>
      <c r="C23" s="13" t="s">
        <v>75</v>
      </c>
      <c r="D23" s="9" t="s">
        <v>174</v>
      </c>
      <c r="E23" s="21" t="s">
        <v>58</v>
      </c>
      <c r="F23" s="19" t="s">
        <v>173</v>
      </c>
      <c r="G23" s="22" t="s">
        <v>73</v>
      </c>
      <c r="H23" s="71"/>
      <c r="I23" s="25"/>
      <c r="J23" s="25" t="s">
        <v>3</v>
      </c>
      <c r="K23" s="25" t="s">
        <v>74</v>
      </c>
      <c r="L23" s="25" t="s">
        <v>74</v>
      </c>
    </row>
    <row r="24" spans="2:12" s="1" customFormat="1">
      <c r="B24" s="13" t="s">
        <v>96</v>
      </c>
      <c r="C24" s="13" t="s">
        <v>71</v>
      </c>
      <c r="D24" s="9" t="s">
        <v>175</v>
      </c>
      <c r="E24" s="21" t="s">
        <v>58</v>
      </c>
      <c r="F24" s="19" t="s">
        <v>96</v>
      </c>
      <c r="G24" s="22" t="s">
        <v>73</v>
      </c>
      <c r="H24" s="71"/>
      <c r="I24" s="25"/>
      <c r="J24" s="25" t="s">
        <v>3</v>
      </c>
      <c r="K24" s="25" t="s">
        <v>74</v>
      </c>
      <c r="L24" s="25" t="s">
        <v>74</v>
      </c>
    </row>
    <row r="25" spans="2:12" s="1" customFormat="1">
      <c r="B25" s="13" t="s">
        <v>769</v>
      </c>
      <c r="C25" s="13" t="s">
        <v>771</v>
      </c>
      <c r="D25" s="9" t="s">
        <v>768</v>
      </c>
      <c r="E25" s="21" t="s">
        <v>58</v>
      </c>
      <c r="F25" s="19"/>
      <c r="G25" s="84" t="s">
        <v>1328</v>
      </c>
      <c r="H25" s="71"/>
      <c r="I25" s="25"/>
      <c r="J25" s="25" t="s">
        <v>99</v>
      </c>
      <c r="K25" s="25" t="s">
        <v>121</v>
      </c>
      <c r="L25" s="25" t="s">
        <v>100</v>
      </c>
    </row>
    <row r="26" spans="2:12" s="1" customFormat="1">
      <c r="B26" s="13" t="s">
        <v>770</v>
      </c>
      <c r="C26" s="13" t="s">
        <v>771</v>
      </c>
      <c r="D26" s="9" t="s">
        <v>773</v>
      </c>
      <c r="E26" s="21" t="s">
        <v>58</v>
      </c>
      <c r="F26" s="19"/>
      <c r="G26" s="84" t="s">
        <v>1329</v>
      </c>
      <c r="H26" s="71"/>
      <c r="I26" s="25"/>
      <c r="J26" s="25" t="s">
        <v>99</v>
      </c>
      <c r="K26" s="25" t="s">
        <v>121</v>
      </c>
      <c r="L26" s="25" t="s">
        <v>100</v>
      </c>
    </row>
    <row r="27" spans="2:12" s="1" customFormat="1">
      <c r="B27" s="13" t="s">
        <v>774</v>
      </c>
      <c r="C27" s="13" t="s">
        <v>771</v>
      </c>
      <c r="D27" s="9" t="s">
        <v>776</v>
      </c>
      <c r="E27" s="21" t="s">
        <v>58</v>
      </c>
      <c r="F27" s="19"/>
      <c r="G27" s="84" t="s">
        <v>1330</v>
      </c>
      <c r="H27" s="71"/>
      <c r="I27" s="25"/>
      <c r="J27" s="25" t="s">
        <v>99</v>
      </c>
      <c r="K27" s="25" t="s">
        <v>121</v>
      </c>
      <c r="L27" s="25" t="s">
        <v>100</v>
      </c>
    </row>
    <row r="28" spans="2:12" s="1" customFormat="1">
      <c r="B28" s="13" t="s">
        <v>775</v>
      </c>
      <c r="C28" s="13" t="s">
        <v>771</v>
      </c>
      <c r="D28" s="9" t="s">
        <v>777</v>
      </c>
      <c r="E28" s="21" t="s">
        <v>58</v>
      </c>
      <c r="F28" s="19"/>
      <c r="G28" s="84" t="s">
        <v>1331</v>
      </c>
      <c r="H28" s="71"/>
      <c r="I28" s="25"/>
      <c r="J28" s="25" t="s">
        <v>99</v>
      </c>
      <c r="K28" s="25" t="s">
        <v>121</v>
      </c>
      <c r="L28" s="25" t="s">
        <v>100</v>
      </c>
    </row>
    <row r="29" spans="2:12" s="1" customFormat="1">
      <c r="B29" s="13" t="s">
        <v>779</v>
      </c>
      <c r="C29" s="13" t="s">
        <v>771</v>
      </c>
      <c r="D29" s="9" t="s">
        <v>783</v>
      </c>
      <c r="E29" s="21" t="s">
        <v>58</v>
      </c>
      <c r="F29" s="19"/>
      <c r="G29" s="84" t="s">
        <v>1332</v>
      </c>
      <c r="H29" s="71"/>
      <c r="I29" s="25"/>
      <c r="J29" s="25" t="s">
        <v>99</v>
      </c>
      <c r="K29" s="25" t="s">
        <v>121</v>
      </c>
      <c r="L29" s="25" t="s">
        <v>100</v>
      </c>
    </row>
    <row r="30" spans="2:12" s="1" customFormat="1">
      <c r="B30" s="13" t="s">
        <v>780</v>
      </c>
      <c r="C30" s="13" t="s">
        <v>771</v>
      </c>
      <c r="D30" s="9" t="s">
        <v>784</v>
      </c>
      <c r="E30" s="21" t="s">
        <v>58</v>
      </c>
      <c r="F30" s="19"/>
      <c r="G30" s="84" t="s">
        <v>1333</v>
      </c>
      <c r="H30" s="71"/>
      <c r="I30" s="25"/>
      <c r="J30" s="25" t="s">
        <v>99</v>
      </c>
      <c r="K30" s="25" t="s">
        <v>121</v>
      </c>
      <c r="L30" s="25" t="s">
        <v>100</v>
      </c>
    </row>
    <row r="31" spans="2:12" s="1" customFormat="1">
      <c r="B31" s="13" t="s">
        <v>781</v>
      </c>
      <c r="C31" s="13" t="s">
        <v>771</v>
      </c>
      <c r="D31" s="9" t="s">
        <v>785</v>
      </c>
      <c r="E31" s="21" t="s">
        <v>58</v>
      </c>
      <c r="F31" s="19"/>
      <c r="G31" s="84" t="s">
        <v>1334</v>
      </c>
      <c r="H31" s="71"/>
      <c r="I31" s="25"/>
      <c r="J31" s="25" t="s">
        <v>99</v>
      </c>
      <c r="K31" s="25" t="s">
        <v>121</v>
      </c>
      <c r="L31" s="25" t="s">
        <v>100</v>
      </c>
    </row>
    <row r="32" spans="2:12" s="1" customFormat="1">
      <c r="B32" s="13" t="s">
        <v>782</v>
      </c>
      <c r="C32" s="13" t="s">
        <v>771</v>
      </c>
      <c r="D32" s="9" t="s">
        <v>786</v>
      </c>
      <c r="E32" s="21" t="s">
        <v>58</v>
      </c>
      <c r="F32" s="19"/>
      <c r="G32" s="84" t="s">
        <v>1335</v>
      </c>
      <c r="H32" s="71"/>
      <c r="I32" s="25"/>
      <c r="J32" s="25" t="s">
        <v>99</v>
      </c>
      <c r="K32" s="25" t="s">
        <v>121</v>
      </c>
      <c r="L32" s="25" t="s">
        <v>100</v>
      </c>
    </row>
    <row r="33" spans="2:12" s="1" customFormat="1">
      <c r="B33" s="13" t="s">
        <v>792</v>
      </c>
      <c r="C33" s="13" t="s">
        <v>771</v>
      </c>
      <c r="D33" s="9" t="s">
        <v>733</v>
      </c>
      <c r="E33" s="21" t="s">
        <v>58</v>
      </c>
      <c r="F33" s="19"/>
      <c r="G33" s="84" t="s">
        <v>1336</v>
      </c>
      <c r="H33" s="71"/>
      <c r="I33" s="25"/>
      <c r="J33" s="25" t="s">
        <v>99</v>
      </c>
      <c r="K33" s="25" t="s">
        <v>121</v>
      </c>
      <c r="L33" s="25" t="s">
        <v>100</v>
      </c>
    </row>
    <row r="34" spans="2:12" s="1" customFormat="1">
      <c r="B34" s="13" t="s">
        <v>793</v>
      </c>
      <c r="C34" s="13" t="s">
        <v>771</v>
      </c>
      <c r="D34" s="9" t="s">
        <v>734</v>
      </c>
      <c r="E34" s="21" t="s">
        <v>58</v>
      </c>
      <c r="F34" s="19"/>
      <c r="G34" s="84" t="s">
        <v>1337</v>
      </c>
      <c r="H34" s="71"/>
      <c r="I34" s="25"/>
      <c r="J34" s="25" t="s">
        <v>99</v>
      </c>
      <c r="K34" s="25" t="s">
        <v>121</v>
      </c>
      <c r="L34" s="25" t="s">
        <v>100</v>
      </c>
    </row>
    <row r="35" spans="2:12" s="1" customFormat="1">
      <c r="B35" s="13" t="s">
        <v>794</v>
      </c>
      <c r="C35" s="13" t="s">
        <v>771</v>
      </c>
      <c r="D35" s="9" t="s">
        <v>735</v>
      </c>
      <c r="E35" s="21" t="s">
        <v>58</v>
      </c>
      <c r="F35" s="19"/>
      <c r="G35" s="84" t="s">
        <v>1338</v>
      </c>
      <c r="H35" s="71"/>
      <c r="I35" s="25"/>
      <c r="J35" s="25" t="s">
        <v>99</v>
      </c>
      <c r="K35" s="25" t="s">
        <v>121</v>
      </c>
      <c r="L35" s="25" t="s">
        <v>100</v>
      </c>
    </row>
    <row r="36" spans="2:12" s="1" customFormat="1">
      <c r="B36" s="13" t="s">
        <v>795</v>
      </c>
      <c r="C36" s="13" t="s">
        <v>771</v>
      </c>
      <c r="D36" s="9" t="s">
        <v>736</v>
      </c>
      <c r="E36" s="21" t="s">
        <v>58</v>
      </c>
      <c r="F36" s="19"/>
      <c r="G36" s="84" t="s">
        <v>1339</v>
      </c>
      <c r="H36" s="71"/>
      <c r="I36" s="25"/>
      <c r="J36" s="25" t="s">
        <v>99</v>
      </c>
      <c r="K36" s="25" t="s">
        <v>121</v>
      </c>
      <c r="L36" s="25" t="s">
        <v>100</v>
      </c>
    </row>
    <row r="37" spans="2:12" s="1" customFormat="1">
      <c r="B37" s="13" t="s">
        <v>801</v>
      </c>
      <c r="C37" s="13" t="s">
        <v>771</v>
      </c>
      <c r="D37" s="9" t="s">
        <v>695</v>
      </c>
      <c r="E37" s="21" t="s">
        <v>58</v>
      </c>
      <c r="F37" s="19"/>
      <c r="G37" s="84" t="s">
        <v>1340</v>
      </c>
      <c r="H37" s="71"/>
      <c r="I37" s="25"/>
      <c r="J37" s="25" t="s">
        <v>99</v>
      </c>
      <c r="K37" s="25" t="s">
        <v>121</v>
      </c>
      <c r="L37" s="25" t="s">
        <v>100</v>
      </c>
    </row>
    <row r="38" spans="2:12" s="1" customFormat="1">
      <c r="B38" s="13" t="s">
        <v>802</v>
      </c>
      <c r="C38" s="13" t="s">
        <v>771</v>
      </c>
      <c r="D38" s="9" t="s">
        <v>282</v>
      </c>
      <c r="E38" s="21" t="s">
        <v>58</v>
      </c>
      <c r="F38" s="19"/>
      <c r="G38" s="84" t="s">
        <v>1341</v>
      </c>
      <c r="H38" s="71"/>
      <c r="I38" s="25"/>
      <c r="J38" s="25" t="s">
        <v>99</v>
      </c>
      <c r="K38" s="25" t="s">
        <v>121</v>
      </c>
      <c r="L38" s="25" t="s">
        <v>100</v>
      </c>
    </row>
    <row r="39" spans="2:12" s="1" customFormat="1">
      <c r="B39" s="13" t="s">
        <v>803</v>
      </c>
      <c r="C39" s="13" t="s">
        <v>771</v>
      </c>
      <c r="D39" s="9" t="s">
        <v>283</v>
      </c>
      <c r="E39" s="21" t="s">
        <v>58</v>
      </c>
      <c r="F39" s="19"/>
      <c r="G39" s="84" t="s">
        <v>1342</v>
      </c>
      <c r="H39" s="71"/>
      <c r="I39" s="25"/>
      <c r="J39" s="25" t="s">
        <v>99</v>
      </c>
      <c r="K39" s="25" t="s">
        <v>121</v>
      </c>
      <c r="L39" s="25" t="s">
        <v>100</v>
      </c>
    </row>
    <row r="40" spans="2:12" s="1" customFormat="1">
      <c r="B40" s="13" t="s">
        <v>804</v>
      </c>
      <c r="C40" s="13" t="s">
        <v>771</v>
      </c>
      <c r="D40" s="9" t="s">
        <v>284</v>
      </c>
      <c r="E40" s="21" t="s">
        <v>58</v>
      </c>
      <c r="F40" s="19"/>
      <c r="G40" s="84" t="s">
        <v>1343</v>
      </c>
      <c r="H40" s="71"/>
      <c r="I40" s="25"/>
      <c r="J40" s="25" t="s">
        <v>99</v>
      </c>
      <c r="K40" s="25" t="s">
        <v>121</v>
      </c>
      <c r="L40" s="25" t="s">
        <v>100</v>
      </c>
    </row>
    <row r="41" spans="2:12" s="1" customFormat="1">
      <c r="B41" s="13" t="s">
        <v>809</v>
      </c>
      <c r="C41" s="13" t="s">
        <v>771</v>
      </c>
      <c r="D41" s="9" t="s">
        <v>813</v>
      </c>
      <c r="E41" s="21" t="s">
        <v>58</v>
      </c>
      <c r="F41" s="19"/>
      <c r="G41" s="84" t="s">
        <v>1344</v>
      </c>
      <c r="H41" s="71"/>
      <c r="I41" s="25"/>
      <c r="J41" s="25" t="s">
        <v>99</v>
      </c>
      <c r="K41" s="25" t="s">
        <v>121</v>
      </c>
      <c r="L41" s="25" t="s">
        <v>100</v>
      </c>
    </row>
    <row r="42" spans="2:12" s="1" customFormat="1">
      <c r="B42" s="13" t="s">
        <v>810</v>
      </c>
      <c r="C42" s="13" t="s">
        <v>771</v>
      </c>
      <c r="D42" s="9" t="s">
        <v>814</v>
      </c>
      <c r="E42" s="21" t="s">
        <v>58</v>
      </c>
      <c r="F42" s="19"/>
      <c r="G42" s="84" t="s">
        <v>1345</v>
      </c>
      <c r="H42" s="71"/>
      <c r="I42" s="25"/>
      <c r="J42" s="25" t="s">
        <v>99</v>
      </c>
      <c r="K42" s="25" t="s">
        <v>121</v>
      </c>
      <c r="L42" s="25" t="s">
        <v>100</v>
      </c>
    </row>
    <row r="43" spans="2:12" s="1" customFormat="1">
      <c r="B43" s="13" t="s">
        <v>811</v>
      </c>
      <c r="C43" s="13" t="s">
        <v>771</v>
      </c>
      <c r="D43" s="9" t="s">
        <v>815</v>
      </c>
      <c r="E43" s="21" t="s">
        <v>58</v>
      </c>
      <c r="F43" s="19"/>
      <c r="G43" s="84" t="s">
        <v>1346</v>
      </c>
      <c r="H43" s="71"/>
      <c r="I43" s="25"/>
      <c r="J43" s="25" t="s">
        <v>99</v>
      </c>
      <c r="K43" s="25" t="s">
        <v>121</v>
      </c>
      <c r="L43" s="25" t="s">
        <v>100</v>
      </c>
    </row>
    <row r="44" spans="2:12" s="1" customFormat="1">
      <c r="B44" s="13" t="s">
        <v>812</v>
      </c>
      <c r="C44" s="13" t="s">
        <v>771</v>
      </c>
      <c r="D44" s="9" t="s">
        <v>816</v>
      </c>
      <c r="E44" s="21" t="s">
        <v>58</v>
      </c>
      <c r="F44" s="19"/>
      <c r="G44" s="84" t="s">
        <v>1347</v>
      </c>
      <c r="H44" s="71"/>
      <c r="I44" s="25"/>
      <c r="J44" s="25" t="s">
        <v>99</v>
      </c>
      <c r="K44" s="25" t="s">
        <v>121</v>
      </c>
      <c r="L44" s="25" t="s">
        <v>100</v>
      </c>
    </row>
    <row r="45" spans="2:12" s="1" customFormat="1">
      <c r="B45" s="13" t="s">
        <v>821</v>
      </c>
      <c r="C45" s="13" t="s">
        <v>771</v>
      </c>
      <c r="D45" s="9" t="s">
        <v>696</v>
      </c>
      <c r="E45" s="21" t="s">
        <v>58</v>
      </c>
      <c r="F45" s="19"/>
      <c r="G45" s="84" t="s">
        <v>1348</v>
      </c>
      <c r="H45" s="71"/>
      <c r="I45" s="25"/>
      <c r="J45" s="25" t="s">
        <v>99</v>
      </c>
      <c r="K45" s="25" t="s">
        <v>121</v>
      </c>
      <c r="L45" s="25" t="s">
        <v>100</v>
      </c>
    </row>
    <row r="46" spans="2:12" s="1" customFormat="1">
      <c r="B46" s="13" t="s">
        <v>1125</v>
      </c>
      <c r="C46" s="13" t="s">
        <v>771</v>
      </c>
      <c r="D46" s="9" t="s">
        <v>697</v>
      </c>
      <c r="E46" s="21" t="s">
        <v>58</v>
      </c>
      <c r="F46" s="19"/>
      <c r="G46" s="84" t="s">
        <v>1349</v>
      </c>
      <c r="H46" s="71"/>
      <c r="I46" s="25"/>
      <c r="J46" s="25" t="s">
        <v>99</v>
      </c>
      <c r="K46" s="25" t="s">
        <v>121</v>
      </c>
      <c r="L46" s="25" t="s">
        <v>100</v>
      </c>
    </row>
    <row r="47" spans="2:12" s="1" customFormat="1">
      <c r="B47" s="13" t="s">
        <v>1126</v>
      </c>
      <c r="C47" s="13" t="s">
        <v>771</v>
      </c>
      <c r="D47" s="9" t="s">
        <v>698</v>
      </c>
      <c r="E47" s="21" t="s">
        <v>58</v>
      </c>
      <c r="F47" s="19"/>
      <c r="G47" s="84" t="s">
        <v>1350</v>
      </c>
      <c r="H47" s="71"/>
      <c r="I47" s="25"/>
      <c r="J47" s="25" t="s">
        <v>99</v>
      </c>
      <c r="K47" s="25" t="s">
        <v>121</v>
      </c>
      <c r="L47" s="25" t="s">
        <v>100</v>
      </c>
    </row>
    <row r="48" spans="2:12" s="1" customFormat="1">
      <c r="B48" s="13" t="s">
        <v>822</v>
      </c>
      <c r="C48" s="13" t="s">
        <v>771</v>
      </c>
      <c r="D48" s="9" t="s">
        <v>699</v>
      </c>
      <c r="E48" s="21" t="s">
        <v>58</v>
      </c>
      <c r="F48" s="19"/>
      <c r="G48" s="84" t="s">
        <v>1351</v>
      </c>
      <c r="H48" s="71"/>
      <c r="I48" s="25"/>
      <c r="J48" s="25" t="s">
        <v>99</v>
      </c>
      <c r="K48" s="25" t="s">
        <v>121</v>
      </c>
      <c r="L48" s="25" t="s">
        <v>100</v>
      </c>
    </row>
    <row r="49" spans="2:12" s="1" customFormat="1">
      <c r="B49" s="13" t="s">
        <v>1293</v>
      </c>
      <c r="C49" s="13" t="s">
        <v>771</v>
      </c>
      <c r="D49" s="9" t="s">
        <v>1298</v>
      </c>
      <c r="E49" s="21" t="s">
        <v>58</v>
      </c>
      <c r="F49" s="19"/>
      <c r="G49" s="84" t="s">
        <v>1352</v>
      </c>
      <c r="H49" s="71"/>
      <c r="I49" s="25"/>
      <c r="J49" s="25" t="s">
        <v>99</v>
      </c>
      <c r="K49" s="25" t="s">
        <v>121</v>
      </c>
      <c r="L49" s="25" t="s">
        <v>100</v>
      </c>
    </row>
    <row r="50" spans="2:12" s="1" customFormat="1">
      <c r="B50" s="13" t="s">
        <v>1294</v>
      </c>
      <c r="C50" s="13" t="s">
        <v>771</v>
      </c>
      <c r="D50" s="9" t="s">
        <v>1299</v>
      </c>
      <c r="E50" s="21" t="s">
        <v>58</v>
      </c>
      <c r="F50" s="19"/>
      <c r="G50" s="84" t="s">
        <v>1353</v>
      </c>
      <c r="H50" s="71"/>
      <c r="I50" s="25"/>
      <c r="J50" s="25" t="s">
        <v>99</v>
      </c>
      <c r="K50" s="25" t="s">
        <v>121</v>
      </c>
      <c r="L50" s="25" t="s">
        <v>100</v>
      </c>
    </row>
    <row r="51" spans="2:12" s="1" customFormat="1">
      <c r="B51" s="13" t="s">
        <v>1295</v>
      </c>
      <c r="C51" s="13" t="s">
        <v>771</v>
      </c>
      <c r="D51" s="9" t="s">
        <v>1300</v>
      </c>
      <c r="E51" s="21" t="s">
        <v>58</v>
      </c>
      <c r="F51" s="19"/>
      <c r="G51" s="84" t="s">
        <v>1354</v>
      </c>
      <c r="H51" s="71"/>
      <c r="I51" s="25"/>
      <c r="J51" s="25" t="s">
        <v>99</v>
      </c>
      <c r="K51" s="25" t="s">
        <v>121</v>
      </c>
      <c r="L51" s="25" t="s">
        <v>100</v>
      </c>
    </row>
    <row r="52" spans="2:12" s="1" customFormat="1">
      <c r="B52" s="13" t="s">
        <v>1296</v>
      </c>
      <c r="C52" s="13" t="s">
        <v>771</v>
      </c>
      <c r="D52" s="9" t="s">
        <v>1301</v>
      </c>
      <c r="E52" s="21" t="s">
        <v>58</v>
      </c>
      <c r="F52" s="19"/>
      <c r="G52" s="84" t="s">
        <v>1355</v>
      </c>
      <c r="H52" s="71"/>
      <c r="I52" s="25"/>
      <c r="J52" s="25" t="s">
        <v>99</v>
      </c>
      <c r="K52" s="25" t="s">
        <v>121</v>
      </c>
      <c r="L52" s="25" t="s">
        <v>100</v>
      </c>
    </row>
    <row r="53" spans="2:12" s="1" customFormat="1">
      <c r="B53" s="13" t="s">
        <v>835</v>
      </c>
      <c r="C53" s="13" t="s">
        <v>771</v>
      </c>
      <c r="D53" s="9" t="s">
        <v>840</v>
      </c>
      <c r="E53" s="21" t="s">
        <v>58</v>
      </c>
      <c r="F53" s="19"/>
      <c r="G53" s="84" t="s">
        <v>1356</v>
      </c>
      <c r="H53" s="71"/>
      <c r="I53" s="25"/>
      <c r="J53" s="25" t="s">
        <v>99</v>
      </c>
      <c r="K53" s="25" t="s">
        <v>121</v>
      </c>
      <c r="L53" s="25" t="s">
        <v>100</v>
      </c>
    </row>
    <row r="54" spans="2:12" s="1" customFormat="1">
      <c r="B54" s="13" t="s">
        <v>1127</v>
      </c>
      <c r="C54" s="13" t="s">
        <v>771</v>
      </c>
      <c r="D54" s="9" t="s">
        <v>837</v>
      </c>
      <c r="E54" s="21" t="s">
        <v>58</v>
      </c>
      <c r="F54" s="19"/>
      <c r="G54" s="84" t="s">
        <v>1357</v>
      </c>
      <c r="H54" s="71"/>
      <c r="I54" s="25"/>
      <c r="J54" s="25" t="s">
        <v>99</v>
      </c>
      <c r="K54" s="25" t="s">
        <v>121</v>
      </c>
      <c r="L54" s="25" t="s">
        <v>100</v>
      </c>
    </row>
    <row r="55" spans="2:12" s="1" customFormat="1">
      <c r="B55" s="13" t="s">
        <v>1128</v>
      </c>
      <c r="C55" s="13" t="s">
        <v>771</v>
      </c>
      <c r="D55" s="9" t="s">
        <v>838</v>
      </c>
      <c r="E55" s="21" t="s">
        <v>58</v>
      </c>
      <c r="F55" s="19"/>
      <c r="G55" s="84" t="s">
        <v>1358</v>
      </c>
      <c r="H55" s="71"/>
      <c r="I55" s="25"/>
      <c r="J55" s="25" t="s">
        <v>99</v>
      </c>
      <c r="K55" s="25" t="s">
        <v>121</v>
      </c>
      <c r="L55" s="25" t="s">
        <v>100</v>
      </c>
    </row>
    <row r="56" spans="2:12" s="1" customFormat="1">
      <c r="B56" s="13" t="s">
        <v>836</v>
      </c>
      <c r="C56" s="13" t="s">
        <v>771</v>
      </c>
      <c r="D56" s="9" t="s">
        <v>839</v>
      </c>
      <c r="E56" s="21" t="s">
        <v>58</v>
      </c>
      <c r="F56" s="19"/>
      <c r="G56" s="84" t="s">
        <v>1359</v>
      </c>
      <c r="H56" s="71"/>
      <c r="I56" s="25"/>
      <c r="J56" s="25" t="s">
        <v>99</v>
      </c>
      <c r="K56" s="25" t="s">
        <v>121</v>
      </c>
      <c r="L56" s="25" t="s">
        <v>100</v>
      </c>
    </row>
    <row r="57" spans="2:12" s="1" customFormat="1">
      <c r="B57" s="13" t="s">
        <v>1227</v>
      </c>
      <c r="C57" s="13" t="s">
        <v>771</v>
      </c>
      <c r="D57" s="9" t="s">
        <v>850</v>
      </c>
      <c r="E57" s="21" t="s">
        <v>58</v>
      </c>
      <c r="F57" s="19"/>
      <c r="G57" s="84" t="s">
        <v>1360</v>
      </c>
      <c r="H57" s="71"/>
      <c r="I57" s="25"/>
      <c r="J57" s="25" t="s">
        <v>99</v>
      </c>
      <c r="K57" s="25" t="s">
        <v>121</v>
      </c>
      <c r="L57" s="25" t="s">
        <v>100</v>
      </c>
    </row>
    <row r="58" spans="2:12" s="1" customFormat="1">
      <c r="B58" s="13" t="s">
        <v>1132</v>
      </c>
      <c r="C58" s="13" t="s">
        <v>771</v>
      </c>
      <c r="D58" s="9" t="s">
        <v>851</v>
      </c>
      <c r="E58" s="21" t="s">
        <v>58</v>
      </c>
      <c r="F58" s="19"/>
      <c r="G58" s="84" t="s">
        <v>1361</v>
      </c>
      <c r="H58" s="71"/>
      <c r="I58" s="25"/>
      <c r="J58" s="25" t="s">
        <v>99</v>
      </c>
      <c r="K58" s="25" t="s">
        <v>121</v>
      </c>
      <c r="L58" s="25" t="s">
        <v>100</v>
      </c>
    </row>
    <row r="59" spans="2:12" s="1" customFormat="1">
      <c r="B59" s="13" t="s">
        <v>848</v>
      </c>
      <c r="C59" s="13" t="s">
        <v>771</v>
      </c>
      <c r="D59" s="9" t="s">
        <v>852</v>
      </c>
      <c r="E59" s="21" t="s">
        <v>58</v>
      </c>
      <c r="F59" s="19"/>
      <c r="G59" s="84" t="s">
        <v>1362</v>
      </c>
      <c r="H59" s="71"/>
      <c r="I59" s="25"/>
      <c r="J59" s="25" t="s">
        <v>99</v>
      </c>
      <c r="K59" s="25" t="s">
        <v>121</v>
      </c>
      <c r="L59" s="25" t="s">
        <v>100</v>
      </c>
    </row>
    <row r="60" spans="2:12" s="1" customFormat="1">
      <c r="B60" s="13" t="s">
        <v>849</v>
      </c>
      <c r="C60" s="13" t="s">
        <v>771</v>
      </c>
      <c r="D60" s="9" t="s">
        <v>853</v>
      </c>
      <c r="E60" s="21" t="s">
        <v>58</v>
      </c>
      <c r="F60" s="19"/>
      <c r="G60" s="84" t="s">
        <v>1363</v>
      </c>
      <c r="H60" s="71"/>
      <c r="I60" s="25"/>
      <c r="J60" s="25" t="s">
        <v>99</v>
      </c>
      <c r="K60" s="25" t="s">
        <v>121</v>
      </c>
      <c r="L60" s="25" t="s">
        <v>100</v>
      </c>
    </row>
    <row r="61" spans="2:12" s="1" customFormat="1">
      <c r="B61" s="13" t="s">
        <v>1228</v>
      </c>
      <c r="C61" s="13" t="s">
        <v>771</v>
      </c>
      <c r="D61" s="9" t="s">
        <v>860</v>
      </c>
      <c r="E61" s="21" t="s">
        <v>58</v>
      </c>
      <c r="F61" s="19"/>
      <c r="G61" s="84" t="s">
        <v>1364</v>
      </c>
      <c r="H61" s="71"/>
      <c r="I61" s="25"/>
      <c r="J61" s="25" t="s">
        <v>99</v>
      </c>
      <c r="K61" s="25" t="s">
        <v>121</v>
      </c>
      <c r="L61" s="25" t="s">
        <v>100</v>
      </c>
    </row>
    <row r="62" spans="2:12" s="1" customFormat="1">
      <c r="B62" s="13" t="s">
        <v>1133</v>
      </c>
      <c r="C62" s="13" t="s">
        <v>771</v>
      </c>
      <c r="D62" s="9" t="s">
        <v>861</v>
      </c>
      <c r="E62" s="21" t="s">
        <v>58</v>
      </c>
      <c r="F62" s="19"/>
      <c r="G62" s="84" t="s">
        <v>1365</v>
      </c>
      <c r="H62" s="71"/>
      <c r="I62" s="25"/>
      <c r="J62" s="25" t="s">
        <v>99</v>
      </c>
      <c r="K62" s="25" t="s">
        <v>121</v>
      </c>
      <c r="L62" s="25" t="s">
        <v>100</v>
      </c>
    </row>
    <row r="63" spans="2:12" s="1" customFormat="1">
      <c r="B63" s="13" t="s">
        <v>858</v>
      </c>
      <c r="C63" s="13" t="s">
        <v>771</v>
      </c>
      <c r="D63" s="9" t="s">
        <v>862</v>
      </c>
      <c r="E63" s="21" t="s">
        <v>58</v>
      </c>
      <c r="F63" s="19"/>
      <c r="G63" s="84" t="s">
        <v>1366</v>
      </c>
      <c r="H63" s="71"/>
      <c r="I63" s="25"/>
      <c r="J63" s="25" t="s">
        <v>99</v>
      </c>
      <c r="K63" s="25" t="s">
        <v>121</v>
      </c>
      <c r="L63" s="25" t="s">
        <v>100</v>
      </c>
    </row>
    <row r="64" spans="2:12" s="1" customFormat="1">
      <c r="B64" s="13" t="s">
        <v>859</v>
      </c>
      <c r="C64" s="13" t="s">
        <v>771</v>
      </c>
      <c r="D64" s="9" t="s">
        <v>863</v>
      </c>
      <c r="E64" s="21" t="s">
        <v>58</v>
      </c>
      <c r="F64" s="19"/>
      <c r="G64" s="84" t="s">
        <v>1367</v>
      </c>
      <c r="H64" s="71"/>
      <c r="I64" s="25"/>
      <c r="J64" s="25" t="s">
        <v>99</v>
      </c>
      <c r="K64" s="25" t="s">
        <v>121</v>
      </c>
      <c r="L64" s="25" t="s">
        <v>100</v>
      </c>
    </row>
    <row r="65" spans="2:12" s="1" customFormat="1">
      <c r="B65" s="13" t="s">
        <v>871</v>
      </c>
      <c r="C65" s="13" t="s">
        <v>771</v>
      </c>
      <c r="D65" s="9" t="s">
        <v>872</v>
      </c>
      <c r="E65" s="21" t="s">
        <v>58</v>
      </c>
      <c r="F65" s="19"/>
      <c r="G65" s="84" t="s">
        <v>1368</v>
      </c>
      <c r="H65" s="71"/>
      <c r="I65" s="25"/>
      <c r="J65" s="25" t="s">
        <v>99</v>
      </c>
      <c r="K65" s="25" t="s">
        <v>121</v>
      </c>
      <c r="L65" s="25" t="s">
        <v>100</v>
      </c>
    </row>
    <row r="66" spans="2:12" s="1" customFormat="1">
      <c r="B66" s="13" t="s">
        <v>868</v>
      </c>
      <c r="C66" s="13" t="s">
        <v>771</v>
      </c>
      <c r="D66" s="9" t="s">
        <v>873</v>
      </c>
      <c r="E66" s="21" t="s">
        <v>58</v>
      </c>
      <c r="F66" s="19"/>
      <c r="G66" s="84" t="s">
        <v>1369</v>
      </c>
      <c r="H66" s="71"/>
      <c r="I66" s="25"/>
      <c r="J66" s="25" t="s">
        <v>99</v>
      </c>
      <c r="K66" s="25" t="s">
        <v>121</v>
      </c>
      <c r="L66" s="25" t="s">
        <v>100</v>
      </c>
    </row>
    <row r="67" spans="2:12" s="1" customFormat="1">
      <c r="B67" s="13" t="s">
        <v>869</v>
      </c>
      <c r="C67" s="13" t="s">
        <v>771</v>
      </c>
      <c r="D67" s="9" t="s">
        <v>874</v>
      </c>
      <c r="E67" s="21" t="s">
        <v>58</v>
      </c>
      <c r="F67" s="19"/>
      <c r="G67" s="84" t="s">
        <v>1370</v>
      </c>
      <c r="H67" s="71"/>
      <c r="I67" s="25"/>
      <c r="J67" s="25" t="s">
        <v>99</v>
      </c>
      <c r="K67" s="25" t="s">
        <v>121</v>
      </c>
      <c r="L67" s="25" t="s">
        <v>100</v>
      </c>
    </row>
    <row r="68" spans="2:12" s="1" customFormat="1">
      <c r="B68" s="13" t="s">
        <v>870</v>
      </c>
      <c r="C68" s="13" t="s">
        <v>771</v>
      </c>
      <c r="D68" s="9" t="s">
        <v>875</v>
      </c>
      <c r="E68" s="21" t="s">
        <v>58</v>
      </c>
      <c r="F68" s="19"/>
      <c r="G68" s="84" t="s">
        <v>1371</v>
      </c>
      <c r="H68" s="71"/>
      <c r="I68" s="25"/>
      <c r="J68" s="25" t="s">
        <v>99</v>
      </c>
      <c r="K68" s="25" t="s">
        <v>121</v>
      </c>
      <c r="L68" s="25" t="s">
        <v>100</v>
      </c>
    </row>
    <row r="69" spans="2:12" s="1" customFormat="1">
      <c r="B69" s="13" t="s">
        <v>880</v>
      </c>
      <c r="C69" s="13" t="s">
        <v>771</v>
      </c>
      <c r="D69" s="9" t="s">
        <v>884</v>
      </c>
      <c r="E69" s="21" t="s">
        <v>58</v>
      </c>
      <c r="F69" s="19"/>
      <c r="G69" s="84" t="s">
        <v>1372</v>
      </c>
      <c r="H69" s="71"/>
      <c r="I69" s="25"/>
      <c r="J69" s="25" t="s">
        <v>99</v>
      </c>
      <c r="K69" s="25" t="s">
        <v>121</v>
      </c>
      <c r="L69" s="25" t="s">
        <v>100</v>
      </c>
    </row>
    <row r="70" spans="2:12" s="1" customFormat="1">
      <c r="B70" s="13" t="s">
        <v>881</v>
      </c>
      <c r="C70" s="13" t="s">
        <v>771</v>
      </c>
      <c r="D70" s="9" t="s">
        <v>885</v>
      </c>
      <c r="E70" s="21" t="s">
        <v>58</v>
      </c>
      <c r="F70" s="19"/>
      <c r="G70" s="84" t="s">
        <v>1373</v>
      </c>
      <c r="H70" s="71"/>
      <c r="I70" s="25"/>
      <c r="J70" s="25" t="s">
        <v>99</v>
      </c>
      <c r="K70" s="25" t="s">
        <v>121</v>
      </c>
      <c r="L70" s="25" t="s">
        <v>100</v>
      </c>
    </row>
    <row r="71" spans="2:12" s="1" customFormat="1">
      <c r="B71" s="13" t="s">
        <v>882</v>
      </c>
      <c r="C71" s="13" t="s">
        <v>771</v>
      </c>
      <c r="D71" s="9" t="s">
        <v>886</v>
      </c>
      <c r="E71" s="21" t="s">
        <v>58</v>
      </c>
      <c r="F71" s="19"/>
      <c r="G71" s="84" t="s">
        <v>1374</v>
      </c>
      <c r="H71" s="71"/>
      <c r="I71" s="25"/>
      <c r="J71" s="25" t="s">
        <v>99</v>
      </c>
      <c r="K71" s="25" t="s">
        <v>121</v>
      </c>
      <c r="L71" s="25" t="s">
        <v>100</v>
      </c>
    </row>
    <row r="72" spans="2:12" s="1" customFormat="1">
      <c r="B72" s="13" t="s">
        <v>883</v>
      </c>
      <c r="C72" s="13" t="s">
        <v>771</v>
      </c>
      <c r="D72" s="9" t="s">
        <v>887</v>
      </c>
      <c r="E72" s="21" t="s">
        <v>58</v>
      </c>
      <c r="F72" s="19"/>
      <c r="G72" s="84" t="s">
        <v>1375</v>
      </c>
      <c r="H72" s="71"/>
      <c r="I72" s="25"/>
      <c r="J72" s="25" t="s">
        <v>99</v>
      </c>
      <c r="K72" s="25" t="s">
        <v>121</v>
      </c>
      <c r="L72" s="25" t="s">
        <v>100</v>
      </c>
    </row>
    <row r="73" spans="2:12" s="1" customFormat="1">
      <c r="B73" s="13" t="s">
        <v>892</v>
      </c>
      <c r="C73" s="13" t="s">
        <v>771</v>
      </c>
      <c r="D73" s="9" t="s">
        <v>896</v>
      </c>
      <c r="E73" s="21" t="s">
        <v>58</v>
      </c>
      <c r="F73" s="19"/>
      <c r="G73" s="84" t="s">
        <v>1376</v>
      </c>
      <c r="H73" s="71"/>
      <c r="I73" s="25"/>
      <c r="J73" s="25" t="s">
        <v>99</v>
      </c>
      <c r="K73" s="25" t="s">
        <v>121</v>
      </c>
      <c r="L73" s="25" t="s">
        <v>100</v>
      </c>
    </row>
    <row r="74" spans="2:12" s="1" customFormat="1">
      <c r="B74" s="13" t="s">
        <v>893</v>
      </c>
      <c r="C74" s="13" t="s">
        <v>771</v>
      </c>
      <c r="D74" s="9" t="s">
        <v>897</v>
      </c>
      <c r="E74" s="21" t="s">
        <v>58</v>
      </c>
      <c r="F74" s="19"/>
      <c r="G74" s="84" t="s">
        <v>1377</v>
      </c>
      <c r="H74" s="71"/>
      <c r="I74" s="25"/>
      <c r="J74" s="25" t="s">
        <v>99</v>
      </c>
      <c r="K74" s="25" t="s">
        <v>121</v>
      </c>
      <c r="L74" s="25" t="s">
        <v>100</v>
      </c>
    </row>
    <row r="75" spans="2:12" s="1" customFormat="1">
      <c r="B75" s="13" t="s">
        <v>894</v>
      </c>
      <c r="C75" s="13" t="s">
        <v>771</v>
      </c>
      <c r="D75" s="9" t="s">
        <v>898</v>
      </c>
      <c r="E75" s="21" t="s">
        <v>58</v>
      </c>
      <c r="F75" s="19"/>
      <c r="G75" s="84" t="s">
        <v>1378</v>
      </c>
      <c r="H75" s="71"/>
      <c r="I75" s="25"/>
      <c r="J75" s="25" t="s">
        <v>99</v>
      </c>
      <c r="K75" s="25" t="s">
        <v>121</v>
      </c>
      <c r="L75" s="25" t="s">
        <v>100</v>
      </c>
    </row>
    <row r="76" spans="2:12" s="1" customFormat="1">
      <c r="B76" s="13" t="s">
        <v>895</v>
      </c>
      <c r="C76" s="13" t="s">
        <v>771</v>
      </c>
      <c r="D76" s="9" t="s">
        <v>899</v>
      </c>
      <c r="E76" s="21" t="s">
        <v>58</v>
      </c>
      <c r="F76" s="19"/>
      <c r="G76" s="84" t="s">
        <v>1379</v>
      </c>
      <c r="H76" s="71"/>
      <c r="I76" s="25"/>
      <c r="J76" s="25" t="s">
        <v>99</v>
      </c>
      <c r="K76" s="25" t="s">
        <v>121</v>
      </c>
      <c r="L76" s="25" t="s">
        <v>100</v>
      </c>
    </row>
    <row r="77" spans="2:12" s="1" customFormat="1">
      <c r="B77" s="13" t="s">
        <v>904</v>
      </c>
      <c r="C77" s="13" t="s">
        <v>771</v>
      </c>
      <c r="D77" s="9" t="s">
        <v>1306</v>
      </c>
      <c r="E77" s="21" t="s">
        <v>58</v>
      </c>
      <c r="F77" s="19"/>
      <c r="G77" s="84" t="s">
        <v>1380</v>
      </c>
      <c r="H77" s="71"/>
      <c r="I77" s="25"/>
      <c r="J77" s="25" t="s">
        <v>99</v>
      </c>
      <c r="K77" s="25" t="s">
        <v>121</v>
      </c>
      <c r="L77" s="25" t="s">
        <v>100</v>
      </c>
    </row>
    <row r="78" spans="2:12" s="1" customFormat="1">
      <c r="B78" s="13" t="s">
        <v>1134</v>
      </c>
      <c r="C78" s="13" t="s">
        <v>771</v>
      </c>
      <c r="D78" s="9" t="s">
        <v>1307</v>
      </c>
      <c r="E78" s="21" t="s">
        <v>58</v>
      </c>
      <c r="F78" s="19"/>
      <c r="G78" s="84" t="s">
        <v>1381</v>
      </c>
      <c r="H78" s="71"/>
      <c r="I78" s="25"/>
      <c r="J78" s="25" t="s">
        <v>99</v>
      </c>
      <c r="K78" s="25" t="s">
        <v>121</v>
      </c>
      <c r="L78" s="25" t="s">
        <v>100</v>
      </c>
    </row>
    <row r="79" spans="2:12" s="1" customFormat="1">
      <c r="B79" s="13" t="s">
        <v>905</v>
      </c>
      <c r="C79" s="13" t="s">
        <v>771</v>
      </c>
      <c r="D79" s="9" t="s">
        <v>1308</v>
      </c>
      <c r="E79" s="21" t="s">
        <v>58</v>
      </c>
      <c r="F79" s="19"/>
      <c r="G79" s="84" t="s">
        <v>1382</v>
      </c>
      <c r="H79" s="71"/>
      <c r="I79" s="25"/>
      <c r="J79" s="25" t="s">
        <v>99</v>
      </c>
      <c r="K79" s="25" t="s">
        <v>121</v>
      </c>
      <c r="L79" s="25" t="s">
        <v>100</v>
      </c>
    </row>
    <row r="80" spans="2:12" s="1" customFormat="1">
      <c r="B80" s="13" t="s">
        <v>906</v>
      </c>
      <c r="C80" s="13" t="s">
        <v>771</v>
      </c>
      <c r="D80" s="9" t="s">
        <v>1309</v>
      </c>
      <c r="E80" s="21" t="s">
        <v>58</v>
      </c>
      <c r="F80" s="19"/>
      <c r="G80" s="84" t="s">
        <v>1383</v>
      </c>
      <c r="H80" s="71"/>
      <c r="I80" s="25"/>
      <c r="J80" s="25" t="s">
        <v>99</v>
      </c>
      <c r="K80" s="25" t="s">
        <v>121</v>
      </c>
      <c r="L80" s="25" t="s">
        <v>100</v>
      </c>
    </row>
    <row r="81" spans="2:12" s="1" customFormat="1">
      <c r="B81" s="13" t="s">
        <v>911</v>
      </c>
      <c r="C81" s="13" t="s">
        <v>771</v>
      </c>
      <c r="D81" s="9" t="s">
        <v>706</v>
      </c>
      <c r="E81" s="21" t="s">
        <v>58</v>
      </c>
      <c r="F81" s="19"/>
      <c r="G81" s="84" t="s">
        <v>1384</v>
      </c>
      <c r="H81" s="71"/>
      <c r="I81" s="25"/>
      <c r="J81" s="25" t="s">
        <v>99</v>
      </c>
      <c r="K81" s="25" t="s">
        <v>121</v>
      </c>
      <c r="L81" s="25" t="s">
        <v>100</v>
      </c>
    </row>
    <row r="82" spans="2:12" s="1" customFormat="1">
      <c r="B82" s="13" t="s">
        <v>1129</v>
      </c>
      <c r="C82" s="13" t="s">
        <v>771</v>
      </c>
      <c r="D82" s="9" t="s">
        <v>707</v>
      </c>
      <c r="E82" s="21" t="s">
        <v>58</v>
      </c>
      <c r="F82" s="19"/>
      <c r="G82" s="84" t="s">
        <v>1385</v>
      </c>
      <c r="H82" s="71"/>
      <c r="I82" s="25"/>
      <c r="J82" s="25" t="s">
        <v>99</v>
      </c>
      <c r="K82" s="25" t="s">
        <v>121</v>
      </c>
      <c r="L82" s="25" t="s">
        <v>100</v>
      </c>
    </row>
    <row r="83" spans="2:12" s="1" customFormat="1">
      <c r="B83" s="13" t="s">
        <v>912</v>
      </c>
      <c r="C83" s="13" t="s">
        <v>771</v>
      </c>
      <c r="D83" s="9" t="s">
        <v>708</v>
      </c>
      <c r="E83" s="21" t="s">
        <v>58</v>
      </c>
      <c r="F83" s="19"/>
      <c r="G83" s="84" t="s">
        <v>1386</v>
      </c>
      <c r="H83" s="71"/>
      <c r="I83" s="25"/>
      <c r="J83" s="25" t="s">
        <v>99</v>
      </c>
      <c r="K83" s="25" t="s">
        <v>121</v>
      </c>
      <c r="L83" s="25" t="s">
        <v>100</v>
      </c>
    </row>
    <row r="84" spans="2:12" s="1" customFormat="1">
      <c r="B84" s="13" t="s">
        <v>913</v>
      </c>
      <c r="C84" s="13" t="s">
        <v>771</v>
      </c>
      <c r="D84" s="9" t="s">
        <v>709</v>
      </c>
      <c r="E84" s="21" t="s">
        <v>58</v>
      </c>
      <c r="F84" s="19"/>
      <c r="G84" s="84" t="s">
        <v>1387</v>
      </c>
      <c r="H84" s="71"/>
      <c r="I84" s="25"/>
      <c r="J84" s="25" t="s">
        <v>99</v>
      </c>
      <c r="K84" s="25" t="s">
        <v>121</v>
      </c>
      <c r="L84" s="25" t="s">
        <v>100</v>
      </c>
    </row>
    <row r="85" spans="2:12" s="1" customFormat="1">
      <c r="B85" s="13" t="s">
        <v>1311</v>
      </c>
      <c r="C85" s="13" t="s">
        <v>771</v>
      </c>
      <c r="D85" s="9" t="s">
        <v>1315</v>
      </c>
      <c r="E85" s="21" t="s">
        <v>58</v>
      </c>
      <c r="F85" s="19"/>
      <c r="G85" s="84" t="s">
        <v>1388</v>
      </c>
      <c r="H85" s="71"/>
      <c r="I85" s="25"/>
      <c r="J85" s="25" t="s">
        <v>99</v>
      </c>
      <c r="K85" s="25" t="s">
        <v>121</v>
      </c>
      <c r="L85" s="25" t="s">
        <v>100</v>
      </c>
    </row>
    <row r="86" spans="2:12" s="1" customFormat="1">
      <c r="B86" s="13" t="s">
        <v>1312</v>
      </c>
      <c r="C86" s="13" t="s">
        <v>771</v>
      </c>
      <c r="D86" s="9" t="s">
        <v>1316</v>
      </c>
      <c r="E86" s="21" t="s">
        <v>58</v>
      </c>
      <c r="F86" s="19"/>
      <c r="G86" s="84" t="s">
        <v>1389</v>
      </c>
      <c r="H86" s="71"/>
      <c r="I86" s="25"/>
      <c r="J86" s="25" t="s">
        <v>99</v>
      </c>
      <c r="K86" s="25" t="s">
        <v>121</v>
      </c>
      <c r="L86" s="25" t="s">
        <v>100</v>
      </c>
    </row>
    <row r="87" spans="2:12" s="1" customFormat="1">
      <c r="B87" s="13" t="s">
        <v>1313</v>
      </c>
      <c r="C87" s="13" t="s">
        <v>771</v>
      </c>
      <c r="D87" s="9" t="s">
        <v>1317</v>
      </c>
      <c r="E87" s="21" t="s">
        <v>58</v>
      </c>
      <c r="F87" s="19"/>
      <c r="G87" s="84" t="s">
        <v>1390</v>
      </c>
      <c r="H87" s="71"/>
      <c r="I87" s="25"/>
      <c r="J87" s="25" t="s">
        <v>99</v>
      </c>
      <c r="K87" s="25" t="s">
        <v>121</v>
      </c>
      <c r="L87" s="25" t="s">
        <v>100</v>
      </c>
    </row>
    <row r="88" spans="2:12" s="1" customFormat="1">
      <c r="B88" s="13" t="s">
        <v>1314</v>
      </c>
      <c r="C88" s="13" t="s">
        <v>771</v>
      </c>
      <c r="D88" s="9" t="s">
        <v>1318</v>
      </c>
      <c r="E88" s="21" t="s">
        <v>58</v>
      </c>
      <c r="F88" s="19"/>
      <c r="G88" s="84" t="s">
        <v>1391</v>
      </c>
      <c r="H88" s="71"/>
      <c r="I88" s="25"/>
      <c r="J88" s="25" t="s">
        <v>99</v>
      </c>
      <c r="K88" s="25" t="s">
        <v>121</v>
      </c>
      <c r="L88" s="25" t="s">
        <v>100</v>
      </c>
    </row>
    <row r="89" spans="2:12" s="1" customFormat="1">
      <c r="B89" s="13" t="s">
        <v>285</v>
      </c>
      <c r="C89" s="13" t="s">
        <v>771</v>
      </c>
      <c r="D89" s="9" t="s">
        <v>918</v>
      </c>
      <c r="E89" s="21" t="s">
        <v>58</v>
      </c>
      <c r="F89" s="19"/>
      <c r="G89" s="84" t="s">
        <v>1392</v>
      </c>
      <c r="H89" s="71"/>
      <c r="I89" s="25"/>
      <c r="J89" s="25" t="s">
        <v>99</v>
      </c>
      <c r="K89" s="25" t="s">
        <v>121</v>
      </c>
      <c r="L89" s="25" t="s">
        <v>100</v>
      </c>
    </row>
    <row r="90" spans="2:12" s="1" customFormat="1">
      <c r="B90" s="13" t="s">
        <v>286</v>
      </c>
      <c r="C90" s="13" t="s">
        <v>771</v>
      </c>
      <c r="D90" s="9" t="s">
        <v>919</v>
      </c>
      <c r="E90" s="21" t="s">
        <v>58</v>
      </c>
      <c r="F90" s="19"/>
      <c r="G90" s="84" t="s">
        <v>1393</v>
      </c>
      <c r="H90" s="71"/>
      <c r="I90" s="25"/>
      <c r="J90" s="25" t="s">
        <v>99</v>
      </c>
      <c r="K90" s="25" t="s">
        <v>121</v>
      </c>
      <c r="L90" s="25" t="s">
        <v>100</v>
      </c>
    </row>
    <row r="91" spans="2:12" s="1" customFormat="1">
      <c r="B91" s="13" t="s">
        <v>287</v>
      </c>
      <c r="C91" s="13" t="s">
        <v>771</v>
      </c>
      <c r="D91" s="9" t="s">
        <v>920</v>
      </c>
      <c r="E91" s="21" t="s">
        <v>58</v>
      </c>
      <c r="F91" s="19"/>
      <c r="G91" s="84" t="s">
        <v>1394</v>
      </c>
      <c r="H91" s="71"/>
      <c r="I91" s="25"/>
      <c r="J91" s="25" t="s">
        <v>99</v>
      </c>
      <c r="K91" s="25" t="s">
        <v>121</v>
      </c>
      <c r="L91" s="25" t="s">
        <v>100</v>
      </c>
    </row>
    <row r="92" spans="2:12" s="1" customFormat="1">
      <c r="B92" s="13" t="s">
        <v>288</v>
      </c>
      <c r="C92" s="13" t="s">
        <v>771</v>
      </c>
      <c r="D92" s="9" t="s">
        <v>921</v>
      </c>
      <c r="E92" s="21" t="s">
        <v>58</v>
      </c>
      <c r="F92" s="19"/>
      <c r="G92" s="84" t="s">
        <v>1395</v>
      </c>
      <c r="H92" s="71"/>
      <c r="I92" s="25"/>
      <c r="J92" s="25" t="s">
        <v>99</v>
      </c>
      <c r="K92" s="25" t="s">
        <v>121</v>
      </c>
      <c r="L92" s="25" t="s">
        <v>100</v>
      </c>
    </row>
    <row r="93" spans="2:12" s="1" customFormat="1">
      <c r="B93" s="13" t="s">
        <v>1310</v>
      </c>
      <c r="C93" s="13" t="s">
        <v>771</v>
      </c>
      <c r="D93" s="9" t="s">
        <v>926</v>
      </c>
      <c r="E93" s="21" t="s">
        <v>58</v>
      </c>
      <c r="F93" s="19"/>
      <c r="G93" s="84" t="s">
        <v>1396</v>
      </c>
      <c r="H93" s="71"/>
      <c r="I93" s="25"/>
      <c r="J93" s="25" t="s">
        <v>99</v>
      </c>
      <c r="K93" s="25" t="s">
        <v>121</v>
      </c>
      <c r="L93" s="25" t="s">
        <v>100</v>
      </c>
    </row>
    <row r="94" spans="2:12" s="1" customFormat="1">
      <c r="B94" s="13" t="s">
        <v>1135</v>
      </c>
      <c r="C94" s="13" t="s">
        <v>771</v>
      </c>
      <c r="D94" s="9" t="s">
        <v>927</v>
      </c>
      <c r="E94" s="21" t="s">
        <v>58</v>
      </c>
      <c r="F94" s="19"/>
      <c r="G94" s="84" t="s">
        <v>1397</v>
      </c>
      <c r="H94" s="71"/>
      <c r="I94" s="25"/>
      <c r="J94" s="25" t="s">
        <v>99</v>
      </c>
      <c r="K94" s="25" t="s">
        <v>121</v>
      </c>
      <c r="L94" s="25" t="s">
        <v>100</v>
      </c>
    </row>
    <row r="95" spans="2:12" s="1" customFormat="1">
      <c r="B95" s="13" t="s">
        <v>1136</v>
      </c>
      <c r="C95" s="13" t="s">
        <v>771</v>
      </c>
      <c r="D95" s="9" t="s">
        <v>928</v>
      </c>
      <c r="E95" s="21" t="s">
        <v>58</v>
      </c>
      <c r="F95" s="19"/>
      <c r="G95" s="84" t="s">
        <v>1398</v>
      </c>
      <c r="H95" s="71"/>
      <c r="I95" s="25"/>
      <c r="J95" s="25" t="s">
        <v>99</v>
      </c>
      <c r="K95" s="25" t="s">
        <v>121</v>
      </c>
      <c r="L95" s="25" t="s">
        <v>100</v>
      </c>
    </row>
    <row r="96" spans="2:12" s="1" customFormat="1">
      <c r="B96" s="13" t="s">
        <v>1137</v>
      </c>
      <c r="C96" s="13" t="s">
        <v>771</v>
      </c>
      <c r="D96" s="9" t="s">
        <v>929</v>
      </c>
      <c r="E96" s="21" t="s">
        <v>58</v>
      </c>
      <c r="F96" s="19"/>
      <c r="G96" s="84" t="s">
        <v>1399</v>
      </c>
      <c r="H96" s="71"/>
      <c r="I96" s="25"/>
      <c r="J96" s="25" t="s">
        <v>99</v>
      </c>
      <c r="K96" s="25" t="s">
        <v>121</v>
      </c>
      <c r="L96" s="25" t="s">
        <v>100</v>
      </c>
    </row>
    <row r="97" spans="2:12" s="1" customFormat="1">
      <c r="B97" s="13" t="s">
        <v>934</v>
      </c>
      <c r="C97" s="13" t="s">
        <v>771</v>
      </c>
      <c r="D97" s="9" t="s">
        <v>710</v>
      </c>
      <c r="E97" s="21" t="s">
        <v>58</v>
      </c>
      <c r="F97" s="19"/>
      <c r="G97" s="84" t="s">
        <v>1400</v>
      </c>
      <c r="H97" s="71"/>
      <c r="I97" s="25"/>
      <c r="J97" s="25" t="s">
        <v>99</v>
      </c>
      <c r="K97" s="25" t="s">
        <v>121</v>
      </c>
      <c r="L97" s="25" t="s">
        <v>100</v>
      </c>
    </row>
    <row r="98" spans="2:12" s="1" customFormat="1">
      <c r="B98" s="13" t="s">
        <v>1138</v>
      </c>
      <c r="C98" s="13" t="s">
        <v>771</v>
      </c>
      <c r="D98" s="9" t="s">
        <v>711</v>
      </c>
      <c r="E98" s="21" t="s">
        <v>58</v>
      </c>
      <c r="F98" s="19"/>
      <c r="G98" s="84" t="s">
        <v>1401</v>
      </c>
      <c r="H98" s="71"/>
      <c r="I98" s="25"/>
      <c r="J98" s="25" t="s">
        <v>99</v>
      </c>
      <c r="K98" s="25" t="s">
        <v>121</v>
      </c>
      <c r="L98" s="25" t="s">
        <v>100</v>
      </c>
    </row>
    <row r="99" spans="2:12" s="1" customFormat="1">
      <c r="B99" s="13" t="s">
        <v>935</v>
      </c>
      <c r="C99" s="13" t="s">
        <v>771</v>
      </c>
      <c r="D99" s="9" t="s">
        <v>712</v>
      </c>
      <c r="E99" s="21" t="s">
        <v>58</v>
      </c>
      <c r="F99" s="19"/>
      <c r="G99" s="84" t="s">
        <v>1402</v>
      </c>
      <c r="H99" s="71"/>
      <c r="I99" s="25"/>
      <c r="J99" s="25" t="s">
        <v>99</v>
      </c>
      <c r="K99" s="25" t="s">
        <v>121</v>
      </c>
      <c r="L99" s="25" t="s">
        <v>100</v>
      </c>
    </row>
    <row r="100" spans="2:12" s="1" customFormat="1">
      <c r="B100" s="13" t="s">
        <v>936</v>
      </c>
      <c r="C100" s="13" t="s">
        <v>771</v>
      </c>
      <c r="D100" s="9" t="s">
        <v>713</v>
      </c>
      <c r="E100" s="21" t="s">
        <v>58</v>
      </c>
      <c r="F100" s="19"/>
      <c r="G100" s="84" t="s">
        <v>1403</v>
      </c>
      <c r="H100" s="71"/>
      <c r="I100" s="25"/>
      <c r="J100" s="25" t="s">
        <v>99</v>
      </c>
      <c r="K100" s="25" t="s">
        <v>121</v>
      </c>
      <c r="L100" s="25" t="s">
        <v>100</v>
      </c>
    </row>
    <row r="101" spans="2:12" s="1" customFormat="1">
      <c r="B101" s="13" t="s">
        <v>944</v>
      </c>
      <c r="C101" s="13" t="s">
        <v>771</v>
      </c>
      <c r="D101" s="9" t="s">
        <v>714</v>
      </c>
      <c r="E101" s="21" t="s">
        <v>58</v>
      </c>
      <c r="F101" s="19"/>
      <c r="G101" s="84" t="s">
        <v>1404</v>
      </c>
      <c r="H101" s="71"/>
      <c r="I101" s="25"/>
      <c r="J101" s="25" t="s">
        <v>99</v>
      </c>
      <c r="K101" s="25" t="s">
        <v>121</v>
      </c>
      <c r="L101" s="25" t="s">
        <v>100</v>
      </c>
    </row>
    <row r="102" spans="2:12" s="1" customFormat="1">
      <c r="B102" s="13" t="s">
        <v>1131</v>
      </c>
      <c r="C102" s="13" t="s">
        <v>771</v>
      </c>
      <c r="D102" s="9" t="s">
        <v>715</v>
      </c>
      <c r="E102" s="21" t="s">
        <v>58</v>
      </c>
      <c r="F102" s="19"/>
      <c r="G102" s="84" t="s">
        <v>1405</v>
      </c>
      <c r="H102" s="71"/>
      <c r="I102" s="25"/>
      <c r="J102" s="25" t="s">
        <v>99</v>
      </c>
      <c r="K102" s="25" t="s">
        <v>121</v>
      </c>
      <c r="L102" s="25" t="s">
        <v>100</v>
      </c>
    </row>
    <row r="103" spans="2:12" s="1" customFormat="1">
      <c r="B103" s="13" t="s">
        <v>945</v>
      </c>
      <c r="C103" s="13" t="s">
        <v>771</v>
      </c>
      <c r="D103" s="9" t="s">
        <v>716</v>
      </c>
      <c r="E103" s="21" t="s">
        <v>58</v>
      </c>
      <c r="F103" s="19"/>
      <c r="G103" s="84" t="s">
        <v>1406</v>
      </c>
      <c r="H103" s="71"/>
      <c r="I103" s="25"/>
      <c r="J103" s="25" t="s">
        <v>99</v>
      </c>
      <c r="K103" s="25" t="s">
        <v>121</v>
      </c>
      <c r="L103" s="25" t="s">
        <v>100</v>
      </c>
    </row>
    <row r="104" spans="2:12" s="1" customFormat="1">
      <c r="B104" s="13" t="s">
        <v>946</v>
      </c>
      <c r="C104" s="13" t="s">
        <v>771</v>
      </c>
      <c r="D104" s="9" t="s">
        <v>717</v>
      </c>
      <c r="E104" s="21" t="s">
        <v>58</v>
      </c>
      <c r="F104" s="19"/>
      <c r="G104" s="84" t="s">
        <v>1407</v>
      </c>
      <c r="H104" s="71"/>
      <c r="I104" s="25"/>
      <c r="J104" s="25" t="s">
        <v>99</v>
      </c>
      <c r="K104" s="25" t="s">
        <v>121</v>
      </c>
      <c r="L104" s="25" t="s">
        <v>100</v>
      </c>
    </row>
    <row r="105" spans="2:12" s="1" customFormat="1">
      <c r="B105" s="13" t="s">
        <v>1466</v>
      </c>
      <c r="C105" s="26" t="s">
        <v>98</v>
      </c>
      <c r="D105" s="9" t="s">
        <v>952</v>
      </c>
      <c r="E105" s="21" t="s">
        <v>58</v>
      </c>
      <c r="F105" s="19"/>
      <c r="G105" s="84" t="s">
        <v>1467</v>
      </c>
      <c r="H105" s="71"/>
      <c r="I105" s="25"/>
      <c r="J105" s="25" t="s">
        <v>99</v>
      </c>
      <c r="K105" s="25" t="s">
        <v>121</v>
      </c>
      <c r="L105" s="25" t="s">
        <v>100</v>
      </c>
    </row>
    <row r="106" spans="2:12" s="1" customFormat="1">
      <c r="B106" s="13" t="s">
        <v>289</v>
      </c>
      <c r="C106" s="26" t="s">
        <v>98</v>
      </c>
      <c r="D106" s="9" t="s">
        <v>953</v>
      </c>
      <c r="E106" s="21" t="s">
        <v>58</v>
      </c>
      <c r="F106" s="19"/>
      <c r="G106" s="84" t="s">
        <v>1408</v>
      </c>
      <c r="H106" s="71"/>
      <c r="I106" s="25"/>
      <c r="J106" s="25" t="s">
        <v>99</v>
      </c>
      <c r="K106" s="25" t="s">
        <v>121</v>
      </c>
      <c r="L106" s="25" t="s">
        <v>100</v>
      </c>
    </row>
    <row r="107" spans="2:12" s="1" customFormat="1">
      <c r="B107" s="13" t="s">
        <v>290</v>
      </c>
      <c r="C107" s="26" t="s">
        <v>98</v>
      </c>
      <c r="D107" s="9" t="s">
        <v>954</v>
      </c>
      <c r="E107" s="21" t="s">
        <v>58</v>
      </c>
      <c r="F107" s="19"/>
      <c r="G107" s="84" t="s">
        <v>1409</v>
      </c>
      <c r="H107" s="71"/>
      <c r="I107" s="25"/>
      <c r="J107" s="25" t="s">
        <v>99</v>
      </c>
      <c r="K107" s="25" t="s">
        <v>121</v>
      </c>
      <c r="L107" s="25" t="s">
        <v>100</v>
      </c>
    </row>
    <row r="108" spans="2:12" s="1" customFormat="1">
      <c r="B108" s="13" t="s">
        <v>291</v>
      </c>
      <c r="C108" s="26" t="s">
        <v>98</v>
      </c>
      <c r="D108" s="9" t="s">
        <v>955</v>
      </c>
      <c r="E108" s="21" t="s">
        <v>58</v>
      </c>
      <c r="F108" s="19"/>
      <c r="G108" s="84" t="s">
        <v>1410</v>
      </c>
      <c r="H108" s="71"/>
      <c r="I108" s="25"/>
      <c r="J108" s="25" t="s">
        <v>99</v>
      </c>
      <c r="K108" s="25" t="s">
        <v>121</v>
      </c>
      <c r="L108" s="25" t="s">
        <v>100</v>
      </c>
    </row>
    <row r="109" spans="2:12" s="1" customFormat="1">
      <c r="B109" s="13" t="s">
        <v>200</v>
      </c>
      <c r="C109" s="26" t="s">
        <v>98</v>
      </c>
      <c r="D109" s="9" t="s">
        <v>292</v>
      </c>
      <c r="E109" s="21" t="s">
        <v>58</v>
      </c>
      <c r="F109" s="19"/>
      <c r="G109" s="84" t="s">
        <v>269</v>
      </c>
      <c r="H109" s="71"/>
      <c r="I109" s="25"/>
      <c r="J109" s="25" t="s">
        <v>99</v>
      </c>
      <c r="K109" s="25" t="s">
        <v>121</v>
      </c>
      <c r="L109" s="25" t="s">
        <v>100</v>
      </c>
    </row>
    <row r="110" spans="2:12" s="1" customFormat="1">
      <c r="B110" s="13" t="s">
        <v>203</v>
      </c>
      <c r="C110" s="26" t="s">
        <v>98</v>
      </c>
      <c r="D110" s="9" t="s">
        <v>204</v>
      </c>
      <c r="E110" s="21" t="s">
        <v>58</v>
      </c>
      <c r="F110" s="19"/>
      <c r="G110" s="84" t="s">
        <v>270</v>
      </c>
      <c r="H110" s="71"/>
      <c r="I110" s="25"/>
      <c r="J110" s="25" t="s">
        <v>99</v>
      </c>
      <c r="K110" s="25" t="s">
        <v>121</v>
      </c>
      <c r="L110" s="25" t="s">
        <v>100</v>
      </c>
    </row>
    <row r="111" spans="2:12" s="1" customFormat="1">
      <c r="B111" s="13" t="s">
        <v>959</v>
      </c>
      <c r="C111" s="13" t="s">
        <v>98</v>
      </c>
      <c r="D111" s="9" t="s">
        <v>207</v>
      </c>
      <c r="E111" s="21" t="s">
        <v>58</v>
      </c>
      <c r="F111" s="19"/>
      <c r="G111" s="84" t="s">
        <v>271</v>
      </c>
      <c r="H111" s="71"/>
      <c r="I111" s="25"/>
      <c r="J111" s="25" t="s">
        <v>99</v>
      </c>
      <c r="K111" s="25" t="s">
        <v>121</v>
      </c>
      <c r="L111" s="25" t="s">
        <v>100</v>
      </c>
    </row>
    <row r="112" spans="2:12" s="1" customFormat="1">
      <c r="B112" s="13" t="s">
        <v>1565</v>
      </c>
      <c r="C112" s="13" t="s">
        <v>98</v>
      </c>
      <c r="D112" s="9" t="s">
        <v>1566</v>
      </c>
      <c r="E112" s="21" t="s">
        <v>58</v>
      </c>
      <c r="F112" s="19"/>
      <c r="G112" s="19" t="s">
        <v>1568</v>
      </c>
      <c r="H112" s="71"/>
      <c r="I112" s="25"/>
      <c r="J112" s="25" t="s">
        <v>99</v>
      </c>
      <c r="K112" s="25" t="s">
        <v>121</v>
      </c>
      <c r="L112" s="25" t="s">
        <v>100</v>
      </c>
    </row>
    <row r="113" spans="2:17" s="2" customFormat="1">
      <c r="B113" s="14" t="s">
        <v>80</v>
      </c>
      <c r="C113" s="15" t="s">
        <v>75</v>
      </c>
      <c r="D113" s="16" t="s">
        <v>103</v>
      </c>
      <c r="E113" s="24"/>
      <c r="F113" s="24"/>
      <c r="G113" s="24" t="s">
        <v>293</v>
      </c>
      <c r="H113" s="24"/>
      <c r="I113" s="14"/>
      <c r="J113" s="14"/>
      <c r="K113" s="14"/>
      <c r="L113" s="14"/>
      <c r="M113" s="14"/>
      <c r="N113" s="14"/>
      <c r="O113" s="14"/>
      <c r="P113" s="14"/>
      <c r="Q113" s="14"/>
    </row>
    <row r="114" spans="2:17" s="2" customFormat="1">
      <c r="B114" s="14" t="s">
        <v>0</v>
      </c>
      <c r="C114" s="15" t="s">
        <v>71</v>
      </c>
      <c r="D114" s="16" t="s">
        <v>104</v>
      </c>
      <c r="E114" s="24"/>
      <c r="F114" s="24"/>
      <c r="G114" s="24" t="s">
        <v>293</v>
      </c>
      <c r="H114" s="24"/>
      <c r="I114" s="14"/>
      <c r="J114" s="14"/>
      <c r="K114" s="14"/>
      <c r="L114" s="14"/>
      <c r="M114" s="14"/>
      <c r="N114" s="14"/>
      <c r="O114" s="14"/>
      <c r="P114" s="14"/>
      <c r="Q114" s="14"/>
    </row>
  </sheetData>
  <autoFilter ref="B11:L114" xr:uid="{1CD6A709-7980-47A9-90CF-7F7A4C2EE21B}"/>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772B5-8472-4D27-9EF8-CE9EB00EFFCF}">
  <dimension ref="A1:Q43"/>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25" style="3" bestFit="1" customWidth="1"/>
    <col min="3" max="3" width="30.6640625" style="3" bestFit="1" customWidth="1"/>
    <col min="4" max="4" width="32.21875" style="3" customWidth="1"/>
    <col min="5" max="5" width="10.109375" style="3" customWidth="1"/>
    <col min="6" max="6" width="15.44140625" style="3" customWidth="1"/>
    <col min="7" max="7" width="37.5546875" style="3" bestFit="1"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11" t="s">
        <v>50</v>
      </c>
    </row>
    <row r="5" spans="2:14">
      <c r="B5" s="8" t="s">
        <v>39</v>
      </c>
      <c r="C5" s="9" t="s">
        <v>1419</v>
      </c>
      <c r="D5" s="10" t="s">
        <v>1421</v>
      </c>
      <c r="E5" s="12" t="s">
        <v>1259</v>
      </c>
      <c r="F5" s="17"/>
      <c r="G5" s="92" t="s">
        <v>1478</v>
      </c>
      <c r="H5" s="12"/>
      <c r="N5" s="3"/>
    </row>
    <row r="6" spans="2:14">
      <c r="B6" s="6"/>
      <c r="C6" s="6"/>
      <c r="D6" s="6"/>
      <c r="E6" s="6"/>
      <c r="F6" s="18"/>
      <c r="G6" s="18"/>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1323</v>
      </c>
      <c r="D9" s="10" t="s">
        <v>1325</v>
      </c>
      <c r="E9" s="12" t="s">
        <v>58</v>
      </c>
      <c r="F9" s="19"/>
      <c r="G9" s="92" t="s">
        <v>1468</v>
      </c>
      <c r="H9" s="20" t="s">
        <v>30</v>
      </c>
    </row>
    <row r="10" spans="2:14">
      <c r="B10" s="12"/>
      <c r="C10" s="9" t="s">
        <v>1470</v>
      </c>
      <c r="D10" s="10" t="s">
        <v>1473</v>
      </c>
      <c r="E10" s="12" t="s">
        <v>665</v>
      </c>
      <c r="F10" s="19"/>
      <c r="G10" s="92" t="s">
        <v>1477</v>
      </c>
      <c r="H10" s="20"/>
    </row>
    <row r="11" spans="2:14">
      <c r="B11" s="12"/>
      <c r="C11" s="9" t="s">
        <v>2525</v>
      </c>
      <c r="D11" s="10" t="s">
        <v>1474</v>
      </c>
      <c r="E11" s="12" t="s">
        <v>658</v>
      </c>
      <c r="F11" s="19"/>
      <c r="G11" s="9"/>
      <c r="H11" s="20"/>
    </row>
    <row r="12" spans="2:14">
      <c r="B12" s="12"/>
      <c r="C12" s="9" t="s">
        <v>1472</v>
      </c>
      <c r="D12" s="10" t="s">
        <v>1475</v>
      </c>
      <c r="E12" s="12" t="s">
        <v>1476</v>
      </c>
      <c r="F12" s="19"/>
      <c r="G12" s="9"/>
      <c r="H12" s="20"/>
    </row>
    <row r="13" spans="2:14">
      <c r="C13" s="28"/>
    </row>
    <row r="15" spans="2:14">
      <c r="B15" s="3" t="s">
        <v>59</v>
      </c>
    </row>
    <row r="16" spans="2:14">
      <c r="B16" s="122" t="s">
        <v>59</v>
      </c>
      <c r="C16" s="122"/>
      <c r="D16" s="122"/>
      <c r="E16" s="122"/>
      <c r="F16" s="122"/>
      <c r="G16" s="122"/>
      <c r="H16" s="122"/>
      <c r="I16" s="122"/>
      <c r="J16" s="122"/>
      <c r="K16" s="122"/>
      <c r="L16" s="122"/>
    </row>
    <row r="17" spans="2:12">
      <c r="B17" s="7" t="s">
        <v>60</v>
      </c>
      <c r="C17" s="7" t="s">
        <v>61</v>
      </c>
      <c r="D17" s="7" t="s">
        <v>62</v>
      </c>
      <c r="E17" s="7" t="s">
        <v>63</v>
      </c>
      <c r="F17" s="11" t="s">
        <v>64</v>
      </c>
      <c r="G17" s="11" t="s">
        <v>65</v>
      </c>
      <c r="H17" s="11" t="s">
        <v>66</v>
      </c>
      <c r="I17" s="7" t="s">
        <v>24</v>
      </c>
      <c r="J17" s="7" t="s">
        <v>67</v>
      </c>
      <c r="K17" s="7" t="s">
        <v>68</v>
      </c>
      <c r="L17" s="7" t="s">
        <v>69</v>
      </c>
    </row>
    <row r="18" spans="2:12" s="1" customFormat="1">
      <c r="B18" s="13" t="s">
        <v>70</v>
      </c>
      <c r="C18" s="13" t="s">
        <v>71</v>
      </c>
      <c r="D18" s="9" t="s">
        <v>1469</v>
      </c>
      <c r="E18" s="21" t="s">
        <v>58</v>
      </c>
      <c r="F18" s="19" t="s">
        <v>303</v>
      </c>
      <c r="G18" s="22" t="s">
        <v>302</v>
      </c>
      <c r="H18" s="71"/>
      <c r="I18" s="25"/>
      <c r="J18" s="25" t="s">
        <v>304</v>
      </c>
      <c r="K18" s="25" t="s">
        <v>305</v>
      </c>
      <c r="L18" s="25" t="s">
        <v>305</v>
      </c>
    </row>
    <row r="19" spans="2:12" s="1" customFormat="1">
      <c r="B19" s="13" t="s">
        <v>78</v>
      </c>
      <c r="C19" s="13" t="s">
        <v>75</v>
      </c>
      <c r="D19" s="9" t="s">
        <v>79</v>
      </c>
      <c r="E19" s="21" t="s">
        <v>58</v>
      </c>
      <c r="F19" s="27" t="s">
        <v>301</v>
      </c>
      <c r="G19" s="22" t="s">
        <v>302</v>
      </c>
      <c r="H19" s="71"/>
      <c r="I19" s="25"/>
      <c r="J19" s="25" t="s">
        <v>304</v>
      </c>
      <c r="K19" s="25" t="s">
        <v>305</v>
      </c>
      <c r="L19" s="25" t="s">
        <v>305</v>
      </c>
    </row>
    <row r="20" spans="2:12" s="1" customFormat="1">
      <c r="B20" s="13" t="s">
        <v>217</v>
      </c>
      <c r="C20" s="13" t="s">
        <v>71</v>
      </c>
      <c r="D20" s="9" t="s">
        <v>84</v>
      </c>
      <c r="E20" s="21" t="s">
        <v>58</v>
      </c>
      <c r="F20" s="19" t="s">
        <v>654</v>
      </c>
      <c r="G20" s="22" t="s">
        <v>302</v>
      </c>
      <c r="H20" s="71"/>
      <c r="I20" s="25"/>
      <c r="J20" s="25" t="s">
        <v>304</v>
      </c>
      <c r="K20" s="25" t="s">
        <v>305</v>
      </c>
      <c r="L20" s="25" t="s">
        <v>305</v>
      </c>
    </row>
    <row r="21" spans="2:12" s="1" customFormat="1">
      <c r="B21" s="13" t="s">
        <v>1424</v>
      </c>
      <c r="C21" s="13" t="s">
        <v>75</v>
      </c>
      <c r="D21" s="9" t="s">
        <v>1425</v>
      </c>
      <c r="E21" s="21" t="s">
        <v>665</v>
      </c>
      <c r="F21" s="19"/>
      <c r="G21" s="22" t="s">
        <v>1479</v>
      </c>
      <c r="H21" s="71"/>
      <c r="I21" s="25"/>
      <c r="J21" s="25" t="s">
        <v>306</v>
      </c>
      <c r="K21" s="25" t="s">
        <v>1265</v>
      </c>
      <c r="L21" s="25" t="s">
        <v>1498</v>
      </c>
    </row>
    <row r="22" spans="2:12" s="1" customFormat="1">
      <c r="B22" s="13" t="s">
        <v>1426</v>
      </c>
      <c r="C22" s="13" t="s">
        <v>75</v>
      </c>
      <c r="D22" s="9" t="s">
        <v>1427</v>
      </c>
      <c r="E22" s="21" t="s">
        <v>1476</v>
      </c>
      <c r="F22" s="19"/>
      <c r="G22" s="22" t="s">
        <v>1480</v>
      </c>
      <c r="H22" s="71"/>
      <c r="I22" s="25"/>
      <c r="J22" s="25" t="s">
        <v>306</v>
      </c>
      <c r="K22" s="25" t="s">
        <v>1265</v>
      </c>
      <c r="L22" s="25" t="s">
        <v>1498</v>
      </c>
    </row>
    <row r="23" spans="2:12" s="1" customFormat="1">
      <c r="B23" s="13" t="s">
        <v>1428</v>
      </c>
      <c r="C23" s="13" t="s">
        <v>75</v>
      </c>
      <c r="D23" s="9" t="s">
        <v>1429</v>
      </c>
      <c r="E23" s="21" t="s">
        <v>658</v>
      </c>
      <c r="F23" s="19"/>
      <c r="G23" s="22" t="s">
        <v>1480</v>
      </c>
      <c r="H23" s="71"/>
      <c r="I23" s="25"/>
      <c r="J23" s="25" t="s">
        <v>306</v>
      </c>
      <c r="K23" s="25" t="s">
        <v>1265</v>
      </c>
      <c r="L23" s="25" t="s">
        <v>1209</v>
      </c>
    </row>
    <row r="24" spans="2:12" s="1" customFormat="1">
      <c r="B24" s="13" t="s">
        <v>1430</v>
      </c>
      <c r="C24" s="13" t="s">
        <v>75</v>
      </c>
      <c r="D24" s="9" t="s">
        <v>1431</v>
      </c>
      <c r="E24" s="21" t="s">
        <v>1481</v>
      </c>
      <c r="F24" s="19"/>
      <c r="G24" s="22" t="s">
        <v>1482</v>
      </c>
      <c r="H24" s="71"/>
      <c r="I24" s="25"/>
      <c r="J24" s="25" t="s">
        <v>306</v>
      </c>
      <c r="K24" s="25" t="s">
        <v>1265</v>
      </c>
      <c r="L24" s="25" t="s">
        <v>1209</v>
      </c>
    </row>
    <row r="25" spans="2:12" s="1" customFormat="1">
      <c r="B25" s="13" t="s">
        <v>1432</v>
      </c>
      <c r="C25" s="13" t="s">
        <v>75</v>
      </c>
      <c r="D25" s="9" t="s">
        <v>1433</v>
      </c>
      <c r="E25" s="21" t="s">
        <v>58</v>
      </c>
      <c r="F25" s="19"/>
      <c r="G25" s="22" t="s">
        <v>1483</v>
      </c>
      <c r="H25" s="71"/>
      <c r="I25" s="25"/>
      <c r="J25" s="25" t="s">
        <v>306</v>
      </c>
      <c r="K25" s="25" t="s">
        <v>1265</v>
      </c>
      <c r="L25" s="25" t="s">
        <v>1498</v>
      </c>
    </row>
    <row r="26" spans="2:12" s="1" customFormat="1">
      <c r="B26" s="13" t="s">
        <v>1488</v>
      </c>
      <c r="C26" s="13" t="s">
        <v>75</v>
      </c>
      <c r="D26" s="9" t="s">
        <v>1434</v>
      </c>
      <c r="E26" s="21" t="s">
        <v>1484</v>
      </c>
      <c r="F26" s="19"/>
      <c r="G26" s="22" t="s">
        <v>1487</v>
      </c>
      <c r="H26" s="71"/>
      <c r="I26" s="25"/>
      <c r="J26" s="25" t="s">
        <v>306</v>
      </c>
      <c r="K26" s="25" t="s">
        <v>1265</v>
      </c>
      <c r="L26" s="25" t="s">
        <v>1498</v>
      </c>
    </row>
    <row r="27" spans="2:12" s="1" customFormat="1">
      <c r="B27" s="13" t="s">
        <v>1435</v>
      </c>
      <c r="C27" s="13" t="s">
        <v>75</v>
      </c>
      <c r="D27" s="9" t="s">
        <v>1436</v>
      </c>
      <c r="E27" s="21" t="s">
        <v>1485</v>
      </c>
      <c r="F27" s="19"/>
      <c r="G27" s="22" t="s">
        <v>1487</v>
      </c>
      <c r="H27" s="71"/>
      <c r="I27" s="25"/>
      <c r="J27" s="25" t="s">
        <v>306</v>
      </c>
      <c r="K27" s="25" t="s">
        <v>1265</v>
      </c>
      <c r="L27" s="25" t="s">
        <v>1498</v>
      </c>
    </row>
    <row r="28" spans="2:12" s="1" customFormat="1">
      <c r="B28" s="13" t="s">
        <v>1437</v>
      </c>
      <c r="C28" s="13" t="s">
        <v>75</v>
      </c>
      <c r="D28" s="9" t="s">
        <v>1438</v>
      </c>
      <c r="E28" s="21" t="s">
        <v>1486</v>
      </c>
      <c r="F28" s="19"/>
      <c r="G28" s="22" t="s">
        <v>1487</v>
      </c>
      <c r="H28" s="71"/>
      <c r="I28" s="25"/>
      <c r="J28" s="25" t="s">
        <v>306</v>
      </c>
      <c r="K28" s="25" t="s">
        <v>1265</v>
      </c>
      <c r="L28" s="25" t="s">
        <v>1209</v>
      </c>
    </row>
    <row r="29" spans="2:12" s="1" customFormat="1">
      <c r="B29" s="13" t="s">
        <v>1439</v>
      </c>
      <c r="C29" s="13" t="s">
        <v>102</v>
      </c>
      <c r="D29" s="9" t="s">
        <v>1440</v>
      </c>
      <c r="E29" s="21" t="s">
        <v>1490</v>
      </c>
      <c r="F29" s="19"/>
      <c r="G29" s="22" t="s">
        <v>1489</v>
      </c>
      <c r="H29" s="71"/>
      <c r="I29" s="25"/>
      <c r="J29" s="25" t="s">
        <v>306</v>
      </c>
      <c r="K29" s="25" t="s">
        <v>305</v>
      </c>
      <c r="L29" s="25" t="s">
        <v>1499</v>
      </c>
    </row>
    <row r="30" spans="2:12" s="1" customFormat="1">
      <c r="B30" s="13" t="s">
        <v>1441</v>
      </c>
      <c r="C30" s="13" t="s">
        <v>102</v>
      </c>
      <c r="D30" s="9" t="s">
        <v>1442</v>
      </c>
      <c r="E30" s="21" t="s">
        <v>58</v>
      </c>
      <c r="F30" s="19"/>
      <c r="G30" s="84" t="s">
        <v>1491</v>
      </c>
      <c r="H30" s="71"/>
      <c r="I30" s="25"/>
      <c r="J30" s="25" t="s">
        <v>306</v>
      </c>
      <c r="K30" s="25" t="s">
        <v>305</v>
      </c>
      <c r="L30" s="25" t="s">
        <v>1500</v>
      </c>
    </row>
    <row r="31" spans="2:12" s="1" customFormat="1">
      <c r="B31" s="13" t="s">
        <v>1443</v>
      </c>
      <c r="C31" s="13" t="s">
        <v>98</v>
      </c>
      <c r="D31" s="9" t="s">
        <v>1444</v>
      </c>
      <c r="E31" s="21" t="s">
        <v>58</v>
      </c>
      <c r="F31" s="19"/>
      <c r="G31" s="84" t="s">
        <v>1467</v>
      </c>
      <c r="H31" s="71"/>
      <c r="I31" s="25"/>
      <c r="J31" s="25" t="s">
        <v>306</v>
      </c>
      <c r="K31" s="25" t="s">
        <v>305</v>
      </c>
      <c r="L31" s="25" t="s">
        <v>1498</v>
      </c>
    </row>
    <row r="32" spans="2:12" s="1" customFormat="1">
      <c r="B32" s="13" t="s">
        <v>1445</v>
      </c>
      <c r="C32" s="13" t="s">
        <v>98</v>
      </c>
      <c r="D32" s="9" t="s">
        <v>1446</v>
      </c>
      <c r="E32" s="21" t="s">
        <v>58</v>
      </c>
      <c r="F32" s="19"/>
      <c r="G32" s="9" t="s">
        <v>1446</v>
      </c>
      <c r="H32" s="71"/>
      <c r="I32" s="25"/>
      <c r="J32" s="25" t="s">
        <v>306</v>
      </c>
      <c r="K32" s="25" t="s">
        <v>305</v>
      </c>
      <c r="L32" s="25" t="s">
        <v>1498</v>
      </c>
    </row>
    <row r="33" spans="2:17" s="1" customFormat="1">
      <c r="B33" s="13" t="s">
        <v>1447</v>
      </c>
      <c r="C33" s="13" t="s">
        <v>98</v>
      </c>
      <c r="D33" s="9" t="s">
        <v>1448</v>
      </c>
      <c r="E33" s="21" t="s">
        <v>58</v>
      </c>
      <c r="F33" s="19"/>
      <c r="G33" s="9" t="s">
        <v>1448</v>
      </c>
      <c r="H33" s="71"/>
      <c r="I33" s="25"/>
      <c r="J33" s="25" t="s">
        <v>306</v>
      </c>
      <c r="K33" s="25" t="s">
        <v>305</v>
      </c>
      <c r="L33" s="25" t="s">
        <v>1498</v>
      </c>
    </row>
    <row r="34" spans="2:17" s="1" customFormat="1">
      <c r="B34" s="13" t="s">
        <v>1449</v>
      </c>
      <c r="C34" s="13" t="s">
        <v>98</v>
      </c>
      <c r="D34" s="9" t="s">
        <v>1450</v>
      </c>
      <c r="E34" s="21" t="s">
        <v>58</v>
      </c>
      <c r="F34" s="19"/>
      <c r="G34" s="9" t="s">
        <v>1450</v>
      </c>
      <c r="H34" s="71"/>
      <c r="I34" s="25"/>
      <c r="J34" s="25" t="s">
        <v>306</v>
      </c>
      <c r="K34" s="25" t="s">
        <v>305</v>
      </c>
      <c r="L34" s="25" t="s">
        <v>1498</v>
      </c>
    </row>
    <row r="35" spans="2:17" s="1" customFormat="1">
      <c r="B35" s="13" t="s">
        <v>1451</v>
      </c>
      <c r="C35" s="13" t="s">
        <v>98</v>
      </c>
      <c r="D35" s="9" t="s">
        <v>1452</v>
      </c>
      <c r="E35" s="21" t="s">
        <v>58</v>
      </c>
      <c r="F35" s="19"/>
      <c r="G35" s="9" t="s">
        <v>1452</v>
      </c>
      <c r="H35" s="71"/>
      <c r="I35" s="25"/>
      <c r="J35" s="25" t="s">
        <v>306</v>
      </c>
      <c r="K35" s="25" t="s">
        <v>305</v>
      </c>
      <c r="L35" s="25" t="s">
        <v>1498</v>
      </c>
    </row>
    <row r="36" spans="2:17" s="1" customFormat="1">
      <c r="B36" s="13" t="s">
        <v>1453</v>
      </c>
      <c r="C36" s="13" t="s">
        <v>75</v>
      </c>
      <c r="D36" s="9" t="s">
        <v>1454</v>
      </c>
      <c r="E36" s="21" t="s">
        <v>58</v>
      </c>
      <c r="F36" s="19"/>
      <c r="G36" s="84" t="s">
        <v>1264</v>
      </c>
      <c r="H36" s="71" t="s">
        <v>1492</v>
      </c>
      <c r="I36" s="25"/>
      <c r="J36" s="25" t="s">
        <v>306</v>
      </c>
      <c r="K36" s="25" t="s">
        <v>305</v>
      </c>
      <c r="L36" s="25" t="s">
        <v>1498</v>
      </c>
    </row>
    <row r="37" spans="2:17" s="1" customFormat="1">
      <c r="B37" s="13" t="s">
        <v>1455</v>
      </c>
      <c r="C37" s="13" t="s">
        <v>75</v>
      </c>
      <c r="D37" s="9" t="s">
        <v>1456</v>
      </c>
      <c r="E37" s="21" t="s">
        <v>58</v>
      </c>
      <c r="F37" s="19"/>
      <c r="G37" s="84" t="s">
        <v>1493</v>
      </c>
      <c r="H37" s="71"/>
      <c r="I37" s="25"/>
      <c r="J37" s="25" t="s">
        <v>306</v>
      </c>
      <c r="K37" s="25" t="s">
        <v>305</v>
      </c>
      <c r="L37" s="25" t="s">
        <v>1498</v>
      </c>
    </row>
    <row r="38" spans="2:17" s="1" customFormat="1">
      <c r="B38" s="13" t="s">
        <v>1457</v>
      </c>
      <c r="C38" s="13" t="s">
        <v>102</v>
      </c>
      <c r="D38" s="9" t="s">
        <v>1458</v>
      </c>
      <c r="E38" s="21" t="s">
        <v>58</v>
      </c>
      <c r="F38" s="19"/>
      <c r="G38" s="84" t="s">
        <v>1494</v>
      </c>
      <c r="H38" s="71"/>
      <c r="I38" s="25"/>
      <c r="J38" s="25" t="s">
        <v>306</v>
      </c>
      <c r="K38" s="25" t="s">
        <v>305</v>
      </c>
      <c r="L38" s="25" t="s">
        <v>1499</v>
      </c>
    </row>
    <row r="39" spans="2:17" s="1" customFormat="1">
      <c r="B39" s="13" t="s">
        <v>1459</v>
      </c>
      <c r="C39" s="13" t="s">
        <v>102</v>
      </c>
      <c r="D39" s="9" t="s">
        <v>1460</v>
      </c>
      <c r="E39" s="21" t="s">
        <v>58</v>
      </c>
      <c r="F39" s="19"/>
      <c r="G39" s="84" t="s">
        <v>1495</v>
      </c>
      <c r="H39" s="71"/>
      <c r="I39" s="25"/>
      <c r="J39" s="25" t="s">
        <v>306</v>
      </c>
      <c r="K39" s="25" t="s">
        <v>305</v>
      </c>
      <c r="L39" s="25" t="s">
        <v>1499</v>
      </c>
    </row>
    <row r="40" spans="2:17" s="1" customFormat="1">
      <c r="B40" s="13" t="s">
        <v>1461</v>
      </c>
      <c r="C40" s="13" t="s">
        <v>102</v>
      </c>
      <c r="D40" s="9" t="s">
        <v>1462</v>
      </c>
      <c r="E40" s="21" t="s">
        <v>58</v>
      </c>
      <c r="F40" s="19"/>
      <c r="G40" s="84" t="s">
        <v>1496</v>
      </c>
      <c r="H40" s="71"/>
      <c r="I40" s="25"/>
      <c r="J40" s="25" t="s">
        <v>306</v>
      </c>
      <c r="K40" s="25" t="s">
        <v>305</v>
      </c>
      <c r="L40" s="25" t="s">
        <v>1499</v>
      </c>
    </row>
    <row r="41" spans="2:17" s="1" customFormat="1">
      <c r="B41" s="13" t="s">
        <v>1463</v>
      </c>
      <c r="C41" s="13" t="s">
        <v>75</v>
      </c>
      <c r="D41" s="9" t="s">
        <v>1464</v>
      </c>
      <c r="E41" s="21" t="s">
        <v>58</v>
      </c>
      <c r="F41" s="19"/>
      <c r="G41" s="84" t="s">
        <v>1497</v>
      </c>
      <c r="H41" s="71"/>
      <c r="I41" s="25"/>
      <c r="J41" s="25" t="s">
        <v>306</v>
      </c>
      <c r="K41" s="25" t="s">
        <v>305</v>
      </c>
      <c r="L41" s="25" t="s">
        <v>1209</v>
      </c>
    </row>
    <row r="42" spans="2:17" s="2" customFormat="1">
      <c r="B42" s="14" t="s">
        <v>80</v>
      </c>
      <c r="C42" s="15" t="s">
        <v>75</v>
      </c>
      <c r="D42" s="16" t="s">
        <v>103</v>
      </c>
      <c r="E42" s="24"/>
      <c r="F42" s="24"/>
      <c r="G42" s="24" t="s">
        <v>293</v>
      </c>
      <c r="H42" s="24"/>
      <c r="I42" s="14"/>
      <c r="J42" s="14"/>
      <c r="K42" s="14"/>
      <c r="L42" s="14"/>
      <c r="M42" s="14"/>
      <c r="N42" s="14"/>
      <c r="O42" s="14"/>
      <c r="P42" s="14"/>
      <c r="Q42" s="14"/>
    </row>
    <row r="43" spans="2:17" s="2" customFormat="1">
      <c r="B43" s="14" t="s">
        <v>0</v>
      </c>
      <c r="C43" s="15" t="s">
        <v>71</v>
      </c>
      <c r="D43" s="16" t="s">
        <v>104</v>
      </c>
      <c r="E43" s="24"/>
      <c r="F43" s="24"/>
      <c r="G43" s="24" t="s">
        <v>293</v>
      </c>
      <c r="H43" s="24"/>
      <c r="I43" s="14"/>
      <c r="J43" s="14"/>
      <c r="K43" s="14"/>
      <c r="L43" s="14"/>
      <c r="M43" s="14"/>
      <c r="N43" s="14"/>
      <c r="O43" s="14"/>
      <c r="P43" s="14"/>
      <c r="Q43" s="14"/>
    </row>
  </sheetData>
  <autoFilter ref="B15:L43" xr:uid="{1CD6A709-7980-47A9-90CF-7F7A4C2EE21B}"/>
  <mergeCells count="4">
    <mergeCell ref="B2:H2"/>
    <mergeCell ref="B3:H3"/>
    <mergeCell ref="B7:H7"/>
    <mergeCell ref="B16:L16"/>
  </mergeCells>
  <phoneticPr fontId="23"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包装程序外壳对象" dvAspect="DVASPECT_ICON" shapeId="25601" r:id="rId4">
          <objectPr defaultSize="0" r:id="rId5">
            <anchor moveWithCells="1">
              <from>
                <xdr:col>8</xdr:col>
                <xdr:colOff>0</xdr:colOff>
                <xdr:row>8</xdr:row>
                <xdr:rowOff>0</xdr:rowOff>
              </from>
              <to>
                <xdr:col>10</xdr:col>
                <xdr:colOff>60960</xdr:colOff>
                <xdr:row>11</xdr:row>
                <xdr:rowOff>15240</xdr:rowOff>
              </to>
            </anchor>
          </objectPr>
        </oleObject>
      </mc:Choice>
      <mc:Fallback>
        <oleObject progId="包装程序外壳对象" dvAspect="DVASPECT_ICON" shapeId="25601" r:id="rId4"/>
      </mc:Fallback>
    </mc:AlternateContent>
  </oleObjec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E77EB-55EB-4FCD-8F6A-56F813C52615}">
  <dimension ref="A1:Q26"/>
  <sheetViews>
    <sheetView zoomScale="85" zoomScaleNormal="85" workbookViewId="0">
      <pane ySplit="5" topLeftCell="A6" activePane="bottomLeft" state="frozen"/>
      <selection pane="bottomLeft" activeCell="C12" sqref="C12"/>
    </sheetView>
  </sheetViews>
  <sheetFormatPr defaultColWidth="9" defaultRowHeight="13.2"/>
  <cols>
    <col min="1" max="1" width="1.33203125" style="3" customWidth="1"/>
    <col min="2" max="2" width="17.109375" style="3" bestFit="1" customWidth="1"/>
    <col min="3" max="3" width="33.88671875" style="3" bestFit="1" customWidth="1"/>
    <col min="4" max="4" width="32.21875" style="3" customWidth="1"/>
    <col min="5" max="5" width="10.109375" style="3" customWidth="1"/>
    <col min="6" max="6" width="15.44140625" style="3" customWidth="1"/>
    <col min="7" max="7" width="37.5546875" style="3" bestFit="1"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11" t="s">
        <v>50</v>
      </c>
    </row>
    <row r="5" spans="2:14">
      <c r="B5" s="8" t="s">
        <v>39</v>
      </c>
      <c r="C5" s="9" t="s">
        <v>1501</v>
      </c>
      <c r="D5" s="10" t="s">
        <v>1502</v>
      </c>
      <c r="E5" s="12" t="s">
        <v>1259</v>
      </c>
      <c r="F5" s="17"/>
      <c r="G5" s="92" t="s">
        <v>1478</v>
      </c>
      <c r="H5" s="12"/>
      <c r="N5" s="3"/>
    </row>
    <row r="6" spans="2:14">
      <c r="B6" s="6"/>
      <c r="C6" s="6"/>
      <c r="D6" s="6"/>
      <c r="E6" s="6"/>
      <c r="F6" s="18"/>
      <c r="G6" s="18"/>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1412</v>
      </c>
      <c r="D9" s="10" t="s">
        <v>1416</v>
      </c>
      <c r="E9" s="12" t="s">
        <v>58</v>
      </c>
      <c r="F9" s="19"/>
      <c r="G9" s="92" t="s">
        <v>1504</v>
      </c>
      <c r="H9" s="20" t="s">
        <v>30</v>
      </c>
    </row>
    <row r="10" spans="2:14">
      <c r="B10" s="12"/>
      <c r="C10" s="9" t="s">
        <v>1470</v>
      </c>
      <c r="D10" s="10" t="s">
        <v>1473</v>
      </c>
      <c r="E10" s="12" t="s">
        <v>665</v>
      </c>
      <c r="F10" s="19"/>
      <c r="G10" s="92" t="s">
        <v>1477</v>
      </c>
      <c r="H10" s="20"/>
    </row>
    <row r="11" spans="2:14">
      <c r="B11" s="12"/>
      <c r="C11" s="9" t="s">
        <v>1471</v>
      </c>
      <c r="D11" s="10" t="s">
        <v>1474</v>
      </c>
      <c r="E11" s="12" t="s">
        <v>658</v>
      </c>
      <c r="F11" s="19"/>
      <c r="G11" s="9"/>
      <c r="H11" s="20"/>
    </row>
    <row r="12" spans="2:14">
      <c r="B12" s="12"/>
      <c r="C12" s="9" t="s">
        <v>1472</v>
      </c>
      <c r="D12" s="10" t="s">
        <v>1475</v>
      </c>
      <c r="E12" s="12" t="s">
        <v>1476</v>
      </c>
      <c r="F12" s="19"/>
      <c r="G12" s="9"/>
      <c r="H12" s="20"/>
    </row>
    <row r="13" spans="2:14">
      <c r="C13" s="28"/>
    </row>
    <row r="15" spans="2:14">
      <c r="B15" s="3" t="s">
        <v>59</v>
      </c>
    </row>
    <row r="16" spans="2:14">
      <c r="B16" s="122" t="s">
        <v>59</v>
      </c>
      <c r="C16" s="122"/>
      <c r="D16" s="122"/>
      <c r="E16" s="122"/>
      <c r="F16" s="122"/>
      <c r="G16" s="122"/>
      <c r="H16" s="122"/>
      <c r="I16" s="122"/>
      <c r="J16" s="122"/>
      <c r="K16" s="122"/>
      <c r="L16" s="122"/>
    </row>
    <row r="17" spans="2:17">
      <c r="B17" s="7" t="s">
        <v>60</v>
      </c>
      <c r="C17" s="7" t="s">
        <v>61</v>
      </c>
      <c r="D17" s="7" t="s">
        <v>62</v>
      </c>
      <c r="E17" s="7" t="s">
        <v>63</v>
      </c>
      <c r="F17" s="11" t="s">
        <v>64</v>
      </c>
      <c r="G17" s="11" t="s">
        <v>65</v>
      </c>
      <c r="H17" s="11" t="s">
        <v>66</v>
      </c>
      <c r="I17" s="7" t="s">
        <v>24</v>
      </c>
      <c r="J17" s="7" t="s">
        <v>67</v>
      </c>
      <c r="K17" s="7" t="s">
        <v>68</v>
      </c>
      <c r="L17" s="7" t="s">
        <v>69</v>
      </c>
    </row>
    <row r="18" spans="2:17" s="1" customFormat="1">
      <c r="B18" s="13" t="s">
        <v>1256</v>
      </c>
      <c r="C18" s="13" t="s">
        <v>75</v>
      </c>
      <c r="D18" s="9" t="s">
        <v>562</v>
      </c>
      <c r="E18" s="21" t="s">
        <v>587</v>
      </c>
      <c r="F18" s="19"/>
      <c r="G18" s="22" t="s">
        <v>1260</v>
      </c>
      <c r="H18" s="126" t="s">
        <v>1510</v>
      </c>
      <c r="I18" s="25"/>
      <c r="J18" s="25" t="s">
        <v>304</v>
      </c>
      <c r="K18" s="25" t="s">
        <v>305</v>
      </c>
      <c r="L18" s="25" t="s">
        <v>305</v>
      </c>
    </row>
    <row r="19" spans="2:17" s="1" customFormat="1">
      <c r="B19" s="13" t="s">
        <v>113</v>
      </c>
      <c r="C19" s="13" t="s">
        <v>75</v>
      </c>
      <c r="D19" s="9" t="s">
        <v>563</v>
      </c>
      <c r="E19" s="21" t="s">
        <v>587</v>
      </c>
      <c r="F19" s="27"/>
      <c r="G19" s="22" t="s">
        <v>1261</v>
      </c>
      <c r="H19" s="127"/>
      <c r="I19" s="25"/>
      <c r="J19" s="25" t="s">
        <v>304</v>
      </c>
      <c r="K19" s="25" t="s">
        <v>305</v>
      </c>
      <c r="L19" s="25" t="s">
        <v>305</v>
      </c>
    </row>
    <row r="20" spans="2:17" s="1" customFormat="1">
      <c r="B20" s="13" t="s">
        <v>1055</v>
      </c>
      <c r="C20" s="13" t="s">
        <v>71</v>
      </c>
      <c r="D20" s="9" t="s">
        <v>1507</v>
      </c>
      <c r="E20" s="21" t="s">
        <v>587</v>
      </c>
      <c r="F20" s="19" t="s">
        <v>459</v>
      </c>
      <c r="G20" s="22" t="s">
        <v>302</v>
      </c>
      <c r="H20" s="127"/>
      <c r="I20" s="25"/>
      <c r="J20" s="25" t="s">
        <v>304</v>
      </c>
      <c r="K20" s="25" t="s">
        <v>305</v>
      </c>
      <c r="L20" s="25" t="s">
        <v>305</v>
      </c>
    </row>
    <row r="21" spans="2:17" s="1" customFormat="1">
      <c r="B21" s="13" t="s">
        <v>1505</v>
      </c>
      <c r="C21" s="13" t="s">
        <v>71</v>
      </c>
      <c r="D21" s="9" t="s">
        <v>276</v>
      </c>
      <c r="E21" s="21" t="s">
        <v>587</v>
      </c>
      <c r="F21" s="19" t="s">
        <v>1503</v>
      </c>
      <c r="G21" s="22" t="s">
        <v>302</v>
      </c>
      <c r="H21" s="127"/>
      <c r="I21" s="25"/>
      <c r="J21" s="25" t="s">
        <v>304</v>
      </c>
      <c r="K21" s="25" t="s">
        <v>305</v>
      </c>
      <c r="L21" s="25" t="s">
        <v>305</v>
      </c>
    </row>
    <row r="22" spans="2:17" s="1" customFormat="1">
      <c r="B22" s="13" t="s">
        <v>1506</v>
      </c>
      <c r="C22" s="13" t="s">
        <v>98</v>
      </c>
      <c r="D22" s="9" t="s">
        <v>1508</v>
      </c>
      <c r="E22" s="21" t="s">
        <v>587</v>
      </c>
      <c r="F22" s="19"/>
      <c r="G22" s="22" t="s">
        <v>1467</v>
      </c>
      <c r="H22" s="127"/>
      <c r="I22" s="25"/>
      <c r="J22" s="25" t="s">
        <v>306</v>
      </c>
      <c r="K22" s="25" t="s">
        <v>305</v>
      </c>
      <c r="L22" s="25" t="s">
        <v>1498</v>
      </c>
    </row>
    <row r="23" spans="2:17" s="1" customFormat="1">
      <c r="B23" s="13" t="s">
        <v>78</v>
      </c>
      <c r="C23" s="13" t="s">
        <v>75</v>
      </c>
      <c r="D23" s="9" t="s">
        <v>1509</v>
      </c>
      <c r="E23" s="21" t="s">
        <v>587</v>
      </c>
      <c r="F23" s="19" t="s">
        <v>301</v>
      </c>
      <c r="G23" s="22" t="s">
        <v>302</v>
      </c>
      <c r="H23" s="127"/>
      <c r="I23" s="25"/>
      <c r="J23" s="25" t="s">
        <v>304</v>
      </c>
      <c r="K23" s="25" t="s">
        <v>305</v>
      </c>
      <c r="L23" s="25" t="s">
        <v>305</v>
      </c>
    </row>
    <row r="24" spans="2:17" s="1" customFormat="1">
      <c r="B24" s="13" t="s">
        <v>70</v>
      </c>
      <c r="C24" s="13" t="s">
        <v>71</v>
      </c>
      <c r="D24" s="9" t="s">
        <v>1469</v>
      </c>
      <c r="E24" s="21" t="s">
        <v>587</v>
      </c>
      <c r="F24" s="19" t="s">
        <v>303</v>
      </c>
      <c r="G24" s="22" t="s">
        <v>302</v>
      </c>
      <c r="H24" s="128"/>
      <c r="I24" s="25"/>
      <c r="J24" s="25" t="s">
        <v>304</v>
      </c>
      <c r="K24" s="25" t="s">
        <v>305</v>
      </c>
      <c r="L24" s="25" t="s">
        <v>305</v>
      </c>
    </row>
    <row r="25" spans="2:17" s="2" customFormat="1">
      <c r="B25" s="14" t="s">
        <v>80</v>
      </c>
      <c r="C25" s="15" t="s">
        <v>75</v>
      </c>
      <c r="D25" s="16" t="s">
        <v>103</v>
      </c>
      <c r="E25" s="24"/>
      <c r="F25" s="24"/>
      <c r="G25" s="24" t="s">
        <v>293</v>
      </c>
      <c r="H25" s="24"/>
      <c r="I25" s="14"/>
      <c r="J25" s="14"/>
      <c r="K25" s="14"/>
      <c r="L25" s="14"/>
      <c r="M25" s="14"/>
      <c r="N25" s="14"/>
      <c r="O25" s="14"/>
      <c r="P25" s="14"/>
      <c r="Q25" s="14"/>
    </row>
    <row r="26" spans="2:17" s="2" customFormat="1">
      <c r="B26" s="14" t="s">
        <v>0</v>
      </c>
      <c r="C26" s="15" t="s">
        <v>71</v>
      </c>
      <c r="D26" s="16" t="s">
        <v>104</v>
      </c>
      <c r="E26" s="24"/>
      <c r="F26" s="24"/>
      <c r="G26" s="24" t="s">
        <v>293</v>
      </c>
      <c r="H26" s="24"/>
      <c r="I26" s="14"/>
      <c r="J26" s="14"/>
      <c r="K26" s="14"/>
      <c r="L26" s="14"/>
      <c r="M26" s="14"/>
      <c r="N26" s="14"/>
      <c r="O26" s="14"/>
      <c r="P26" s="14"/>
      <c r="Q26" s="14"/>
    </row>
  </sheetData>
  <autoFilter ref="B15:L26" xr:uid="{1CD6A709-7980-47A9-90CF-7F7A4C2EE21B}"/>
  <mergeCells count="5">
    <mergeCell ref="B2:H2"/>
    <mergeCell ref="B3:H3"/>
    <mergeCell ref="B7:H7"/>
    <mergeCell ref="B16:L16"/>
    <mergeCell ref="H18:H24"/>
  </mergeCells>
  <phoneticPr fontId="23"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包装程序外壳对象" dvAspect="DVASPECT_ICON" shapeId="26626" r:id="rId4">
          <objectPr defaultSize="0" r:id="rId5">
            <anchor moveWithCells="1">
              <from>
                <xdr:col>8</xdr:col>
                <xdr:colOff>0</xdr:colOff>
                <xdr:row>8</xdr:row>
                <xdr:rowOff>0</xdr:rowOff>
              </from>
              <to>
                <xdr:col>10</xdr:col>
                <xdr:colOff>312420</xdr:colOff>
                <xdr:row>11</xdr:row>
                <xdr:rowOff>15240</xdr:rowOff>
              </to>
            </anchor>
          </objectPr>
        </oleObject>
      </mc:Choice>
      <mc:Fallback>
        <oleObject progId="包装程序外壳对象" dvAspect="DVASPECT_ICON" shapeId="26626" r:id="rId4"/>
      </mc:Fallback>
    </mc:AlternateContent>
  </oleObjec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D208-C4B5-4E4E-A9D3-01B5251E0C7C}">
  <dimension ref="A1:Q24"/>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17.109375" style="3" bestFit="1" customWidth="1"/>
    <col min="3" max="3" width="24.6640625" style="3" bestFit="1" customWidth="1"/>
    <col min="4" max="4" width="32.21875" style="3" customWidth="1"/>
    <col min="5" max="5" width="10.109375" style="3" customWidth="1"/>
    <col min="6" max="6" width="15.44140625" style="3" customWidth="1"/>
    <col min="7" max="7" width="37.5546875" style="3" bestFit="1"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11" t="s">
        <v>50</v>
      </c>
    </row>
    <row r="5" spans="2:14">
      <c r="B5" s="8" t="s">
        <v>39</v>
      </c>
      <c r="C5" s="9" t="s">
        <v>1511</v>
      </c>
      <c r="D5" s="10" t="s">
        <v>1512</v>
      </c>
      <c r="E5" s="12" t="s">
        <v>1259</v>
      </c>
      <c r="F5" s="17"/>
      <c r="G5" s="92" t="s">
        <v>1516</v>
      </c>
      <c r="H5" s="12"/>
      <c r="N5" s="3"/>
    </row>
    <row r="6" spans="2:14">
      <c r="B6" s="6"/>
      <c r="C6" s="6"/>
      <c r="D6" s="6"/>
      <c r="E6" s="6"/>
      <c r="F6" s="18"/>
      <c r="G6" s="18"/>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1412</v>
      </c>
      <c r="D9" s="10" t="s">
        <v>1416</v>
      </c>
      <c r="E9" s="12" t="s">
        <v>58</v>
      </c>
      <c r="F9" s="19"/>
      <c r="G9" s="92" t="s">
        <v>1517</v>
      </c>
      <c r="H9" s="20" t="s">
        <v>30</v>
      </c>
    </row>
    <row r="10" spans="2:14">
      <c r="C10" s="28"/>
    </row>
    <row r="12" spans="2:14">
      <c r="B12" s="3" t="s">
        <v>59</v>
      </c>
    </row>
    <row r="13" spans="2:14">
      <c r="B13" s="122" t="s">
        <v>59</v>
      </c>
      <c r="C13" s="122"/>
      <c r="D13" s="122"/>
      <c r="E13" s="122"/>
      <c r="F13" s="122"/>
      <c r="G13" s="122"/>
      <c r="H13" s="122"/>
      <c r="I13" s="122"/>
      <c r="J13" s="122"/>
      <c r="K13" s="122"/>
      <c r="L13" s="122"/>
    </row>
    <row r="14" spans="2:14">
      <c r="B14" s="7" t="s">
        <v>60</v>
      </c>
      <c r="C14" s="7" t="s">
        <v>61</v>
      </c>
      <c r="D14" s="7" t="s">
        <v>62</v>
      </c>
      <c r="E14" s="7" t="s">
        <v>63</v>
      </c>
      <c r="F14" s="11" t="s">
        <v>64</v>
      </c>
      <c r="G14" s="11" t="s">
        <v>65</v>
      </c>
      <c r="H14" s="11" t="s">
        <v>66</v>
      </c>
      <c r="I14" s="7" t="s">
        <v>24</v>
      </c>
      <c r="J14" s="7" t="s">
        <v>67</v>
      </c>
      <c r="K14" s="7" t="s">
        <v>68</v>
      </c>
      <c r="L14" s="7" t="s">
        <v>69</v>
      </c>
    </row>
    <row r="15" spans="2:14" s="1" customFormat="1" ht="13.2" customHeight="1">
      <c r="B15" s="13" t="s">
        <v>70</v>
      </c>
      <c r="C15" s="13" t="s">
        <v>71</v>
      </c>
      <c r="D15" s="9" t="s">
        <v>1469</v>
      </c>
      <c r="E15" s="21" t="s">
        <v>587</v>
      </c>
      <c r="F15" s="19" t="s">
        <v>303</v>
      </c>
      <c r="G15" s="22" t="s">
        <v>302</v>
      </c>
      <c r="H15" s="23"/>
      <c r="I15" s="25"/>
      <c r="J15" s="25" t="s">
        <v>304</v>
      </c>
      <c r="K15" s="25" t="s">
        <v>305</v>
      </c>
      <c r="L15" s="25" t="s">
        <v>305</v>
      </c>
    </row>
    <row r="16" spans="2:14" s="1" customFormat="1">
      <c r="B16" s="13" t="s">
        <v>78</v>
      </c>
      <c r="C16" s="13" t="s">
        <v>75</v>
      </c>
      <c r="D16" s="9" t="s">
        <v>1509</v>
      </c>
      <c r="E16" s="21" t="s">
        <v>587</v>
      </c>
      <c r="F16" s="27" t="s">
        <v>301</v>
      </c>
      <c r="G16" s="22" t="s">
        <v>302</v>
      </c>
      <c r="H16" s="23"/>
      <c r="I16" s="25"/>
      <c r="J16" s="25" t="s">
        <v>304</v>
      </c>
      <c r="K16" s="25" t="s">
        <v>305</v>
      </c>
      <c r="L16" s="25" t="s">
        <v>305</v>
      </c>
    </row>
    <row r="17" spans="2:17" s="1" customFormat="1">
      <c r="B17" s="13" t="s">
        <v>81</v>
      </c>
      <c r="C17" s="13" t="s">
        <v>75</v>
      </c>
      <c r="D17" s="9" t="s">
        <v>1520</v>
      </c>
      <c r="E17" s="21" t="s">
        <v>587</v>
      </c>
      <c r="F17" s="19" t="str">
        <f>VLOOKUP(B17,'20'!B:L,1,0)</f>
        <v>citycode</v>
      </c>
      <c r="G17" s="22" t="s">
        <v>302</v>
      </c>
      <c r="H17" s="23"/>
      <c r="I17" s="25"/>
      <c r="J17" s="25" t="s">
        <v>304</v>
      </c>
      <c r="K17" s="25" t="s">
        <v>305</v>
      </c>
      <c r="L17" s="25" t="s">
        <v>305</v>
      </c>
    </row>
    <row r="18" spans="2:17" s="1" customFormat="1">
      <c r="B18" s="13" t="s">
        <v>217</v>
      </c>
      <c r="C18" s="13" t="s">
        <v>71</v>
      </c>
      <c r="D18" s="9" t="s">
        <v>1051</v>
      </c>
      <c r="E18" s="21" t="s">
        <v>587</v>
      </c>
      <c r="F18" s="19" t="s">
        <v>83</v>
      </c>
      <c r="G18" s="22" t="s">
        <v>302</v>
      </c>
      <c r="H18" s="23"/>
      <c r="I18" s="25"/>
      <c r="J18" s="25" t="s">
        <v>304</v>
      </c>
      <c r="K18" s="25" t="s">
        <v>305</v>
      </c>
      <c r="L18" s="25" t="s">
        <v>305</v>
      </c>
    </row>
    <row r="19" spans="2:17" s="1" customFormat="1">
      <c r="B19" s="13" t="s">
        <v>1518</v>
      </c>
      <c r="C19" s="13" t="s">
        <v>71</v>
      </c>
      <c r="D19" s="9" t="s">
        <v>1521</v>
      </c>
      <c r="E19" s="21" t="s">
        <v>587</v>
      </c>
      <c r="F19" s="19"/>
      <c r="G19" s="22" t="s">
        <v>627</v>
      </c>
      <c r="H19" s="23"/>
      <c r="I19" s="25"/>
      <c r="J19" s="25" t="s">
        <v>306</v>
      </c>
      <c r="K19" s="25" t="s">
        <v>305</v>
      </c>
      <c r="L19" s="25" t="s">
        <v>305</v>
      </c>
    </row>
    <row r="20" spans="2:17" s="1" customFormat="1">
      <c r="B20" s="13" t="s">
        <v>1519</v>
      </c>
      <c r="C20" s="13" t="s">
        <v>71</v>
      </c>
      <c r="D20" s="9" t="s">
        <v>1522</v>
      </c>
      <c r="E20" s="21" t="s">
        <v>587</v>
      </c>
      <c r="F20" s="19" t="s">
        <v>85</v>
      </c>
      <c r="G20" s="22" t="s">
        <v>302</v>
      </c>
      <c r="H20" s="23"/>
      <c r="I20" s="25"/>
      <c r="J20" s="25" t="s">
        <v>304</v>
      </c>
      <c r="K20" s="25" t="s">
        <v>305</v>
      </c>
      <c r="L20" s="25" t="s">
        <v>305</v>
      </c>
    </row>
    <row r="21" spans="2:17" s="1" customFormat="1">
      <c r="B21" s="13" t="s">
        <v>89</v>
      </c>
      <c r="C21" s="13" t="s">
        <v>71</v>
      </c>
      <c r="D21" s="9" t="s">
        <v>615</v>
      </c>
      <c r="E21" s="21"/>
      <c r="F21" s="19"/>
      <c r="G21" s="22" t="s">
        <v>627</v>
      </c>
      <c r="H21" s="23"/>
      <c r="I21" s="25"/>
      <c r="J21" s="25" t="s">
        <v>304</v>
      </c>
      <c r="K21" s="25" t="s">
        <v>305</v>
      </c>
      <c r="L21" s="25" t="s">
        <v>305</v>
      </c>
    </row>
    <row r="22" spans="2:17" s="1" customFormat="1">
      <c r="B22" s="13" t="s">
        <v>90</v>
      </c>
      <c r="C22" s="26" t="s">
        <v>71</v>
      </c>
      <c r="D22" s="9" t="s">
        <v>648</v>
      </c>
      <c r="E22" s="21" t="s">
        <v>587</v>
      </c>
      <c r="F22" s="19" t="s">
        <v>307</v>
      </c>
      <c r="G22" s="22" t="s">
        <v>302</v>
      </c>
      <c r="H22" s="23"/>
      <c r="I22" s="25"/>
      <c r="J22" s="25" t="s">
        <v>304</v>
      </c>
      <c r="K22" s="25" t="s">
        <v>305</v>
      </c>
      <c r="L22" s="25" t="s">
        <v>305</v>
      </c>
    </row>
    <row r="23" spans="2:17" s="2" customFormat="1">
      <c r="B23" s="14" t="s">
        <v>80</v>
      </c>
      <c r="C23" s="15" t="s">
        <v>75</v>
      </c>
      <c r="D23" s="16" t="s">
        <v>103</v>
      </c>
      <c r="E23" s="24"/>
      <c r="F23" s="24"/>
      <c r="G23" s="24" t="s">
        <v>293</v>
      </c>
      <c r="H23" s="24"/>
      <c r="I23" s="14"/>
      <c r="J23" s="14"/>
      <c r="K23" s="14"/>
      <c r="L23" s="14"/>
      <c r="M23" s="14"/>
      <c r="N23" s="14"/>
      <c r="O23" s="14"/>
      <c r="P23" s="14"/>
      <c r="Q23" s="14"/>
    </row>
    <row r="24" spans="2:17" s="2" customFormat="1">
      <c r="B24" s="14" t="s">
        <v>0</v>
      </c>
      <c r="C24" s="15" t="s">
        <v>71</v>
      </c>
      <c r="D24" s="16" t="s">
        <v>104</v>
      </c>
      <c r="E24" s="24"/>
      <c r="F24" s="24"/>
      <c r="G24" s="24" t="s">
        <v>293</v>
      </c>
      <c r="H24" s="24"/>
      <c r="I24" s="14"/>
      <c r="J24" s="14"/>
      <c r="K24" s="14"/>
      <c r="L24" s="14"/>
      <c r="M24" s="14"/>
      <c r="N24" s="14"/>
      <c r="O24" s="14"/>
      <c r="P24" s="14"/>
      <c r="Q24" s="14"/>
    </row>
  </sheetData>
  <autoFilter ref="B12:L24" xr:uid="{1CD6A709-7980-47A9-90CF-7F7A4C2EE21B}"/>
  <mergeCells count="4">
    <mergeCell ref="B2:H2"/>
    <mergeCell ref="B3:H3"/>
    <mergeCell ref="B7:H7"/>
    <mergeCell ref="B13:L13"/>
  </mergeCells>
  <phoneticPr fontId="23"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包装程序外壳对象" dvAspect="DVASPECT_ICON" shapeId="27650" r:id="rId4">
          <objectPr defaultSize="0" r:id="rId5">
            <anchor moveWithCells="1">
              <from>
                <xdr:col>8</xdr:col>
                <xdr:colOff>30480</xdr:colOff>
                <xdr:row>5</xdr:row>
                <xdr:rowOff>30480</xdr:rowOff>
              </from>
              <to>
                <xdr:col>9</xdr:col>
                <xdr:colOff>365760</xdr:colOff>
                <xdr:row>8</xdr:row>
                <xdr:rowOff>45720</xdr:rowOff>
              </to>
            </anchor>
          </objectPr>
        </oleObject>
      </mc:Choice>
      <mc:Fallback>
        <oleObject progId="包装程序外壳对象" dvAspect="DVASPECT_ICON" shapeId="27650" r:id="rId4"/>
      </mc:Fallback>
    </mc:AlternateContent>
  </oleObjec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E2B1E-E4C0-44F3-821D-27B8E6C555C3}">
  <dimension ref="A1:Q35"/>
  <sheetViews>
    <sheetView zoomScale="85" zoomScaleNormal="85" workbookViewId="0">
      <pane ySplit="5" topLeftCell="A6" activePane="bottomLeft" state="frozen"/>
      <selection pane="bottomLeft" activeCell="C9" sqref="C9:C10"/>
    </sheetView>
  </sheetViews>
  <sheetFormatPr defaultColWidth="9" defaultRowHeight="13.2"/>
  <cols>
    <col min="1" max="1" width="1.33203125" style="3" customWidth="1"/>
    <col min="2" max="2" width="36.109375" style="3" customWidth="1"/>
    <col min="3" max="3" width="38" style="3" bestFit="1"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11" t="s">
        <v>50</v>
      </c>
    </row>
    <row r="5" spans="2:14">
      <c r="B5" s="8" t="s">
        <v>39</v>
      </c>
      <c r="C5" s="9" t="s">
        <v>2373</v>
      </c>
      <c r="D5" s="10" t="s">
        <v>1529</v>
      </c>
      <c r="E5" s="12" t="s">
        <v>70</v>
      </c>
      <c r="F5" s="17"/>
      <c r="G5" s="92" t="s">
        <v>1478</v>
      </c>
      <c r="H5" s="12"/>
      <c r="N5" s="3"/>
    </row>
    <row r="6" spans="2:14">
      <c r="B6" s="6"/>
      <c r="C6" s="6"/>
      <c r="D6" s="6"/>
      <c r="E6" s="6"/>
      <c r="F6" s="18"/>
      <c r="G6" s="18"/>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ht="13.2" customHeight="1">
      <c r="B9" s="12"/>
      <c r="C9" s="9" t="s">
        <v>1530</v>
      </c>
      <c r="D9" s="10" t="s">
        <v>1531</v>
      </c>
      <c r="E9" s="12" t="s">
        <v>58</v>
      </c>
      <c r="F9" s="22"/>
      <c r="G9" s="19" t="s">
        <v>1569</v>
      </c>
      <c r="H9" s="20" t="s">
        <v>30</v>
      </c>
    </row>
    <row r="10" spans="2:14">
      <c r="B10" s="12"/>
      <c r="C10" s="9" t="s">
        <v>1413</v>
      </c>
      <c r="D10" s="10" t="s">
        <v>1414</v>
      </c>
      <c r="E10" s="12" t="s">
        <v>107</v>
      </c>
      <c r="F10" s="22"/>
      <c r="G10" s="93" t="s">
        <v>1570</v>
      </c>
      <c r="H10" s="20"/>
    </row>
    <row r="11" spans="2:14">
      <c r="B11" s="12"/>
      <c r="C11" s="9"/>
      <c r="D11" s="10"/>
      <c r="E11" s="12"/>
      <c r="F11" s="19"/>
      <c r="G11" s="92"/>
      <c r="H11" s="20"/>
    </row>
    <row r="12" spans="2:14">
      <c r="B12" s="3" t="s">
        <v>59</v>
      </c>
    </row>
    <row r="13" spans="2:14">
      <c r="B13" s="122" t="s">
        <v>59</v>
      </c>
      <c r="C13" s="122"/>
      <c r="D13" s="122"/>
      <c r="E13" s="122"/>
      <c r="F13" s="122"/>
      <c r="G13" s="122"/>
      <c r="H13" s="122"/>
      <c r="I13" s="122"/>
      <c r="J13" s="122"/>
      <c r="K13" s="122"/>
      <c r="L13" s="122"/>
    </row>
    <row r="14" spans="2:14">
      <c r="B14" s="7" t="s">
        <v>60</v>
      </c>
      <c r="C14" s="7" t="s">
        <v>61</v>
      </c>
      <c r="D14" s="7" t="s">
        <v>62</v>
      </c>
      <c r="E14" s="7" t="s">
        <v>63</v>
      </c>
      <c r="F14" s="11" t="s">
        <v>64</v>
      </c>
      <c r="G14" s="11" t="s">
        <v>65</v>
      </c>
      <c r="H14" s="11" t="s">
        <v>66</v>
      </c>
      <c r="I14" s="7" t="s">
        <v>24</v>
      </c>
      <c r="J14" s="7" t="s">
        <v>67</v>
      </c>
      <c r="K14" s="7" t="s">
        <v>68</v>
      </c>
      <c r="L14" s="7" t="s">
        <v>69</v>
      </c>
    </row>
    <row r="15" spans="2:14" s="1" customFormat="1">
      <c r="B15" s="13" t="s">
        <v>2374</v>
      </c>
      <c r="C15" s="13" t="s">
        <v>71</v>
      </c>
      <c r="D15" s="9" t="s">
        <v>1533</v>
      </c>
      <c r="E15" s="12" t="s">
        <v>1484</v>
      </c>
      <c r="F15" s="12"/>
      <c r="G15" s="22" t="s">
        <v>1534</v>
      </c>
      <c r="H15" s="71"/>
      <c r="I15" s="25"/>
      <c r="J15" s="25" t="s">
        <v>304</v>
      </c>
      <c r="K15" s="25" t="s">
        <v>305</v>
      </c>
      <c r="L15" s="25" t="s">
        <v>1535</v>
      </c>
    </row>
    <row r="16" spans="2:14" s="1" customFormat="1">
      <c r="B16" s="13" t="s">
        <v>78</v>
      </c>
      <c r="C16" s="13" t="s">
        <v>75</v>
      </c>
      <c r="D16" s="9" t="s">
        <v>79</v>
      </c>
      <c r="E16" s="12" t="s">
        <v>1484</v>
      </c>
      <c r="F16" s="9" t="s">
        <v>301</v>
      </c>
      <c r="G16" s="22" t="s">
        <v>302</v>
      </c>
      <c r="H16" s="71"/>
      <c r="I16" s="25"/>
      <c r="J16" s="25" t="s">
        <v>304</v>
      </c>
      <c r="K16" s="25" t="s">
        <v>305</v>
      </c>
      <c r="L16" s="25" t="s">
        <v>305</v>
      </c>
    </row>
    <row r="17" spans="2:17" s="1" customFormat="1">
      <c r="B17" s="13" t="s">
        <v>70</v>
      </c>
      <c r="C17" s="13" t="s">
        <v>71</v>
      </c>
      <c r="D17" s="9" t="s">
        <v>1423</v>
      </c>
      <c r="E17" s="12" t="s">
        <v>1484</v>
      </c>
      <c r="F17" s="9" t="s">
        <v>303</v>
      </c>
      <c r="G17" s="22" t="s">
        <v>302</v>
      </c>
      <c r="H17" s="71"/>
      <c r="I17" s="25"/>
      <c r="J17" s="25" t="s">
        <v>304</v>
      </c>
      <c r="K17" s="25" t="s">
        <v>305</v>
      </c>
      <c r="L17" s="25" t="s">
        <v>305</v>
      </c>
    </row>
    <row r="18" spans="2:17" s="1" customFormat="1">
      <c r="B18" s="13" t="s">
        <v>1536</v>
      </c>
      <c r="C18" s="13" t="s">
        <v>71</v>
      </c>
      <c r="D18" s="9" t="s">
        <v>1537</v>
      </c>
      <c r="E18" s="12" t="s">
        <v>1484</v>
      </c>
      <c r="F18" s="9" t="s">
        <v>1536</v>
      </c>
      <c r="G18" s="22" t="s">
        <v>302</v>
      </c>
      <c r="H18" s="71"/>
      <c r="I18" s="25"/>
      <c r="J18" s="25" t="s">
        <v>304</v>
      </c>
      <c r="K18" s="25" t="s">
        <v>305</v>
      </c>
      <c r="L18" s="25" t="s">
        <v>305</v>
      </c>
    </row>
    <row r="19" spans="2:17" s="1" customFormat="1" ht="26.4">
      <c r="B19" s="13" t="s">
        <v>308</v>
      </c>
      <c r="C19" s="13" t="s">
        <v>71</v>
      </c>
      <c r="D19" s="9" t="s">
        <v>1538</v>
      </c>
      <c r="E19" s="12" t="s">
        <v>1484</v>
      </c>
      <c r="F19" s="27" t="s">
        <v>1539</v>
      </c>
      <c r="G19" s="22" t="s">
        <v>302</v>
      </c>
      <c r="H19" s="71"/>
      <c r="I19" s="25"/>
      <c r="J19" s="25" t="s">
        <v>304</v>
      </c>
      <c r="K19" s="25" t="s">
        <v>305</v>
      </c>
      <c r="L19" s="25" t="s">
        <v>305</v>
      </c>
    </row>
    <row r="20" spans="2:17" s="1" customFormat="1">
      <c r="B20" s="13" t="s">
        <v>2375</v>
      </c>
      <c r="C20" s="13" t="s">
        <v>75</v>
      </c>
      <c r="D20" s="9" t="s">
        <v>1540</v>
      </c>
      <c r="E20" s="12" t="s">
        <v>1484</v>
      </c>
      <c r="F20" s="12"/>
      <c r="G20" s="9" t="s">
        <v>1540</v>
      </c>
      <c r="H20" s="71"/>
      <c r="I20" s="25"/>
      <c r="J20" s="25" t="s">
        <v>306</v>
      </c>
      <c r="K20" s="25" t="s">
        <v>305</v>
      </c>
      <c r="L20" s="25" t="s">
        <v>1209</v>
      </c>
    </row>
    <row r="21" spans="2:17" s="1" customFormat="1">
      <c r="B21" s="13" t="s">
        <v>2376</v>
      </c>
      <c r="C21" s="13" t="s">
        <v>75</v>
      </c>
      <c r="D21" s="9" t="s">
        <v>1541</v>
      </c>
      <c r="E21" s="12" t="s">
        <v>1484</v>
      </c>
      <c r="F21" s="12"/>
      <c r="G21" s="9" t="s">
        <v>1541</v>
      </c>
      <c r="H21" s="71"/>
      <c r="I21" s="25"/>
      <c r="J21" s="25" t="s">
        <v>306</v>
      </c>
      <c r="K21" s="25" t="s">
        <v>305</v>
      </c>
      <c r="L21" s="25" t="s">
        <v>1209</v>
      </c>
    </row>
    <row r="22" spans="2:17" s="1" customFormat="1">
      <c r="B22" s="13" t="s">
        <v>1542</v>
      </c>
      <c r="C22" s="13" t="s">
        <v>71</v>
      </c>
      <c r="D22" s="9" t="s">
        <v>1543</v>
      </c>
      <c r="E22" s="12" t="s">
        <v>1484</v>
      </c>
      <c r="F22" s="12"/>
      <c r="G22" s="9" t="s">
        <v>1543</v>
      </c>
      <c r="H22" s="71"/>
      <c r="I22" s="25"/>
      <c r="J22" s="25" t="s">
        <v>306</v>
      </c>
      <c r="K22" s="25" t="s">
        <v>305</v>
      </c>
      <c r="L22" s="25" t="s">
        <v>1544</v>
      </c>
    </row>
    <row r="23" spans="2:17" s="1" customFormat="1">
      <c r="B23" s="13" t="s">
        <v>1545</v>
      </c>
      <c r="C23" s="26" t="s">
        <v>71</v>
      </c>
      <c r="D23" s="9" t="s">
        <v>1546</v>
      </c>
      <c r="E23" s="12" t="s">
        <v>1484</v>
      </c>
      <c r="F23" s="12"/>
      <c r="G23" s="9" t="s">
        <v>1546</v>
      </c>
      <c r="H23" s="71"/>
      <c r="I23" s="25"/>
      <c r="J23" s="25" t="s">
        <v>306</v>
      </c>
      <c r="K23" s="25" t="s">
        <v>305</v>
      </c>
      <c r="L23" s="25" t="s">
        <v>1547</v>
      </c>
    </row>
    <row r="24" spans="2:17" s="1" customFormat="1">
      <c r="B24" s="13" t="s">
        <v>1548</v>
      </c>
      <c r="C24" s="26" t="s">
        <v>71</v>
      </c>
      <c r="D24" s="9" t="s">
        <v>1549</v>
      </c>
      <c r="E24" s="12" t="s">
        <v>1484</v>
      </c>
      <c r="F24" s="12"/>
      <c r="G24" s="9" t="s">
        <v>1550</v>
      </c>
      <c r="H24" s="71"/>
      <c r="I24" s="25"/>
      <c r="J24" s="25" t="s">
        <v>306</v>
      </c>
      <c r="K24" s="25" t="s">
        <v>305</v>
      </c>
      <c r="L24" s="25" t="s">
        <v>1551</v>
      </c>
    </row>
    <row r="25" spans="2:17" s="2" customFormat="1">
      <c r="B25" s="14" t="s">
        <v>80</v>
      </c>
      <c r="C25" s="15" t="s">
        <v>75</v>
      </c>
      <c r="D25" s="16" t="s">
        <v>103</v>
      </c>
      <c r="E25" s="24"/>
      <c r="F25" s="24"/>
      <c r="G25" s="24" t="s">
        <v>293</v>
      </c>
      <c r="H25" s="24"/>
      <c r="I25" s="14"/>
      <c r="J25" s="14"/>
      <c r="K25" s="14"/>
      <c r="L25" s="14"/>
      <c r="M25" s="14"/>
      <c r="N25" s="14"/>
      <c r="O25" s="14"/>
      <c r="P25" s="14"/>
      <c r="Q25" s="14"/>
    </row>
    <row r="26" spans="2:17" s="2" customFormat="1">
      <c r="B26" s="14" t="s">
        <v>0</v>
      </c>
      <c r="C26" s="15" t="s">
        <v>71</v>
      </c>
      <c r="D26" s="16" t="s">
        <v>104</v>
      </c>
      <c r="E26" s="24"/>
      <c r="F26" s="24"/>
      <c r="G26" s="24" t="s">
        <v>293</v>
      </c>
      <c r="H26" s="24"/>
      <c r="I26" s="14"/>
      <c r="J26" s="14"/>
      <c r="K26" s="14"/>
      <c r="L26" s="14"/>
      <c r="M26" s="14"/>
      <c r="N26" s="14"/>
      <c r="O26" s="14"/>
      <c r="P26" s="14"/>
      <c r="Q26" s="14"/>
    </row>
    <row r="35" spans="6:6">
      <c r="F35" s="105"/>
    </row>
  </sheetData>
  <mergeCells count="4">
    <mergeCell ref="B2:H2"/>
    <mergeCell ref="B3:H3"/>
    <mergeCell ref="B7:H7"/>
    <mergeCell ref="B13:L13"/>
  </mergeCells>
  <phoneticPr fontId="23"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包装程序外壳对象" dvAspect="DVASPECT_ICON" shapeId="28673" r:id="rId4">
          <objectPr defaultSize="0" r:id="rId5">
            <anchor moveWithCells="1">
              <from>
                <xdr:col>8</xdr:col>
                <xdr:colOff>0</xdr:colOff>
                <xdr:row>7</xdr:row>
                <xdr:rowOff>0</xdr:rowOff>
              </from>
              <to>
                <xdr:col>12</xdr:col>
                <xdr:colOff>365760</xdr:colOff>
                <xdr:row>10</xdr:row>
                <xdr:rowOff>15240</xdr:rowOff>
              </to>
            </anchor>
          </objectPr>
        </oleObject>
      </mc:Choice>
      <mc:Fallback>
        <oleObject progId="包装程序外壳对象" dvAspect="DVASPECT_ICON" shapeId="28673" r:id="rId4"/>
      </mc:Fallback>
    </mc:AlternateContent>
  </oleObjec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2888B-988A-406A-91EA-A429BB414908}">
  <dimension ref="A1:Q25"/>
  <sheetViews>
    <sheetView zoomScale="85" zoomScaleNormal="85" workbookViewId="0">
      <pane ySplit="5" topLeftCell="A6" activePane="bottomLeft" state="frozen"/>
      <selection pane="bottomLeft" activeCell="C9" sqref="C9:C10"/>
    </sheetView>
  </sheetViews>
  <sheetFormatPr defaultColWidth="9" defaultRowHeight="13.2"/>
  <cols>
    <col min="1" max="1" width="1.33203125" style="3" customWidth="1"/>
    <col min="2" max="2" width="36.109375" style="3" customWidth="1"/>
    <col min="3" max="3" width="29.88671875" style="3" bestFit="1"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11" t="s">
        <v>50</v>
      </c>
    </row>
    <row r="5" spans="2:14">
      <c r="B5" s="8" t="s">
        <v>39</v>
      </c>
      <c r="C5" s="9" t="s">
        <v>1528</v>
      </c>
      <c r="D5" s="10" t="s">
        <v>1523</v>
      </c>
      <c r="E5" s="12" t="s">
        <v>70</v>
      </c>
      <c r="F5" s="17"/>
      <c r="G5" s="92" t="s">
        <v>1478</v>
      </c>
      <c r="H5" s="12"/>
      <c r="N5" s="3"/>
    </row>
    <row r="6" spans="2:14">
      <c r="B6" s="6"/>
      <c r="C6" s="6"/>
      <c r="D6" s="6"/>
      <c r="E6" s="6"/>
      <c r="F6" s="18"/>
      <c r="G6" s="18"/>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ht="13.2" customHeight="1">
      <c r="B9" s="12"/>
      <c r="C9" s="9" t="s">
        <v>1530</v>
      </c>
      <c r="D9" s="10" t="s">
        <v>1531</v>
      </c>
      <c r="E9" s="12" t="s">
        <v>58</v>
      </c>
      <c r="F9" s="22"/>
      <c r="G9" s="19" t="s">
        <v>1569</v>
      </c>
      <c r="H9" s="20" t="s">
        <v>30</v>
      </c>
    </row>
    <row r="10" spans="2:14">
      <c r="B10" s="12"/>
      <c r="C10" s="9" t="s">
        <v>1413</v>
      </c>
      <c r="D10" s="10" t="s">
        <v>1414</v>
      </c>
      <c r="E10" s="12" t="s">
        <v>107</v>
      </c>
      <c r="F10" s="22"/>
      <c r="G10" s="93" t="s">
        <v>1570</v>
      </c>
      <c r="H10" s="20"/>
    </row>
    <row r="11" spans="2:14">
      <c r="B11" s="12"/>
      <c r="C11" s="9"/>
      <c r="D11" s="10"/>
      <c r="E11" s="12"/>
      <c r="F11" s="19"/>
      <c r="G11" s="19"/>
      <c r="H11" s="20"/>
    </row>
    <row r="12" spans="2:14">
      <c r="B12" s="3" t="s">
        <v>59</v>
      </c>
    </row>
    <row r="13" spans="2:14">
      <c r="B13" s="122" t="s">
        <v>59</v>
      </c>
      <c r="C13" s="122"/>
      <c r="D13" s="122"/>
      <c r="E13" s="122"/>
      <c r="F13" s="122"/>
      <c r="G13" s="122"/>
      <c r="H13" s="122"/>
      <c r="I13" s="122"/>
      <c r="J13" s="122"/>
      <c r="K13" s="122"/>
      <c r="L13" s="122"/>
    </row>
    <row r="14" spans="2:14">
      <c r="B14" s="7" t="s">
        <v>60</v>
      </c>
      <c r="C14" s="7" t="s">
        <v>61</v>
      </c>
      <c r="D14" s="7" t="s">
        <v>62</v>
      </c>
      <c r="E14" s="7" t="s">
        <v>63</v>
      </c>
      <c r="F14" s="11" t="s">
        <v>64</v>
      </c>
      <c r="G14" s="11" t="s">
        <v>65</v>
      </c>
      <c r="H14" s="11" t="s">
        <v>66</v>
      </c>
      <c r="I14" s="7" t="s">
        <v>24</v>
      </c>
      <c r="J14" s="7" t="s">
        <v>67</v>
      </c>
      <c r="K14" s="7" t="s">
        <v>68</v>
      </c>
      <c r="L14" s="7" t="s">
        <v>69</v>
      </c>
    </row>
    <row r="15" spans="2:14" s="1" customFormat="1">
      <c r="B15" s="13" t="s">
        <v>70</v>
      </c>
      <c r="C15" s="13" t="s">
        <v>71</v>
      </c>
      <c r="D15" s="9" t="s">
        <v>1423</v>
      </c>
      <c r="E15" s="12" t="s">
        <v>1484</v>
      </c>
      <c r="F15" s="9" t="s">
        <v>303</v>
      </c>
      <c r="G15" s="22" t="s">
        <v>302</v>
      </c>
      <c r="H15" s="71"/>
      <c r="I15" s="25"/>
      <c r="J15" s="25" t="s">
        <v>304</v>
      </c>
      <c r="K15" s="25" t="s">
        <v>305</v>
      </c>
      <c r="L15" s="25" t="s">
        <v>305</v>
      </c>
    </row>
    <row r="16" spans="2:14" s="1" customFormat="1">
      <c r="B16" s="13" t="s">
        <v>78</v>
      </c>
      <c r="C16" s="13" t="s">
        <v>75</v>
      </c>
      <c r="D16" s="9" t="s">
        <v>79</v>
      </c>
      <c r="E16" s="12" t="s">
        <v>1484</v>
      </c>
      <c r="F16" s="9" t="s">
        <v>301</v>
      </c>
      <c r="G16" s="22" t="s">
        <v>302</v>
      </c>
      <c r="H16" s="71"/>
      <c r="I16" s="25"/>
      <c r="J16" s="25" t="s">
        <v>304</v>
      </c>
      <c r="K16" s="25" t="s">
        <v>305</v>
      </c>
      <c r="L16" s="25" t="s">
        <v>305</v>
      </c>
    </row>
    <row r="17" spans="2:17" s="1" customFormat="1">
      <c r="B17" s="13" t="s">
        <v>1532</v>
      </c>
      <c r="C17" s="13" t="s">
        <v>71</v>
      </c>
      <c r="D17" s="9" t="s">
        <v>1533</v>
      </c>
      <c r="E17" s="12" t="s">
        <v>1484</v>
      </c>
      <c r="F17" s="9"/>
      <c r="G17" s="22" t="s">
        <v>1534</v>
      </c>
      <c r="H17" s="71"/>
      <c r="I17" s="25"/>
      <c r="J17" s="25" t="s">
        <v>304</v>
      </c>
      <c r="K17" s="25" t="s">
        <v>305</v>
      </c>
      <c r="L17" s="25" t="s">
        <v>1535</v>
      </c>
    </row>
    <row r="18" spans="2:17" s="1" customFormat="1" ht="26.4">
      <c r="B18" s="13" t="s">
        <v>2377</v>
      </c>
      <c r="C18" s="13" t="s">
        <v>98</v>
      </c>
      <c r="D18" s="9" t="s">
        <v>1553</v>
      </c>
      <c r="E18" s="12" t="s">
        <v>1484</v>
      </c>
      <c r="F18" s="9"/>
      <c r="G18" s="22" t="s">
        <v>1571</v>
      </c>
      <c r="H18" s="71"/>
      <c r="I18" s="25"/>
      <c r="J18" s="25" t="s">
        <v>304</v>
      </c>
      <c r="K18" s="25" t="s">
        <v>305</v>
      </c>
      <c r="L18" s="25" t="s">
        <v>1498</v>
      </c>
    </row>
    <row r="19" spans="2:17" s="1" customFormat="1" ht="52.8">
      <c r="B19" s="13" t="s">
        <v>2378</v>
      </c>
      <c r="C19" s="13" t="s">
        <v>98</v>
      </c>
      <c r="D19" s="9" t="s">
        <v>1554</v>
      </c>
      <c r="E19" s="12" t="s">
        <v>1484</v>
      </c>
      <c r="F19" s="27"/>
      <c r="G19" s="22" t="s">
        <v>1572</v>
      </c>
      <c r="H19" s="71"/>
      <c r="I19" s="25"/>
      <c r="J19" s="25" t="s">
        <v>304</v>
      </c>
      <c r="K19" s="25" t="s">
        <v>305</v>
      </c>
      <c r="L19" s="25" t="s">
        <v>1498</v>
      </c>
    </row>
    <row r="20" spans="2:17" s="1" customFormat="1" ht="79.2">
      <c r="B20" s="13" t="s">
        <v>1555</v>
      </c>
      <c r="C20" s="13" t="s">
        <v>102</v>
      </c>
      <c r="D20" s="9" t="s">
        <v>1556</v>
      </c>
      <c r="E20" s="12" t="s">
        <v>1484</v>
      </c>
      <c r="F20" s="12"/>
      <c r="G20" s="22" t="s">
        <v>1573</v>
      </c>
      <c r="H20" s="71"/>
      <c r="I20" s="25"/>
      <c r="J20" s="25" t="s">
        <v>306</v>
      </c>
      <c r="K20" s="25" t="s">
        <v>305</v>
      </c>
      <c r="L20" s="25" t="s">
        <v>1557</v>
      </c>
    </row>
    <row r="21" spans="2:17" s="1" customFormat="1">
      <c r="B21" s="13" t="s">
        <v>2379</v>
      </c>
      <c r="C21" s="13" t="s">
        <v>98</v>
      </c>
      <c r="D21" s="9" t="s">
        <v>1558</v>
      </c>
      <c r="E21" s="12" t="s">
        <v>1484</v>
      </c>
      <c r="F21" s="12"/>
      <c r="G21" s="9" t="s">
        <v>1264</v>
      </c>
      <c r="H21" s="71"/>
      <c r="I21" s="25"/>
      <c r="J21" s="25" t="s">
        <v>306</v>
      </c>
      <c r="K21" s="25" t="s">
        <v>305</v>
      </c>
      <c r="L21" s="25" t="s">
        <v>1498</v>
      </c>
    </row>
    <row r="22" spans="2:17" s="1" customFormat="1">
      <c r="B22" s="13" t="s">
        <v>2380</v>
      </c>
      <c r="C22" s="13" t="s">
        <v>98</v>
      </c>
      <c r="D22" s="9" t="s">
        <v>1559</v>
      </c>
      <c r="E22" s="12" t="s">
        <v>1484</v>
      </c>
      <c r="F22" s="12"/>
      <c r="G22" s="9" t="s">
        <v>1559</v>
      </c>
      <c r="H22" s="71"/>
      <c r="I22" s="25"/>
      <c r="J22" s="25" t="s">
        <v>306</v>
      </c>
      <c r="K22" s="25" t="s">
        <v>305</v>
      </c>
      <c r="L22" s="25" t="s">
        <v>1498</v>
      </c>
    </row>
    <row r="23" spans="2:17" s="1" customFormat="1">
      <c r="B23" s="13" t="s">
        <v>1560</v>
      </c>
      <c r="C23" s="26" t="s">
        <v>102</v>
      </c>
      <c r="D23" s="9" t="s">
        <v>1561</v>
      </c>
      <c r="E23" s="12" t="s">
        <v>1484</v>
      </c>
      <c r="F23" s="12"/>
      <c r="G23" s="9" t="s">
        <v>1562</v>
      </c>
      <c r="H23" s="71"/>
      <c r="I23" s="25"/>
      <c r="J23" s="25" t="s">
        <v>306</v>
      </c>
      <c r="K23" s="25" t="s">
        <v>305</v>
      </c>
      <c r="L23" s="25" t="s">
        <v>1557</v>
      </c>
    </row>
    <row r="24" spans="2:17" s="2" customFormat="1">
      <c r="B24" s="14" t="s">
        <v>80</v>
      </c>
      <c r="C24" s="15" t="s">
        <v>75</v>
      </c>
      <c r="D24" s="16" t="s">
        <v>103</v>
      </c>
      <c r="E24" s="24"/>
      <c r="F24" s="24"/>
      <c r="G24" s="24" t="s">
        <v>293</v>
      </c>
      <c r="H24" s="24"/>
      <c r="I24" s="14"/>
      <c r="J24" s="14"/>
      <c r="K24" s="14"/>
      <c r="L24" s="14"/>
      <c r="M24" s="14"/>
      <c r="N24" s="14"/>
      <c r="O24" s="14"/>
      <c r="P24" s="14"/>
      <c r="Q24" s="14"/>
    </row>
    <row r="25" spans="2:17" s="2" customFormat="1">
      <c r="B25" s="14" t="s">
        <v>0</v>
      </c>
      <c r="C25" s="15" t="s">
        <v>71</v>
      </c>
      <c r="D25" s="16" t="s">
        <v>104</v>
      </c>
      <c r="E25" s="24"/>
      <c r="F25" s="24"/>
      <c r="G25" s="24" t="s">
        <v>293</v>
      </c>
      <c r="H25" s="24"/>
      <c r="I25" s="14"/>
      <c r="J25" s="14"/>
      <c r="K25" s="14"/>
      <c r="L25" s="14"/>
      <c r="M25" s="14"/>
      <c r="N25" s="14"/>
      <c r="O25" s="14"/>
      <c r="P25" s="14"/>
      <c r="Q25" s="14"/>
    </row>
  </sheetData>
  <mergeCells count="4">
    <mergeCell ref="B2:H2"/>
    <mergeCell ref="B3:H3"/>
    <mergeCell ref="B7:H7"/>
    <mergeCell ref="B13:L13"/>
  </mergeCells>
  <phoneticPr fontId="23"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包装程序外壳对象" dvAspect="DVASPECT_ICON" shapeId="29697" r:id="rId4">
          <objectPr defaultSize="0" r:id="rId5">
            <anchor moveWithCells="1">
              <from>
                <xdr:col>8</xdr:col>
                <xdr:colOff>0</xdr:colOff>
                <xdr:row>8</xdr:row>
                <xdr:rowOff>0</xdr:rowOff>
              </from>
              <to>
                <xdr:col>11</xdr:col>
                <xdr:colOff>655320</xdr:colOff>
                <xdr:row>11</xdr:row>
                <xdr:rowOff>15240</xdr:rowOff>
              </to>
            </anchor>
          </objectPr>
        </oleObject>
      </mc:Choice>
      <mc:Fallback>
        <oleObject progId="包装程序外壳对象" dvAspect="DVASPECT_ICON" shapeId="29697" r:id="rId4"/>
      </mc:Fallback>
    </mc:AlternateContent>
  </oleObjec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4E59E-A408-4005-B4E9-73CFA805FFE1}">
  <dimension ref="A1:Q62"/>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23.6640625" style="3" customWidth="1"/>
    <col min="3" max="3" width="28.5546875" style="3" bestFit="1" customWidth="1"/>
    <col min="4" max="4" width="32.21875" style="3" customWidth="1"/>
    <col min="5" max="5" width="16.21875" style="3" customWidth="1"/>
    <col min="6" max="6" width="19.21875" style="3" customWidth="1"/>
    <col min="7" max="7" width="51.4414062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7" t="s">
        <v>49</v>
      </c>
      <c r="G4" s="7" t="s">
        <v>14</v>
      </c>
      <c r="H4" s="7" t="s">
        <v>50</v>
      </c>
    </row>
    <row r="5" spans="2:14">
      <c r="B5" s="8" t="s">
        <v>1575</v>
      </c>
      <c r="C5" s="9" t="s">
        <v>1641</v>
      </c>
      <c r="D5" s="9" t="s">
        <v>1707</v>
      </c>
      <c r="E5" s="12" t="s">
        <v>4</v>
      </c>
      <c r="F5" s="29"/>
      <c r="G5" s="12"/>
      <c r="H5" s="12"/>
      <c r="N5" s="3"/>
    </row>
    <row r="6" spans="2:14">
      <c r="B6" s="6"/>
      <c r="C6" s="6"/>
      <c r="D6" s="6"/>
      <c r="E6" s="6"/>
      <c r="F6" s="6"/>
      <c r="G6" s="6"/>
      <c r="H6" s="6"/>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1574</v>
      </c>
      <c r="D9" s="10" t="s">
        <v>1645</v>
      </c>
      <c r="E9" s="12" t="s">
        <v>58</v>
      </c>
      <c r="F9" s="22"/>
      <c r="G9" s="22"/>
      <c r="H9" s="20" t="s">
        <v>30</v>
      </c>
    </row>
    <row r="10" spans="2:14" ht="26.4">
      <c r="B10" s="12"/>
      <c r="C10" s="9" t="s">
        <v>444</v>
      </c>
      <c r="D10" s="10" t="s">
        <v>1242</v>
      </c>
      <c r="E10" s="12" t="s">
        <v>665</v>
      </c>
      <c r="F10" s="22" t="s">
        <v>445</v>
      </c>
      <c r="G10" s="22" t="s">
        <v>1646</v>
      </c>
      <c r="H10" s="20"/>
    </row>
    <row r="11" spans="2:14">
      <c r="G11" s="30"/>
    </row>
    <row r="12" spans="2:14">
      <c r="B12" s="3" t="s">
        <v>59</v>
      </c>
    </row>
    <row r="13" spans="2:14">
      <c r="B13" s="122" t="s">
        <v>59</v>
      </c>
      <c r="C13" s="122"/>
      <c r="D13" s="122"/>
      <c r="E13" s="122"/>
      <c r="F13" s="122"/>
      <c r="G13" s="122"/>
      <c r="H13" s="122"/>
      <c r="I13" s="122"/>
      <c r="J13" s="122"/>
      <c r="K13" s="122"/>
      <c r="L13" s="122"/>
    </row>
    <row r="14" spans="2:14">
      <c r="B14" s="7" t="s">
        <v>60</v>
      </c>
      <c r="C14" s="7" t="s">
        <v>61</v>
      </c>
      <c r="D14" s="7" t="s">
        <v>62</v>
      </c>
      <c r="E14" s="7" t="s">
        <v>63</v>
      </c>
      <c r="F14" s="7" t="s">
        <v>64</v>
      </c>
      <c r="G14" s="7" t="s">
        <v>65</v>
      </c>
      <c r="H14" s="7" t="s">
        <v>66</v>
      </c>
      <c r="I14" s="7" t="s">
        <v>24</v>
      </c>
      <c r="J14" s="7" t="s">
        <v>67</v>
      </c>
      <c r="K14" s="7" t="s">
        <v>68</v>
      </c>
      <c r="L14" s="7" t="s">
        <v>69</v>
      </c>
    </row>
    <row r="15" spans="2:14" s="1" customFormat="1">
      <c r="B15" s="13" t="s">
        <v>70</v>
      </c>
      <c r="C15" s="13" t="s">
        <v>71</v>
      </c>
      <c r="D15" s="9" t="s">
        <v>72</v>
      </c>
      <c r="E15" s="21" t="s">
        <v>58</v>
      </c>
      <c r="F15" s="22" t="s">
        <v>0</v>
      </c>
      <c r="G15" s="22" t="s">
        <v>73</v>
      </c>
      <c r="H15" s="23"/>
      <c r="I15" s="25"/>
      <c r="J15" s="25" t="s">
        <v>3</v>
      </c>
      <c r="K15" s="25" t="s">
        <v>74</v>
      </c>
      <c r="L15" s="25" t="s">
        <v>1576</v>
      </c>
    </row>
    <row r="16" spans="2:14" s="1" customFormat="1">
      <c r="B16" s="13" t="s">
        <v>6</v>
      </c>
      <c r="C16" s="13" t="s">
        <v>75</v>
      </c>
      <c r="D16" s="9" t="s">
        <v>34</v>
      </c>
      <c r="E16" s="21" t="s">
        <v>58</v>
      </c>
      <c r="F16" s="22" t="s">
        <v>1</v>
      </c>
      <c r="G16" s="22" t="s">
        <v>73</v>
      </c>
      <c r="H16" s="23"/>
      <c r="I16" s="25"/>
      <c r="J16" s="25" t="s">
        <v>3</v>
      </c>
      <c r="K16" s="25" t="s">
        <v>74</v>
      </c>
      <c r="L16" s="25" t="s">
        <v>1577</v>
      </c>
    </row>
    <row r="17" spans="1:12" s="1" customFormat="1">
      <c r="B17" s="13" t="s">
        <v>4</v>
      </c>
      <c r="C17" s="13" t="s">
        <v>75</v>
      </c>
      <c r="D17" s="9" t="s">
        <v>28</v>
      </c>
      <c r="E17" s="21" t="s">
        <v>58</v>
      </c>
      <c r="F17" s="22" t="s">
        <v>2</v>
      </c>
      <c r="G17" s="22" t="s">
        <v>73</v>
      </c>
      <c r="H17" s="23"/>
      <c r="I17" s="25"/>
      <c r="J17" s="25" t="s">
        <v>3</v>
      </c>
      <c r="K17" s="25" t="s">
        <v>74</v>
      </c>
      <c r="L17" s="25" t="s">
        <v>1578</v>
      </c>
    </row>
    <row r="18" spans="1:12" s="1" customFormat="1">
      <c r="A18" s="89"/>
      <c r="B18" s="13" t="s">
        <v>76</v>
      </c>
      <c r="C18" s="13" t="s">
        <v>75</v>
      </c>
      <c r="D18" s="9" t="s">
        <v>77</v>
      </c>
      <c r="E18" s="21" t="s">
        <v>58</v>
      </c>
      <c r="F18" s="22" t="s">
        <v>76</v>
      </c>
      <c r="G18" s="22" t="s">
        <v>73</v>
      </c>
      <c r="H18" s="23"/>
      <c r="I18" s="90"/>
      <c r="J18" s="25" t="s">
        <v>3</v>
      </c>
      <c r="K18" s="25" t="s">
        <v>74</v>
      </c>
      <c r="L18" s="94" t="s">
        <v>1579</v>
      </c>
    </row>
    <row r="19" spans="1:12" s="1" customFormat="1">
      <c r="A19" s="89"/>
      <c r="B19" s="13" t="s">
        <v>2382</v>
      </c>
      <c r="C19" s="13" t="s">
        <v>75</v>
      </c>
      <c r="D19" s="9" t="s">
        <v>1581</v>
      </c>
      <c r="E19" s="21" t="s">
        <v>58</v>
      </c>
      <c r="F19" s="22" t="s">
        <v>1580</v>
      </c>
      <c r="G19" s="22" t="s">
        <v>73</v>
      </c>
      <c r="H19" s="23"/>
      <c r="I19" s="90"/>
      <c r="J19" s="25" t="s">
        <v>3</v>
      </c>
      <c r="K19" s="25" t="s">
        <v>74</v>
      </c>
      <c r="L19" s="25" t="s">
        <v>1582</v>
      </c>
    </row>
    <row r="20" spans="1:12" s="1" customFormat="1">
      <c r="A20" s="89"/>
      <c r="B20" s="13" t="s">
        <v>78</v>
      </c>
      <c r="C20" s="13" t="s">
        <v>75</v>
      </c>
      <c r="D20" s="9" t="s">
        <v>79</v>
      </c>
      <c r="E20" s="21" t="s">
        <v>58</v>
      </c>
      <c r="F20" s="22" t="s">
        <v>80</v>
      </c>
      <c r="G20" s="22" t="s">
        <v>73</v>
      </c>
      <c r="H20" s="23"/>
      <c r="I20" s="90"/>
      <c r="J20" s="25" t="s">
        <v>3</v>
      </c>
      <c r="K20" s="25" t="s">
        <v>74</v>
      </c>
      <c r="L20" s="25" t="s">
        <v>1583</v>
      </c>
    </row>
    <row r="21" spans="1:12" s="1" customFormat="1">
      <c r="A21" s="89"/>
      <c r="B21" s="13" t="s">
        <v>81</v>
      </c>
      <c r="C21" s="13" t="s">
        <v>75</v>
      </c>
      <c r="D21" s="9" t="s">
        <v>1584</v>
      </c>
      <c r="E21" s="21" t="s">
        <v>665</v>
      </c>
      <c r="F21" s="9" t="s">
        <v>81</v>
      </c>
      <c r="G21" s="22" t="s">
        <v>1585</v>
      </c>
      <c r="H21" s="23"/>
      <c r="I21" s="90"/>
      <c r="J21" s="25" t="s">
        <v>3</v>
      </c>
      <c r="K21" s="25" t="s">
        <v>74</v>
      </c>
      <c r="L21" s="25" t="s">
        <v>1583</v>
      </c>
    </row>
    <row r="22" spans="1:12" s="1" customFormat="1">
      <c r="A22" s="89"/>
      <c r="B22" s="12" t="s">
        <v>82</v>
      </c>
      <c r="C22" s="13" t="s">
        <v>75</v>
      </c>
      <c r="D22" s="9" t="s">
        <v>1586</v>
      </c>
      <c r="E22" s="21" t="s">
        <v>665</v>
      </c>
      <c r="F22" s="9" t="s">
        <v>82</v>
      </c>
      <c r="G22" s="22" t="s">
        <v>1585</v>
      </c>
      <c r="H22" s="23"/>
      <c r="I22" s="90"/>
      <c r="J22" s="25" t="s">
        <v>3</v>
      </c>
      <c r="K22" s="25" t="s">
        <v>74</v>
      </c>
      <c r="L22" s="25" t="s">
        <v>1583</v>
      </c>
    </row>
    <row r="23" spans="1:12" s="1" customFormat="1">
      <c r="A23" s="89"/>
      <c r="B23" s="12" t="s">
        <v>83</v>
      </c>
      <c r="C23" s="13" t="s">
        <v>71</v>
      </c>
      <c r="D23" s="9" t="s">
        <v>84</v>
      </c>
      <c r="E23" s="21" t="s">
        <v>665</v>
      </c>
      <c r="F23" s="27" t="s">
        <v>654</v>
      </c>
      <c r="G23" s="22" t="s">
        <v>1585</v>
      </c>
      <c r="H23" s="23"/>
      <c r="I23" s="90"/>
      <c r="J23" s="25" t="s">
        <v>3</v>
      </c>
      <c r="K23" s="25" t="s">
        <v>74</v>
      </c>
      <c r="L23" s="25" t="s">
        <v>74</v>
      </c>
    </row>
    <row r="24" spans="1:12" s="1" customFormat="1">
      <c r="A24" s="89"/>
      <c r="B24" s="12" t="s">
        <v>85</v>
      </c>
      <c r="C24" s="13" t="s">
        <v>71</v>
      </c>
      <c r="D24" s="9" t="s">
        <v>86</v>
      </c>
      <c r="E24" s="21" t="s">
        <v>665</v>
      </c>
      <c r="F24" s="27" t="s">
        <v>1643</v>
      </c>
      <c r="G24" s="22" t="s">
        <v>1585</v>
      </c>
      <c r="H24" s="23"/>
      <c r="I24" s="90"/>
      <c r="J24" s="25" t="s">
        <v>3</v>
      </c>
      <c r="K24" s="25" t="s">
        <v>74</v>
      </c>
      <c r="L24" s="25" t="s">
        <v>74</v>
      </c>
    </row>
    <row r="25" spans="1:12" s="1" customFormat="1">
      <c r="A25" s="89"/>
      <c r="B25" s="12" t="s">
        <v>87</v>
      </c>
      <c r="C25" s="13" t="s">
        <v>71</v>
      </c>
      <c r="D25" s="9" t="s">
        <v>88</v>
      </c>
      <c r="E25" s="21" t="s">
        <v>665</v>
      </c>
      <c r="F25" s="27" t="s">
        <v>1644</v>
      </c>
      <c r="G25" s="22" t="s">
        <v>1585</v>
      </c>
      <c r="H25" s="23"/>
      <c r="I25" s="90"/>
      <c r="J25" s="25" t="s">
        <v>3</v>
      </c>
      <c r="K25" s="25" t="s">
        <v>74</v>
      </c>
      <c r="L25" s="25" t="s">
        <v>74</v>
      </c>
    </row>
    <row r="26" spans="1:12" s="1" customFormat="1" ht="26.4">
      <c r="A26" s="89"/>
      <c r="B26" s="12" t="s">
        <v>307</v>
      </c>
      <c r="C26" s="12" t="s">
        <v>71</v>
      </c>
      <c r="D26" s="9" t="s">
        <v>91</v>
      </c>
      <c r="E26" s="21" t="s">
        <v>58</v>
      </c>
      <c r="F26" s="22"/>
      <c r="G26" s="22" t="s">
        <v>1647</v>
      </c>
      <c r="H26" s="23"/>
      <c r="I26" s="95" t="s">
        <v>1648</v>
      </c>
      <c r="J26" s="25" t="s">
        <v>3</v>
      </c>
      <c r="K26" s="25" t="s">
        <v>74</v>
      </c>
      <c r="L26" s="25" t="s">
        <v>74</v>
      </c>
    </row>
    <row r="27" spans="1:12" s="1" customFormat="1">
      <c r="A27" s="89"/>
      <c r="B27" s="12" t="s">
        <v>308</v>
      </c>
      <c r="C27" s="12" t="s">
        <v>71</v>
      </c>
      <c r="D27" s="9" t="s">
        <v>93</v>
      </c>
      <c r="E27" s="21" t="s">
        <v>58</v>
      </c>
      <c r="F27" s="22" t="s">
        <v>308</v>
      </c>
      <c r="G27" s="22" t="s">
        <v>73</v>
      </c>
      <c r="H27" s="23"/>
      <c r="I27" s="90"/>
      <c r="J27" s="25" t="s">
        <v>3</v>
      </c>
      <c r="K27" s="25" t="s">
        <v>74</v>
      </c>
      <c r="L27" s="25" t="s">
        <v>74</v>
      </c>
    </row>
    <row r="28" spans="1:12" s="1" customFormat="1">
      <c r="A28" s="89"/>
      <c r="B28" s="12" t="s">
        <v>94</v>
      </c>
      <c r="C28" s="12" t="s">
        <v>71</v>
      </c>
      <c r="D28" s="9" t="s">
        <v>95</v>
      </c>
      <c r="E28" s="21" t="s">
        <v>58</v>
      </c>
      <c r="F28" s="22"/>
      <c r="G28" s="22" t="s">
        <v>1269</v>
      </c>
      <c r="H28" s="23"/>
      <c r="I28" s="90"/>
      <c r="J28" s="25" t="s">
        <v>3</v>
      </c>
      <c r="K28" s="25" t="s">
        <v>74</v>
      </c>
      <c r="L28" s="25" t="s">
        <v>74</v>
      </c>
    </row>
    <row r="29" spans="1:12" s="1" customFormat="1">
      <c r="A29" s="89"/>
      <c r="B29" s="12" t="s">
        <v>616</v>
      </c>
      <c r="C29" s="12" t="s">
        <v>71</v>
      </c>
      <c r="D29" s="9" t="s">
        <v>1587</v>
      </c>
      <c r="E29" s="21" t="s">
        <v>58</v>
      </c>
      <c r="F29" s="22" t="s">
        <v>616</v>
      </c>
      <c r="G29" s="22" t="s">
        <v>73</v>
      </c>
      <c r="H29" s="23"/>
      <c r="I29" s="90"/>
      <c r="J29" s="25" t="s">
        <v>3</v>
      </c>
      <c r="K29" s="25" t="s">
        <v>74</v>
      </c>
      <c r="L29" s="25" t="s">
        <v>74</v>
      </c>
    </row>
    <row r="30" spans="1:12" s="1" customFormat="1">
      <c r="A30" s="89"/>
      <c r="B30" s="12" t="s">
        <v>622</v>
      </c>
      <c r="C30" s="12" t="s">
        <v>71</v>
      </c>
      <c r="D30" s="9" t="s">
        <v>1069</v>
      </c>
      <c r="E30" s="21" t="s">
        <v>58</v>
      </c>
      <c r="F30" s="22" t="s">
        <v>622</v>
      </c>
      <c r="G30" s="22" t="s">
        <v>73</v>
      </c>
      <c r="H30" s="23"/>
      <c r="I30" s="90"/>
      <c r="J30" s="25" t="s">
        <v>3</v>
      </c>
      <c r="K30" s="25" t="s">
        <v>74</v>
      </c>
      <c r="L30" s="25" t="s">
        <v>74</v>
      </c>
    </row>
    <row r="31" spans="1:12" s="1" customFormat="1">
      <c r="A31" s="89"/>
      <c r="B31" s="12" t="s">
        <v>1672</v>
      </c>
      <c r="C31" s="12" t="s">
        <v>71</v>
      </c>
      <c r="D31" s="9" t="s">
        <v>1673</v>
      </c>
      <c r="E31" s="21" t="s">
        <v>58</v>
      </c>
      <c r="F31" s="22" t="s">
        <v>1671</v>
      </c>
      <c r="G31" s="22" t="s">
        <v>73</v>
      </c>
      <c r="H31" s="23"/>
      <c r="I31" s="90"/>
      <c r="J31" s="25" t="s">
        <v>3</v>
      </c>
      <c r="K31" s="25" t="s">
        <v>74</v>
      </c>
      <c r="L31" s="25" t="s">
        <v>74</v>
      </c>
    </row>
    <row r="32" spans="1:12" s="1" customFormat="1">
      <c r="A32" s="89"/>
      <c r="B32" s="13" t="s">
        <v>1650</v>
      </c>
      <c r="C32" s="12" t="s">
        <v>71</v>
      </c>
      <c r="D32" s="9" t="s">
        <v>1651</v>
      </c>
      <c r="E32" s="21" t="s">
        <v>58</v>
      </c>
      <c r="F32" s="22" t="s">
        <v>1650</v>
      </c>
      <c r="G32" s="22" t="s">
        <v>73</v>
      </c>
      <c r="H32" s="23"/>
      <c r="I32" s="90"/>
      <c r="J32" s="25" t="s">
        <v>3</v>
      </c>
      <c r="K32" s="25" t="s">
        <v>74</v>
      </c>
      <c r="L32" s="25" t="s">
        <v>74</v>
      </c>
    </row>
    <row r="33" spans="1:12" s="1" customFormat="1">
      <c r="A33" s="89"/>
      <c r="B33" s="13" t="s">
        <v>1676</v>
      </c>
      <c r="C33" s="12" t="s">
        <v>71</v>
      </c>
      <c r="D33" s="9" t="s">
        <v>1677</v>
      </c>
      <c r="E33" s="21" t="s">
        <v>58</v>
      </c>
      <c r="F33" s="22" t="s">
        <v>1676</v>
      </c>
      <c r="G33" s="22" t="s">
        <v>73</v>
      </c>
      <c r="H33" s="23"/>
      <c r="I33" s="90"/>
      <c r="J33" s="25" t="s">
        <v>3</v>
      </c>
      <c r="K33" s="25" t="s">
        <v>74</v>
      </c>
      <c r="L33" s="25" t="s">
        <v>74</v>
      </c>
    </row>
    <row r="34" spans="1:12" s="1" customFormat="1">
      <c r="B34" s="13" t="s">
        <v>1588</v>
      </c>
      <c r="C34" s="12" t="s">
        <v>71</v>
      </c>
      <c r="D34" s="9" t="s">
        <v>1589</v>
      </c>
      <c r="E34" s="21" t="s">
        <v>58</v>
      </c>
      <c r="F34" s="22" t="s">
        <v>1590</v>
      </c>
      <c r="G34" s="22" t="s">
        <v>73</v>
      </c>
      <c r="H34" s="23"/>
      <c r="I34" s="25"/>
      <c r="J34" s="25" t="s">
        <v>3</v>
      </c>
      <c r="K34" s="25" t="s">
        <v>74</v>
      </c>
      <c r="L34" s="25" t="s">
        <v>74</v>
      </c>
    </row>
    <row r="35" spans="1:12" s="1" customFormat="1">
      <c r="B35" s="13" t="s">
        <v>1652</v>
      </c>
      <c r="C35" s="12" t="s">
        <v>71</v>
      </c>
      <c r="D35" s="9" t="s">
        <v>1591</v>
      </c>
      <c r="E35" s="21" t="s">
        <v>58</v>
      </c>
      <c r="F35" s="22" t="s">
        <v>1652</v>
      </c>
      <c r="G35" s="22" t="s">
        <v>73</v>
      </c>
      <c r="H35" s="23"/>
      <c r="I35" s="25"/>
      <c r="J35" s="25" t="s">
        <v>3</v>
      </c>
      <c r="K35" s="25" t="s">
        <v>74</v>
      </c>
      <c r="L35" s="25" t="s">
        <v>74</v>
      </c>
    </row>
    <row r="36" spans="1:12" s="89" customFormat="1">
      <c r="B36" s="13" t="s">
        <v>96</v>
      </c>
      <c r="C36" s="12" t="s">
        <v>71</v>
      </c>
      <c r="D36" s="9" t="s">
        <v>1592</v>
      </c>
      <c r="E36" s="21" t="s">
        <v>58</v>
      </c>
      <c r="F36" s="22" t="s">
        <v>96</v>
      </c>
      <c r="G36" s="22" t="s">
        <v>73</v>
      </c>
      <c r="H36" s="23"/>
      <c r="I36" s="90"/>
      <c r="J36" s="25" t="s">
        <v>3</v>
      </c>
      <c r="K36" s="25" t="s">
        <v>74</v>
      </c>
      <c r="L36" s="25" t="s">
        <v>1583</v>
      </c>
    </row>
    <row r="37" spans="1:12" s="99" customFormat="1">
      <c r="A37" s="96"/>
      <c r="B37" s="97" t="s">
        <v>1649</v>
      </c>
      <c r="C37" s="12" t="s">
        <v>75</v>
      </c>
      <c r="D37" s="9" t="s">
        <v>1594</v>
      </c>
      <c r="E37" s="21" t="s">
        <v>58</v>
      </c>
      <c r="F37" s="22" t="s">
        <v>1674</v>
      </c>
      <c r="G37" s="22" t="s">
        <v>73</v>
      </c>
      <c r="H37" s="23"/>
      <c r="I37" s="98"/>
      <c r="J37" s="25" t="s">
        <v>3</v>
      </c>
      <c r="K37" s="25" t="s">
        <v>74</v>
      </c>
      <c r="L37" s="25" t="s">
        <v>97</v>
      </c>
    </row>
    <row r="38" spans="1:12" s="99" customFormat="1">
      <c r="A38" s="96"/>
      <c r="B38" s="97" t="s">
        <v>499</v>
      </c>
      <c r="C38" s="12" t="s">
        <v>75</v>
      </c>
      <c r="D38" s="9" t="s">
        <v>1653</v>
      </c>
      <c r="E38" s="21" t="s">
        <v>58</v>
      </c>
      <c r="F38" s="100" t="s">
        <v>499</v>
      </c>
      <c r="G38" s="22" t="s">
        <v>73</v>
      </c>
      <c r="H38" s="23"/>
      <c r="I38" s="98"/>
      <c r="J38" s="25" t="s">
        <v>3</v>
      </c>
      <c r="K38" s="25" t="s">
        <v>74</v>
      </c>
      <c r="L38" s="25" t="s">
        <v>74</v>
      </c>
    </row>
    <row r="39" spans="1:12" s="1" customFormat="1">
      <c r="A39" s="89"/>
      <c r="B39" s="12" t="s">
        <v>1595</v>
      </c>
      <c r="C39" s="12" t="s">
        <v>71</v>
      </c>
      <c r="D39" s="9" t="s">
        <v>1596</v>
      </c>
      <c r="E39" s="21" t="s">
        <v>58</v>
      </c>
      <c r="F39" s="22"/>
      <c r="G39" s="19" t="s">
        <v>1669</v>
      </c>
      <c r="H39" s="23"/>
      <c r="I39" s="19" t="s">
        <v>1670</v>
      </c>
      <c r="J39" s="25" t="s">
        <v>3</v>
      </c>
      <c r="K39" s="25" t="s">
        <v>74</v>
      </c>
      <c r="L39" s="25" t="s">
        <v>74</v>
      </c>
    </row>
    <row r="40" spans="1:12" s="89" customFormat="1">
      <c r="B40" s="13" t="s">
        <v>1597</v>
      </c>
      <c r="C40" s="13" t="s">
        <v>98</v>
      </c>
      <c r="D40" s="9" t="s">
        <v>1598</v>
      </c>
      <c r="E40" s="21" t="s">
        <v>58</v>
      </c>
      <c r="F40" s="22"/>
      <c r="G40" s="19" t="s">
        <v>1660</v>
      </c>
      <c r="H40" s="21"/>
      <c r="I40" s="90"/>
      <c r="J40" s="25" t="s">
        <v>99</v>
      </c>
      <c r="K40" s="25" t="s">
        <v>74</v>
      </c>
      <c r="L40" s="25" t="s">
        <v>100</v>
      </c>
    </row>
    <row r="41" spans="1:12" s="89" customFormat="1">
      <c r="B41" s="13" t="s">
        <v>1599</v>
      </c>
      <c r="C41" s="13" t="s">
        <v>98</v>
      </c>
      <c r="D41" s="9" t="s">
        <v>1600</v>
      </c>
      <c r="E41" s="21" t="s">
        <v>58</v>
      </c>
      <c r="F41" s="22"/>
      <c r="G41" s="19" t="s">
        <v>1661</v>
      </c>
      <c r="H41" s="21"/>
      <c r="I41" s="90"/>
      <c r="J41" s="25" t="s">
        <v>99</v>
      </c>
      <c r="K41" s="25" t="s">
        <v>74</v>
      </c>
      <c r="L41" s="25" t="s">
        <v>100</v>
      </c>
    </row>
    <row r="42" spans="1:12" s="89" customFormat="1">
      <c r="B42" s="13" t="s">
        <v>1601</v>
      </c>
      <c r="C42" s="13" t="s">
        <v>98</v>
      </c>
      <c r="D42" s="9" t="s">
        <v>1602</v>
      </c>
      <c r="E42" s="21" t="s">
        <v>58</v>
      </c>
      <c r="F42" s="22"/>
      <c r="G42" s="19" t="s">
        <v>1654</v>
      </c>
      <c r="H42" s="21"/>
      <c r="I42" s="90"/>
      <c r="J42" s="25" t="s">
        <v>99</v>
      </c>
      <c r="K42" s="25" t="s">
        <v>74</v>
      </c>
      <c r="L42" s="25" t="s">
        <v>100</v>
      </c>
    </row>
    <row r="43" spans="1:12" s="89" customFormat="1">
      <c r="B43" s="13" t="s">
        <v>1603</v>
      </c>
      <c r="C43" s="13" t="s">
        <v>98</v>
      </c>
      <c r="D43" s="9" t="s">
        <v>1604</v>
      </c>
      <c r="E43" s="21" t="s">
        <v>58</v>
      </c>
      <c r="F43" s="22"/>
      <c r="G43" s="19" t="s">
        <v>1655</v>
      </c>
      <c r="H43" s="21"/>
      <c r="I43" s="90"/>
      <c r="J43" s="25" t="s">
        <v>99</v>
      </c>
      <c r="K43" s="25" t="s">
        <v>74</v>
      </c>
      <c r="L43" s="25" t="s">
        <v>100</v>
      </c>
    </row>
    <row r="44" spans="1:12" s="3" customFormat="1">
      <c r="B44" s="13" t="s">
        <v>1605</v>
      </c>
      <c r="C44" s="13" t="s">
        <v>98</v>
      </c>
      <c r="D44" s="9" t="s">
        <v>1606</v>
      </c>
      <c r="E44" s="21" t="s">
        <v>58</v>
      </c>
      <c r="F44" s="22"/>
      <c r="G44" s="19" t="s">
        <v>1656</v>
      </c>
      <c r="H44" s="21"/>
      <c r="I44" s="90"/>
      <c r="J44" s="25" t="s">
        <v>99</v>
      </c>
      <c r="K44" s="25" t="s">
        <v>74</v>
      </c>
      <c r="L44" s="25" t="s">
        <v>100</v>
      </c>
    </row>
    <row r="45" spans="1:12" s="3" customFormat="1">
      <c r="B45" s="13" t="s">
        <v>1607</v>
      </c>
      <c r="C45" s="13" t="s">
        <v>98</v>
      </c>
      <c r="D45" s="9" t="s">
        <v>1608</v>
      </c>
      <c r="E45" s="21" t="s">
        <v>58</v>
      </c>
      <c r="F45" s="22"/>
      <c r="G45" s="19" t="s">
        <v>1657</v>
      </c>
      <c r="H45" s="21"/>
      <c r="I45" s="90"/>
      <c r="J45" s="25" t="s">
        <v>99</v>
      </c>
      <c r="K45" s="25" t="s">
        <v>74</v>
      </c>
      <c r="L45" s="25" t="s">
        <v>100</v>
      </c>
    </row>
    <row r="46" spans="1:12" s="3" customFormat="1">
      <c r="B46" s="13" t="s">
        <v>1609</v>
      </c>
      <c r="C46" s="13" t="s">
        <v>98</v>
      </c>
      <c r="D46" s="9" t="s">
        <v>1610</v>
      </c>
      <c r="E46" s="21" t="s">
        <v>58</v>
      </c>
      <c r="F46" s="22"/>
      <c r="G46" s="19" t="s">
        <v>1658</v>
      </c>
      <c r="H46" s="21"/>
      <c r="I46" s="90"/>
      <c r="J46" s="25" t="s">
        <v>99</v>
      </c>
      <c r="K46" s="25" t="s">
        <v>74</v>
      </c>
      <c r="L46" s="25" t="s">
        <v>100</v>
      </c>
    </row>
    <row r="47" spans="1:12" s="3" customFormat="1">
      <c r="B47" s="13" t="s">
        <v>1611</v>
      </c>
      <c r="C47" s="13" t="s">
        <v>98</v>
      </c>
      <c r="D47" s="9" t="s">
        <v>1612</v>
      </c>
      <c r="E47" s="21" t="s">
        <v>58</v>
      </c>
      <c r="F47" s="22"/>
      <c r="G47" s="19" t="s">
        <v>1659</v>
      </c>
      <c r="H47" s="21"/>
      <c r="I47" s="90"/>
      <c r="J47" s="25" t="s">
        <v>99</v>
      </c>
      <c r="K47" s="25" t="s">
        <v>74</v>
      </c>
      <c r="L47" s="25" t="s">
        <v>100</v>
      </c>
    </row>
    <row r="48" spans="1:12" s="3" customFormat="1">
      <c r="B48" s="13" t="s">
        <v>1613</v>
      </c>
      <c r="C48" s="13" t="s">
        <v>98</v>
      </c>
      <c r="D48" s="9" t="s">
        <v>1614</v>
      </c>
      <c r="E48" s="21" t="s">
        <v>58</v>
      </c>
      <c r="F48" s="22"/>
      <c r="G48" s="19" t="s">
        <v>1615</v>
      </c>
      <c r="H48" s="21"/>
      <c r="I48" s="90"/>
      <c r="J48" s="25" t="s">
        <v>99</v>
      </c>
      <c r="K48" s="25" t="s">
        <v>74</v>
      </c>
      <c r="L48" s="25" t="s">
        <v>100</v>
      </c>
    </row>
    <row r="49" spans="1:17" s="3" customFormat="1">
      <c r="B49" s="13" t="s">
        <v>1616</v>
      </c>
      <c r="C49" s="13" t="s">
        <v>98</v>
      </c>
      <c r="D49" s="9" t="s">
        <v>1617</v>
      </c>
      <c r="E49" s="21" t="s">
        <v>58</v>
      </c>
      <c r="F49" s="22"/>
      <c r="G49" s="19" t="s">
        <v>1618</v>
      </c>
      <c r="H49" s="21"/>
      <c r="I49" s="90"/>
      <c r="J49" s="25" t="s">
        <v>99</v>
      </c>
      <c r="K49" s="25" t="s">
        <v>74</v>
      </c>
      <c r="L49" s="25" t="s">
        <v>100</v>
      </c>
    </row>
    <row r="50" spans="1:17" s="99" customFormat="1">
      <c r="A50" s="96"/>
      <c r="B50" s="97" t="s">
        <v>1619</v>
      </c>
      <c r="C50" s="13" t="s">
        <v>75</v>
      </c>
      <c r="D50" s="9" t="s">
        <v>1620</v>
      </c>
      <c r="E50" s="21" t="s">
        <v>58</v>
      </c>
      <c r="F50" s="22"/>
      <c r="G50" s="19" t="s">
        <v>101</v>
      </c>
      <c r="H50" s="21"/>
      <c r="I50" s="98"/>
      <c r="J50" s="25" t="s">
        <v>99</v>
      </c>
      <c r="K50" s="25" t="s">
        <v>74</v>
      </c>
      <c r="L50" s="25" t="s">
        <v>100</v>
      </c>
    </row>
    <row r="51" spans="1:17" s="99" customFormat="1">
      <c r="A51" s="96"/>
      <c r="B51" s="97" t="s">
        <v>1621</v>
      </c>
      <c r="C51" s="13" t="s">
        <v>75</v>
      </c>
      <c r="D51" s="9" t="s">
        <v>1622</v>
      </c>
      <c r="E51" s="21" t="s">
        <v>58</v>
      </c>
      <c r="F51" s="22"/>
      <c r="G51" s="19" t="s">
        <v>1623</v>
      </c>
      <c r="H51" s="21"/>
      <c r="I51" s="98"/>
      <c r="J51" s="25" t="s">
        <v>99</v>
      </c>
      <c r="K51" s="25" t="s">
        <v>74</v>
      </c>
      <c r="L51" s="25" t="s">
        <v>100</v>
      </c>
    </row>
    <row r="52" spans="1:17" s="99" customFormat="1">
      <c r="A52" s="96"/>
      <c r="B52" s="97" t="s">
        <v>1626</v>
      </c>
      <c r="C52" s="13" t="s">
        <v>102</v>
      </c>
      <c r="D52" s="9" t="s">
        <v>1627</v>
      </c>
      <c r="E52" s="21" t="s">
        <v>58</v>
      </c>
      <c r="F52" s="22"/>
      <c r="G52" s="19" t="s">
        <v>1662</v>
      </c>
      <c r="H52" s="21"/>
      <c r="I52" s="98"/>
      <c r="J52" s="25" t="s">
        <v>99</v>
      </c>
      <c r="K52" s="25" t="s">
        <v>74</v>
      </c>
      <c r="L52" s="25" t="s">
        <v>100</v>
      </c>
    </row>
    <row r="53" spans="1:17" s="99" customFormat="1">
      <c r="A53" s="96"/>
      <c r="B53" s="97" t="s">
        <v>1628</v>
      </c>
      <c r="C53" s="13" t="s">
        <v>102</v>
      </c>
      <c r="D53" s="9" t="s">
        <v>1629</v>
      </c>
      <c r="E53" s="21" t="s">
        <v>58</v>
      </c>
      <c r="F53" s="22"/>
      <c r="G53" s="19" t="s">
        <v>1663</v>
      </c>
      <c r="H53" s="21"/>
      <c r="I53" s="98"/>
      <c r="J53" s="25" t="s">
        <v>99</v>
      </c>
      <c r="K53" s="25" t="s">
        <v>74</v>
      </c>
      <c r="L53" s="25" t="s">
        <v>1630</v>
      </c>
    </row>
    <row r="54" spans="1:17" s="99" customFormat="1">
      <c r="A54" s="96"/>
      <c r="B54" s="97" t="s">
        <v>1631</v>
      </c>
      <c r="C54" s="13" t="s">
        <v>98</v>
      </c>
      <c r="D54" s="9" t="s">
        <v>1632</v>
      </c>
      <c r="E54" s="21" t="s">
        <v>58</v>
      </c>
      <c r="F54" s="22"/>
      <c r="G54" s="19" t="s">
        <v>1664</v>
      </c>
      <c r="H54" s="21"/>
      <c r="I54" s="98"/>
      <c r="J54" s="25" t="s">
        <v>99</v>
      </c>
      <c r="K54" s="25" t="s">
        <v>74</v>
      </c>
      <c r="L54" s="25" t="s">
        <v>100</v>
      </c>
    </row>
    <row r="55" spans="1:17" s="99" customFormat="1">
      <c r="A55" s="96"/>
      <c r="B55" s="97" t="s">
        <v>1633</v>
      </c>
      <c r="C55" s="13" t="s">
        <v>98</v>
      </c>
      <c r="D55" s="9" t="s">
        <v>1634</v>
      </c>
      <c r="E55" s="21" t="s">
        <v>58</v>
      </c>
      <c r="F55" s="22"/>
      <c r="G55" s="19" t="s">
        <v>1665</v>
      </c>
      <c r="H55" s="21"/>
      <c r="I55" s="98"/>
      <c r="J55" s="25" t="s">
        <v>99</v>
      </c>
      <c r="K55" s="25" t="s">
        <v>74</v>
      </c>
      <c r="L55" s="25" t="s">
        <v>100</v>
      </c>
    </row>
    <row r="56" spans="1:17" s="99" customFormat="1">
      <c r="A56" s="96"/>
      <c r="B56" s="97" t="s">
        <v>1635</v>
      </c>
      <c r="C56" s="13" t="s">
        <v>98</v>
      </c>
      <c r="D56" s="9" t="s">
        <v>1636</v>
      </c>
      <c r="E56" s="21" t="s">
        <v>58</v>
      </c>
      <c r="F56" s="22"/>
      <c r="G56" s="19" t="s">
        <v>1666</v>
      </c>
      <c r="H56" s="21"/>
      <c r="I56" s="98"/>
      <c r="J56" s="25" t="s">
        <v>99</v>
      </c>
      <c r="K56" s="25" t="s">
        <v>74</v>
      </c>
      <c r="L56" s="25" t="s">
        <v>100</v>
      </c>
    </row>
    <row r="57" spans="1:17" s="99" customFormat="1">
      <c r="A57" s="96"/>
      <c r="B57" s="97" t="s">
        <v>1637</v>
      </c>
      <c r="C57" s="13" t="s">
        <v>98</v>
      </c>
      <c r="D57" s="9" t="s">
        <v>1638</v>
      </c>
      <c r="E57" s="21" t="s">
        <v>58</v>
      </c>
      <c r="F57" s="22"/>
      <c r="G57" s="19" t="s">
        <v>1667</v>
      </c>
      <c r="H57" s="21"/>
      <c r="I57" s="98"/>
      <c r="J57" s="25" t="s">
        <v>99</v>
      </c>
      <c r="K57" s="25" t="s">
        <v>74</v>
      </c>
      <c r="L57" s="25" t="s">
        <v>100</v>
      </c>
    </row>
    <row r="58" spans="1:17" s="99" customFormat="1">
      <c r="A58" s="96"/>
      <c r="B58" s="97" t="s">
        <v>1639</v>
      </c>
      <c r="C58" s="13" t="s">
        <v>98</v>
      </c>
      <c r="D58" s="9" t="s">
        <v>1640</v>
      </c>
      <c r="E58" s="21" t="s">
        <v>58</v>
      </c>
      <c r="F58" s="22"/>
      <c r="G58" s="19" t="s">
        <v>1668</v>
      </c>
      <c r="H58" s="21"/>
      <c r="I58" s="98"/>
      <c r="J58" s="25" t="s">
        <v>99</v>
      </c>
      <c r="K58" s="25" t="s">
        <v>74</v>
      </c>
      <c r="L58" s="25" t="s">
        <v>100</v>
      </c>
    </row>
    <row r="59" spans="1:17" s="2" customFormat="1">
      <c r="B59" s="14" t="s">
        <v>80</v>
      </c>
      <c r="C59" s="15" t="s">
        <v>75</v>
      </c>
      <c r="D59" s="16" t="s">
        <v>103</v>
      </c>
      <c r="E59" s="35"/>
      <c r="F59" s="14"/>
      <c r="G59" s="14"/>
      <c r="H59" s="14"/>
      <c r="I59" s="14"/>
      <c r="J59" s="14"/>
      <c r="K59" s="14"/>
      <c r="L59" s="14"/>
      <c r="M59" s="14"/>
      <c r="N59" s="14"/>
      <c r="O59" s="14"/>
      <c r="P59" s="14"/>
      <c r="Q59" s="14"/>
    </row>
    <row r="60" spans="1:17" s="2" customFormat="1">
      <c r="B60" s="14" t="s">
        <v>0</v>
      </c>
      <c r="C60" s="15" t="s">
        <v>71</v>
      </c>
      <c r="D60" s="16" t="s">
        <v>104</v>
      </c>
      <c r="E60" s="35"/>
      <c r="F60" s="14"/>
      <c r="G60" s="14"/>
      <c r="H60" s="14"/>
      <c r="I60" s="14"/>
      <c r="J60" s="14"/>
      <c r="K60" s="14"/>
      <c r="L60" s="14"/>
      <c r="M60" s="14"/>
      <c r="N60" s="14"/>
      <c r="O60" s="14"/>
      <c r="P60" s="14"/>
      <c r="Q60" s="14"/>
    </row>
    <row r="61" spans="1:17" s="2" customFormat="1">
      <c r="B61" s="14" t="s">
        <v>1</v>
      </c>
      <c r="C61" s="15" t="s">
        <v>75</v>
      </c>
      <c r="D61" s="16" t="s">
        <v>105</v>
      </c>
      <c r="E61" s="35"/>
      <c r="F61" s="14"/>
      <c r="G61" s="14"/>
      <c r="H61" s="14"/>
      <c r="I61" s="14"/>
      <c r="J61" s="14"/>
      <c r="K61" s="14"/>
      <c r="L61" s="14"/>
      <c r="M61" s="14"/>
      <c r="N61" s="14"/>
      <c r="O61" s="14"/>
      <c r="P61" s="14"/>
      <c r="Q61" s="14"/>
    </row>
    <row r="62" spans="1:17" s="2" customFormat="1">
      <c r="B62" s="14" t="s">
        <v>2</v>
      </c>
      <c r="C62" s="15" t="s">
        <v>75</v>
      </c>
      <c r="D62" s="16" t="s">
        <v>106</v>
      </c>
      <c r="E62" s="35"/>
      <c r="F62" s="14"/>
      <c r="G62" s="14"/>
      <c r="H62" s="14"/>
      <c r="I62" s="14"/>
      <c r="J62" s="14"/>
      <c r="K62" s="14"/>
      <c r="L62" s="14"/>
      <c r="M62" s="14"/>
      <c r="N62" s="14"/>
      <c r="O62" s="14"/>
      <c r="P62" s="14"/>
      <c r="Q62" s="14"/>
    </row>
  </sheetData>
  <autoFilter ref="A14:Q62" xr:uid="{00000000-0009-0000-0000-000002000000}"/>
  <mergeCells count="4">
    <mergeCell ref="B2:H2"/>
    <mergeCell ref="B3:H3"/>
    <mergeCell ref="B7:H7"/>
    <mergeCell ref="B13:L13"/>
  </mergeCells>
  <phoneticPr fontId="23"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00DC-3B17-40C9-BD9A-054E4724C8B8}">
  <dimension ref="A1:Q60"/>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23.6640625" style="3" customWidth="1"/>
    <col min="3" max="3" width="22.88671875" style="3" bestFit="1" customWidth="1"/>
    <col min="4" max="4" width="32.21875" style="3" customWidth="1"/>
    <col min="5" max="5" width="16.21875" style="3" customWidth="1"/>
    <col min="6" max="6" width="19.21875" style="3" customWidth="1"/>
    <col min="7" max="7" width="51.4414062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21"/>
      <c r="C2" s="121"/>
      <c r="D2" s="121"/>
      <c r="E2" s="121"/>
      <c r="F2" s="121"/>
      <c r="G2" s="121"/>
      <c r="H2" s="121"/>
    </row>
    <row r="3" spans="1:14">
      <c r="B3" s="122" t="s">
        <v>45</v>
      </c>
      <c r="C3" s="122"/>
      <c r="D3" s="122"/>
      <c r="E3" s="122"/>
      <c r="F3" s="122"/>
      <c r="G3" s="122"/>
      <c r="H3" s="122"/>
    </row>
    <row r="4" spans="1:14">
      <c r="B4" s="7" t="s">
        <v>11</v>
      </c>
      <c r="C4" s="7" t="s">
        <v>46</v>
      </c>
      <c r="D4" s="7" t="s">
        <v>47</v>
      </c>
      <c r="E4" s="7" t="s">
        <v>48</v>
      </c>
      <c r="F4" s="7" t="s">
        <v>49</v>
      </c>
      <c r="G4" s="7" t="s">
        <v>14</v>
      </c>
      <c r="H4" s="7" t="s">
        <v>50</v>
      </c>
    </row>
    <row r="5" spans="1:14">
      <c r="B5" s="8" t="s">
        <v>1575</v>
      </c>
      <c r="C5" s="9" t="s">
        <v>1675</v>
      </c>
      <c r="D5" s="9" t="s">
        <v>1713</v>
      </c>
      <c r="E5" s="12" t="s">
        <v>1159</v>
      </c>
      <c r="F5" s="29"/>
      <c r="G5" s="12"/>
      <c r="H5" s="12"/>
      <c r="N5" s="3"/>
    </row>
    <row r="6" spans="1:14">
      <c r="B6" s="6"/>
      <c r="C6" s="6"/>
      <c r="D6" s="6"/>
      <c r="E6" s="6"/>
      <c r="F6" s="6"/>
      <c r="G6" s="6"/>
      <c r="H6" s="6"/>
    </row>
    <row r="7" spans="1:14">
      <c r="B7" s="122" t="s">
        <v>51</v>
      </c>
      <c r="C7" s="122"/>
      <c r="D7" s="122"/>
      <c r="E7" s="122"/>
      <c r="F7" s="122"/>
      <c r="G7" s="122"/>
      <c r="H7" s="122"/>
    </row>
    <row r="8" spans="1:14">
      <c r="B8" s="11" t="s">
        <v>52</v>
      </c>
      <c r="C8" s="11" t="s">
        <v>53</v>
      </c>
      <c r="D8" s="11" t="s">
        <v>54</v>
      </c>
      <c r="E8" s="11" t="s">
        <v>55</v>
      </c>
      <c r="F8" s="11" t="s">
        <v>56</v>
      </c>
      <c r="G8" s="11" t="s">
        <v>24</v>
      </c>
      <c r="H8" s="11" t="s">
        <v>57</v>
      </c>
    </row>
    <row r="9" spans="1:14">
      <c r="B9" s="12"/>
      <c r="C9" s="9" t="s">
        <v>1641</v>
      </c>
      <c r="D9" s="9" t="s">
        <v>1714</v>
      </c>
      <c r="E9" s="12" t="s">
        <v>58</v>
      </c>
      <c r="F9" s="22"/>
      <c r="G9" s="22"/>
      <c r="H9" s="20" t="s">
        <v>30</v>
      </c>
    </row>
    <row r="10" spans="1:14">
      <c r="G10" s="30"/>
    </row>
    <row r="11" spans="1:14">
      <c r="B11" s="3" t="s">
        <v>59</v>
      </c>
    </row>
    <row r="12" spans="1:14">
      <c r="B12" s="122" t="s">
        <v>59</v>
      </c>
      <c r="C12" s="122"/>
      <c r="D12" s="122"/>
      <c r="E12" s="122"/>
      <c r="F12" s="122"/>
      <c r="G12" s="122"/>
      <c r="H12" s="122"/>
      <c r="I12" s="122"/>
      <c r="J12" s="122"/>
      <c r="K12" s="122"/>
      <c r="L12" s="122"/>
    </row>
    <row r="13" spans="1:14">
      <c r="B13" s="7" t="s">
        <v>60</v>
      </c>
      <c r="C13" s="7" t="s">
        <v>61</v>
      </c>
      <c r="D13" s="7" t="s">
        <v>62</v>
      </c>
      <c r="E13" s="7" t="s">
        <v>63</v>
      </c>
      <c r="F13" s="7" t="s">
        <v>64</v>
      </c>
      <c r="G13" s="7" t="s">
        <v>65</v>
      </c>
      <c r="H13" s="7" t="s">
        <v>66</v>
      </c>
      <c r="I13" s="7" t="s">
        <v>24</v>
      </c>
      <c r="J13" s="7" t="s">
        <v>67</v>
      </c>
      <c r="K13" s="7" t="s">
        <v>68</v>
      </c>
      <c r="L13" s="7" t="s">
        <v>69</v>
      </c>
    </row>
    <row r="14" spans="1:14" s="1" customFormat="1">
      <c r="B14" s="13" t="s">
        <v>70</v>
      </c>
      <c r="C14" s="13" t="s">
        <v>71</v>
      </c>
      <c r="D14" s="9" t="s">
        <v>72</v>
      </c>
      <c r="E14" s="21" t="s">
        <v>58</v>
      </c>
      <c r="F14" s="22" t="s">
        <v>0</v>
      </c>
      <c r="G14" s="22" t="s">
        <v>73</v>
      </c>
      <c r="H14" s="23"/>
      <c r="I14" s="25"/>
      <c r="J14" s="25" t="s">
        <v>3</v>
      </c>
      <c r="K14" s="25" t="s">
        <v>74</v>
      </c>
      <c r="L14" s="25" t="s">
        <v>1576</v>
      </c>
    </row>
    <row r="15" spans="1:14" s="1" customFormat="1">
      <c r="B15" s="13" t="s">
        <v>6</v>
      </c>
      <c r="C15" s="13" t="s">
        <v>75</v>
      </c>
      <c r="D15" s="9" t="s">
        <v>34</v>
      </c>
      <c r="E15" s="21" t="s">
        <v>58</v>
      </c>
      <c r="F15" s="22" t="s">
        <v>1</v>
      </c>
      <c r="G15" s="22" t="s">
        <v>73</v>
      </c>
      <c r="H15" s="23"/>
      <c r="I15" s="25"/>
      <c r="J15" s="25" t="s">
        <v>3</v>
      </c>
      <c r="K15" s="25" t="s">
        <v>74</v>
      </c>
      <c r="L15" s="25" t="s">
        <v>1577</v>
      </c>
    </row>
    <row r="16" spans="1:14" s="1" customFormat="1">
      <c r="A16" s="89"/>
      <c r="B16" s="13" t="s">
        <v>76</v>
      </c>
      <c r="C16" s="13" t="s">
        <v>75</v>
      </c>
      <c r="D16" s="9" t="s">
        <v>77</v>
      </c>
      <c r="E16" s="21" t="s">
        <v>58</v>
      </c>
      <c r="F16" s="22" t="s">
        <v>76</v>
      </c>
      <c r="G16" s="22" t="s">
        <v>73</v>
      </c>
      <c r="H16" s="23"/>
      <c r="I16" s="90"/>
      <c r="J16" s="25" t="s">
        <v>3</v>
      </c>
      <c r="K16" s="25" t="s">
        <v>74</v>
      </c>
      <c r="L16" s="94" t="s">
        <v>1579</v>
      </c>
    </row>
    <row r="17" spans="1:12" s="1" customFormat="1">
      <c r="A17" s="89"/>
      <c r="B17" s="13" t="s">
        <v>1580</v>
      </c>
      <c r="C17" s="13" t="s">
        <v>75</v>
      </c>
      <c r="D17" s="9" t="s">
        <v>1581</v>
      </c>
      <c r="E17" s="21" t="s">
        <v>58</v>
      </c>
      <c r="F17" s="22" t="s">
        <v>1580</v>
      </c>
      <c r="G17" s="22" t="s">
        <v>73</v>
      </c>
      <c r="H17" s="23"/>
      <c r="I17" s="90"/>
      <c r="J17" s="25" t="s">
        <v>3</v>
      </c>
      <c r="K17" s="25" t="s">
        <v>74</v>
      </c>
      <c r="L17" s="25" t="s">
        <v>1582</v>
      </c>
    </row>
    <row r="18" spans="1:12" s="1" customFormat="1">
      <c r="A18" s="89"/>
      <c r="B18" s="13" t="s">
        <v>78</v>
      </c>
      <c r="C18" s="13" t="s">
        <v>75</v>
      </c>
      <c r="D18" s="9" t="s">
        <v>79</v>
      </c>
      <c r="E18" s="21" t="s">
        <v>58</v>
      </c>
      <c r="F18" s="22" t="s">
        <v>80</v>
      </c>
      <c r="G18" s="22" t="s">
        <v>73</v>
      </c>
      <c r="H18" s="23"/>
      <c r="I18" s="90"/>
      <c r="J18" s="25" t="s">
        <v>3</v>
      </c>
      <c r="K18" s="25" t="s">
        <v>74</v>
      </c>
      <c r="L18" s="25" t="s">
        <v>1583</v>
      </c>
    </row>
    <row r="19" spans="1:12" s="1" customFormat="1">
      <c r="A19" s="89"/>
      <c r="B19" s="13" t="s">
        <v>81</v>
      </c>
      <c r="C19" s="13" t="s">
        <v>75</v>
      </c>
      <c r="D19" s="9" t="s">
        <v>1584</v>
      </c>
      <c r="E19" s="21" t="s">
        <v>665</v>
      </c>
      <c r="F19" s="9" t="s">
        <v>81</v>
      </c>
      <c r="G19" s="22" t="s">
        <v>73</v>
      </c>
      <c r="H19" s="23"/>
      <c r="I19" s="90"/>
      <c r="J19" s="25" t="s">
        <v>3</v>
      </c>
      <c r="K19" s="25" t="s">
        <v>74</v>
      </c>
      <c r="L19" s="25" t="s">
        <v>1583</v>
      </c>
    </row>
    <row r="20" spans="1:12" s="1" customFormat="1">
      <c r="A20" s="89"/>
      <c r="B20" s="12" t="s">
        <v>82</v>
      </c>
      <c r="C20" s="13" t="s">
        <v>75</v>
      </c>
      <c r="D20" s="9" t="s">
        <v>1586</v>
      </c>
      <c r="E20" s="21" t="s">
        <v>665</v>
      </c>
      <c r="F20" s="9" t="s">
        <v>82</v>
      </c>
      <c r="G20" s="22" t="s">
        <v>73</v>
      </c>
      <c r="H20" s="23"/>
      <c r="I20" s="90"/>
      <c r="J20" s="25" t="s">
        <v>3</v>
      </c>
      <c r="K20" s="25" t="s">
        <v>74</v>
      </c>
      <c r="L20" s="25" t="s">
        <v>1583</v>
      </c>
    </row>
    <row r="21" spans="1:12" s="1" customFormat="1">
      <c r="A21" s="89"/>
      <c r="B21" s="12" t="s">
        <v>83</v>
      </c>
      <c r="C21" s="13" t="s">
        <v>71</v>
      </c>
      <c r="D21" s="9" t="s">
        <v>84</v>
      </c>
      <c r="E21" s="21" t="s">
        <v>665</v>
      </c>
      <c r="F21" s="27" t="s">
        <v>654</v>
      </c>
      <c r="G21" s="22" t="s">
        <v>73</v>
      </c>
      <c r="H21" s="23"/>
      <c r="I21" s="90"/>
      <c r="J21" s="25" t="s">
        <v>3</v>
      </c>
      <c r="K21" s="25" t="s">
        <v>74</v>
      </c>
      <c r="L21" s="25" t="s">
        <v>74</v>
      </c>
    </row>
    <row r="22" spans="1:12" s="1" customFormat="1">
      <c r="A22" s="89"/>
      <c r="B22" s="12" t="s">
        <v>85</v>
      </c>
      <c r="C22" s="13" t="s">
        <v>71</v>
      </c>
      <c r="D22" s="9" t="s">
        <v>86</v>
      </c>
      <c r="E22" s="21" t="s">
        <v>665</v>
      </c>
      <c r="F22" s="27" t="s">
        <v>1643</v>
      </c>
      <c r="G22" s="22" t="s">
        <v>73</v>
      </c>
      <c r="H22" s="23"/>
      <c r="I22" s="90"/>
      <c r="J22" s="25" t="s">
        <v>3</v>
      </c>
      <c r="K22" s="25" t="s">
        <v>74</v>
      </c>
      <c r="L22" s="25" t="s">
        <v>74</v>
      </c>
    </row>
    <row r="23" spans="1:12" s="1" customFormat="1">
      <c r="A23" s="89"/>
      <c r="B23" s="12" t="s">
        <v>87</v>
      </c>
      <c r="C23" s="13" t="s">
        <v>71</v>
      </c>
      <c r="D23" s="9" t="s">
        <v>88</v>
      </c>
      <c r="E23" s="21" t="s">
        <v>665</v>
      </c>
      <c r="F23" s="27" t="s">
        <v>1644</v>
      </c>
      <c r="G23" s="22" t="s">
        <v>73</v>
      </c>
      <c r="H23" s="23"/>
      <c r="I23" s="90"/>
      <c r="J23" s="25" t="s">
        <v>3</v>
      </c>
      <c r="K23" s="25" t="s">
        <v>74</v>
      </c>
      <c r="L23" s="25" t="s">
        <v>74</v>
      </c>
    </row>
    <row r="24" spans="1:12" s="1" customFormat="1">
      <c r="A24" s="89"/>
      <c r="B24" s="12" t="s">
        <v>307</v>
      </c>
      <c r="C24" s="12" t="s">
        <v>71</v>
      </c>
      <c r="D24" s="9" t="s">
        <v>91</v>
      </c>
      <c r="E24" s="21" t="s">
        <v>58</v>
      </c>
      <c r="F24" s="22" t="s">
        <v>90</v>
      </c>
      <c r="G24" s="22" t="s">
        <v>73</v>
      </c>
      <c r="H24" s="23"/>
      <c r="I24" s="95"/>
      <c r="J24" s="25" t="s">
        <v>3</v>
      </c>
      <c r="K24" s="25" t="s">
        <v>74</v>
      </c>
      <c r="L24" s="25" t="s">
        <v>74</v>
      </c>
    </row>
    <row r="25" spans="1:12" s="1" customFormat="1">
      <c r="A25" s="89"/>
      <c r="B25" s="12" t="s">
        <v>308</v>
      </c>
      <c r="C25" s="12" t="s">
        <v>71</v>
      </c>
      <c r="D25" s="9" t="s">
        <v>93</v>
      </c>
      <c r="E25" s="21" t="s">
        <v>58</v>
      </c>
      <c r="F25" s="22" t="s">
        <v>108</v>
      </c>
      <c r="G25" s="22" t="s">
        <v>73</v>
      </c>
      <c r="H25" s="23"/>
      <c r="I25" s="90"/>
      <c r="J25" s="25" t="s">
        <v>3</v>
      </c>
      <c r="K25" s="25" t="s">
        <v>74</v>
      </c>
      <c r="L25" s="25" t="s">
        <v>74</v>
      </c>
    </row>
    <row r="26" spans="1:12" s="1" customFormat="1">
      <c r="A26" s="89"/>
      <c r="B26" s="12" t="s">
        <v>94</v>
      </c>
      <c r="C26" s="12" t="s">
        <v>71</v>
      </c>
      <c r="D26" s="9" t="s">
        <v>95</v>
      </c>
      <c r="E26" s="21" t="s">
        <v>58</v>
      </c>
      <c r="F26" s="22" t="s">
        <v>94</v>
      </c>
      <c r="G26" s="22" t="s">
        <v>73</v>
      </c>
      <c r="H26" s="23"/>
      <c r="I26" s="90"/>
      <c r="J26" s="25" t="s">
        <v>3</v>
      </c>
      <c r="K26" s="25" t="s">
        <v>74</v>
      </c>
      <c r="L26" s="25" t="s">
        <v>74</v>
      </c>
    </row>
    <row r="27" spans="1:12" s="1" customFormat="1">
      <c r="A27" s="89"/>
      <c r="B27" s="12" t="s">
        <v>616</v>
      </c>
      <c r="C27" s="12" t="s">
        <v>71</v>
      </c>
      <c r="D27" s="9" t="s">
        <v>1587</v>
      </c>
      <c r="E27" s="21" t="s">
        <v>58</v>
      </c>
      <c r="F27" s="22" t="s">
        <v>616</v>
      </c>
      <c r="G27" s="22" t="s">
        <v>73</v>
      </c>
      <c r="H27" s="23"/>
      <c r="I27" s="90"/>
      <c r="J27" s="25" t="s">
        <v>3</v>
      </c>
      <c r="K27" s="25" t="s">
        <v>74</v>
      </c>
      <c r="L27" s="25" t="s">
        <v>74</v>
      </c>
    </row>
    <row r="28" spans="1:12" s="1" customFormat="1">
      <c r="A28" s="89"/>
      <c r="B28" s="12" t="s">
        <v>622</v>
      </c>
      <c r="C28" s="12" t="s">
        <v>71</v>
      </c>
      <c r="D28" s="9" t="s">
        <v>1069</v>
      </c>
      <c r="E28" s="21" t="s">
        <v>58</v>
      </c>
      <c r="F28" s="22" t="s">
        <v>622</v>
      </c>
      <c r="G28" s="22" t="s">
        <v>73</v>
      </c>
      <c r="H28" s="23"/>
      <c r="I28" s="90"/>
      <c r="J28" s="25" t="s">
        <v>3</v>
      </c>
      <c r="K28" s="25" t="s">
        <v>74</v>
      </c>
      <c r="L28" s="25" t="s">
        <v>74</v>
      </c>
    </row>
    <row r="29" spans="1:12" s="1" customFormat="1">
      <c r="A29" s="89"/>
      <c r="B29" s="12" t="s">
        <v>1672</v>
      </c>
      <c r="C29" s="12" t="s">
        <v>71</v>
      </c>
      <c r="D29" s="9" t="s">
        <v>1673</v>
      </c>
      <c r="E29" s="21" t="s">
        <v>58</v>
      </c>
      <c r="F29" s="22" t="s">
        <v>1671</v>
      </c>
      <c r="G29" s="22" t="s">
        <v>73</v>
      </c>
      <c r="H29" s="23"/>
      <c r="I29" s="90"/>
      <c r="J29" s="25" t="s">
        <v>3</v>
      </c>
      <c r="K29" s="25" t="s">
        <v>74</v>
      </c>
      <c r="L29" s="25" t="s">
        <v>74</v>
      </c>
    </row>
    <row r="30" spans="1:12" s="1" customFormat="1">
      <c r="A30" s="89"/>
      <c r="B30" s="13" t="s">
        <v>1650</v>
      </c>
      <c r="C30" s="12" t="s">
        <v>71</v>
      </c>
      <c r="D30" s="9" t="s">
        <v>1651</v>
      </c>
      <c r="E30" s="21" t="s">
        <v>58</v>
      </c>
      <c r="F30" s="22" t="s">
        <v>1650</v>
      </c>
      <c r="G30" s="22" t="s">
        <v>73</v>
      </c>
      <c r="H30" s="23"/>
      <c r="I30" s="90"/>
      <c r="J30" s="25" t="s">
        <v>3</v>
      </c>
      <c r="K30" s="25" t="s">
        <v>74</v>
      </c>
      <c r="L30" s="25" t="s">
        <v>74</v>
      </c>
    </row>
    <row r="31" spans="1:12" s="1" customFormat="1">
      <c r="A31" s="89"/>
      <c r="B31" s="13" t="s">
        <v>1676</v>
      </c>
      <c r="C31" s="12" t="s">
        <v>71</v>
      </c>
      <c r="D31" s="9" t="s">
        <v>1677</v>
      </c>
      <c r="E31" s="21" t="s">
        <v>58</v>
      </c>
      <c r="F31" s="22" t="s">
        <v>1676</v>
      </c>
      <c r="G31" s="22" t="s">
        <v>73</v>
      </c>
      <c r="H31" s="23"/>
      <c r="I31" s="90"/>
      <c r="J31" s="25" t="s">
        <v>3</v>
      </c>
      <c r="K31" s="25" t="s">
        <v>74</v>
      </c>
      <c r="L31" s="25" t="s">
        <v>74</v>
      </c>
    </row>
    <row r="32" spans="1:12" s="1" customFormat="1">
      <c r="B32" s="13" t="s">
        <v>1588</v>
      </c>
      <c r="C32" s="12" t="s">
        <v>71</v>
      </c>
      <c r="D32" s="9" t="s">
        <v>1589</v>
      </c>
      <c r="E32" s="21" t="s">
        <v>58</v>
      </c>
      <c r="F32" s="22" t="s">
        <v>1590</v>
      </c>
      <c r="G32" s="22" t="s">
        <v>73</v>
      </c>
      <c r="H32" s="23"/>
      <c r="I32" s="25"/>
      <c r="J32" s="25" t="s">
        <v>3</v>
      </c>
      <c r="K32" s="25" t="s">
        <v>74</v>
      </c>
      <c r="L32" s="25" t="s">
        <v>74</v>
      </c>
    </row>
    <row r="33" spans="1:12" s="1" customFormat="1">
      <c r="B33" s="13" t="s">
        <v>1652</v>
      </c>
      <c r="C33" s="12" t="s">
        <v>71</v>
      </c>
      <c r="D33" s="9" t="s">
        <v>1591</v>
      </c>
      <c r="E33" s="21" t="s">
        <v>58</v>
      </c>
      <c r="F33" s="22" t="s">
        <v>1652</v>
      </c>
      <c r="G33" s="22" t="s">
        <v>73</v>
      </c>
      <c r="H33" s="23"/>
      <c r="I33" s="25"/>
      <c r="J33" s="25" t="s">
        <v>3</v>
      </c>
      <c r="K33" s="25" t="s">
        <v>74</v>
      </c>
      <c r="L33" s="25" t="s">
        <v>74</v>
      </c>
    </row>
    <row r="34" spans="1:12" s="89" customFormat="1">
      <c r="B34" s="13" t="s">
        <v>96</v>
      </c>
      <c r="C34" s="12" t="s">
        <v>71</v>
      </c>
      <c r="D34" s="9" t="s">
        <v>1592</v>
      </c>
      <c r="E34" s="21" t="s">
        <v>58</v>
      </c>
      <c r="F34" s="22" t="s">
        <v>96</v>
      </c>
      <c r="G34" s="22" t="s">
        <v>73</v>
      </c>
      <c r="H34" s="23"/>
      <c r="I34" s="90"/>
      <c r="J34" s="25" t="s">
        <v>3</v>
      </c>
      <c r="K34" s="25" t="s">
        <v>74</v>
      </c>
      <c r="L34" s="25" t="s">
        <v>1583</v>
      </c>
    </row>
    <row r="35" spans="1:12" s="99" customFormat="1">
      <c r="A35" s="96"/>
      <c r="B35" s="97" t="s">
        <v>1649</v>
      </c>
      <c r="C35" s="12" t="s">
        <v>75</v>
      </c>
      <c r="D35" s="9" t="s">
        <v>1594</v>
      </c>
      <c r="E35" s="21" t="s">
        <v>58</v>
      </c>
      <c r="F35" s="22" t="s">
        <v>1593</v>
      </c>
      <c r="G35" s="22" t="s">
        <v>73</v>
      </c>
      <c r="H35" s="23"/>
      <c r="I35" s="98"/>
      <c r="J35" s="25" t="s">
        <v>3</v>
      </c>
      <c r="K35" s="25" t="s">
        <v>74</v>
      </c>
      <c r="L35" s="25" t="s">
        <v>97</v>
      </c>
    </row>
    <row r="36" spans="1:12" s="99" customFormat="1">
      <c r="A36" s="96"/>
      <c r="B36" s="97" t="s">
        <v>499</v>
      </c>
      <c r="C36" s="12" t="s">
        <v>75</v>
      </c>
      <c r="D36" s="9" t="s">
        <v>1653</v>
      </c>
      <c r="E36" s="21" t="s">
        <v>58</v>
      </c>
      <c r="F36" s="100" t="s">
        <v>499</v>
      </c>
      <c r="G36" s="22" t="s">
        <v>73</v>
      </c>
      <c r="H36" s="23"/>
      <c r="I36" s="98"/>
      <c r="J36" s="25" t="s">
        <v>3</v>
      </c>
      <c r="K36" s="25" t="s">
        <v>74</v>
      </c>
      <c r="L36" s="25" t="s">
        <v>74</v>
      </c>
    </row>
    <row r="37" spans="1:12" s="1" customFormat="1">
      <c r="A37" s="89"/>
      <c r="B37" s="12" t="s">
        <v>1595</v>
      </c>
      <c r="C37" s="12" t="s">
        <v>71</v>
      </c>
      <c r="D37" s="9" t="s">
        <v>1596</v>
      </c>
      <c r="E37" s="21" t="s">
        <v>58</v>
      </c>
      <c r="F37" s="22" t="s">
        <v>1678</v>
      </c>
      <c r="G37" s="22" t="s">
        <v>73</v>
      </c>
      <c r="H37" s="23"/>
      <c r="I37" s="19"/>
      <c r="J37" s="25" t="s">
        <v>3</v>
      </c>
      <c r="K37" s="25" t="s">
        <v>74</v>
      </c>
      <c r="L37" s="25" t="s">
        <v>74</v>
      </c>
    </row>
    <row r="38" spans="1:12" s="89" customFormat="1">
      <c r="B38" s="13" t="s">
        <v>1597</v>
      </c>
      <c r="C38" s="13" t="s">
        <v>98</v>
      </c>
      <c r="D38" s="9" t="s">
        <v>1598</v>
      </c>
      <c r="E38" s="21" t="s">
        <v>58</v>
      </c>
      <c r="F38" s="22"/>
      <c r="G38" s="19" t="s">
        <v>1679</v>
      </c>
      <c r="H38" s="23"/>
      <c r="I38" s="90"/>
      <c r="J38" s="25" t="s">
        <v>99</v>
      </c>
      <c r="K38" s="25" t="s">
        <v>74</v>
      </c>
      <c r="L38" s="25" t="s">
        <v>100</v>
      </c>
    </row>
    <row r="39" spans="1:12" s="89" customFormat="1">
      <c r="B39" s="13" t="s">
        <v>1599</v>
      </c>
      <c r="C39" s="13" t="s">
        <v>98</v>
      </c>
      <c r="D39" s="9" t="s">
        <v>1600</v>
      </c>
      <c r="E39" s="21" t="s">
        <v>58</v>
      </c>
      <c r="F39" s="22"/>
      <c r="G39" s="19" t="s">
        <v>1680</v>
      </c>
      <c r="H39" s="23"/>
      <c r="I39" s="90"/>
      <c r="J39" s="25" t="s">
        <v>99</v>
      </c>
      <c r="K39" s="25" t="s">
        <v>74</v>
      </c>
      <c r="L39" s="25" t="s">
        <v>100</v>
      </c>
    </row>
    <row r="40" spans="1:12" s="89" customFormat="1">
      <c r="B40" s="13" t="s">
        <v>1601</v>
      </c>
      <c r="C40" s="13" t="s">
        <v>98</v>
      </c>
      <c r="D40" s="9" t="s">
        <v>1602</v>
      </c>
      <c r="E40" s="21" t="s">
        <v>58</v>
      </c>
      <c r="F40" s="22"/>
      <c r="G40" s="19" t="s">
        <v>1681</v>
      </c>
      <c r="H40" s="23"/>
      <c r="I40" s="90"/>
      <c r="J40" s="25" t="s">
        <v>99</v>
      </c>
      <c r="K40" s="25" t="s">
        <v>74</v>
      </c>
      <c r="L40" s="25" t="s">
        <v>100</v>
      </c>
    </row>
    <row r="41" spans="1:12" s="89" customFormat="1">
      <c r="B41" s="13" t="s">
        <v>1603</v>
      </c>
      <c r="C41" s="13" t="s">
        <v>98</v>
      </c>
      <c r="D41" s="9" t="s">
        <v>1604</v>
      </c>
      <c r="E41" s="21" t="s">
        <v>58</v>
      </c>
      <c r="F41" s="22"/>
      <c r="G41" s="19" t="s">
        <v>1682</v>
      </c>
      <c r="H41" s="23"/>
      <c r="I41" s="90"/>
      <c r="J41" s="25" t="s">
        <v>99</v>
      </c>
      <c r="K41" s="25" t="s">
        <v>74</v>
      </c>
      <c r="L41" s="25" t="s">
        <v>100</v>
      </c>
    </row>
    <row r="42" spans="1:12" s="3" customFormat="1">
      <c r="B42" s="13" t="s">
        <v>1605</v>
      </c>
      <c r="C42" s="13" t="s">
        <v>98</v>
      </c>
      <c r="D42" s="9" t="s">
        <v>1606</v>
      </c>
      <c r="E42" s="21" t="s">
        <v>58</v>
      </c>
      <c r="F42" s="22"/>
      <c r="G42" s="19" t="s">
        <v>1683</v>
      </c>
      <c r="H42" s="23"/>
      <c r="I42" s="90"/>
      <c r="J42" s="25" t="s">
        <v>99</v>
      </c>
      <c r="K42" s="25" t="s">
        <v>74</v>
      </c>
      <c r="L42" s="25" t="s">
        <v>100</v>
      </c>
    </row>
    <row r="43" spans="1:12" s="3" customFormat="1">
      <c r="B43" s="13" t="s">
        <v>1607</v>
      </c>
      <c r="C43" s="13" t="s">
        <v>98</v>
      </c>
      <c r="D43" s="9" t="s">
        <v>1608</v>
      </c>
      <c r="E43" s="21" t="s">
        <v>58</v>
      </c>
      <c r="F43" s="22"/>
      <c r="G43" s="19" t="s">
        <v>1684</v>
      </c>
      <c r="H43" s="23"/>
      <c r="I43" s="90"/>
      <c r="J43" s="25" t="s">
        <v>99</v>
      </c>
      <c r="K43" s="25" t="s">
        <v>74</v>
      </c>
      <c r="L43" s="25" t="s">
        <v>100</v>
      </c>
    </row>
    <row r="44" spans="1:12" s="3" customFormat="1">
      <c r="B44" s="13" t="s">
        <v>1609</v>
      </c>
      <c r="C44" s="13" t="s">
        <v>98</v>
      </c>
      <c r="D44" s="9" t="s">
        <v>1610</v>
      </c>
      <c r="E44" s="21" t="s">
        <v>58</v>
      </c>
      <c r="F44" s="22"/>
      <c r="G44" s="19" t="s">
        <v>1685</v>
      </c>
      <c r="H44" s="23"/>
      <c r="I44" s="90"/>
      <c r="J44" s="25" t="s">
        <v>99</v>
      </c>
      <c r="K44" s="25" t="s">
        <v>74</v>
      </c>
      <c r="L44" s="25" t="s">
        <v>100</v>
      </c>
    </row>
    <row r="45" spans="1:12" s="3" customFormat="1">
      <c r="B45" s="13" t="s">
        <v>1611</v>
      </c>
      <c r="C45" s="13" t="s">
        <v>98</v>
      </c>
      <c r="D45" s="9" t="s">
        <v>1612</v>
      </c>
      <c r="E45" s="21" t="s">
        <v>58</v>
      </c>
      <c r="F45" s="22"/>
      <c r="G45" s="19" t="s">
        <v>1686</v>
      </c>
      <c r="H45" s="23"/>
      <c r="I45" s="90"/>
      <c r="J45" s="25" t="s">
        <v>99</v>
      </c>
      <c r="K45" s="25" t="s">
        <v>74</v>
      </c>
      <c r="L45" s="25" t="s">
        <v>100</v>
      </c>
    </row>
    <row r="46" spans="1:12" s="3" customFormat="1">
      <c r="B46" s="13" t="s">
        <v>1613</v>
      </c>
      <c r="C46" s="13" t="s">
        <v>98</v>
      </c>
      <c r="D46" s="9" t="s">
        <v>1614</v>
      </c>
      <c r="E46" s="21" t="s">
        <v>58</v>
      </c>
      <c r="F46" s="22"/>
      <c r="G46" s="19" t="s">
        <v>1687</v>
      </c>
      <c r="H46" s="23"/>
      <c r="I46" s="90"/>
      <c r="J46" s="25" t="s">
        <v>99</v>
      </c>
      <c r="K46" s="25" t="s">
        <v>74</v>
      </c>
      <c r="L46" s="25" t="s">
        <v>100</v>
      </c>
    </row>
    <row r="47" spans="1:12" s="3" customFormat="1">
      <c r="B47" s="13" t="s">
        <v>1616</v>
      </c>
      <c r="C47" s="13" t="s">
        <v>98</v>
      </c>
      <c r="D47" s="9" t="s">
        <v>1617</v>
      </c>
      <c r="E47" s="21" t="s">
        <v>58</v>
      </c>
      <c r="F47" s="22"/>
      <c r="G47" s="19" t="s">
        <v>1688</v>
      </c>
      <c r="H47" s="23"/>
      <c r="I47" s="90"/>
      <c r="J47" s="25" t="s">
        <v>99</v>
      </c>
      <c r="K47" s="25" t="s">
        <v>74</v>
      </c>
      <c r="L47" s="25" t="s">
        <v>100</v>
      </c>
    </row>
    <row r="48" spans="1:12" s="99" customFormat="1">
      <c r="A48" s="96"/>
      <c r="B48" s="97" t="s">
        <v>1619</v>
      </c>
      <c r="C48" s="13" t="s">
        <v>75</v>
      </c>
      <c r="D48" s="9" t="s">
        <v>1620</v>
      </c>
      <c r="E48" s="21" t="s">
        <v>58</v>
      </c>
      <c r="F48" s="22"/>
      <c r="G48" s="19" t="s">
        <v>1697</v>
      </c>
      <c r="H48" s="23"/>
      <c r="I48" s="98"/>
      <c r="J48" s="25" t="s">
        <v>99</v>
      </c>
      <c r="K48" s="25" t="s">
        <v>74</v>
      </c>
      <c r="L48" s="25" t="s">
        <v>100</v>
      </c>
    </row>
    <row r="49" spans="1:17" s="99" customFormat="1">
      <c r="A49" s="96"/>
      <c r="B49" s="97" t="s">
        <v>1621</v>
      </c>
      <c r="C49" s="13" t="s">
        <v>75</v>
      </c>
      <c r="D49" s="9" t="s">
        <v>1622</v>
      </c>
      <c r="E49" s="21" t="s">
        <v>58</v>
      </c>
      <c r="F49" s="22"/>
      <c r="G49" s="19" t="s">
        <v>1696</v>
      </c>
      <c r="H49" s="23"/>
      <c r="I49" s="98"/>
      <c r="J49" s="25" t="s">
        <v>99</v>
      </c>
      <c r="K49" s="25" t="s">
        <v>74</v>
      </c>
      <c r="L49" s="25" t="s">
        <v>100</v>
      </c>
    </row>
    <row r="50" spans="1:17" s="99" customFormat="1">
      <c r="A50" s="96"/>
      <c r="B50" s="97" t="s">
        <v>1624</v>
      </c>
      <c r="C50" s="13" t="s">
        <v>102</v>
      </c>
      <c r="D50" s="9" t="s">
        <v>1625</v>
      </c>
      <c r="E50" s="21" t="s">
        <v>58</v>
      </c>
      <c r="F50" s="22"/>
      <c r="G50" s="19" t="s">
        <v>1698</v>
      </c>
      <c r="H50" s="23"/>
      <c r="I50" s="98"/>
      <c r="J50" s="25" t="s">
        <v>99</v>
      </c>
      <c r="K50" s="25" t="s">
        <v>74</v>
      </c>
      <c r="L50" s="25" t="s">
        <v>1215</v>
      </c>
    </row>
    <row r="51" spans="1:17" s="99" customFormat="1">
      <c r="A51" s="96"/>
      <c r="B51" s="97" t="s">
        <v>1626</v>
      </c>
      <c r="C51" s="13" t="s">
        <v>102</v>
      </c>
      <c r="D51" s="9" t="s">
        <v>1627</v>
      </c>
      <c r="E51" s="21" t="s">
        <v>58</v>
      </c>
      <c r="F51" s="22"/>
      <c r="G51" s="19" t="s">
        <v>1699</v>
      </c>
      <c r="H51" s="23"/>
      <c r="I51" s="98"/>
      <c r="J51" s="25" t="s">
        <v>99</v>
      </c>
      <c r="K51" s="25" t="s">
        <v>74</v>
      </c>
      <c r="L51" s="25" t="s">
        <v>100</v>
      </c>
    </row>
    <row r="52" spans="1:17" s="99" customFormat="1">
      <c r="A52" s="96"/>
      <c r="B52" s="97" t="s">
        <v>1628</v>
      </c>
      <c r="C52" s="13" t="s">
        <v>102</v>
      </c>
      <c r="D52" s="9" t="s">
        <v>1629</v>
      </c>
      <c r="E52" s="21" t="s">
        <v>58</v>
      </c>
      <c r="F52" s="22"/>
      <c r="G52" s="19" t="s">
        <v>1700</v>
      </c>
      <c r="H52" s="23"/>
      <c r="I52" s="98"/>
      <c r="J52" s="25" t="s">
        <v>99</v>
      </c>
      <c r="K52" s="25" t="s">
        <v>74</v>
      </c>
      <c r="L52" s="25" t="s">
        <v>1630</v>
      </c>
    </row>
    <row r="53" spans="1:17" s="99" customFormat="1">
      <c r="A53" s="96"/>
      <c r="B53" s="97" t="s">
        <v>1631</v>
      </c>
      <c r="C53" s="13" t="s">
        <v>98</v>
      </c>
      <c r="D53" s="9" t="s">
        <v>1632</v>
      </c>
      <c r="E53" s="21" t="s">
        <v>58</v>
      </c>
      <c r="F53" s="22"/>
      <c r="G53" s="19" t="s">
        <v>1691</v>
      </c>
      <c r="H53" s="23"/>
      <c r="I53" s="98"/>
      <c r="J53" s="25" t="s">
        <v>99</v>
      </c>
      <c r="K53" s="25" t="s">
        <v>74</v>
      </c>
      <c r="L53" s="25" t="s">
        <v>100</v>
      </c>
    </row>
    <row r="54" spans="1:17" s="99" customFormat="1">
      <c r="A54" s="96"/>
      <c r="B54" s="97" t="s">
        <v>1633</v>
      </c>
      <c r="C54" s="13" t="s">
        <v>98</v>
      </c>
      <c r="D54" s="9" t="s">
        <v>1634</v>
      </c>
      <c r="E54" s="21" t="s">
        <v>58</v>
      </c>
      <c r="F54" s="22"/>
      <c r="G54" s="19" t="s">
        <v>1692</v>
      </c>
      <c r="H54" s="23"/>
      <c r="I54" s="98"/>
      <c r="J54" s="25" t="s">
        <v>99</v>
      </c>
      <c r="K54" s="25" t="s">
        <v>74</v>
      </c>
      <c r="L54" s="25" t="s">
        <v>100</v>
      </c>
    </row>
    <row r="55" spans="1:17" s="99" customFormat="1">
      <c r="A55" s="96"/>
      <c r="B55" s="97" t="s">
        <v>1635</v>
      </c>
      <c r="C55" s="13" t="s">
        <v>98</v>
      </c>
      <c r="D55" s="9" t="s">
        <v>1636</v>
      </c>
      <c r="E55" s="21" t="s">
        <v>58</v>
      </c>
      <c r="F55" s="22"/>
      <c r="G55" s="19" t="s">
        <v>1693</v>
      </c>
      <c r="H55" s="23"/>
      <c r="I55" s="98"/>
      <c r="J55" s="25" t="s">
        <v>99</v>
      </c>
      <c r="K55" s="25" t="s">
        <v>74</v>
      </c>
      <c r="L55" s="25" t="s">
        <v>100</v>
      </c>
    </row>
    <row r="56" spans="1:17" s="99" customFormat="1">
      <c r="A56" s="96"/>
      <c r="B56" s="97" t="s">
        <v>1637</v>
      </c>
      <c r="C56" s="13" t="s">
        <v>98</v>
      </c>
      <c r="D56" s="9" t="s">
        <v>1638</v>
      </c>
      <c r="E56" s="21" t="s">
        <v>58</v>
      </c>
      <c r="F56" s="22"/>
      <c r="G56" s="19" t="s">
        <v>1694</v>
      </c>
      <c r="H56" s="23"/>
      <c r="I56" s="98"/>
      <c r="J56" s="25" t="s">
        <v>99</v>
      </c>
      <c r="K56" s="25" t="s">
        <v>74</v>
      </c>
      <c r="L56" s="25" t="s">
        <v>100</v>
      </c>
    </row>
    <row r="57" spans="1:17" s="99" customFormat="1">
      <c r="A57" s="96"/>
      <c r="B57" s="97" t="s">
        <v>1639</v>
      </c>
      <c r="C57" s="13" t="s">
        <v>98</v>
      </c>
      <c r="D57" s="9" t="s">
        <v>1640</v>
      </c>
      <c r="E57" s="21" t="s">
        <v>58</v>
      </c>
      <c r="F57" s="22"/>
      <c r="G57" s="19" t="s">
        <v>1695</v>
      </c>
      <c r="H57" s="23"/>
      <c r="I57" s="98"/>
      <c r="J57" s="25" t="s">
        <v>99</v>
      </c>
      <c r="K57" s="25" t="s">
        <v>74</v>
      </c>
      <c r="L57" s="25" t="s">
        <v>100</v>
      </c>
    </row>
    <row r="58" spans="1:17" s="2" customFormat="1">
      <c r="B58" s="14" t="s">
        <v>80</v>
      </c>
      <c r="C58" s="15" t="s">
        <v>75</v>
      </c>
      <c r="D58" s="16" t="s">
        <v>103</v>
      </c>
      <c r="E58" s="35"/>
      <c r="F58" s="14"/>
      <c r="G58" s="14"/>
      <c r="H58" s="14"/>
      <c r="I58" s="14"/>
      <c r="J58" s="14"/>
      <c r="K58" s="14"/>
      <c r="L58" s="14"/>
      <c r="M58" s="14"/>
      <c r="N58" s="14"/>
      <c r="O58" s="14"/>
      <c r="P58" s="14"/>
      <c r="Q58" s="14"/>
    </row>
    <row r="59" spans="1:17" s="2" customFormat="1">
      <c r="B59" s="14" t="s">
        <v>0</v>
      </c>
      <c r="C59" s="15" t="s">
        <v>71</v>
      </c>
      <c r="D59" s="16" t="s">
        <v>104</v>
      </c>
      <c r="E59" s="35"/>
      <c r="F59" s="14"/>
      <c r="G59" s="14"/>
      <c r="H59" s="14"/>
      <c r="I59" s="14"/>
      <c r="J59" s="14"/>
      <c r="K59" s="14"/>
      <c r="L59" s="14"/>
      <c r="M59" s="14"/>
      <c r="N59" s="14"/>
      <c r="O59" s="14"/>
      <c r="P59" s="14"/>
      <c r="Q59" s="14"/>
    </row>
    <row r="60" spans="1:17" s="2" customFormat="1">
      <c r="B60" s="14" t="s">
        <v>1</v>
      </c>
      <c r="C60" s="15" t="s">
        <v>75</v>
      </c>
      <c r="D60" s="16" t="s">
        <v>105</v>
      </c>
      <c r="E60" s="35"/>
      <c r="F60" s="14"/>
      <c r="G60" s="14"/>
      <c r="H60" s="14"/>
      <c r="I60" s="14"/>
      <c r="J60" s="14"/>
      <c r="K60" s="14"/>
      <c r="L60" s="14"/>
      <c r="M60" s="14"/>
      <c r="N60" s="14"/>
      <c r="O60" s="14"/>
      <c r="P60" s="14"/>
      <c r="Q60" s="14"/>
    </row>
  </sheetData>
  <autoFilter ref="A13:Q60" xr:uid="{00000000-0009-0000-0000-000002000000}"/>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855F0-9B3D-4E84-A868-D46F5530C8DD}">
  <dimension ref="A1:Q36"/>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23.6640625" style="3" customWidth="1"/>
    <col min="3" max="3" width="31.21875" style="3" customWidth="1"/>
    <col min="4" max="4" width="32.21875" style="3" customWidth="1"/>
    <col min="5" max="5" width="16.21875" style="3" customWidth="1"/>
    <col min="6" max="6" width="19.21875" style="3" customWidth="1"/>
    <col min="7" max="7" width="51.44140625" style="3"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7" t="s">
        <v>49</v>
      </c>
      <c r="G4" s="7" t="s">
        <v>14</v>
      </c>
      <c r="H4" s="7" t="s">
        <v>50</v>
      </c>
    </row>
    <row r="5" spans="2:14">
      <c r="B5" s="8" t="s">
        <v>1575</v>
      </c>
      <c r="C5" s="9" t="s">
        <v>1703</v>
      </c>
      <c r="D5" s="9" t="s">
        <v>1705</v>
      </c>
      <c r="E5" s="12" t="s">
        <v>1272</v>
      </c>
      <c r="F5" s="29"/>
      <c r="G5" s="12"/>
      <c r="H5" s="12"/>
      <c r="N5" s="3"/>
    </row>
    <row r="6" spans="2:14">
      <c r="B6" s="6"/>
      <c r="C6" s="6"/>
      <c r="D6" s="6"/>
      <c r="E6" s="6"/>
      <c r="F6" s="6"/>
      <c r="G6" s="6"/>
      <c r="H6" s="6"/>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1641</v>
      </c>
      <c r="D9" s="9" t="s">
        <v>1714</v>
      </c>
      <c r="E9" s="12" t="s">
        <v>58</v>
      </c>
      <c r="F9" s="22"/>
      <c r="G9" s="22"/>
      <c r="H9" s="20" t="s">
        <v>30</v>
      </c>
    </row>
    <row r="10" spans="2:14">
      <c r="G10" s="30"/>
    </row>
    <row r="11" spans="2:14">
      <c r="B11" s="3" t="s">
        <v>59</v>
      </c>
    </row>
    <row r="12" spans="2:14">
      <c r="B12" s="122" t="s">
        <v>59</v>
      </c>
      <c r="C12" s="122"/>
      <c r="D12" s="122"/>
      <c r="E12" s="122"/>
      <c r="F12" s="122"/>
      <c r="G12" s="122"/>
      <c r="H12" s="122"/>
      <c r="I12" s="122"/>
      <c r="J12" s="122"/>
      <c r="K12" s="122"/>
      <c r="L12" s="122"/>
    </row>
    <row r="13" spans="2:14">
      <c r="B13" s="7" t="s">
        <v>60</v>
      </c>
      <c r="C13" s="7" t="s">
        <v>61</v>
      </c>
      <c r="D13" s="7" t="s">
        <v>62</v>
      </c>
      <c r="E13" s="7" t="s">
        <v>63</v>
      </c>
      <c r="F13" s="7" t="s">
        <v>64</v>
      </c>
      <c r="G13" s="7" t="s">
        <v>65</v>
      </c>
      <c r="H13" s="7" t="s">
        <v>66</v>
      </c>
      <c r="I13" s="7" t="s">
        <v>24</v>
      </c>
      <c r="J13" s="7" t="s">
        <v>67</v>
      </c>
      <c r="K13" s="7" t="s">
        <v>68</v>
      </c>
      <c r="L13" s="7" t="s">
        <v>69</v>
      </c>
    </row>
    <row r="14" spans="2:14" s="1" customFormat="1">
      <c r="B14" s="13" t="s">
        <v>70</v>
      </c>
      <c r="C14" s="13" t="s">
        <v>71</v>
      </c>
      <c r="D14" s="9" t="s">
        <v>72</v>
      </c>
      <c r="E14" s="21" t="s">
        <v>58</v>
      </c>
      <c r="F14" s="22" t="s">
        <v>0</v>
      </c>
      <c r="G14" s="22" t="s">
        <v>73</v>
      </c>
      <c r="H14" s="23"/>
      <c r="I14" s="25"/>
      <c r="J14" s="25" t="s">
        <v>3</v>
      </c>
      <c r="K14" s="25" t="s">
        <v>74</v>
      </c>
      <c r="L14" s="25" t="s">
        <v>1576</v>
      </c>
    </row>
    <row r="15" spans="2:14" s="1" customFormat="1">
      <c r="B15" s="13" t="s">
        <v>6</v>
      </c>
      <c r="C15" s="13" t="s">
        <v>75</v>
      </c>
      <c r="D15" s="9" t="s">
        <v>34</v>
      </c>
      <c r="E15" s="21" t="s">
        <v>58</v>
      </c>
      <c r="F15" s="22" t="s">
        <v>1</v>
      </c>
      <c r="G15" s="22" t="s">
        <v>73</v>
      </c>
      <c r="H15" s="23"/>
      <c r="I15" s="25"/>
      <c r="J15" s="25" t="s">
        <v>3</v>
      </c>
      <c r="K15" s="25" t="s">
        <v>74</v>
      </c>
      <c r="L15" s="25" t="s">
        <v>1577</v>
      </c>
    </row>
    <row r="16" spans="2:14" s="1" customFormat="1">
      <c r="B16" s="13" t="s">
        <v>4</v>
      </c>
      <c r="C16" s="13" t="s">
        <v>75</v>
      </c>
      <c r="D16" s="9" t="s">
        <v>28</v>
      </c>
      <c r="E16" s="21" t="s">
        <v>58</v>
      </c>
      <c r="F16" s="22" t="s">
        <v>2</v>
      </c>
      <c r="G16" s="22" t="s">
        <v>73</v>
      </c>
      <c r="H16" s="23"/>
      <c r="I16" s="25"/>
      <c r="J16" s="25" t="s">
        <v>3</v>
      </c>
      <c r="K16" s="25" t="s">
        <v>74</v>
      </c>
      <c r="L16" s="25" t="s">
        <v>1578</v>
      </c>
    </row>
    <row r="17" spans="1:12" s="1" customFormat="1">
      <c r="A17" s="89"/>
      <c r="B17" s="13" t="s">
        <v>76</v>
      </c>
      <c r="C17" s="13" t="s">
        <v>75</v>
      </c>
      <c r="D17" s="9" t="s">
        <v>77</v>
      </c>
      <c r="E17" s="21" t="s">
        <v>58</v>
      </c>
      <c r="F17" s="22" t="s">
        <v>76</v>
      </c>
      <c r="G17" s="22" t="s">
        <v>73</v>
      </c>
      <c r="H17" s="23"/>
      <c r="I17" s="90"/>
      <c r="J17" s="25" t="s">
        <v>3</v>
      </c>
      <c r="K17" s="25" t="s">
        <v>74</v>
      </c>
      <c r="L17" s="94" t="s">
        <v>1579</v>
      </c>
    </row>
    <row r="18" spans="1:12" s="1" customFormat="1">
      <c r="A18" s="89"/>
      <c r="B18" s="12" t="s">
        <v>307</v>
      </c>
      <c r="C18" s="12" t="s">
        <v>71</v>
      </c>
      <c r="D18" s="9" t="s">
        <v>91</v>
      </c>
      <c r="E18" s="21" t="s">
        <v>58</v>
      </c>
      <c r="F18" s="22" t="s">
        <v>90</v>
      </c>
      <c r="G18" s="22" t="s">
        <v>73</v>
      </c>
      <c r="H18" s="23"/>
      <c r="I18" s="95"/>
      <c r="J18" s="25" t="s">
        <v>3</v>
      </c>
      <c r="K18" s="25" t="s">
        <v>74</v>
      </c>
      <c r="L18" s="25" t="s">
        <v>74</v>
      </c>
    </row>
    <row r="19" spans="1:12" s="1" customFormat="1">
      <c r="A19" s="89"/>
      <c r="B19" s="12" t="s">
        <v>308</v>
      </c>
      <c r="C19" s="12" t="s">
        <v>71</v>
      </c>
      <c r="D19" s="9" t="s">
        <v>93</v>
      </c>
      <c r="E19" s="21" t="s">
        <v>58</v>
      </c>
      <c r="F19" s="22" t="s">
        <v>108</v>
      </c>
      <c r="G19" s="22" t="s">
        <v>73</v>
      </c>
      <c r="H19" s="23"/>
      <c r="I19" s="90"/>
      <c r="J19" s="25" t="s">
        <v>3</v>
      </c>
      <c r="K19" s="25" t="s">
        <v>74</v>
      </c>
      <c r="L19" s="25" t="s">
        <v>74</v>
      </c>
    </row>
    <row r="20" spans="1:12" s="1" customFormat="1">
      <c r="A20" s="89"/>
      <c r="B20" s="12" t="s">
        <v>94</v>
      </c>
      <c r="C20" s="12" t="s">
        <v>71</v>
      </c>
      <c r="D20" s="9" t="s">
        <v>95</v>
      </c>
      <c r="E20" s="21" t="s">
        <v>58</v>
      </c>
      <c r="F20" s="22" t="s">
        <v>94</v>
      </c>
      <c r="G20" s="22" t="s">
        <v>73</v>
      </c>
      <c r="H20" s="23"/>
      <c r="I20" s="90"/>
      <c r="J20" s="25" t="s">
        <v>3</v>
      </c>
      <c r="K20" s="25" t="s">
        <v>74</v>
      </c>
      <c r="L20" s="25" t="s">
        <v>74</v>
      </c>
    </row>
    <row r="21" spans="1:12" s="1" customFormat="1">
      <c r="A21" s="89"/>
      <c r="B21" s="12" t="s">
        <v>616</v>
      </c>
      <c r="C21" s="12" t="s">
        <v>71</v>
      </c>
      <c r="D21" s="9" t="s">
        <v>1587</v>
      </c>
      <c r="E21" s="21" t="s">
        <v>58</v>
      </c>
      <c r="F21" s="22" t="s">
        <v>616</v>
      </c>
      <c r="G21" s="22" t="s">
        <v>73</v>
      </c>
      <c r="H21" s="23"/>
      <c r="I21" s="90"/>
      <c r="J21" s="25" t="s">
        <v>3</v>
      </c>
      <c r="K21" s="25" t="s">
        <v>74</v>
      </c>
      <c r="L21" s="25" t="s">
        <v>74</v>
      </c>
    </row>
    <row r="22" spans="1:12" s="1" customFormat="1">
      <c r="B22" s="13" t="s">
        <v>1588</v>
      </c>
      <c r="C22" s="12" t="s">
        <v>71</v>
      </c>
      <c r="D22" s="9" t="s">
        <v>1589</v>
      </c>
      <c r="E22" s="21" t="s">
        <v>58</v>
      </c>
      <c r="F22" s="22" t="s">
        <v>1590</v>
      </c>
      <c r="G22" s="22" t="s">
        <v>73</v>
      </c>
      <c r="H22" s="23"/>
      <c r="I22" s="25"/>
      <c r="J22" s="25" t="s">
        <v>3</v>
      </c>
      <c r="K22" s="25" t="s">
        <v>74</v>
      </c>
      <c r="L22" s="25" t="s">
        <v>74</v>
      </c>
    </row>
    <row r="23" spans="1:12" s="3" customFormat="1">
      <c r="B23" s="13" t="s">
        <v>1616</v>
      </c>
      <c r="C23" s="13" t="s">
        <v>98</v>
      </c>
      <c r="D23" s="9" t="s">
        <v>1617</v>
      </c>
      <c r="E23" s="21" t="s">
        <v>58</v>
      </c>
      <c r="F23" s="22"/>
      <c r="G23" s="19" t="s">
        <v>1688</v>
      </c>
      <c r="H23" s="21"/>
      <c r="I23" s="90"/>
      <c r="J23" s="25" t="s">
        <v>99</v>
      </c>
      <c r="K23" s="25" t="s">
        <v>74</v>
      </c>
      <c r="L23" s="25" t="s">
        <v>100</v>
      </c>
    </row>
    <row r="24" spans="1:12" s="99" customFormat="1">
      <c r="A24" s="96"/>
      <c r="B24" s="97" t="s">
        <v>1619</v>
      </c>
      <c r="C24" s="13" t="s">
        <v>75</v>
      </c>
      <c r="D24" s="9" t="s">
        <v>1620</v>
      </c>
      <c r="E24" s="21" t="s">
        <v>58</v>
      </c>
      <c r="F24" s="22"/>
      <c r="G24" s="19" t="s">
        <v>1697</v>
      </c>
      <c r="H24" s="21"/>
      <c r="I24" s="98"/>
      <c r="J24" s="25" t="s">
        <v>99</v>
      </c>
      <c r="K24" s="25" t="s">
        <v>74</v>
      </c>
      <c r="L24" s="25" t="s">
        <v>100</v>
      </c>
    </row>
    <row r="25" spans="1:12" s="99" customFormat="1">
      <c r="A25" s="96"/>
      <c r="B25" s="97" t="s">
        <v>1621</v>
      </c>
      <c r="C25" s="13" t="s">
        <v>75</v>
      </c>
      <c r="D25" s="9" t="s">
        <v>1622</v>
      </c>
      <c r="E25" s="21" t="s">
        <v>58</v>
      </c>
      <c r="F25" s="22"/>
      <c r="G25" s="19" t="s">
        <v>1696</v>
      </c>
      <c r="H25" s="21"/>
      <c r="I25" s="98"/>
      <c r="J25" s="25" t="s">
        <v>99</v>
      </c>
      <c r="K25" s="25" t="s">
        <v>74</v>
      </c>
      <c r="L25" s="25" t="s">
        <v>100</v>
      </c>
    </row>
    <row r="26" spans="1:12" s="99" customFormat="1">
      <c r="A26" s="96"/>
      <c r="B26" s="97" t="s">
        <v>1626</v>
      </c>
      <c r="C26" s="13" t="s">
        <v>102</v>
      </c>
      <c r="D26" s="9" t="s">
        <v>1627</v>
      </c>
      <c r="E26" s="21" t="s">
        <v>58</v>
      </c>
      <c r="F26" s="22"/>
      <c r="G26" s="19" t="s">
        <v>1699</v>
      </c>
      <c r="H26" s="21"/>
      <c r="I26" s="98"/>
      <c r="J26" s="25" t="s">
        <v>99</v>
      </c>
      <c r="K26" s="25" t="s">
        <v>74</v>
      </c>
      <c r="L26" s="25" t="s">
        <v>100</v>
      </c>
    </row>
    <row r="27" spans="1:12" s="99" customFormat="1">
      <c r="A27" s="96"/>
      <c r="B27" s="97" t="s">
        <v>1628</v>
      </c>
      <c r="C27" s="13" t="s">
        <v>102</v>
      </c>
      <c r="D27" s="9" t="s">
        <v>1629</v>
      </c>
      <c r="E27" s="21" t="s">
        <v>58</v>
      </c>
      <c r="F27" s="22"/>
      <c r="G27" s="19" t="s">
        <v>1700</v>
      </c>
      <c r="H27" s="21"/>
      <c r="I27" s="98"/>
      <c r="J27" s="25" t="s">
        <v>99</v>
      </c>
      <c r="K27" s="25" t="s">
        <v>74</v>
      </c>
      <c r="L27" s="25" t="s">
        <v>1630</v>
      </c>
    </row>
    <row r="28" spans="1:12" s="99" customFormat="1">
      <c r="A28" s="96"/>
      <c r="B28" s="97" t="s">
        <v>1631</v>
      </c>
      <c r="C28" s="13" t="s">
        <v>98</v>
      </c>
      <c r="D28" s="9" t="s">
        <v>1632</v>
      </c>
      <c r="E28" s="21" t="s">
        <v>58</v>
      </c>
      <c r="F28" s="22"/>
      <c r="G28" s="19" t="s">
        <v>1691</v>
      </c>
      <c r="H28" s="21"/>
      <c r="I28" s="98"/>
      <c r="J28" s="25" t="s">
        <v>99</v>
      </c>
      <c r="K28" s="25" t="s">
        <v>74</v>
      </c>
      <c r="L28" s="25" t="s">
        <v>100</v>
      </c>
    </row>
    <row r="29" spans="1:12" s="99" customFormat="1">
      <c r="A29" s="96"/>
      <c r="B29" s="97" t="s">
        <v>1633</v>
      </c>
      <c r="C29" s="13" t="s">
        <v>98</v>
      </c>
      <c r="D29" s="9" t="s">
        <v>1634</v>
      </c>
      <c r="E29" s="21" t="s">
        <v>58</v>
      </c>
      <c r="F29" s="22"/>
      <c r="G29" s="19" t="s">
        <v>1692</v>
      </c>
      <c r="H29" s="21"/>
      <c r="I29" s="98"/>
      <c r="J29" s="25" t="s">
        <v>99</v>
      </c>
      <c r="K29" s="25" t="s">
        <v>74</v>
      </c>
      <c r="L29" s="25" t="s">
        <v>100</v>
      </c>
    </row>
    <row r="30" spans="1:12" s="99" customFormat="1">
      <c r="A30" s="96"/>
      <c r="B30" s="97" t="s">
        <v>1635</v>
      </c>
      <c r="C30" s="13" t="s">
        <v>98</v>
      </c>
      <c r="D30" s="9" t="s">
        <v>1636</v>
      </c>
      <c r="E30" s="21" t="s">
        <v>58</v>
      </c>
      <c r="F30" s="22"/>
      <c r="G30" s="19" t="s">
        <v>1693</v>
      </c>
      <c r="H30" s="21"/>
      <c r="I30" s="98"/>
      <c r="J30" s="25" t="s">
        <v>99</v>
      </c>
      <c r="K30" s="25" t="s">
        <v>74</v>
      </c>
      <c r="L30" s="25" t="s">
        <v>100</v>
      </c>
    </row>
    <row r="31" spans="1:12" s="99" customFormat="1">
      <c r="A31" s="96"/>
      <c r="B31" s="97" t="s">
        <v>1637</v>
      </c>
      <c r="C31" s="13" t="s">
        <v>98</v>
      </c>
      <c r="D31" s="9" t="s">
        <v>1638</v>
      </c>
      <c r="E31" s="21" t="s">
        <v>58</v>
      </c>
      <c r="F31" s="22"/>
      <c r="G31" s="19" t="s">
        <v>1694</v>
      </c>
      <c r="H31" s="21"/>
      <c r="I31" s="98"/>
      <c r="J31" s="25" t="s">
        <v>99</v>
      </c>
      <c r="K31" s="25" t="s">
        <v>74</v>
      </c>
      <c r="L31" s="25" t="s">
        <v>100</v>
      </c>
    </row>
    <row r="32" spans="1:12" s="99" customFormat="1">
      <c r="A32" s="96"/>
      <c r="B32" s="97" t="s">
        <v>1639</v>
      </c>
      <c r="C32" s="13" t="s">
        <v>98</v>
      </c>
      <c r="D32" s="9" t="s">
        <v>1640</v>
      </c>
      <c r="E32" s="21" t="s">
        <v>58</v>
      </c>
      <c r="F32" s="22"/>
      <c r="G32" s="19" t="s">
        <v>1695</v>
      </c>
      <c r="H32" s="21"/>
      <c r="I32" s="98"/>
      <c r="J32" s="25" t="s">
        <v>99</v>
      </c>
      <c r="K32" s="25" t="s">
        <v>74</v>
      </c>
      <c r="L32" s="25" t="s">
        <v>100</v>
      </c>
    </row>
    <row r="33" spans="2:17" s="2" customFormat="1">
      <c r="B33" s="14" t="s">
        <v>80</v>
      </c>
      <c r="C33" s="15" t="s">
        <v>75</v>
      </c>
      <c r="D33" s="16" t="s">
        <v>103</v>
      </c>
      <c r="E33" s="35"/>
      <c r="F33" s="14"/>
      <c r="G33" s="14"/>
      <c r="H33" s="14"/>
      <c r="I33" s="14"/>
      <c r="J33" s="14"/>
      <c r="K33" s="14"/>
      <c r="L33" s="14"/>
      <c r="M33" s="14"/>
      <c r="N33" s="14"/>
      <c r="O33" s="14"/>
      <c r="P33" s="14"/>
      <c r="Q33" s="14"/>
    </row>
    <row r="34" spans="2:17" s="2" customFormat="1">
      <c r="B34" s="14" t="s">
        <v>0</v>
      </c>
      <c r="C34" s="15" t="s">
        <v>71</v>
      </c>
      <c r="D34" s="16" t="s">
        <v>104</v>
      </c>
      <c r="E34" s="35"/>
      <c r="F34" s="14"/>
      <c r="G34" s="14"/>
      <c r="H34" s="14"/>
      <c r="I34" s="14"/>
      <c r="J34" s="14"/>
      <c r="K34" s="14"/>
      <c r="L34" s="14"/>
      <c r="M34" s="14"/>
      <c r="N34" s="14"/>
      <c r="O34" s="14"/>
      <c r="P34" s="14"/>
      <c r="Q34" s="14"/>
    </row>
    <row r="35" spans="2:17" s="2" customFormat="1">
      <c r="B35" s="14" t="s">
        <v>1</v>
      </c>
      <c r="C35" s="15" t="s">
        <v>75</v>
      </c>
      <c r="D35" s="16" t="s">
        <v>105</v>
      </c>
      <c r="E35" s="35"/>
      <c r="F35" s="14"/>
      <c r="G35" s="14"/>
      <c r="H35" s="14"/>
      <c r="I35" s="14"/>
      <c r="J35" s="14"/>
      <c r="K35" s="14"/>
      <c r="L35" s="14"/>
      <c r="M35" s="14"/>
      <c r="N35" s="14"/>
      <c r="O35" s="14"/>
      <c r="P35" s="14"/>
      <c r="Q35" s="14"/>
    </row>
    <row r="36" spans="2:17" s="2" customFormat="1">
      <c r="B36" s="14" t="s">
        <v>2</v>
      </c>
      <c r="C36" s="15" t="s">
        <v>75</v>
      </c>
      <c r="D36" s="16" t="s">
        <v>106</v>
      </c>
      <c r="E36" s="35"/>
      <c r="F36" s="14"/>
      <c r="G36" s="14"/>
      <c r="H36" s="14"/>
      <c r="I36" s="14"/>
      <c r="J36" s="14"/>
      <c r="K36" s="14"/>
      <c r="L36" s="14"/>
      <c r="M36" s="14"/>
      <c r="N36" s="14"/>
      <c r="O36" s="14"/>
      <c r="P36" s="14"/>
      <c r="Q36" s="14"/>
    </row>
  </sheetData>
  <autoFilter ref="A13:Q35" xr:uid="{00000000-0009-0000-0000-000002000000}"/>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137C1-FE74-4193-83E7-7D080862CDE6}">
  <dimension ref="A1:Q37"/>
  <sheetViews>
    <sheetView zoomScale="85" zoomScaleNormal="85" workbookViewId="0">
      <pane ySplit="5" topLeftCell="A6" activePane="bottomLeft" state="frozen"/>
      <selection pane="bottomLeft" activeCell="C9" sqref="C9:C10"/>
    </sheetView>
  </sheetViews>
  <sheetFormatPr defaultColWidth="9" defaultRowHeight="13.2"/>
  <cols>
    <col min="1" max="1" width="1.33203125" style="3" customWidth="1"/>
    <col min="2" max="2" width="23.6640625" style="3" customWidth="1"/>
    <col min="3" max="3" width="31.21875" style="3" customWidth="1"/>
    <col min="4" max="4" width="32.21875" style="3" customWidth="1"/>
    <col min="5" max="5" width="16.21875" style="3" customWidth="1"/>
    <col min="6" max="6" width="19.21875" style="3" customWidth="1"/>
    <col min="7" max="7" width="46.6640625" style="3" bestFit="1"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7" t="s">
        <v>49</v>
      </c>
      <c r="G4" s="7" t="s">
        <v>14</v>
      </c>
      <c r="H4" s="7" t="s">
        <v>50</v>
      </c>
    </row>
    <row r="5" spans="2:14">
      <c r="B5" s="8" t="s">
        <v>1575</v>
      </c>
      <c r="C5" s="9" t="s">
        <v>1710</v>
      </c>
      <c r="D5" s="9" t="s">
        <v>1708</v>
      </c>
      <c r="E5" s="12" t="s">
        <v>1288</v>
      </c>
      <c r="F5" s="29"/>
      <c r="G5" s="12"/>
      <c r="H5" s="12"/>
      <c r="N5" s="3"/>
    </row>
    <row r="6" spans="2:14">
      <c r="B6" s="6"/>
      <c r="C6" s="6"/>
      <c r="D6" s="6"/>
      <c r="E6" s="6"/>
      <c r="F6" s="6"/>
      <c r="G6" s="6"/>
      <c r="H6" s="6"/>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ht="13.2" customHeight="1">
      <c r="B9" s="12"/>
      <c r="C9" s="9" t="s">
        <v>2407</v>
      </c>
      <c r="D9" s="9" t="s">
        <v>1712</v>
      </c>
      <c r="E9" s="12" t="s">
        <v>58</v>
      </c>
      <c r="F9" s="129" t="s">
        <v>1744</v>
      </c>
      <c r="G9" s="130"/>
      <c r="H9" s="20" t="s">
        <v>30</v>
      </c>
    </row>
    <row r="10" spans="2:14">
      <c r="B10" s="12"/>
      <c r="C10" s="9" t="s">
        <v>1703</v>
      </c>
      <c r="D10" s="9" t="s">
        <v>1715</v>
      </c>
      <c r="E10" s="12" t="s">
        <v>665</v>
      </c>
      <c r="F10" s="131"/>
      <c r="G10" s="132"/>
      <c r="H10" s="20"/>
    </row>
    <row r="11" spans="2:14">
      <c r="C11" s="28"/>
      <c r="D11" s="28"/>
      <c r="G11" s="30"/>
    </row>
    <row r="12" spans="2:14">
      <c r="B12" s="3" t="s">
        <v>59</v>
      </c>
    </row>
    <row r="13" spans="2:14">
      <c r="B13" s="122" t="s">
        <v>59</v>
      </c>
      <c r="C13" s="122"/>
      <c r="D13" s="122"/>
      <c r="E13" s="122"/>
      <c r="F13" s="122"/>
      <c r="G13" s="122"/>
      <c r="H13" s="122"/>
      <c r="I13" s="122"/>
      <c r="J13" s="122"/>
      <c r="K13" s="122"/>
      <c r="L13" s="122"/>
    </row>
    <row r="14" spans="2:14">
      <c r="B14" s="7" t="s">
        <v>60</v>
      </c>
      <c r="C14" s="7" t="s">
        <v>61</v>
      </c>
      <c r="D14" s="7" t="s">
        <v>62</v>
      </c>
      <c r="E14" s="7" t="s">
        <v>63</v>
      </c>
      <c r="F14" s="7" t="s">
        <v>64</v>
      </c>
      <c r="G14" s="7" t="s">
        <v>65</v>
      </c>
      <c r="H14" s="7" t="s">
        <v>66</v>
      </c>
      <c r="I14" s="7" t="s">
        <v>24</v>
      </c>
      <c r="J14" s="7" t="s">
        <v>67</v>
      </c>
      <c r="K14" s="7" t="s">
        <v>68</v>
      </c>
      <c r="L14" s="7" t="s">
        <v>69</v>
      </c>
    </row>
    <row r="15" spans="2:14" s="1" customFormat="1">
      <c r="B15" s="13" t="s">
        <v>70</v>
      </c>
      <c r="C15" s="13" t="s">
        <v>71</v>
      </c>
      <c r="D15" s="9" t="s">
        <v>72</v>
      </c>
      <c r="E15" s="21" t="s">
        <v>58</v>
      </c>
      <c r="F15" s="22" t="s">
        <v>70</v>
      </c>
      <c r="G15" s="22" t="s">
        <v>73</v>
      </c>
      <c r="H15" s="23"/>
      <c r="I15" s="25"/>
      <c r="J15" s="25" t="s">
        <v>3</v>
      </c>
      <c r="K15" s="25" t="s">
        <v>74</v>
      </c>
      <c r="L15" s="25" t="s">
        <v>1576</v>
      </c>
    </row>
    <row r="16" spans="2:14" s="1" customFormat="1">
      <c r="B16" s="13" t="s">
        <v>6</v>
      </c>
      <c r="C16" s="13" t="s">
        <v>75</v>
      </c>
      <c r="D16" s="9" t="s">
        <v>34</v>
      </c>
      <c r="E16" s="21" t="s">
        <v>58</v>
      </c>
      <c r="F16" s="22" t="s">
        <v>6</v>
      </c>
      <c r="G16" s="22" t="s">
        <v>73</v>
      </c>
      <c r="H16" s="23"/>
      <c r="I16" s="25"/>
      <c r="J16" s="25" t="s">
        <v>3</v>
      </c>
      <c r="K16" s="25" t="s">
        <v>74</v>
      </c>
      <c r="L16" s="25" t="s">
        <v>1577</v>
      </c>
    </row>
    <row r="17" spans="1:12" s="1" customFormat="1">
      <c r="B17" s="13" t="s">
        <v>4</v>
      </c>
      <c r="C17" s="13" t="s">
        <v>75</v>
      </c>
      <c r="D17" s="9" t="s">
        <v>28</v>
      </c>
      <c r="E17" s="21" t="s">
        <v>58</v>
      </c>
      <c r="F17" s="22" t="s">
        <v>4</v>
      </c>
      <c r="G17" s="22" t="s">
        <v>73</v>
      </c>
      <c r="H17" s="23"/>
      <c r="I17" s="25"/>
      <c r="J17" s="25" t="s">
        <v>3</v>
      </c>
      <c r="K17" s="25" t="s">
        <v>74</v>
      </c>
      <c r="L17" s="25" t="s">
        <v>1578</v>
      </c>
    </row>
    <row r="18" spans="1:12" s="1" customFormat="1">
      <c r="A18" s="89"/>
      <c r="B18" s="13" t="s">
        <v>108</v>
      </c>
      <c r="C18" s="13" t="s">
        <v>71</v>
      </c>
      <c r="D18" s="9" t="s">
        <v>1731</v>
      </c>
      <c r="E18" s="21" t="s">
        <v>58</v>
      </c>
      <c r="F18" s="22" t="s">
        <v>108</v>
      </c>
      <c r="G18" s="22" t="s">
        <v>73</v>
      </c>
      <c r="H18" s="23"/>
      <c r="I18" s="25"/>
      <c r="J18" s="25" t="s">
        <v>3</v>
      </c>
      <c r="K18" s="25" t="s">
        <v>74</v>
      </c>
      <c r="L18" s="25" t="s">
        <v>74</v>
      </c>
    </row>
    <row r="19" spans="1:12" s="1" customFormat="1">
      <c r="A19" s="89"/>
      <c r="B19" s="12" t="s">
        <v>2406</v>
      </c>
      <c r="C19" s="12" t="s">
        <v>71</v>
      </c>
      <c r="D19" s="9" t="s">
        <v>1732</v>
      </c>
      <c r="E19" s="21" t="s">
        <v>58</v>
      </c>
      <c r="F19" s="22" t="s">
        <v>1716</v>
      </c>
      <c r="G19" s="22" t="s">
        <v>73</v>
      </c>
      <c r="H19" s="23"/>
      <c r="I19" s="25"/>
      <c r="J19" s="25" t="s">
        <v>3</v>
      </c>
      <c r="K19" s="25" t="s">
        <v>74</v>
      </c>
      <c r="L19" s="25" t="s">
        <v>74</v>
      </c>
    </row>
    <row r="20" spans="1:12" s="1" customFormat="1">
      <c r="A20" s="89"/>
      <c r="B20" s="12" t="s">
        <v>1717</v>
      </c>
      <c r="C20" s="12" t="s">
        <v>71</v>
      </c>
      <c r="D20" s="9" t="s">
        <v>1733</v>
      </c>
      <c r="E20" s="21" t="s">
        <v>58</v>
      </c>
      <c r="F20" s="22" t="s">
        <v>1717</v>
      </c>
      <c r="G20" s="22" t="s">
        <v>73</v>
      </c>
      <c r="H20" s="23"/>
      <c r="I20" s="25"/>
      <c r="J20" s="25" t="s">
        <v>3</v>
      </c>
      <c r="K20" s="25" t="s">
        <v>74</v>
      </c>
      <c r="L20" s="25" t="s">
        <v>74</v>
      </c>
    </row>
    <row r="21" spans="1:12" s="1" customFormat="1">
      <c r="A21" s="89"/>
      <c r="B21" s="12" t="s">
        <v>1718</v>
      </c>
      <c r="C21" s="12" t="s">
        <v>71</v>
      </c>
      <c r="D21" s="9" t="s">
        <v>1734</v>
      </c>
      <c r="E21" s="21" t="s">
        <v>58</v>
      </c>
      <c r="F21" s="22" t="s">
        <v>1718</v>
      </c>
      <c r="G21" s="22" t="s">
        <v>73</v>
      </c>
      <c r="H21" s="23"/>
      <c r="I21" s="25"/>
      <c r="J21" s="25" t="s">
        <v>3</v>
      </c>
      <c r="K21" s="25" t="s">
        <v>74</v>
      </c>
      <c r="L21" s="25" t="s">
        <v>74</v>
      </c>
    </row>
    <row r="22" spans="1:12" s="1" customFormat="1">
      <c r="A22" s="89"/>
      <c r="B22" s="12" t="s">
        <v>1719</v>
      </c>
      <c r="C22" s="12" t="s">
        <v>71</v>
      </c>
      <c r="D22" s="9" t="s">
        <v>1735</v>
      </c>
      <c r="E22" s="21" t="s">
        <v>58</v>
      </c>
      <c r="F22" s="22" t="s">
        <v>1719</v>
      </c>
      <c r="G22" s="22" t="s">
        <v>73</v>
      </c>
      <c r="H22" s="23"/>
      <c r="I22" s="25"/>
      <c r="J22" s="25" t="s">
        <v>3</v>
      </c>
      <c r="K22" s="25" t="s">
        <v>74</v>
      </c>
      <c r="L22" s="25" t="s">
        <v>74</v>
      </c>
    </row>
    <row r="23" spans="1:12" s="1" customFormat="1">
      <c r="B23" s="13" t="s">
        <v>1720</v>
      </c>
      <c r="C23" s="12" t="s">
        <v>102</v>
      </c>
      <c r="D23" s="9" t="s">
        <v>1736</v>
      </c>
      <c r="E23" s="21" t="s">
        <v>58</v>
      </c>
      <c r="F23" s="22" t="s">
        <v>1720</v>
      </c>
      <c r="G23" s="22" t="s">
        <v>73</v>
      </c>
      <c r="H23" s="23"/>
      <c r="I23" s="25"/>
      <c r="J23" s="25" t="s">
        <v>3</v>
      </c>
      <c r="K23" s="25" t="s">
        <v>74</v>
      </c>
      <c r="L23" s="25" t="s">
        <v>74</v>
      </c>
    </row>
    <row r="24" spans="1:12" s="3" customFormat="1">
      <c r="B24" s="13" t="s">
        <v>1721</v>
      </c>
      <c r="C24" s="13" t="s">
        <v>102</v>
      </c>
      <c r="D24" s="9" t="s">
        <v>1737</v>
      </c>
      <c r="E24" s="21" t="s">
        <v>58</v>
      </c>
      <c r="F24" s="22" t="s">
        <v>1721</v>
      </c>
      <c r="G24" s="22" t="s">
        <v>73</v>
      </c>
      <c r="H24" s="23"/>
      <c r="I24" s="25"/>
      <c r="J24" s="25" t="s">
        <v>3</v>
      </c>
      <c r="K24" s="25" t="s">
        <v>74</v>
      </c>
      <c r="L24" s="25" t="s">
        <v>74</v>
      </c>
    </row>
    <row r="25" spans="1:12" s="99" customFormat="1">
      <c r="A25" s="96"/>
      <c r="B25" s="97" t="s">
        <v>90</v>
      </c>
      <c r="C25" s="13" t="s">
        <v>71</v>
      </c>
      <c r="D25" s="9" t="s">
        <v>91</v>
      </c>
      <c r="E25" s="21" t="s">
        <v>58</v>
      </c>
      <c r="F25" s="22" t="s">
        <v>90</v>
      </c>
      <c r="G25" s="22" t="s">
        <v>73</v>
      </c>
      <c r="H25" s="23"/>
      <c r="I25" s="25"/>
      <c r="J25" s="25" t="s">
        <v>3</v>
      </c>
      <c r="K25" s="25" t="s">
        <v>74</v>
      </c>
      <c r="L25" s="25" t="s">
        <v>74</v>
      </c>
    </row>
    <row r="26" spans="1:12" s="99" customFormat="1">
      <c r="A26" s="96"/>
      <c r="B26" s="97" t="s">
        <v>1590</v>
      </c>
      <c r="C26" s="13" t="s">
        <v>75</v>
      </c>
      <c r="D26" s="9" t="s">
        <v>1738</v>
      </c>
      <c r="E26" s="21" t="s">
        <v>107</v>
      </c>
      <c r="F26" s="22" t="s">
        <v>1590</v>
      </c>
      <c r="G26" s="22" t="s">
        <v>73</v>
      </c>
      <c r="H26" s="23"/>
      <c r="I26" s="25"/>
      <c r="J26" s="25" t="s">
        <v>3</v>
      </c>
      <c r="K26" s="25" t="s">
        <v>74</v>
      </c>
      <c r="L26" s="25" t="s">
        <v>74</v>
      </c>
    </row>
    <row r="27" spans="1:12" s="99" customFormat="1">
      <c r="A27" s="96"/>
      <c r="B27" s="97" t="s">
        <v>1722</v>
      </c>
      <c r="C27" s="13" t="s">
        <v>98</v>
      </c>
      <c r="D27" s="9" t="s">
        <v>1739</v>
      </c>
      <c r="E27" s="21" t="s">
        <v>107</v>
      </c>
      <c r="F27" s="22"/>
      <c r="G27" s="22" t="s">
        <v>1689</v>
      </c>
      <c r="H27" s="23"/>
      <c r="I27" s="25"/>
      <c r="J27" s="25" t="s">
        <v>99</v>
      </c>
      <c r="K27" s="25" t="s">
        <v>74</v>
      </c>
      <c r="L27" s="25" t="s">
        <v>100</v>
      </c>
    </row>
    <row r="28" spans="1:12" s="99" customFormat="1">
      <c r="A28" s="96"/>
      <c r="B28" s="97" t="s">
        <v>1723</v>
      </c>
      <c r="C28" s="13" t="s">
        <v>98</v>
      </c>
      <c r="D28" s="9" t="s">
        <v>1740</v>
      </c>
      <c r="E28" s="21" t="s">
        <v>107</v>
      </c>
      <c r="F28" s="22"/>
      <c r="G28" s="22" t="s">
        <v>1690</v>
      </c>
      <c r="H28" s="23"/>
      <c r="I28" s="25"/>
      <c r="J28" s="25" t="s">
        <v>99</v>
      </c>
      <c r="K28" s="25" t="s">
        <v>74</v>
      </c>
      <c r="L28" s="25" t="s">
        <v>100</v>
      </c>
    </row>
    <row r="29" spans="1:12" s="99" customFormat="1">
      <c r="A29" s="96"/>
      <c r="B29" s="97" t="s">
        <v>1724</v>
      </c>
      <c r="C29" s="13" t="s">
        <v>98</v>
      </c>
      <c r="D29" s="9" t="s">
        <v>1742</v>
      </c>
      <c r="E29" s="21" t="s">
        <v>107</v>
      </c>
      <c r="F29" s="22"/>
      <c r="G29" s="19" t="s">
        <v>1743</v>
      </c>
      <c r="H29" s="23"/>
      <c r="I29" s="25"/>
      <c r="J29" s="25" t="s">
        <v>99</v>
      </c>
      <c r="K29" s="25" t="s">
        <v>800</v>
      </c>
      <c r="L29" s="25" t="s">
        <v>100</v>
      </c>
    </row>
    <row r="30" spans="1:12" s="99" customFormat="1">
      <c r="A30" s="96"/>
      <c r="B30" s="97" t="s">
        <v>1725</v>
      </c>
      <c r="C30" s="13" t="s">
        <v>98</v>
      </c>
      <c r="D30" s="9" t="s">
        <v>1741</v>
      </c>
      <c r="E30" s="21" t="s">
        <v>107</v>
      </c>
      <c r="F30" s="22"/>
      <c r="G30" s="19" t="s">
        <v>1699</v>
      </c>
      <c r="H30" s="23"/>
      <c r="I30" s="25"/>
      <c r="J30" s="25" t="s">
        <v>99</v>
      </c>
      <c r="K30" s="25" t="s">
        <v>800</v>
      </c>
      <c r="L30" s="25" t="s">
        <v>1209</v>
      </c>
    </row>
    <row r="31" spans="1:12" s="99" customFormat="1">
      <c r="A31" s="96"/>
      <c r="B31" s="97" t="s">
        <v>1726</v>
      </c>
      <c r="C31" s="13" t="s">
        <v>98</v>
      </c>
      <c r="D31" s="9" t="s">
        <v>1632</v>
      </c>
      <c r="E31" s="21" t="s">
        <v>107</v>
      </c>
      <c r="F31" s="22"/>
      <c r="G31" s="22" t="s">
        <v>1691</v>
      </c>
      <c r="H31" s="23"/>
      <c r="I31" s="25"/>
      <c r="J31" s="25" t="s">
        <v>99</v>
      </c>
      <c r="K31" s="25" t="s">
        <v>74</v>
      </c>
      <c r="L31" s="25" t="s">
        <v>100</v>
      </c>
    </row>
    <row r="32" spans="1:12" s="99" customFormat="1">
      <c r="A32" s="96"/>
      <c r="B32" s="97" t="s">
        <v>1727</v>
      </c>
      <c r="C32" s="13" t="s">
        <v>98</v>
      </c>
      <c r="D32" s="9" t="s">
        <v>1634</v>
      </c>
      <c r="E32" s="21" t="s">
        <v>107</v>
      </c>
      <c r="F32" s="22"/>
      <c r="G32" s="22" t="s">
        <v>1692</v>
      </c>
      <c r="H32" s="23"/>
      <c r="I32" s="25"/>
      <c r="J32" s="25" t="s">
        <v>99</v>
      </c>
      <c r="K32" s="25" t="s">
        <v>74</v>
      </c>
      <c r="L32" s="25" t="s">
        <v>100</v>
      </c>
    </row>
    <row r="33" spans="1:17" s="99" customFormat="1">
      <c r="A33" s="96"/>
      <c r="B33" s="97" t="s">
        <v>1728</v>
      </c>
      <c r="C33" s="13" t="s">
        <v>98</v>
      </c>
      <c r="D33" s="9" t="s">
        <v>1636</v>
      </c>
      <c r="E33" s="21" t="s">
        <v>107</v>
      </c>
      <c r="F33" s="22"/>
      <c r="G33" s="22" t="s">
        <v>1693</v>
      </c>
      <c r="H33" s="23"/>
      <c r="I33" s="25"/>
      <c r="J33" s="25" t="s">
        <v>99</v>
      </c>
      <c r="K33" s="25" t="s">
        <v>74</v>
      </c>
      <c r="L33" s="25" t="s">
        <v>100</v>
      </c>
    </row>
    <row r="34" spans="1:17" s="99" customFormat="1">
      <c r="A34" s="96"/>
      <c r="B34" s="97" t="s">
        <v>1729</v>
      </c>
      <c r="C34" s="26" t="s">
        <v>98</v>
      </c>
      <c r="D34" s="9" t="s">
        <v>1638</v>
      </c>
      <c r="E34" s="21" t="s">
        <v>107</v>
      </c>
      <c r="F34" s="22"/>
      <c r="G34" s="22" t="s">
        <v>1694</v>
      </c>
      <c r="H34" s="23"/>
      <c r="I34" s="25"/>
      <c r="J34" s="25" t="s">
        <v>99</v>
      </c>
      <c r="K34" s="25" t="s">
        <v>74</v>
      </c>
      <c r="L34" s="25" t="s">
        <v>100</v>
      </c>
    </row>
    <row r="35" spans="1:17" s="99" customFormat="1">
      <c r="A35" s="96"/>
      <c r="B35" s="97" t="s">
        <v>1730</v>
      </c>
      <c r="C35" s="26" t="s">
        <v>98</v>
      </c>
      <c r="D35" s="9" t="s">
        <v>1640</v>
      </c>
      <c r="E35" s="21" t="s">
        <v>107</v>
      </c>
      <c r="F35" s="22"/>
      <c r="G35" s="22" t="s">
        <v>1695</v>
      </c>
      <c r="H35" s="23"/>
      <c r="I35" s="25"/>
      <c r="J35" s="25" t="s">
        <v>99</v>
      </c>
      <c r="K35" s="25" t="s">
        <v>74</v>
      </c>
      <c r="L35" s="25" t="s">
        <v>100</v>
      </c>
    </row>
    <row r="36" spans="1:17" s="2" customFormat="1">
      <c r="B36" s="14" t="s">
        <v>80</v>
      </c>
      <c r="C36" s="15" t="s">
        <v>75</v>
      </c>
      <c r="D36" s="16" t="s">
        <v>103</v>
      </c>
      <c r="E36" s="35"/>
      <c r="F36" s="14"/>
      <c r="G36" s="14"/>
      <c r="H36" s="14"/>
      <c r="I36" s="14"/>
      <c r="J36" s="14"/>
      <c r="K36" s="14"/>
      <c r="L36" s="14"/>
      <c r="M36" s="14"/>
      <c r="N36" s="14"/>
      <c r="O36" s="14"/>
      <c r="P36" s="14"/>
      <c r="Q36" s="14"/>
    </row>
    <row r="37" spans="1:17" s="2" customFormat="1">
      <c r="B37" s="14" t="s">
        <v>0</v>
      </c>
      <c r="C37" s="15" t="s">
        <v>71</v>
      </c>
      <c r="D37" s="16" t="s">
        <v>104</v>
      </c>
      <c r="E37" s="35"/>
      <c r="F37" s="14"/>
      <c r="G37" s="14"/>
      <c r="H37" s="14"/>
      <c r="I37" s="14"/>
      <c r="J37" s="14"/>
      <c r="K37" s="14"/>
      <c r="L37" s="14"/>
      <c r="M37" s="14"/>
      <c r="N37" s="14"/>
      <c r="O37" s="14"/>
      <c r="P37" s="14"/>
      <c r="Q37" s="14"/>
    </row>
  </sheetData>
  <autoFilter ref="A14:Q37" xr:uid="{00000000-0009-0000-0000-000002000000}"/>
  <mergeCells count="5">
    <mergeCell ref="B2:H2"/>
    <mergeCell ref="B3:H3"/>
    <mergeCell ref="B7:H7"/>
    <mergeCell ref="B13:L13"/>
    <mergeCell ref="F9:G10"/>
  </mergeCells>
  <phoneticPr fontId="23"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E36F1-EDED-4FDF-97EB-33A5EAA7650F}">
  <dimension ref="A1:Q51"/>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23.6640625" style="3" customWidth="1"/>
    <col min="3" max="3" width="31.21875" style="3" customWidth="1"/>
    <col min="4" max="4" width="32.21875" style="3" customWidth="1"/>
    <col min="5" max="5" width="16.21875" style="3" customWidth="1"/>
    <col min="6" max="6" width="19.21875" style="3" customWidth="1"/>
    <col min="7" max="7" width="54.21875" style="3" bestFit="1"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21"/>
      <c r="C2" s="121"/>
      <c r="D2" s="121"/>
      <c r="E2" s="121"/>
      <c r="F2" s="121"/>
      <c r="G2" s="121"/>
      <c r="H2" s="121"/>
    </row>
    <row r="3" spans="1:14">
      <c r="B3" s="122" t="s">
        <v>45</v>
      </c>
      <c r="C3" s="122"/>
      <c r="D3" s="122"/>
      <c r="E3" s="122"/>
      <c r="F3" s="122"/>
      <c r="G3" s="122"/>
      <c r="H3" s="122"/>
    </row>
    <row r="4" spans="1:14">
      <c r="B4" s="7" t="s">
        <v>11</v>
      </c>
      <c r="C4" s="7" t="s">
        <v>46</v>
      </c>
      <c r="D4" s="7" t="s">
        <v>47</v>
      </c>
      <c r="E4" s="7" t="s">
        <v>48</v>
      </c>
      <c r="F4" s="7" t="s">
        <v>49</v>
      </c>
      <c r="G4" s="7" t="s">
        <v>14</v>
      </c>
      <c r="H4" s="7" t="s">
        <v>50</v>
      </c>
    </row>
    <row r="5" spans="1:14">
      <c r="B5" s="8" t="s">
        <v>1575</v>
      </c>
      <c r="C5" s="9" t="s">
        <v>1745</v>
      </c>
      <c r="D5" s="10" t="s">
        <v>1746</v>
      </c>
      <c r="E5" s="12" t="s">
        <v>1159</v>
      </c>
      <c r="F5" s="29"/>
      <c r="G5" s="12"/>
      <c r="H5" s="12"/>
      <c r="N5" s="3"/>
    </row>
    <row r="6" spans="1:14">
      <c r="B6" s="6"/>
      <c r="C6" s="6"/>
      <c r="D6" s="6"/>
      <c r="E6" s="6"/>
      <c r="F6" s="6"/>
      <c r="G6" s="6"/>
      <c r="H6" s="6"/>
    </row>
    <row r="7" spans="1:14">
      <c r="B7" s="122" t="s">
        <v>51</v>
      </c>
      <c r="C7" s="122"/>
      <c r="D7" s="122"/>
      <c r="E7" s="122"/>
      <c r="F7" s="122"/>
      <c r="G7" s="122"/>
      <c r="H7" s="122"/>
    </row>
    <row r="8" spans="1:14">
      <c r="B8" s="11" t="s">
        <v>52</v>
      </c>
      <c r="C8" s="11" t="s">
        <v>53</v>
      </c>
      <c r="D8" s="11" t="s">
        <v>54</v>
      </c>
      <c r="E8" s="11" t="s">
        <v>55</v>
      </c>
      <c r="F8" s="11" t="s">
        <v>56</v>
      </c>
      <c r="G8" s="11" t="s">
        <v>24</v>
      </c>
      <c r="H8" s="11" t="s">
        <v>57</v>
      </c>
    </row>
    <row r="9" spans="1:14">
      <c r="B9" s="12"/>
      <c r="C9" s="9" t="s">
        <v>1675</v>
      </c>
      <c r="D9" s="9" t="s">
        <v>1713</v>
      </c>
      <c r="E9" s="12" t="s">
        <v>58</v>
      </c>
      <c r="F9" s="22"/>
      <c r="G9" s="22"/>
      <c r="H9" s="20" t="s">
        <v>30</v>
      </c>
    </row>
    <row r="10" spans="1:14">
      <c r="G10" s="30"/>
    </row>
    <row r="11" spans="1:14">
      <c r="B11" s="3" t="s">
        <v>59</v>
      </c>
    </row>
    <row r="12" spans="1:14">
      <c r="B12" s="122" t="s">
        <v>59</v>
      </c>
      <c r="C12" s="122"/>
      <c r="D12" s="122"/>
      <c r="E12" s="122"/>
      <c r="F12" s="122"/>
      <c r="G12" s="122"/>
      <c r="H12" s="122"/>
      <c r="I12" s="122"/>
      <c r="J12" s="122"/>
      <c r="K12" s="122"/>
      <c r="L12" s="122"/>
    </row>
    <row r="13" spans="1:14">
      <c r="B13" s="7" t="s">
        <v>60</v>
      </c>
      <c r="C13" s="7" t="s">
        <v>61</v>
      </c>
      <c r="D13" s="7" t="s">
        <v>62</v>
      </c>
      <c r="E13" s="7" t="s">
        <v>63</v>
      </c>
      <c r="F13" s="7" t="s">
        <v>64</v>
      </c>
      <c r="G13" s="7" t="s">
        <v>65</v>
      </c>
      <c r="H13" s="7" t="s">
        <v>66</v>
      </c>
      <c r="I13" s="7" t="s">
        <v>24</v>
      </c>
      <c r="J13" s="7" t="s">
        <v>67</v>
      </c>
      <c r="K13" s="7" t="s">
        <v>68</v>
      </c>
      <c r="L13" s="7" t="s">
        <v>69</v>
      </c>
    </row>
    <row r="14" spans="1:14" s="1" customFormat="1">
      <c r="B14" s="13" t="s">
        <v>70</v>
      </c>
      <c r="C14" s="13" t="s">
        <v>71</v>
      </c>
      <c r="D14" s="9" t="s">
        <v>72</v>
      </c>
      <c r="E14" s="21" t="s">
        <v>58</v>
      </c>
      <c r="F14" s="22" t="s">
        <v>0</v>
      </c>
      <c r="G14" s="22" t="s">
        <v>73</v>
      </c>
      <c r="H14" s="23"/>
      <c r="I14" s="25"/>
      <c r="J14" s="25" t="s">
        <v>3</v>
      </c>
      <c r="K14" s="25" t="s">
        <v>74</v>
      </c>
      <c r="L14" s="25" t="s">
        <v>1576</v>
      </c>
    </row>
    <row r="15" spans="1:14" s="1" customFormat="1">
      <c r="B15" s="13" t="s">
        <v>6</v>
      </c>
      <c r="C15" s="13" t="s">
        <v>75</v>
      </c>
      <c r="D15" s="9" t="s">
        <v>34</v>
      </c>
      <c r="E15" s="21" t="s">
        <v>58</v>
      </c>
      <c r="F15" s="22" t="s">
        <v>1</v>
      </c>
      <c r="G15" s="22" t="s">
        <v>73</v>
      </c>
      <c r="H15" s="23"/>
      <c r="I15" s="25"/>
      <c r="J15" s="25" t="s">
        <v>3</v>
      </c>
      <c r="K15" s="25" t="s">
        <v>74</v>
      </c>
      <c r="L15" s="25" t="s">
        <v>1577</v>
      </c>
    </row>
    <row r="16" spans="1:14" s="1" customFormat="1">
      <c r="A16" s="89"/>
      <c r="B16" s="13" t="s">
        <v>76</v>
      </c>
      <c r="C16" s="13" t="s">
        <v>75</v>
      </c>
      <c r="D16" s="9" t="s">
        <v>77</v>
      </c>
      <c r="E16" s="21" t="s">
        <v>58</v>
      </c>
      <c r="F16" s="22" t="s">
        <v>76</v>
      </c>
      <c r="G16" s="22" t="s">
        <v>73</v>
      </c>
      <c r="H16" s="23"/>
      <c r="I16" s="90"/>
      <c r="J16" s="25" t="s">
        <v>3</v>
      </c>
      <c r="K16" s="25" t="s">
        <v>74</v>
      </c>
      <c r="L16" s="94" t="s">
        <v>1579</v>
      </c>
    </row>
    <row r="17" spans="1:12" s="1" customFormat="1">
      <c r="A17" s="89"/>
      <c r="B17" s="13" t="s">
        <v>1580</v>
      </c>
      <c r="C17" s="13" t="s">
        <v>75</v>
      </c>
      <c r="D17" s="9" t="s">
        <v>1581</v>
      </c>
      <c r="E17" s="21" t="s">
        <v>58</v>
      </c>
      <c r="F17" s="22" t="s">
        <v>1580</v>
      </c>
      <c r="G17" s="22" t="s">
        <v>73</v>
      </c>
      <c r="H17" s="23"/>
      <c r="I17" s="90"/>
      <c r="J17" s="25" t="s">
        <v>3</v>
      </c>
      <c r="K17" s="25" t="s">
        <v>74</v>
      </c>
      <c r="L17" s="25" t="s">
        <v>1582</v>
      </c>
    </row>
    <row r="18" spans="1:12" s="1" customFormat="1">
      <c r="A18" s="89"/>
      <c r="B18" s="13" t="s">
        <v>78</v>
      </c>
      <c r="C18" s="13" t="s">
        <v>75</v>
      </c>
      <c r="D18" s="9" t="s">
        <v>79</v>
      </c>
      <c r="E18" s="21" t="s">
        <v>58</v>
      </c>
      <c r="F18" s="22" t="s">
        <v>80</v>
      </c>
      <c r="G18" s="22" t="s">
        <v>73</v>
      </c>
      <c r="H18" s="23"/>
      <c r="I18" s="90"/>
      <c r="J18" s="25" t="s">
        <v>3</v>
      </c>
      <c r="K18" s="25" t="s">
        <v>74</v>
      </c>
      <c r="L18" s="25" t="s">
        <v>1583</v>
      </c>
    </row>
    <row r="19" spans="1:12" s="1" customFormat="1">
      <c r="A19" s="89"/>
      <c r="B19" s="13" t="s">
        <v>81</v>
      </c>
      <c r="C19" s="13" t="s">
        <v>75</v>
      </c>
      <c r="D19" s="9" t="s">
        <v>1584</v>
      </c>
      <c r="E19" s="21" t="s">
        <v>665</v>
      </c>
      <c r="F19" s="9" t="s">
        <v>81</v>
      </c>
      <c r="G19" s="22" t="s">
        <v>73</v>
      </c>
      <c r="H19" s="23"/>
      <c r="I19" s="90"/>
      <c r="J19" s="25" t="s">
        <v>3</v>
      </c>
      <c r="K19" s="25" t="s">
        <v>74</v>
      </c>
      <c r="L19" s="25" t="s">
        <v>1583</v>
      </c>
    </row>
    <row r="20" spans="1:12" s="1" customFormat="1">
      <c r="A20" s="89"/>
      <c r="B20" s="12" t="s">
        <v>82</v>
      </c>
      <c r="C20" s="13" t="s">
        <v>75</v>
      </c>
      <c r="D20" s="9" t="s">
        <v>1586</v>
      </c>
      <c r="E20" s="21" t="s">
        <v>665</v>
      </c>
      <c r="F20" s="9" t="s">
        <v>82</v>
      </c>
      <c r="G20" s="22" t="s">
        <v>73</v>
      </c>
      <c r="H20" s="23"/>
      <c r="I20" s="90"/>
      <c r="J20" s="25" t="s">
        <v>3</v>
      </c>
      <c r="K20" s="25" t="s">
        <v>74</v>
      </c>
      <c r="L20" s="25" t="s">
        <v>1583</v>
      </c>
    </row>
    <row r="21" spans="1:12" s="1" customFormat="1">
      <c r="A21" s="89"/>
      <c r="B21" s="12" t="s">
        <v>83</v>
      </c>
      <c r="C21" s="13" t="s">
        <v>71</v>
      </c>
      <c r="D21" s="9" t="s">
        <v>84</v>
      </c>
      <c r="E21" s="21" t="s">
        <v>665</v>
      </c>
      <c r="F21" s="27" t="s">
        <v>654</v>
      </c>
      <c r="G21" s="22" t="s">
        <v>73</v>
      </c>
      <c r="H21" s="23"/>
      <c r="I21" s="90"/>
      <c r="J21" s="25" t="s">
        <v>3</v>
      </c>
      <c r="K21" s="25" t="s">
        <v>74</v>
      </c>
      <c r="L21" s="25" t="s">
        <v>74</v>
      </c>
    </row>
    <row r="22" spans="1:12" s="1" customFormat="1">
      <c r="A22" s="89"/>
      <c r="B22" s="12" t="s">
        <v>85</v>
      </c>
      <c r="C22" s="13" t="s">
        <v>71</v>
      </c>
      <c r="D22" s="9" t="s">
        <v>86</v>
      </c>
      <c r="E22" s="21" t="s">
        <v>665</v>
      </c>
      <c r="F22" s="27" t="s">
        <v>1643</v>
      </c>
      <c r="G22" s="22" t="s">
        <v>73</v>
      </c>
      <c r="H22" s="23"/>
      <c r="I22" s="90"/>
      <c r="J22" s="25" t="s">
        <v>3</v>
      </c>
      <c r="K22" s="25" t="s">
        <v>74</v>
      </c>
      <c r="L22" s="25" t="s">
        <v>74</v>
      </c>
    </row>
    <row r="23" spans="1:12" s="1" customFormat="1">
      <c r="A23" s="89"/>
      <c r="B23" s="12" t="s">
        <v>87</v>
      </c>
      <c r="C23" s="13" t="s">
        <v>71</v>
      </c>
      <c r="D23" s="9" t="s">
        <v>88</v>
      </c>
      <c r="E23" s="21" t="s">
        <v>665</v>
      </c>
      <c r="F23" s="27" t="s">
        <v>1644</v>
      </c>
      <c r="G23" s="22" t="s">
        <v>73</v>
      </c>
      <c r="H23" s="23"/>
      <c r="I23" s="90"/>
      <c r="J23" s="25" t="s">
        <v>3</v>
      </c>
      <c r="K23" s="25" t="s">
        <v>74</v>
      </c>
      <c r="L23" s="25" t="s">
        <v>74</v>
      </c>
    </row>
    <row r="24" spans="1:12" s="1" customFormat="1">
      <c r="A24" s="89"/>
      <c r="B24" s="12" t="s">
        <v>307</v>
      </c>
      <c r="C24" s="12" t="s">
        <v>71</v>
      </c>
      <c r="D24" s="9" t="s">
        <v>91</v>
      </c>
      <c r="E24" s="21" t="s">
        <v>58</v>
      </c>
      <c r="F24" s="22" t="s">
        <v>90</v>
      </c>
      <c r="G24" s="22" t="s">
        <v>73</v>
      </c>
      <c r="H24" s="23"/>
      <c r="I24" s="95"/>
      <c r="J24" s="25" t="s">
        <v>3</v>
      </c>
      <c r="K24" s="25" t="s">
        <v>74</v>
      </c>
      <c r="L24" s="25" t="s">
        <v>74</v>
      </c>
    </row>
    <row r="25" spans="1:12" s="1" customFormat="1">
      <c r="A25" s="89"/>
      <c r="B25" s="12" t="s">
        <v>308</v>
      </c>
      <c r="C25" s="12" t="s">
        <v>71</v>
      </c>
      <c r="D25" s="9" t="s">
        <v>93</v>
      </c>
      <c r="E25" s="21" t="s">
        <v>58</v>
      </c>
      <c r="F25" s="22" t="s">
        <v>108</v>
      </c>
      <c r="G25" s="22" t="s">
        <v>73</v>
      </c>
      <c r="H25" s="23"/>
      <c r="I25" s="90"/>
      <c r="J25" s="25" t="s">
        <v>3</v>
      </c>
      <c r="K25" s="25" t="s">
        <v>74</v>
      </c>
      <c r="L25" s="25" t="s">
        <v>74</v>
      </c>
    </row>
    <row r="26" spans="1:12" s="1" customFormat="1">
      <c r="A26" s="89"/>
      <c r="B26" s="12" t="s">
        <v>94</v>
      </c>
      <c r="C26" s="12" t="s">
        <v>71</v>
      </c>
      <c r="D26" s="9" t="s">
        <v>95</v>
      </c>
      <c r="E26" s="21" t="s">
        <v>58</v>
      </c>
      <c r="F26" s="22" t="s">
        <v>94</v>
      </c>
      <c r="G26" s="22" t="s">
        <v>73</v>
      </c>
      <c r="H26" s="23"/>
      <c r="I26" s="90"/>
      <c r="J26" s="25" t="s">
        <v>3</v>
      </c>
      <c r="K26" s="25" t="s">
        <v>74</v>
      </c>
      <c r="L26" s="25" t="s">
        <v>74</v>
      </c>
    </row>
    <row r="27" spans="1:12" s="1" customFormat="1">
      <c r="A27" s="89"/>
      <c r="B27" s="12" t="s">
        <v>616</v>
      </c>
      <c r="C27" s="12" t="s">
        <v>71</v>
      </c>
      <c r="D27" s="9" t="s">
        <v>1587</v>
      </c>
      <c r="E27" s="21" t="s">
        <v>58</v>
      </c>
      <c r="F27" s="22" t="s">
        <v>616</v>
      </c>
      <c r="G27" s="22" t="s">
        <v>73</v>
      </c>
      <c r="H27" s="23"/>
      <c r="I27" s="90"/>
      <c r="J27" s="25" t="s">
        <v>3</v>
      </c>
      <c r="K27" s="25" t="s">
        <v>74</v>
      </c>
      <c r="L27" s="25" t="s">
        <v>74</v>
      </c>
    </row>
    <row r="28" spans="1:12" s="89" customFormat="1">
      <c r="B28" s="13" t="s">
        <v>96</v>
      </c>
      <c r="C28" s="12" t="s">
        <v>71</v>
      </c>
      <c r="D28" s="9" t="s">
        <v>1592</v>
      </c>
      <c r="E28" s="21" t="s">
        <v>58</v>
      </c>
      <c r="F28" s="22" t="s">
        <v>96</v>
      </c>
      <c r="G28" s="22" t="s">
        <v>73</v>
      </c>
      <c r="H28" s="23"/>
      <c r="I28" s="90"/>
      <c r="J28" s="25" t="s">
        <v>3</v>
      </c>
      <c r="K28" s="25" t="s">
        <v>74</v>
      </c>
      <c r="L28" s="25" t="s">
        <v>1583</v>
      </c>
    </row>
    <row r="29" spans="1:12" s="89" customFormat="1">
      <c r="B29" s="13" t="s">
        <v>1597</v>
      </c>
      <c r="C29" s="13" t="s">
        <v>98</v>
      </c>
      <c r="D29" s="9" t="s">
        <v>1598</v>
      </c>
      <c r="E29" s="21" t="s">
        <v>58</v>
      </c>
      <c r="F29" s="22"/>
      <c r="G29" s="19" t="s">
        <v>1679</v>
      </c>
      <c r="H29" s="21"/>
      <c r="I29" s="90"/>
      <c r="J29" s="25" t="s">
        <v>99</v>
      </c>
      <c r="K29" s="25" t="s">
        <v>74</v>
      </c>
      <c r="L29" s="25" t="s">
        <v>100</v>
      </c>
    </row>
    <row r="30" spans="1:12" s="89" customFormat="1">
      <c r="B30" s="13" t="s">
        <v>1599</v>
      </c>
      <c r="C30" s="13" t="s">
        <v>98</v>
      </c>
      <c r="D30" s="9" t="s">
        <v>1600</v>
      </c>
      <c r="E30" s="21" t="s">
        <v>58</v>
      </c>
      <c r="F30" s="22"/>
      <c r="G30" s="19" t="s">
        <v>1680</v>
      </c>
      <c r="H30" s="21"/>
      <c r="I30" s="90"/>
      <c r="J30" s="25" t="s">
        <v>99</v>
      </c>
      <c r="K30" s="25" t="s">
        <v>74</v>
      </c>
      <c r="L30" s="25" t="s">
        <v>100</v>
      </c>
    </row>
    <row r="31" spans="1:12" s="89" customFormat="1">
      <c r="B31" s="13" t="s">
        <v>1601</v>
      </c>
      <c r="C31" s="13" t="s">
        <v>98</v>
      </c>
      <c r="D31" s="9" t="s">
        <v>1602</v>
      </c>
      <c r="E31" s="21" t="s">
        <v>58</v>
      </c>
      <c r="F31" s="22"/>
      <c r="G31" s="19" t="s">
        <v>1681</v>
      </c>
      <c r="H31" s="21"/>
      <c r="I31" s="90"/>
      <c r="J31" s="25" t="s">
        <v>99</v>
      </c>
      <c r="K31" s="25" t="s">
        <v>74</v>
      </c>
      <c r="L31" s="25" t="s">
        <v>100</v>
      </c>
    </row>
    <row r="32" spans="1:12" s="89" customFormat="1">
      <c r="B32" s="13" t="s">
        <v>1603</v>
      </c>
      <c r="C32" s="13" t="s">
        <v>98</v>
      </c>
      <c r="D32" s="9" t="s">
        <v>1604</v>
      </c>
      <c r="E32" s="21" t="s">
        <v>58</v>
      </c>
      <c r="F32" s="22"/>
      <c r="G32" s="19" t="s">
        <v>1682</v>
      </c>
      <c r="H32" s="21"/>
      <c r="I32" s="90"/>
      <c r="J32" s="25" t="s">
        <v>99</v>
      </c>
      <c r="K32" s="25" t="s">
        <v>74</v>
      </c>
      <c r="L32" s="25" t="s">
        <v>100</v>
      </c>
    </row>
    <row r="33" spans="1:12" s="3" customFormat="1">
      <c r="B33" s="13" t="s">
        <v>1605</v>
      </c>
      <c r="C33" s="13" t="s">
        <v>98</v>
      </c>
      <c r="D33" s="9" t="s">
        <v>1606</v>
      </c>
      <c r="E33" s="21" t="s">
        <v>58</v>
      </c>
      <c r="F33" s="22"/>
      <c r="G33" s="19" t="s">
        <v>1683</v>
      </c>
      <c r="H33" s="21"/>
      <c r="I33" s="90"/>
      <c r="J33" s="25" t="s">
        <v>99</v>
      </c>
      <c r="K33" s="25" t="s">
        <v>74</v>
      </c>
      <c r="L33" s="25" t="s">
        <v>100</v>
      </c>
    </row>
    <row r="34" spans="1:12" s="3" customFormat="1">
      <c r="B34" s="13" t="s">
        <v>1607</v>
      </c>
      <c r="C34" s="13" t="s">
        <v>98</v>
      </c>
      <c r="D34" s="9" t="s">
        <v>1608</v>
      </c>
      <c r="E34" s="21" t="s">
        <v>58</v>
      </c>
      <c r="F34" s="22"/>
      <c r="G34" s="19" t="s">
        <v>1684</v>
      </c>
      <c r="H34" s="21"/>
      <c r="I34" s="90"/>
      <c r="J34" s="25" t="s">
        <v>99</v>
      </c>
      <c r="K34" s="25" t="s">
        <v>74</v>
      </c>
      <c r="L34" s="25" t="s">
        <v>100</v>
      </c>
    </row>
    <row r="35" spans="1:12" s="3" customFormat="1">
      <c r="B35" s="13" t="s">
        <v>1609</v>
      </c>
      <c r="C35" s="13" t="s">
        <v>98</v>
      </c>
      <c r="D35" s="9" t="s">
        <v>1610</v>
      </c>
      <c r="E35" s="21" t="s">
        <v>58</v>
      </c>
      <c r="F35" s="22"/>
      <c r="G35" s="19" t="s">
        <v>1685</v>
      </c>
      <c r="H35" s="21"/>
      <c r="I35" s="90"/>
      <c r="J35" s="25" t="s">
        <v>99</v>
      </c>
      <c r="K35" s="25" t="s">
        <v>74</v>
      </c>
      <c r="L35" s="25" t="s">
        <v>100</v>
      </c>
    </row>
    <row r="36" spans="1:12" s="3" customFormat="1">
      <c r="B36" s="13" t="s">
        <v>1611</v>
      </c>
      <c r="C36" s="13" t="s">
        <v>98</v>
      </c>
      <c r="D36" s="9" t="s">
        <v>1612</v>
      </c>
      <c r="E36" s="21" t="s">
        <v>58</v>
      </c>
      <c r="F36" s="22"/>
      <c r="G36" s="19" t="s">
        <v>1686</v>
      </c>
      <c r="H36" s="21"/>
      <c r="I36" s="90"/>
      <c r="J36" s="25" t="s">
        <v>99</v>
      </c>
      <c r="K36" s="25" t="s">
        <v>74</v>
      </c>
      <c r="L36" s="25" t="s">
        <v>100</v>
      </c>
    </row>
    <row r="37" spans="1:12" s="3" customFormat="1">
      <c r="B37" s="13" t="s">
        <v>1613</v>
      </c>
      <c r="C37" s="13" t="s">
        <v>98</v>
      </c>
      <c r="D37" s="9" t="s">
        <v>1614</v>
      </c>
      <c r="E37" s="21" t="s">
        <v>58</v>
      </c>
      <c r="F37" s="22"/>
      <c r="G37" s="19" t="s">
        <v>1687</v>
      </c>
      <c r="H37" s="21"/>
      <c r="I37" s="90"/>
      <c r="J37" s="25" t="s">
        <v>99</v>
      </c>
      <c r="K37" s="25" t="s">
        <v>74</v>
      </c>
      <c r="L37" s="25" t="s">
        <v>100</v>
      </c>
    </row>
    <row r="38" spans="1:12" s="3" customFormat="1">
      <c r="B38" s="13" t="s">
        <v>1616</v>
      </c>
      <c r="C38" s="13" t="s">
        <v>98</v>
      </c>
      <c r="D38" s="9" t="s">
        <v>1617</v>
      </c>
      <c r="E38" s="21" t="s">
        <v>58</v>
      </c>
      <c r="F38" s="22"/>
      <c r="G38" s="19" t="s">
        <v>1688</v>
      </c>
      <c r="H38" s="21"/>
      <c r="I38" s="90"/>
      <c r="J38" s="25" t="s">
        <v>99</v>
      </c>
      <c r="K38" s="25" t="s">
        <v>74</v>
      </c>
      <c r="L38" s="25" t="s">
        <v>100</v>
      </c>
    </row>
    <row r="39" spans="1:12" s="99" customFormat="1">
      <c r="A39" s="96"/>
      <c r="B39" s="97" t="s">
        <v>1619</v>
      </c>
      <c r="C39" s="13" t="s">
        <v>75</v>
      </c>
      <c r="D39" s="9" t="s">
        <v>1620</v>
      </c>
      <c r="E39" s="21" t="s">
        <v>58</v>
      </c>
      <c r="F39" s="22"/>
      <c r="G39" s="19" t="s">
        <v>1697</v>
      </c>
      <c r="H39" s="21"/>
      <c r="I39" s="98"/>
      <c r="J39" s="25" t="s">
        <v>99</v>
      </c>
      <c r="K39" s="25" t="s">
        <v>74</v>
      </c>
      <c r="L39" s="25" t="s">
        <v>100</v>
      </c>
    </row>
    <row r="40" spans="1:12" s="99" customFormat="1">
      <c r="A40" s="96"/>
      <c r="B40" s="97" t="s">
        <v>1621</v>
      </c>
      <c r="C40" s="13" t="s">
        <v>75</v>
      </c>
      <c r="D40" s="9" t="s">
        <v>1622</v>
      </c>
      <c r="E40" s="21" t="s">
        <v>58</v>
      </c>
      <c r="F40" s="22"/>
      <c r="G40" s="19" t="s">
        <v>1696</v>
      </c>
      <c r="H40" s="21"/>
      <c r="I40" s="98"/>
      <c r="J40" s="25" t="s">
        <v>99</v>
      </c>
      <c r="K40" s="25" t="s">
        <v>74</v>
      </c>
      <c r="L40" s="25" t="s">
        <v>100</v>
      </c>
    </row>
    <row r="41" spans="1:12" s="99" customFormat="1">
      <c r="A41" s="96"/>
      <c r="B41" s="97" t="s">
        <v>1624</v>
      </c>
      <c r="C41" s="13" t="s">
        <v>102</v>
      </c>
      <c r="D41" s="9" t="s">
        <v>1625</v>
      </c>
      <c r="E41" s="21" t="s">
        <v>58</v>
      </c>
      <c r="F41" s="22"/>
      <c r="G41" s="19" t="s">
        <v>1698</v>
      </c>
      <c r="H41" s="21"/>
      <c r="I41" s="98"/>
      <c r="J41" s="25" t="s">
        <v>99</v>
      </c>
      <c r="K41" s="25" t="s">
        <v>74</v>
      </c>
      <c r="L41" s="25" t="s">
        <v>1215</v>
      </c>
    </row>
    <row r="42" spans="1:12" s="99" customFormat="1">
      <c r="A42" s="96"/>
      <c r="B42" s="97" t="s">
        <v>1626</v>
      </c>
      <c r="C42" s="13" t="s">
        <v>102</v>
      </c>
      <c r="D42" s="9" t="s">
        <v>1627</v>
      </c>
      <c r="E42" s="21" t="s">
        <v>58</v>
      </c>
      <c r="F42" s="22"/>
      <c r="G42" s="19" t="s">
        <v>1699</v>
      </c>
      <c r="H42" s="21"/>
      <c r="I42" s="98"/>
      <c r="J42" s="25" t="s">
        <v>99</v>
      </c>
      <c r="K42" s="25" t="s">
        <v>74</v>
      </c>
      <c r="L42" s="25" t="s">
        <v>100</v>
      </c>
    </row>
    <row r="43" spans="1:12" s="99" customFormat="1">
      <c r="A43" s="96"/>
      <c r="B43" s="97" t="s">
        <v>1628</v>
      </c>
      <c r="C43" s="13" t="s">
        <v>102</v>
      </c>
      <c r="D43" s="9" t="s">
        <v>1629</v>
      </c>
      <c r="E43" s="21" t="s">
        <v>58</v>
      </c>
      <c r="F43" s="22"/>
      <c r="G43" s="19" t="s">
        <v>1700</v>
      </c>
      <c r="H43" s="21"/>
      <c r="I43" s="98"/>
      <c r="J43" s="25" t="s">
        <v>99</v>
      </c>
      <c r="K43" s="25" t="s">
        <v>74</v>
      </c>
      <c r="L43" s="25" t="s">
        <v>1630</v>
      </c>
    </row>
    <row r="44" spans="1:12" s="99" customFormat="1">
      <c r="A44" s="96"/>
      <c r="B44" s="97" t="s">
        <v>1631</v>
      </c>
      <c r="C44" s="13" t="s">
        <v>98</v>
      </c>
      <c r="D44" s="9" t="s">
        <v>1632</v>
      </c>
      <c r="E44" s="21" t="s">
        <v>58</v>
      </c>
      <c r="F44" s="22"/>
      <c r="G44" s="19" t="s">
        <v>1691</v>
      </c>
      <c r="H44" s="21"/>
      <c r="I44" s="98"/>
      <c r="J44" s="25" t="s">
        <v>99</v>
      </c>
      <c r="K44" s="25" t="s">
        <v>74</v>
      </c>
      <c r="L44" s="25" t="s">
        <v>100</v>
      </c>
    </row>
    <row r="45" spans="1:12" s="99" customFormat="1">
      <c r="A45" s="96"/>
      <c r="B45" s="97" t="s">
        <v>1633</v>
      </c>
      <c r="C45" s="13" t="s">
        <v>98</v>
      </c>
      <c r="D45" s="9" t="s">
        <v>1634</v>
      </c>
      <c r="E45" s="21" t="s">
        <v>58</v>
      </c>
      <c r="F45" s="22"/>
      <c r="G45" s="19" t="s">
        <v>1692</v>
      </c>
      <c r="H45" s="21"/>
      <c r="I45" s="98"/>
      <c r="J45" s="25" t="s">
        <v>99</v>
      </c>
      <c r="K45" s="25" t="s">
        <v>74</v>
      </c>
      <c r="L45" s="25" t="s">
        <v>100</v>
      </c>
    </row>
    <row r="46" spans="1:12" s="99" customFormat="1">
      <c r="A46" s="96"/>
      <c r="B46" s="97" t="s">
        <v>1635</v>
      </c>
      <c r="C46" s="13" t="s">
        <v>98</v>
      </c>
      <c r="D46" s="9" t="s">
        <v>1636</v>
      </c>
      <c r="E46" s="21" t="s">
        <v>58</v>
      </c>
      <c r="F46" s="22"/>
      <c r="G46" s="19" t="s">
        <v>1693</v>
      </c>
      <c r="H46" s="21"/>
      <c r="I46" s="98"/>
      <c r="J46" s="25" t="s">
        <v>99</v>
      </c>
      <c r="K46" s="25" t="s">
        <v>74</v>
      </c>
      <c r="L46" s="25" t="s">
        <v>100</v>
      </c>
    </row>
    <row r="47" spans="1:12" s="99" customFormat="1">
      <c r="A47" s="96"/>
      <c r="B47" s="97" t="s">
        <v>1637</v>
      </c>
      <c r="C47" s="13" t="s">
        <v>98</v>
      </c>
      <c r="D47" s="9" t="s">
        <v>1638</v>
      </c>
      <c r="E47" s="21" t="s">
        <v>58</v>
      </c>
      <c r="F47" s="22"/>
      <c r="G47" s="19" t="s">
        <v>1694</v>
      </c>
      <c r="H47" s="21"/>
      <c r="I47" s="98"/>
      <c r="J47" s="25" t="s">
        <v>99</v>
      </c>
      <c r="K47" s="25" t="s">
        <v>74</v>
      </c>
      <c r="L47" s="25" t="s">
        <v>100</v>
      </c>
    </row>
    <row r="48" spans="1:12" s="99" customFormat="1">
      <c r="A48" s="96"/>
      <c r="B48" s="97" t="s">
        <v>1639</v>
      </c>
      <c r="C48" s="13" t="s">
        <v>98</v>
      </c>
      <c r="D48" s="9" t="s">
        <v>1640</v>
      </c>
      <c r="E48" s="21" t="s">
        <v>58</v>
      </c>
      <c r="F48" s="22"/>
      <c r="G48" s="19" t="s">
        <v>1695</v>
      </c>
      <c r="H48" s="21"/>
      <c r="I48" s="98"/>
      <c r="J48" s="25" t="s">
        <v>99</v>
      </c>
      <c r="K48" s="25" t="s">
        <v>74</v>
      </c>
      <c r="L48" s="25" t="s">
        <v>100</v>
      </c>
    </row>
    <row r="49" spans="2:17" s="2" customFormat="1">
      <c r="B49" s="14" t="s">
        <v>80</v>
      </c>
      <c r="C49" s="15" t="s">
        <v>75</v>
      </c>
      <c r="D49" s="16" t="s">
        <v>103</v>
      </c>
      <c r="E49" s="35"/>
      <c r="F49" s="14"/>
      <c r="G49" s="14"/>
      <c r="H49" s="14"/>
      <c r="I49" s="14"/>
      <c r="J49" s="14"/>
      <c r="K49" s="14"/>
      <c r="L49" s="14"/>
      <c r="M49" s="14"/>
      <c r="N49" s="14"/>
      <c r="O49" s="14"/>
      <c r="P49" s="14"/>
      <c r="Q49" s="14"/>
    </row>
    <row r="50" spans="2:17" s="2" customFormat="1">
      <c r="B50" s="14" t="s">
        <v>0</v>
      </c>
      <c r="C50" s="15" t="s">
        <v>71</v>
      </c>
      <c r="D50" s="16" t="s">
        <v>104</v>
      </c>
      <c r="E50" s="35"/>
      <c r="F50" s="14"/>
      <c r="G50" s="14"/>
      <c r="H50" s="14"/>
      <c r="I50" s="14"/>
      <c r="J50" s="14"/>
      <c r="K50" s="14"/>
      <c r="L50" s="14"/>
      <c r="M50" s="14"/>
      <c r="N50" s="14"/>
      <c r="O50" s="14"/>
      <c r="P50" s="14"/>
      <c r="Q50" s="14"/>
    </row>
    <row r="51" spans="2:17" s="2" customFormat="1">
      <c r="B51" s="14" t="s">
        <v>1</v>
      </c>
      <c r="C51" s="15" t="s">
        <v>75</v>
      </c>
      <c r="D51" s="16" t="s">
        <v>105</v>
      </c>
      <c r="E51" s="35"/>
      <c r="F51" s="14"/>
      <c r="G51" s="14"/>
      <c r="H51" s="14"/>
      <c r="I51" s="14"/>
      <c r="J51" s="14"/>
      <c r="K51" s="14"/>
      <c r="L51" s="14"/>
      <c r="M51" s="14"/>
      <c r="N51" s="14"/>
      <c r="O51" s="14"/>
      <c r="P51" s="14"/>
      <c r="Q51" s="14"/>
    </row>
  </sheetData>
  <autoFilter ref="A13:Q51" xr:uid="{00000000-0009-0000-0000-000002000000}"/>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94FB-D9EB-4858-83EB-B9A033B5D8FE}">
  <dimension ref="A1:Q47"/>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23.6640625" style="3" customWidth="1"/>
    <col min="3" max="3" width="31.21875" style="3" customWidth="1"/>
    <col min="4" max="4" width="32.21875" style="3" customWidth="1"/>
    <col min="5" max="5" width="16.21875" style="3" customWidth="1"/>
    <col min="6" max="6" width="19.21875" style="3" customWidth="1"/>
    <col min="7" max="7" width="54.21875" style="3" bestFit="1"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21"/>
      <c r="C2" s="121"/>
      <c r="D2" s="121"/>
      <c r="E2" s="121"/>
      <c r="F2" s="121"/>
      <c r="G2" s="121"/>
      <c r="H2" s="121"/>
    </row>
    <row r="3" spans="1:14">
      <c r="B3" s="122" t="s">
        <v>45</v>
      </c>
      <c r="C3" s="122"/>
      <c r="D3" s="122"/>
      <c r="E3" s="122"/>
      <c r="F3" s="122"/>
      <c r="G3" s="122"/>
      <c r="H3" s="122"/>
    </row>
    <row r="4" spans="1:14">
      <c r="B4" s="7" t="s">
        <v>11</v>
      </c>
      <c r="C4" s="7" t="s">
        <v>46</v>
      </c>
      <c r="D4" s="7" t="s">
        <v>47</v>
      </c>
      <c r="E4" s="7" t="s">
        <v>48</v>
      </c>
      <c r="F4" s="7" t="s">
        <v>49</v>
      </c>
      <c r="G4" s="7" t="s">
        <v>14</v>
      </c>
      <c r="H4" s="7" t="s">
        <v>50</v>
      </c>
    </row>
    <row r="5" spans="1:14">
      <c r="B5" s="8" t="s">
        <v>1575</v>
      </c>
      <c r="C5" s="9" t="s">
        <v>1749</v>
      </c>
      <c r="D5" s="10" t="s">
        <v>1748</v>
      </c>
      <c r="E5" s="12" t="s">
        <v>1159</v>
      </c>
      <c r="F5" s="29"/>
      <c r="G5" s="12"/>
      <c r="H5" s="12"/>
      <c r="N5" s="3"/>
    </row>
    <row r="6" spans="1:14">
      <c r="B6" s="6"/>
      <c r="C6" s="6"/>
      <c r="D6" s="6"/>
      <c r="E6" s="6"/>
      <c r="F6" s="6"/>
      <c r="G6" s="6"/>
      <c r="H6" s="6"/>
    </row>
    <row r="7" spans="1:14">
      <c r="B7" s="122" t="s">
        <v>51</v>
      </c>
      <c r="C7" s="122"/>
      <c r="D7" s="122"/>
      <c r="E7" s="122"/>
      <c r="F7" s="122"/>
      <c r="G7" s="122"/>
      <c r="H7" s="122"/>
    </row>
    <row r="8" spans="1:14">
      <c r="B8" s="11" t="s">
        <v>52</v>
      </c>
      <c r="C8" s="11" t="s">
        <v>53</v>
      </c>
      <c r="D8" s="11" t="s">
        <v>54</v>
      </c>
      <c r="E8" s="11" t="s">
        <v>55</v>
      </c>
      <c r="F8" s="11" t="s">
        <v>56</v>
      </c>
      <c r="G8" s="11" t="s">
        <v>24</v>
      </c>
      <c r="H8" s="11" t="s">
        <v>57</v>
      </c>
    </row>
    <row r="9" spans="1:14">
      <c r="B9" s="12"/>
      <c r="C9" s="9" t="s">
        <v>1745</v>
      </c>
      <c r="D9" s="10" t="s">
        <v>1746</v>
      </c>
      <c r="E9" s="12" t="s">
        <v>58</v>
      </c>
      <c r="F9" s="22"/>
      <c r="G9" s="22"/>
      <c r="H9" s="20" t="s">
        <v>30</v>
      </c>
    </row>
    <row r="10" spans="1:14">
      <c r="G10" s="30"/>
    </row>
    <row r="11" spans="1:14">
      <c r="B11" s="3" t="s">
        <v>59</v>
      </c>
    </row>
    <row r="12" spans="1:14">
      <c r="B12" s="122" t="s">
        <v>59</v>
      </c>
      <c r="C12" s="122"/>
      <c r="D12" s="122"/>
      <c r="E12" s="122"/>
      <c r="F12" s="122"/>
      <c r="G12" s="122"/>
      <c r="H12" s="122"/>
      <c r="I12" s="122"/>
      <c r="J12" s="122"/>
      <c r="K12" s="122"/>
      <c r="L12" s="122"/>
    </row>
    <row r="13" spans="1:14">
      <c r="B13" s="7" t="s">
        <v>60</v>
      </c>
      <c r="C13" s="7" t="s">
        <v>61</v>
      </c>
      <c r="D13" s="7" t="s">
        <v>62</v>
      </c>
      <c r="E13" s="7" t="s">
        <v>63</v>
      </c>
      <c r="F13" s="7" t="s">
        <v>64</v>
      </c>
      <c r="G13" s="7" t="s">
        <v>65</v>
      </c>
      <c r="H13" s="7" t="s">
        <v>66</v>
      </c>
      <c r="I13" s="7" t="s">
        <v>24</v>
      </c>
      <c r="J13" s="7" t="s">
        <v>67</v>
      </c>
      <c r="K13" s="7" t="s">
        <v>68</v>
      </c>
      <c r="L13" s="7" t="s">
        <v>69</v>
      </c>
    </row>
    <row r="14" spans="1:14" s="1" customFormat="1">
      <c r="B14" s="13" t="s">
        <v>70</v>
      </c>
      <c r="C14" s="13" t="s">
        <v>71</v>
      </c>
      <c r="D14" s="9" t="s">
        <v>72</v>
      </c>
      <c r="E14" s="21" t="s">
        <v>58</v>
      </c>
      <c r="F14" s="22" t="s">
        <v>0</v>
      </c>
      <c r="G14" s="22" t="s">
        <v>73</v>
      </c>
      <c r="H14" s="23"/>
      <c r="I14" s="25"/>
      <c r="J14" s="25" t="s">
        <v>3</v>
      </c>
      <c r="K14" s="25" t="s">
        <v>74</v>
      </c>
      <c r="L14" s="25" t="s">
        <v>1576</v>
      </c>
    </row>
    <row r="15" spans="1:14" s="1" customFormat="1">
      <c r="B15" s="13" t="s">
        <v>6</v>
      </c>
      <c r="C15" s="13" t="s">
        <v>75</v>
      </c>
      <c r="D15" s="9" t="s">
        <v>34</v>
      </c>
      <c r="E15" s="21" t="s">
        <v>58</v>
      </c>
      <c r="F15" s="22" t="s">
        <v>1</v>
      </c>
      <c r="G15" s="22" t="s">
        <v>73</v>
      </c>
      <c r="H15" s="23"/>
      <c r="I15" s="25"/>
      <c r="J15" s="25" t="s">
        <v>3</v>
      </c>
      <c r="K15" s="25" t="s">
        <v>74</v>
      </c>
      <c r="L15" s="25" t="s">
        <v>1577</v>
      </c>
    </row>
    <row r="16" spans="1:14" s="1" customFormat="1">
      <c r="A16" s="89"/>
      <c r="B16" s="13" t="s">
        <v>76</v>
      </c>
      <c r="C16" s="13" t="s">
        <v>75</v>
      </c>
      <c r="D16" s="9" t="s">
        <v>77</v>
      </c>
      <c r="E16" s="21" t="s">
        <v>58</v>
      </c>
      <c r="F16" s="22" t="s">
        <v>76</v>
      </c>
      <c r="G16" s="22" t="s">
        <v>73</v>
      </c>
      <c r="H16" s="23"/>
      <c r="I16" s="90"/>
      <c r="J16" s="25" t="s">
        <v>3</v>
      </c>
      <c r="K16" s="25" t="s">
        <v>74</v>
      </c>
      <c r="L16" s="94" t="s">
        <v>1579</v>
      </c>
    </row>
    <row r="17" spans="1:12" s="1" customFormat="1">
      <c r="A17" s="89"/>
      <c r="B17" s="13" t="s">
        <v>1580</v>
      </c>
      <c r="C17" s="13" t="s">
        <v>75</v>
      </c>
      <c r="D17" s="9" t="s">
        <v>1581</v>
      </c>
      <c r="E17" s="21" t="s">
        <v>58</v>
      </c>
      <c r="F17" s="22" t="s">
        <v>1580</v>
      </c>
      <c r="G17" s="22" t="s">
        <v>73</v>
      </c>
      <c r="H17" s="23"/>
      <c r="I17" s="90"/>
      <c r="J17" s="25" t="s">
        <v>3</v>
      </c>
      <c r="K17" s="25" t="s">
        <v>74</v>
      </c>
      <c r="L17" s="25" t="s">
        <v>1582</v>
      </c>
    </row>
    <row r="18" spans="1:12" s="1" customFormat="1">
      <c r="A18" s="89"/>
      <c r="B18" s="13" t="s">
        <v>78</v>
      </c>
      <c r="C18" s="13" t="s">
        <v>75</v>
      </c>
      <c r="D18" s="9" t="s">
        <v>79</v>
      </c>
      <c r="E18" s="21" t="s">
        <v>58</v>
      </c>
      <c r="F18" s="22" t="s">
        <v>80</v>
      </c>
      <c r="G18" s="22" t="s">
        <v>73</v>
      </c>
      <c r="H18" s="23"/>
      <c r="I18" s="90"/>
      <c r="J18" s="25" t="s">
        <v>3</v>
      </c>
      <c r="K18" s="25" t="s">
        <v>74</v>
      </c>
      <c r="L18" s="25" t="s">
        <v>1583</v>
      </c>
    </row>
    <row r="19" spans="1:12" s="1" customFormat="1">
      <c r="A19" s="89"/>
      <c r="B19" s="13" t="s">
        <v>81</v>
      </c>
      <c r="C19" s="13" t="s">
        <v>75</v>
      </c>
      <c r="D19" s="9" t="s">
        <v>1584</v>
      </c>
      <c r="E19" s="21" t="s">
        <v>665</v>
      </c>
      <c r="F19" s="9" t="s">
        <v>81</v>
      </c>
      <c r="G19" s="22" t="s">
        <v>73</v>
      </c>
      <c r="H19" s="23"/>
      <c r="I19" s="90"/>
      <c r="J19" s="25" t="s">
        <v>3</v>
      </c>
      <c r="K19" s="25" t="s">
        <v>74</v>
      </c>
      <c r="L19" s="25" t="s">
        <v>1583</v>
      </c>
    </row>
    <row r="20" spans="1:12" s="1" customFormat="1">
      <c r="A20" s="89"/>
      <c r="B20" s="12" t="s">
        <v>82</v>
      </c>
      <c r="C20" s="13" t="s">
        <v>75</v>
      </c>
      <c r="D20" s="9" t="s">
        <v>1586</v>
      </c>
      <c r="E20" s="21" t="s">
        <v>665</v>
      </c>
      <c r="F20" s="9" t="s">
        <v>82</v>
      </c>
      <c r="G20" s="22" t="s">
        <v>73</v>
      </c>
      <c r="H20" s="23"/>
      <c r="I20" s="90"/>
      <c r="J20" s="25" t="s">
        <v>3</v>
      </c>
      <c r="K20" s="25" t="s">
        <v>74</v>
      </c>
      <c r="L20" s="25" t="s">
        <v>1583</v>
      </c>
    </row>
    <row r="21" spans="1:12" s="1" customFormat="1">
      <c r="A21" s="89"/>
      <c r="B21" s="12" t="s">
        <v>83</v>
      </c>
      <c r="C21" s="13" t="s">
        <v>71</v>
      </c>
      <c r="D21" s="9" t="s">
        <v>84</v>
      </c>
      <c r="E21" s="21" t="s">
        <v>665</v>
      </c>
      <c r="F21" s="27" t="s">
        <v>654</v>
      </c>
      <c r="G21" s="22" t="s">
        <v>73</v>
      </c>
      <c r="H21" s="23"/>
      <c r="I21" s="90"/>
      <c r="J21" s="25" t="s">
        <v>3</v>
      </c>
      <c r="K21" s="25" t="s">
        <v>74</v>
      </c>
      <c r="L21" s="25" t="s">
        <v>74</v>
      </c>
    </row>
    <row r="22" spans="1:12" s="1" customFormat="1">
      <c r="A22" s="89"/>
      <c r="B22" s="12" t="s">
        <v>85</v>
      </c>
      <c r="C22" s="13" t="s">
        <v>71</v>
      </c>
      <c r="D22" s="9" t="s">
        <v>86</v>
      </c>
      <c r="E22" s="21" t="s">
        <v>665</v>
      </c>
      <c r="F22" s="27" t="s">
        <v>1643</v>
      </c>
      <c r="G22" s="22" t="s">
        <v>73</v>
      </c>
      <c r="H22" s="23"/>
      <c r="I22" s="90"/>
      <c r="J22" s="25" t="s">
        <v>3</v>
      </c>
      <c r="K22" s="25" t="s">
        <v>74</v>
      </c>
      <c r="L22" s="25" t="s">
        <v>74</v>
      </c>
    </row>
    <row r="23" spans="1:12" s="1" customFormat="1">
      <c r="A23" s="89"/>
      <c r="B23" s="12" t="s">
        <v>87</v>
      </c>
      <c r="C23" s="13" t="s">
        <v>71</v>
      </c>
      <c r="D23" s="9" t="s">
        <v>88</v>
      </c>
      <c r="E23" s="21" t="s">
        <v>665</v>
      </c>
      <c r="F23" s="27" t="s">
        <v>1644</v>
      </c>
      <c r="G23" s="22" t="s">
        <v>73</v>
      </c>
      <c r="H23" s="23"/>
      <c r="I23" s="90"/>
      <c r="J23" s="25" t="s">
        <v>3</v>
      </c>
      <c r="K23" s="25" t="s">
        <v>74</v>
      </c>
      <c r="L23" s="25" t="s">
        <v>74</v>
      </c>
    </row>
    <row r="24" spans="1:12" s="1" customFormat="1">
      <c r="A24" s="89"/>
      <c r="B24" s="12" t="s">
        <v>307</v>
      </c>
      <c r="C24" s="12" t="s">
        <v>71</v>
      </c>
      <c r="D24" s="9" t="s">
        <v>91</v>
      </c>
      <c r="E24" s="21" t="s">
        <v>58</v>
      </c>
      <c r="F24" s="22" t="s">
        <v>90</v>
      </c>
      <c r="G24" s="22" t="s">
        <v>73</v>
      </c>
      <c r="H24" s="23"/>
      <c r="I24" s="95"/>
      <c r="J24" s="25" t="s">
        <v>3</v>
      </c>
      <c r="K24" s="25" t="s">
        <v>74</v>
      </c>
      <c r="L24" s="25" t="s">
        <v>74</v>
      </c>
    </row>
    <row r="25" spans="1:12" s="89" customFormat="1">
      <c r="B25" s="13" t="s">
        <v>1597</v>
      </c>
      <c r="C25" s="13" t="s">
        <v>98</v>
      </c>
      <c r="D25" s="9" t="s">
        <v>1598</v>
      </c>
      <c r="E25" s="21" t="s">
        <v>58</v>
      </c>
      <c r="F25" s="22"/>
      <c r="G25" s="19" t="s">
        <v>1679</v>
      </c>
      <c r="H25" s="21"/>
      <c r="I25" s="90"/>
      <c r="J25" s="25" t="s">
        <v>99</v>
      </c>
      <c r="K25" s="25" t="s">
        <v>74</v>
      </c>
      <c r="L25" s="25" t="s">
        <v>100</v>
      </c>
    </row>
    <row r="26" spans="1:12" s="89" customFormat="1">
      <c r="B26" s="13" t="s">
        <v>1599</v>
      </c>
      <c r="C26" s="13" t="s">
        <v>98</v>
      </c>
      <c r="D26" s="9" t="s">
        <v>1600</v>
      </c>
      <c r="E26" s="21" t="s">
        <v>58</v>
      </c>
      <c r="F26" s="22"/>
      <c r="G26" s="19" t="s">
        <v>1680</v>
      </c>
      <c r="H26" s="21"/>
      <c r="I26" s="90"/>
      <c r="J26" s="25" t="s">
        <v>99</v>
      </c>
      <c r="K26" s="25" t="s">
        <v>74</v>
      </c>
      <c r="L26" s="25" t="s">
        <v>100</v>
      </c>
    </row>
    <row r="27" spans="1:12" s="89" customFormat="1">
      <c r="B27" s="13" t="s">
        <v>1601</v>
      </c>
      <c r="C27" s="13" t="s">
        <v>98</v>
      </c>
      <c r="D27" s="9" t="s">
        <v>1602</v>
      </c>
      <c r="E27" s="21" t="s">
        <v>58</v>
      </c>
      <c r="F27" s="22"/>
      <c r="G27" s="19" t="s">
        <v>1681</v>
      </c>
      <c r="H27" s="21"/>
      <c r="I27" s="90"/>
      <c r="J27" s="25" t="s">
        <v>99</v>
      </c>
      <c r="K27" s="25" t="s">
        <v>74</v>
      </c>
      <c r="L27" s="25" t="s">
        <v>100</v>
      </c>
    </row>
    <row r="28" spans="1:12" s="89" customFormat="1">
      <c r="B28" s="13" t="s">
        <v>1603</v>
      </c>
      <c r="C28" s="13" t="s">
        <v>98</v>
      </c>
      <c r="D28" s="9" t="s">
        <v>1604</v>
      </c>
      <c r="E28" s="21" t="s">
        <v>58</v>
      </c>
      <c r="F28" s="22"/>
      <c r="G28" s="19" t="s">
        <v>1682</v>
      </c>
      <c r="H28" s="21"/>
      <c r="I28" s="90"/>
      <c r="J28" s="25" t="s">
        <v>99</v>
      </c>
      <c r="K28" s="25" t="s">
        <v>74</v>
      </c>
      <c r="L28" s="25" t="s">
        <v>100</v>
      </c>
    </row>
    <row r="29" spans="1:12" s="3" customFormat="1">
      <c r="B29" s="13" t="s">
        <v>1605</v>
      </c>
      <c r="C29" s="13" t="s">
        <v>98</v>
      </c>
      <c r="D29" s="9" t="s">
        <v>1606</v>
      </c>
      <c r="E29" s="21" t="s">
        <v>58</v>
      </c>
      <c r="F29" s="22"/>
      <c r="G29" s="19" t="s">
        <v>1683</v>
      </c>
      <c r="H29" s="21"/>
      <c r="I29" s="90"/>
      <c r="J29" s="25" t="s">
        <v>99</v>
      </c>
      <c r="K29" s="25" t="s">
        <v>74</v>
      </c>
      <c r="L29" s="25" t="s">
        <v>100</v>
      </c>
    </row>
    <row r="30" spans="1:12" s="3" customFormat="1">
      <c r="B30" s="13" t="s">
        <v>1607</v>
      </c>
      <c r="C30" s="13" t="s">
        <v>98</v>
      </c>
      <c r="D30" s="9" t="s">
        <v>1608</v>
      </c>
      <c r="E30" s="21" t="s">
        <v>58</v>
      </c>
      <c r="F30" s="22"/>
      <c r="G30" s="19" t="s">
        <v>1684</v>
      </c>
      <c r="H30" s="21"/>
      <c r="I30" s="90"/>
      <c r="J30" s="25" t="s">
        <v>99</v>
      </c>
      <c r="K30" s="25" t="s">
        <v>74</v>
      </c>
      <c r="L30" s="25" t="s">
        <v>100</v>
      </c>
    </row>
    <row r="31" spans="1:12" s="3" customFormat="1">
      <c r="B31" s="13" t="s">
        <v>1609</v>
      </c>
      <c r="C31" s="13" t="s">
        <v>98</v>
      </c>
      <c r="D31" s="9" t="s">
        <v>1610</v>
      </c>
      <c r="E31" s="21" t="s">
        <v>58</v>
      </c>
      <c r="F31" s="22"/>
      <c r="G31" s="19" t="s">
        <v>1685</v>
      </c>
      <c r="H31" s="21"/>
      <c r="I31" s="90"/>
      <c r="J31" s="25" t="s">
        <v>99</v>
      </c>
      <c r="K31" s="25" t="s">
        <v>74</v>
      </c>
      <c r="L31" s="25" t="s">
        <v>100</v>
      </c>
    </row>
    <row r="32" spans="1:12" s="3" customFormat="1">
      <c r="B32" s="13" t="s">
        <v>1611</v>
      </c>
      <c r="C32" s="13" t="s">
        <v>98</v>
      </c>
      <c r="D32" s="9" t="s">
        <v>1612</v>
      </c>
      <c r="E32" s="21" t="s">
        <v>58</v>
      </c>
      <c r="F32" s="22"/>
      <c r="G32" s="19" t="s">
        <v>1686</v>
      </c>
      <c r="H32" s="21"/>
      <c r="I32" s="90"/>
      <c r="J32" s="25" t="s">
        <v>99</v>
      </c>
      <c r="K32" s="25" t="s">
        <v>74</v>
      </c>
      <c r="L32" s="25" t="s">
        <v>100</v>
      </c>
    </row>
    <row r="33" spans="1:17" s="3" customFormat="1">
      <c r="B33" s="13" t="s">
        <v>1613</v>
      </c>
      <c r="C33" s="13" t="s">
        <v>98</v>
      </c>
      <c r="D33" s="9" t="s">
        <v>1614</v>
      </c>
      <c r="E33" s="21" t="s">
        <v>58</v>
      </c>
      <c r="F33" s="22"/>
      <c r="G33" s="19" t="s">
        <v>1687</v>
      </c>
      <c r="H33" s="21"/>
      <c r="I33" s="90"/>
      <c r="J33" s="25" t="s">
        <v>99</v>
      </c>
      <c r="K33" s="25" t="s">
        <v>74</v>
      </c>
      <c r="L33" s="25" t="s">
        <v>100</v>
      </c>
    </row>
    <row r="34" spans="1:17" s="3" customFormat="1">
      <c r="B34" s="13" t="s">
        <v>1616</v>
      </c>
      <c r="C34" s="13" t="s">
        <v>98</v>
      </c>
      <c r="D34" s="9" t="s">
        <v>1617</v>
      </c>
      <c r="E34" s="21" t="s">
        <v>58</v>
      </c>
      <c r="F34" s="22"/>
      <c r="G34" s="19" t="s">
        <v>1688</v>
      </c>
      <c r="H34" s="21"/>
      <c r="I34" s="90"/>
      <c r="J34" s="25" t="s">
        <v>99</v>
      </c>
      <c r="K34" s="25" t="s">
        <v>74</v>
      </c>
      <c r="L34" s="25" t="s">
        <v>100</v>
      </c>
    </row>
    <row r="35" spans="1:17" s="99" customFormat="1">
      <c r="A35" s="96"/>
      <c r="B35" s="97" t="s">
        <v>1619</v>
      </c>
      <c r="C35" s="13" t="s">
        <v>75</v>
      </c>
      <c r="D35" s="9" t="s">
        <v>1620</v>
      </c>
      <c r="E35" s="21" t="s">
        <v>58</v>
      </c>
      <c r="F35" s="22"/>
      <c r="G35" s="19" t="s">
        <v>1697</v>
      </c>
      <c r="H35" s="21"/>
      <c r="I35" s="98"/>
      <c r="J35" s="25" t="s">
        <v>99</v>
      </c>
      <c r="K35" s="25" t="s">
        <v>74</v>
      </c>
      <c r="L35" s="25" t="s">
        <v>100</v>
      </c>
    </row>
    <row r="36" spans="1:17" s="99" customFormat="1">
      <c r="A36" s="96"/>
      <c r="B36" s="97" t="s">
        <v>1621</v>
      </c>
      <c r="C36" s="13" t="s">
        <v>75</v>
      </c>
      <c r="D36" s="9" t="s">
        <v>1622</v>
      </c>
      <c r="E36" s="21" t="s">
        <v>58</v>
      </c>
      <c r="F36" s="22"/>
      <c r="G36" s="19" t="s">
        <v>1696</v>
      </c>
      <c r="H36" s="21"/>
      <c r="I36" s="98"/>
      <c r="J36" s="25" t="s">
        <v>99</v>
      </c>
      <c r="K36" s="25" t="s">
        <v>74</v>
      </c>
      <c r="L36" s="25" t="s">
        <v>100</v>
      </c>
    </row>
    <row r="37" spans="1:17" s="99" customFormat="1">
      <c r="A37" s="96"/>
      <c r="B37" s="97" t="s">
        <v>1624</v>
      </c>
      <c r="C37" s="13" t="s">
        <v>102</v>
      </c>
      <c r="D37" s="9" t="s">
        <v>1625</v>
      </c>
      <c r="E37" s="21" t="s">
        <v>58</v>
      </c>
      <c r="F37" s="22"/>
      <c r="G37" s="19" t="s">
        <v>1698</v>
      </c>
      <c r="H37" s="21"/>
      <c r="I37" s="98"/>
      <c r="J37" s="25" t="s">
        <v>99</v>
      </c>
      <c r="K37" s="25" t="s">
        <v>74</v>
      </c>
      <c r="L37" s="25" t="s">
        <v>1215</v>
      </c>
    </row>
    <row r="38" spans="1:17" s="99" customFormat="1">
      <c r="A38" s="96"/>
      <c r="B38" s="97" t="s">
        <v>1626</v>
      </c>
      <c r="C38" s="13" t="s">
        <v>102</v>
      </c>
      <c r="D38" s="9" t="s">
        <v>1627</v>
      </c>
      <c r="E38" s="21" t="s">
        <v>58</v>
      </c>
      <c r="F38" s="22"/>
      <c r="G38" s="19" t="s">
        <v>1699</v>
      </c>
      <c r="H38" s="21"/>
      <c r="I38" s="98"/>
      <c r="J38" s="25" t="s">
        <v>99</v>
      </c>
      <c r="K38" s="25" t="s">
        <v>74</v>
      </c>
      <c r="L38" s="25" t="s">
        <v>100</v>
      </c>
    </row>
    <row r="39" spans="1:17" s="99" customFormat="1">
      <c r="A39" s="96"/>
      <c r="B39" s="97" t="s">
        <v>1628</v>
      </c>
      <c r="C39" s="13" t="s">
        <v>102</v>
      </c>
      <c r="D39" s="9" t="s">
        <v>1629</v>
      </c>
      <c r="E39" s="21" t="s">
        <v>58</v>
      </c>
      <c r="F39" s="22"/>
      <c r="G39" s="19" t="s">
        <v>1700</v>
      </c>
      <c r="H39" s="21"/>
      <c r="I39" s="98"/>
      <c r="J39" s="25" t="s">
        <v>99</v>
      </c>
      <c r="K39" s="25" t="s">
        <v>74</v>
      </c>
      <c r="L39" s="25" t="s">
        <v>1630</v>
      </c>
    </row>
    <row r="40" spans="1:17" s="99" customFormat="1">
      <c r="A40" s="96"/>
      <c r="B40" s="97" t="s">
        <v>1631</v>
      </c>
      <c r="C40" s="13" t="s">
        <v>98</v>
      </c>
      <c r="D40" s="9" t="s">
        <v>1632</v>
      </c>
      <c r="E40" s="21" t="s">
        <v>58</v>
      </c>
      <c r="F40" s="22"/>
      <c r="G40" s="19" t="s">
        <v>1691</v>
      </c>
      <c r="H40" s="21"/>
      <c r="I40" s="98"/>
      <c r="J40" s="25" t="s">
        <v>99</v>
      </c>
      <c r="K40" s="25" t="s">
        <v>74</v>
      </c>
      <c r="L40" s="25" t="s">
        <v>100</v>
      </c>
    </row>
    <row r="41" spans="1:17" s="99" customFormat="1">
      <c r="A41" s="96"/>
      <c r="B41" s="97" t="s">
        <v>1633</v>
      </c>
      <c r="C41" s="13" t="s">
        <v>98</v>
      </c>
      <c r="D41" s="9" t="s">
        <v>1634</v>
      </c>
      <c r="E41" s="21" t="s">
        <v>58</v>
      </c>
      <c r="F41" s="22"/>
      <c r="G41" s="19" t="s">
        <v>1692</v>
      </c>
      <c r="H41" s="21"/>
      <c r="I41" s="98"/>
      <c r="J41" s="25" t="s">
        <v>99</v>
      </c>
      <c r="K41" s="25" t="s">
        <v>74</v>
      </c>
      <c r="L41" s="25" t="s">
        <v>100</v>
      </c>
    </row>
    <row r="42" spans="1:17" s="99" customFormat="1">
      <c r="A42" s="96"/>
      <c r="B42" s="97" t="s">
        <v>1635</v>
      </c>
      <c r="C42" s="13" t="s">
        <v>98</v>
      </c>
      <c r="D42" s="9" t="s">
        <v>1636</v>
      </c>
      <c r="E42" s="21" t="s">
        <v>58</v>
      </c>
      <c r="F42" s="22"/>
      <c r="G42" s="19" t="s">
        <v>1693</v>
      </c>
      <c r="H42" s="21"/>
      <c r="I42" s="98"/>
      <c r="J42" s="25" t="s">
        <v>99</v>
      </c>
      <c r="K42" s="25" t="s">
        <v>74</v>
      </c>
      <c r="L42" s="25" t="s">
        <v>100</v>
      </c>
    </row>
    <row r="43" spans="1:17" s="99" customFormat="1">
      <c r="A43" s="96"/>
      <c r="B43" s="97" t="s">
        <v>1637</v>
      </c>
      <c r="C43" s="13" t="s">
        <v>98</v>
      </c>
      <c r="D43" s="9" t="s">
        <v>1638</v>
      </c>
      <c r="E43" s="21" t="s">
        <v>58</v>
      </c>
      <c r="F43" s="22"/>
      <c r="G43" s="19" t="s">
        <v>1694</v>
      </c>
      <c r="H43" s="21"/>
      <c r="I43" s="98"/>
      <c r="J43" s="25" t="s">
        <v>99</v>
      </c>
      <c r="K43" s="25" t="s">
        <v>74</v>
      </c>
      <c r="L43" s="25" t="s">
        <v>100</v>
      </c>
    </row>
    <row r="44" spans="1:17" s="99" customFormat="1">
      <c r="A44" s="96"/>
      <c r="B44" s="97" t="s">
        <v>1639</v>
      </c>
      <c r="C44" s="13" t="s">
        <v>98</v>
      </c>
      <c r="D44" s="9" t="s">
        <v>1640</v>
      </c>
      <c r="E44" s="21" t="s">
        <v>58</v>
      </c>
      <c r="F44" s="22"/>
      <c r="G44" s="19" t="s">
        <v>1695</v>
      </c>
      <c r="H44" s="21"/>
      <c r="I44" s="98"/>
      <c r="J44" s="25" t="s">
        <v>99</v>
      </c>
      <c r="K44" s="25" t="s">
        <v>74</v>
      </c>
      <c r="L44" s="25" t="s">
        <v>100</v>
      </c>
    </row>
    <row r="45" spans="1:17" s="2" customFormat="1">
      <c r="B45" s="14" t="s">
        <v>80</v>
      </c>
      <c r="C45" s="15" t="s">
        <v>75</v>
      </c>
      <c r="D45" s="16" t="s">
        <v>103</v>
      </c>
      <c r="E45" s="35"/>
      <c r="F45" s="14"/>
      <c r="G45" s="14"/>
      <c r="H45" s="14"/>
      <c r="I45" s="14"/>
      <c r="J45" s="14"/>
      <c r="K45" s="14"/>
      <c r="L45" s="14"/>
      <c r="M45" s="14"/>
      <c r="N45" s="14"/>
      <c r="O45" s="14"/>
      <c r="P45" s="14"/>
      <c r="Q45" s="14"/>
    </row>
    <row r="46" spans="1:17" s="2" customFormat="1">
      <c r="B46" s="14" t="s">
        <v>0</v>
      </c>
      <c r="C46" s="15" t="s">
        <v>71</v>
      </c>
      <c r="D46" s="16" t="s">
        <v>104</v>
      </c>
      <c r="E46" s="35"/>
      <c r="F46" s="14"/>
      <c r="G46" s="14"/>
      <c r="H46" s="14"/>
      <c r="I46" s="14"/>
      <c r="J46" s="14"/>
      <c r="K46" s="14"/>
      <c r="L46" s="14"/>
      <c r="M46" s="14"/>
      <c r="N46" s="14"/>
      <c r="O46" s="14"/>
      <c r="P46" s="14"/>
      <c r="Q46" s="14"/>
    </row>
    <row r="47" spans="1:17" s="2" customFormat="1">
      <c r="B47" s="14" t="s">
        <v>1</v>
      </c>
      <c r="C47" s="15" t="s">
        <v>75</v>
      </c>
      <c r="D47" s="16" t="s">
        <v>105</v>
      </c>
      <c r="E47" s="35"/>
      <c r="F47" s="14"/>
      <c r="G47" s="14"/>
      <c r="H47" s="14"/>
      <c r="I47" s="14"/>
      <c r="J47" s="14"/>
      <c r="K47" s="14"/>
      <c r="L47" s="14"/>
      <c r="M47" s="14"/>
      <c r="N47" s="14"/>
      <c r="O47" s="14"/>
      <c r="P47" s="14"/>
      <c r="Q47" s="14"/>
    </row>
  </sheetData>
  <autoFilter ref="A13:Q47" xr:uid="{00000000-0009-0000-0000-000002000000}"/>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FAC4C-224C-47EC-9324-754439BD6034}">
  <dimension ref="A1:Q45"/>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23.6640625" style="3" customWidth="1"/>
    <col min="3" max="3" width="31.21875" style="3" customWidth="1"/>
    <col min="4" max="4" width="32.21875" style="3" customWidth="1"/>
    <col min="5" max="5" width="16.21875" style="3" customWidth="1"/>
    <col min="6" max="6" width="19.21875" style="3" customWidth="1"/>
    <col min="7" max="7" width="54.21875" style="3" bestFit="1" customWidth="1"/>
    <col min="8" max="8" width="14.44140625" style="3" customWidth="1"/>
    <col min="9" max="9" width="19.6640625" style="3"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21"/>
      <c r="C2" s="121"/>
      <c r="D2" s="121"/>
      <c r="E2" s="121"/>
      <c r="F2" s="121"/>
      <c r="G2" s="121"/>
      <c r="H2" s="121"/>
    </row>
    <row r="3" spans="1:14">
      <c r="B3" s="122" t="s">
        <v>45</v>
      </c>
      <c r="C3" s="122"/>
      <c r="D3" s="122"/>
      <c r="E3" s="122"/>
      <c r="F3" s="122"/>
      <c r="G3" s="122"/>
      <c r="H3" s="122"/>
    </row>
    <row r="4" spans="1:14">
      <c r="B4" s="7" t="s">
        <v>11</v>
      </c>
      <c r="C4" s="7" t="s">
        <v>46</v>
      </c>
      <c r="D4" s="7" t="s">
        <v>47</v>
      </c>
      <c r="E4" s="7" t="s">
        <v>48</v>
      </c>
      <c r="F4" s="7" t="s">
        <v>49</v>
      </c>
      <c r="G4" s="7" t="s">
        <v>14</v>
      </c>
      <c r="H4" s="7" t="s">
        <v>50</v>
      </c>
    </row>
    <row r="5" spans="1:14">
      <c r="B5" s="8" t="s">
        <v>1575</v>
      </c>
      <c r="C5" s="9" t="s">
        <v>1750</v>
      </c>
      <c r="D5" s="10" t="s">
        <v>1751</v>
      </c>
      <c r="E5" s="12" t="s">
        <v>1259</v>
      </c>
      <c r="F5" s="29"/>
      <c r="G5" s="12"/>
      <c r="H5" s="12"/>
      <c r="N5" s="3"/>
    </row>
    <row r="6" spans="1:14">
      <c r="B6" s="6"/>
      <c r="C6" s="6"/>
      <c r="D6" s="6"/>
      <c r="E6" s="6"/>
      <c r="F6" s="6"/>
      <c r="G6" s="6"/>
      <c r="H6" s="6"/>
    </row>
    <row r="7" spans="1:14">
      <c r="B7" s="122" t="s">
        <v>51</v>
      </c>
      <c r="C7" s="122"/>
      <c r="D7" s="122"/>
      <c r="E7" s="122"/>
      <c r="F7" s="122"/>
      <c r="G7" s="122"/>
      <c r="H7" s="122"/>
    </row>
    <row r="8" spans="1:14">
      <c r="B8" s="11" t="s">
        <v>52</v>
      </c>
      <c r="C8" s="11" t="s">
        <v>53</v>
      </c>
      <c r="D8" s="11" t="s">
        <v>54</v>
      </c>
      <c r="E8" s="11" t="s">
        <v>55</v>
      </c>
      <c r="F8" s="11" t="s">
        <v>56</v>
      </c>
      <c r="G8" s="11" t="s">
        <v>24</v>
      </c>
      <c r="H8" s="11" t="s">
        <v>57</v>
      </c>
    </row>
    <row r="9" spans="1:14">
      <c r="B9" s="12"/>
      <c r="C9" s="9" t="s">
        <v>1749</v>
      </c>
      <c r="D9" s="10" t="s">
        <v>1748</v>
      </c>
      <c r="E9" s="12" t="s">
        <v>58</v>
      </c>
      <c r="F9" s="22"/>
      <c r="G9" s="22"/>
      <c r="H9" s="20" t="s">
        <v>30</v>
      </c>
    </row>
    <row r="10" spans="1:14">
      <c r="G10" s="30"/>
    </row>
    <row r="11" spans="1:14">
      <c r="B11" s="3" t="s">
        <v>59</v>
      </c>
    </row>
    <row r="12" spans="1:14">
      <c r="B12" s="122" t="s">
        <v>59</v>
      </c>
      <c r="C12" s="122"/>
      <c r="D12" s="122"/>
      <c r="E12" s="122"/>
      <c r="F12" s="122"/>
      <c r="G12" s="122"/>
      <c r="H12" s="122"/>
      <c r="I12" s="122"/>
      <c r="J12" s="122"/>
      <c r="K12" s="122"/>
      <c r="L12" s="122"/>
    </row>
    <row r="13" spans="1:14">
      <c r="B13" s="7" t="s">
        <v>60</v>
      </c>
      <c r="C13" s="7" t="s">
        <v>61</v>
      </c>
      <c r="D13" s="7" t="s">
        <v>62</v>
      </c>
      <c r="E13" s="7" t="s">
        <v>63</v>
      </c>
      <c r="F13" s="7" t="s">
        <v>64</v>
      </c>
      <c r="G13" s="7" t="s">
        <v>65</v>
      </c>
      <c r="H13" s="7" t="s">
        <v>66</v>
      </c>
      <c r="I13" s="7" t="s">
        <v>24</v>
      </c>
      <c r="J13" s="7" t="s">
        <v>67</v>
      </c>
      <c r="K13" s="7" t="s">
        <v>68</v>
      </c>
      <c r="L13" s="7" t="s">
        <v>69</v>
      </c>
    </row>
    <row r="14" spans="1:14" s="1" customFormat="1">
      <c r="B14" s="13" t="s">
        <v>70</v>
      </c>
      <c r="C14" s="13" t="s">
        <v>71</v>
      </c>
      <c r="D14" s="9" t="s">
        <v>72</v>
      </c>
      <c r="E14" s="21" t="s">
        <v>58</v>
      </c>
      <c r="F14" s="22" t="s">
        <v>0</v>
      </c>
      <c r="G14" s="22" t="s">
        <v>73</v>
      </c>
      <c r="H14" s="23"/>
      <c r="I14" s="25"/>
      <c r="J14" s="25" t="s">
        <v>3</v>
      </c>
      <c r="K14" s="25" t="s">
        <v>74</v>
      </c>
      <c r="L14" s="25" t="s">
        <v>1576</v>
      </c>
    </row>
    <row r="15" spans="1:14" s="1" customFormat="1">
      <c r="A15" s="89"/>
      <c r="B15" s="13" t="s">
        <v>76</v>
      </c>
      <c r="C15" s="13" t="s">
        <v>75</v>
      </c>
      <c r="D15" s="9" t="s">
        <v>77</v>
      </c>
      <c r="E15" s="21" t="s">
        <v>58</v>
      </c>
      <c r="F15" s="22" t="s">
        <v>76</v>
      </c>
      <c r="G15" s="22" t="s">
        <v>73</v>
      </c>
      <c r="H15" s="23"/>
      <c r="I15" s="90"/>
      <c r="J15" s="25" t="s">
        <v>3</v>
      </c>
      <c r="K15" s="25" t="s">
        <v>74</v>
      </c>
      <c r="L15" s="94" t="s">
        <v>1579</v>
      </c>
    </row>
    <row r="16" spans="1:14" s="1" customFormat="1">
      <c r="A16" s="89"/>
      <c r="B16" s="13" t="s">
        <v>1580</v>
      </c>
      <c r="C16" s="13" t="s">
        <v>75</v>
      </c>
      <c r="D16" s="9" t="s">
        <v>1581</v>
      </c>
      <c r="E16" s="21" t="s">
        <v>58</v>
      </c>
      <c r="F16" s="22" t="s">
        <v>1580</v>
      </c>
      <c r="G16" s="22" t="s">
        <v>73</v>
      </c>
      <c r="H16" s="23"/>
      <c r="I16" s="90"/>
      <c r="J16" s="25" t="s">
        <v>3</v>
      </c>
      <c r="K16" s="25" t="s">
        <v>74</v>
      </c>
      <c r="L16" s="25" t="s">
        <v>1582</v>
      </c>
    </row>
    <row r="17" spans="1:12" s="1" customFormat="1">
      <c r="A17" s="89"/>
      <c r="B17" s="13" t="s">
        <v>78</v>
      </c>
      <c r="C17" s="13" t="s">
        <v>75</v>
      </c>
      <c r="D17" s="9" t="s">
        <v>79</v>
      </c>
      <c r="E17" s="21" t="s">
        <v>58</v>
      </c>
      <c r="F17" s="22" t="s">
        <v>80</v>
      </c>
      <c r="G17" s="22" t="s">
        <v>73</v>
      </c>
      <c r="H17" s="23"/>
      <c r="I17" s="90"/>
      <c r="J17" s="25" t="s">
        <v>3</v>
      </c>
      <c r="K17" s="25" t="s">
        <v>74</v>
      </c>
      <c r="L17" s="25" t="s">
        <v>1583</v>
      </c>
    </row>
    <row r="18" spans="1:12" s="1" customFormat="1">
      <c r="A18" s="89"/>
      <c r="B18" s="13" t="s">
        <v>81</v>
      </c>
      <c r="C18" s="13" t="s">
        <v>75</v>
      </c>
      <c r="D18" s="9" t="s">
        <v>1584</v>
      </c>
      <c r="E18" s="21" t="s">
        <v>665</v>
      </c>
      <c r="F18" s="9" t="s">
        <v>81</v>
      </c>
      <c r="G18" s="22" t="s">
        <v>73</v>
      </c>
      <c r="H18" s="23"/>
      <c r="I18" s="90"/>
      <c r="J18" s="25" t="s">
        <v>3</v>
      </c>
      <c r="K18" s="25" t="s">
        <v>74</v>
      </c>
      <c r="L18" s="25" t="s">
        <v>1583</v>
      </c>
    </row>
    <row r="19" spans="1:12" s="1" customFormat="1">
      <c r="A19" s="89"/>
      <c r="B19" s="12" t="s">
        <v>82</v>
      </c>
      <c r="C19" s="13" t="s">
        <v>75</v>
      </c>
      <c r="D19" s="9" t="s">
        <v>1586</v>
      </c>
      <c r="E19" s="21" t="s">
        <v>665</v>
      </c>
      <c r="F19" s="9" t="s">
        <v>82</v>
      </c>
      <c r="G19" s="22" t="s">
        <v>73</v>
      </c>
      <c r="H19" s="23"/>
      <c r="I19" s="90"/>
      <c r="J19" s="25" t="s">
        <v>3</v>
      </c>
      <c r="K19" s="25" t="s">
        <v>74</v>
      </c>
      <c r="L19" s="25" t="s">
        <v>1583</v>
      </c>
    </row>
    <row r="20" spans="1:12" s="1" customFormat="1">
      <c r="A20" s="89"/>
      <c r="B20" s="12" t="s">
        <v>83</v>
      </c>
      <c r="C20" s="13" t="s">
        <v>71</v>
      </c>
      <c r="D20" s="9" t="s">
        <v>84</v>
      </c>
      <c r="E20" s="21" t="s">
        <v>665</v>
      </c>
      <c r="F20" s="27" t="s">
        <v>654</v>
      </c>
      <c r="G20" s="22" t="s">
        <v>73</v>
      </c>
      <c r="H20" s="23"/>
      <c r="I20" s="90"/>
      <c r="J20" s="25" t="s">
        <v>3</v>
      </c>
      <c r="K20" s="25" t="s">
        <v>74</v>
      </c>
      <c r="L20" s="25" t="s">
        <v>74</v>
      </c>
    </row>
    <row r="21" spans="1:12" s="1" customFormat="1">
      <c r="A21" s="89"/>
      <c r="B21" s="12" t="s">
        <v>85</v>
      </c>
      <c r="C21" s="13" t="s">
        <v>71</v>
      </c>
      <c r="D21" s="9" t="s">
        <v>86</v>
      </c>
      <c r="E21" s="21" t="s">
        <v>665</v>
      </c>
      <c r="F21" s="27" t="s">
        <v>1643</v>
      </c>
      <c r="G21" s="22" t="s">
        <v>73</v>
      </c>
      <c r="H21" s="23"/>
      <c r="I21" s="90"/>
      <c r="J21" s="25" t="s">
        <v>3</v>
      </c>
      <c r="K21" s="25" t="s">
        <v>74</v>
      </c>
      <c r="L21" s="25" t="s">
        <v>74</v>
      </c>
    </row>
    <row r="22" spans="1:12" s="1" customFormat="1">
      <c r="A22" s="89"/>
      <c r="B22" s="12" t="s">
        <v>87</v>
      </c>
      <c r="C22" s="13" t="s">
        <v>71</v>
      </c>
      <c r="D22" s="9" t="s">
        <v>88</v>
      </c>
      <c r="E22" s="21" t="s">
        <v>665</v>
      </c>
      <c r="F22" s="27" t="s">
        <v>1644</v>
      </c>
      <c r="G22" s="22" t="s">
        <v>73</v>
      </c>
      <c r="H22" s="23"/>
      <c r="I22" s="90"/>
      <c r="J22" s="25" t="s">
        <v>3</v>
      </c>
      <c r="K22" s="25" t="s">
        <v>74</v>
      </c>
      <c r="L22" s="25" t="s">
        <v>74</v>
      </c>
    </row>
    <row r="23" spans="1:12" s="1" customFormat="1">
      <c r="A23" s="89"/>
      <c r="B23" s="12" t="s">
        <v>307</v>
      </c>
      <c r="C23" s="12" t="s">
        <v>71</v>
      </c>
      <c r="D23" s="9" t="s">
        <v>91</v>
      </c>
      <c r="E23" s="21" t="s">
        <v>58</v>
      </c>
      <c r="F23" s="22" t="s">
        <v>90</v>
      </c>
      <c r="G23" s="22" t="s">
        <v>73</v>
      </c>
      <c r="H23" s="23"/>
      <c r="I23" s="95"/>
      <c r="J23" s="25" t="s">
        <v>3</v>
      </c>
      <c r="K23" s="25" t="s">
        <v>74</v>
      </c>
      <c r="L23" s="25" t="s">
        <v>74</v>
      </c>
    </row>
    <row r="24" spans="1:12" s="89" customFormat="1">
      <c r="B24" s="13" t="s">
        <v>1597</v>
      </c>
      <c r="C24" s="13" t="s">
        <v>98</v>
      </c>
      <c r="D24" s="9" t="s">
        <v>1598</v>
      </c>
      <c r="E24" s="21" t="s">
        <v>58</v>
      </c>
      <c r="F24" s="22"/>
      <c r="G24" s="19" t="s">
        <v>1679</v>
      </c>
      <c r="H24" s="21"/>
      <c r="I24" s="90"/>
      <c r="J24" s="25" t="s">
        <v>99</v>
      </c>
      <c r="K24" s="25" t="s">
        <v>74</v>
      </c>
      <c r="L24" s="25" t="s">
        <v>100</v>
      </c>
    </row>
    <row r="25" spans="1:12" s="89" customFormat="1">
      <c r="B25" s="13" t="s">
        <v>1599</v>
      </c>
      <c r="C25" s="13" t="s">
        <v>98</v>
      </c>
      <c r="D25" s="9" t="s">
        <v>1600</v>
      </c>
      <c r="E25" s="21" t="s">
        <v>58</v>
      </c>
      <c r="F25" s="22"/>
      <c r="G25" s="19" t="s">
        <v>1680</v>
      </c>
      <c r="H25" s="21"/>
      <c r="I25" s="90"/>
      <c r="J25" s="25" t="s">
        <v>99</v>
      </c>
      <c r="K25" s="25" t="s">
        <v>74</v>
      </c>
      <c r="L25" s="25" t="s">
        <v>100</v>
      </c>
    </row>
    <row r="26" spans="1:12" s="89" customFormat="1">
      <c r="B26" s="13" t="s">
        <v>1601</v>
      </c>
      <c r="C26" s="13" t="s">
        <v>98</v>
      </c>
      <c r="D26" s="9" t="s">
        <v>1602</v>
      </c>
      <c r="E26" s="21" t="s">
        <v>58</v>
      </c>
      <c r="F26" s="22"/>
      <c r="G26" s="19" t="s">
        <v>1681</v>
      </c>
      <c r="H26" s="21"/>
      <c r="I26" s="90"/>
      <c r="J26" s="25" t="s">
        <v>99</v>
      </c>
      <c r="K26" s="25" t="s">
        <v>74</v>
      </c>
      <c r="L26" s="25" t="s">
        <v>100</v>
      </c>
    </row>
    <row r="27" spans="1:12" s="89" customFormat="1">
      <c r="B27" s="13" t="s">
        <v>1603</v>
      </c>
      <c r="C27" s="13" t="s">
        <v>98</v>
      </c>
      <c r="D27" s="9" t="s">
        <v>1604</v>
      </c>
      <c r="E27" s="21" t="s">
        <v>58</v>
      </c>
      <c r="F27" s="22"/>
      <c r="G27" s="19" t="s">
        <v>1682</v>
      </c>
      <c r="H27" s="21"/>
      <c r="I27" s="90"/>
      <c r="J27" s="25" t="s">
        <v>99</v>
      </c>
      <c r="K27" s="25" t="s">
        <v>74</v>
      </c>
      <c r="L27" s="25" t="s">
        <v>100</v>
      </c>
    </row>
    <row r="28" spans="1:12" s="3" customFormat="1">
      <c r="B28" s="13" t="s">
        <v>1605</v>
      </c>
      <c r="C28" s="13" t="s">
        <v>98</v>
      </c>
      <c r="D28" s="9" t="s">
        <v>1606</v>
      </c>
      <c r="E28" s="21" t="s">
        <v>58</v>
      </c>
      <c r="F28" s="22"/>
      <c r="G28" s="19" t="s">
        <v>1683</v>
      </c>
      <c r="H28" s="21"/>
      <c r="I28" s="90"/>
      <c r="J28" s="25" t="s">
        <v>99</v>
      </c>
      <c r="K28" s="25" t="s">
        <v>74</v>
      </c>
      <c r="L28" s="25" t="s">
        <v>100</v>
      </c>
    </row>
    <row r="29" spans="1:12" s="3" customFormat="1">
      <c r="B29" s="13" t="s">
        <v>1607</v>
      </c>
      <c r="C29" s="13" t="s">
        <v>98</v>
      </c>
      <c r="D29" s="9" t="s">
        <v>1608</v>
      </c>
      <c r="E29" s="21" t="s">
        <v>58</v>
      </c>
      <c r="F29" s="22"/>
      <c r="G29" s="19" t="s">
        <v>1684</v>
      </c>
      <c r="H29" s="21"/>
      <c r="I29" s="90"/>
      <c r="J29" s="25" t="s">
        <v>99</v>
      </c>
      <c r="K29" s="25" t="s">
        <v>74</v>
      </c>
      <c r="L29" s="25" t="s">
        <v>100</v>
      </c>
    </row>
    <row r="30" spans="1:12" s="3" customFormat="1">
      <c r="B30" s="13" t="s">
        <v>1609</v>
      </c>
      <c r="C30" s="13" t="s">
        <v>98</v>
      </c>
      <c r="D30" s="9" t="s">
        <v>1610</v>
      </c>
      <c r="E30" s="21" t="s">
        <v>58</v>
      </c>
      <c r="F30" s="22"/>
      <c r="G30" s="19" t="s">
        <v>1685</v>
      </c>
      <c r="H30" s="21"/>
      <c r="I30" s="90"/>
      <c r="J30" s="25" t="s">
        <v>99</v>
      </c>
      <c r="K30" s="25" t="s">
        <v>74</v>
      </c>
      <c r="L30" s="25" t="s">
        <v>100</v>
      </c>
    </row>
    <row r="31" spans="1:12" s="3" customFormat="1">
      <c r="B31" s="13" t="s">
        <v>1611</v>
      </c>
      <c r="C31" s="13" t="s">
        <v>98</v>
      </c>
      <c r="D31" s="9" t="s">
        <v>1612</v>
      </c>
      <c r="E31" s="21" t="s">
        <v>58</v>
      </c>
      <c r="F31" s="22"/>
      <c r="G31" s="19" t="s">
        <v>1686</v>
      </c>
      <c r="H31" s="21"/>
      <c r="I31" s="90"/>
      <c r="J31" s="25" t="s">
        <v>99</v>
      </c>
      <c r="K31" s="25" t="s">
        <v>74</v>
      </c>
      <c r="L31" s="25" t="s">
        <v>100</v>
      </c>
    </row>
    <row r="32" spans="1:12" s="3" customFormat="1">
      <c r="B32" s="13" t="s">
        <v>1613</v>
      </c>
      <c r="C32" s="13" t="s">
        <v>98</v>
      </c>
      <c r="D32" s="9" t="s">
        <v>1614</v>
      </c>
      <c r="E32" s="21" t="s">
        <v>58</v>
      </c>
      <c r="F32" s="22"/>
      <c r="G32" s="19" t="s">
        <v>1687</v>
      </c>
      <c r="H32" s="21"/>
      <c r="I32" s="90"/>
      <c r="J32" s="25" t="s">
        <v>99</v>
      </c>
      <c r="K32" s="25" t="s">
        <v>74</v>
      </c>
      <c r="L32" s="25" t="s">
        <v>100</v>
      </c>
    </row>
    <row r="33" spans="1:17" s="3" customFormat="1">
      <c r="B33" s="13" t="s">
        <v>1616</v>
      </c>
      <c r="C33" s="13" t="s">
        <v>98</v>
      </c>
      <c r="D33" s="9" t="s">
        <v>1617</v>
      </c>
      <c r="E33" s="21" t="s">
        <v>58</v>
      </c>
      <c r="F33" s="22"/>
      <c r="G33" s="19" t="s">
        <v>1688</v>
      </c>
      <c r="H33" s="21"/>
      <c r="I33" s="90"/>
      <c r="J33" s="25" t="s">
        <v>99</v>
      </c>
      <c r="K33" s="25" t="s">
        <v>74</v>
      </c>
      <c r="L33" s="25" t="s">
        <v>100</v>
      </c>
    </row>
    <row r="34" spans="1:17" s="99" customFormat="1">
      <c r="A34" s="96"/>
      <c r="B34" s="97" t="s">
        <v>1619</v>
      </c>
      <c r="C34" s="13" t="s">
        <v>75</v>
      </c>
      <c r="D34" s="9" t="s">
        <v>1620</v>
      </c>
      <c r="E34" s="21" t="s">
        <v>58</v>
      </c>
      <c r="F34" s="22"/>
      <c r="G34" s="19" t="s">
        <v>1697</v>
      </c>
      <c r="H34" s="21"/>
      <c r="I34" s="98"/>
      <c r="J34" s="25" t="s">
        <v>99</v>
      </c>
      <c r="K34" s="25" t="s">
        <v>74</v>
      </c>
      <c r="L34" s="25" t="s">
        <v>100</v>
      </c>
    </row>
    <row r="35" spans="1:17" s="99" customFormat="1">
      <c r="A35" s="96"/>
      <c r="B35" s="97" t="s">
        <v>1621</v>
      </c>
      <c r="C35" s="13" t="s">
        <v>75</v>
      </c>
      <c r="D35" s="9" t="s">
        <v>1622</v>
      </c>
      <c r="E35" s="21" t="s">
        <v>58</v>
      </c>
      <c r="F35" s="22"/>
      <c r="G35" s="19" t="s">
        <v>1696</v>
      </c>
      <c r="H35" s="21"/>
      <c r="I35" s="98"/>
      <c r="J35" s="25" t="s">
        <v>99</v>
      </c>
      <c r="K35" s="25" t="s">
        <v>74</v>
      </c>
      <c r="L35" s="25" t="s">
        <v>100</v>
      </c>
    </row>
    <row r="36" spans="1:17" s="99" customFormat="1">
      <c r="A36" s="96"/>
      <c r="B36" s="97" t="s">
        <v>1624</v>
      </c>
      <c r="C36" s="13" t="s">
        <v>102</v>
      </c>
      <c r="D36" s="9" t="s">
        <v>1625</v>
      </c>
      <c r="E36" s="21" t="s">
        <v>58</v>
      </c>
      <c r="F36" s="22"/>
      <c r="G36" s="19" t="s">
        <v>1698</v>
      </c>
      <c r="H36" s="21"/>
      <c r="I36" s="98"/>
      <c r="J36" s="25" t="s">
        <v>99</v>
      </c>
      <c r="K36" s="25" t="s">
        <v>74</v>
      </c>
      <c r="L36" s="25" t="s">
        <v>1215</v>
      </c>
    </row>
    <row r="37" spans="1:17" s="99" customFormat="1">
      <c r="A37" s="96"/>
      <c r="B37" s="97" t="s">
        <v>1626</v>
      </c>
      <c r="C37" s="13" t="s">
        <v>102</v>
      </c>
      <c r="D37" s="9" t="s">
        <v>1627</v>
      </c>
      <c r="E37" s="21" t="s">
        <v>58</v>
      </c>
      <c r="F37" s="22"/>
      <c r="G37" s="19" t="s">
        <v>1699</v>
      </c>
      <c r="H37" s="21"/>
      <c r="I37" s="98"/>
      <c r="J37" s="25" t="s">
        <v>99</v>
      </c>
      <c r="K37" s="25" t="s">
        <v>74</v>
      </c>
      <c r="L37" s="25" t="s">
        <v>100</v>
      </c>
    </row>
    <row r="38" spans="1:17" s="99" customFormat="1">
      <c r="A38" s="96"/>
      <c r="B38" s="97" t="s">
        <v>1628</v>
      </c>
      <c r="C38" s="13" t="s">
        <v>102</v>
      </c>
      <c r="D38" s="9" t="s">
        <v>1629</v>
      </c>
      <c r="E38" s="21" t="s">
        <v>58</v>
      </c>
      <c r="F38" s="22"/>
      <c r="G38" s="19" t="s">
        <v>1700</v>
      </c>
      <c r="H38" s="21"/>
      <c r="I38" s="98"/>
      <c r="J38" s="25" t="s">
        <v>99</v>
      </c>
      <c r="K38" s="25" t="s">
        <v>74</v>
      </c>
      <c r="L38" s="25" t="s">
        <v>1630</v>
      </c>
    </row>
    <row r="39" spans="1:17" s="99" customFormat="1">
      <c r="A39" s="96"/>
      <c r="B39" s="97" t="s">
        <v>1631</v>
      </c>
      <c r="C39" s="13" t="s">
        <v>98</v>
      </c>
      <c r="D39" s="9" t="s">
        <v>1632</v>
      </c>
      <c r="E39" s="21" t="s">
        <v>58</v>
      </c>
      <c r="F39" s="22"/>
      <c r="G39" s="19" t="s">
        <v>1691</v>
      </c>
      <c r="H39" s="21"/>
      <c r="I39" s="98"/>
      <c r="J39" s="25" t="s">
        <v>99</v>
      </c>
      <c r="K39" s="25" t="s">
        <v>74</v>
      </c>
      <c r="L39" s="25" t="s">
        <v>100</v>
      </c>
    </row>
    <row r="40" spans="1:17" s="99" customFormat="1">
      <c r="A40" s="96"/>
      <c r="B40" s="97" t="s">
        <v>1633</v>
      </c>
      <c r="C40" s="13" t="s">
        <v>98</v>
      </c>
      <c r="D40" s="9" t="s">
        <v>1634</v>
      </c>
      <c r="E40" s="21" t="s">
        <v>58</v>
      </c>
      <c r="F40" s="22"/>
      <c r="G40" s="19" t="s">
        <v>1692</v>
      </c>
      <c r="H40" s="21"/>
      <c r="I40" s="98"/>
      <c r="J40" s="25" t="s">
        <v>99</v>
      </c>
      <c r="K40" s="25" t="s">
        <v>74</v>
      </c>
      <c r="L40" s="25" t="s">
        <v>100</v>
      </c>
    </row>
    <row r="41" spans="1:17" s="99" customFormat="1">
      <c r="A41" s="96"/>
      <c r="B41" s="97" t="s">
        <v>1635</v>
      </c>
      <c r="C41" s="13" t="s">
        <v>98</v>
      </c>
      <c r="D41" s="9" t="s">
        <v>1636</v>
      </c>
      <c r="E41" s="21" t="s">
        <v>58</v>
      </c>
      <c r="F41" s="22"/>
      <c r="G41" s="19" t="s">
        <v>1693</v>
      </c>
      <c r="H41" s="21"/>
      <c r="I41" s="98"/>
      <c r="J41" s="25" t="s">
        <v>99</v>
      </c>
      <c r="K41" s="25" t="s">
        <v>74</v>
      </c>
      <c r="L41" s="25" t="s">
        <v>100</v>
      </c>
    </row>
    <row r="42" spans="1:17" s="99" customFormat="1">
      <c r="A42" s="96"/>
      <c r="B42" s="97" t="s">
        <v>1637</v>
      </c>
      <c r="C42" s="13" t="s">
        <v>98</v>
      </c>
      <c r="D42" s="9" t="s">
        <v>1638</v>
      </c>
      <c r="E42" s="21" t="s">
        <v>58</v>
      </c>
      <c r="F42" s="22"/>
      <c r="G42" s="19" t="s">
        <v>1694</v>
      </c>
      <c r="H42" s="21"/>
      <c r="I42" s="98"/>
      <c r="J42" s="25" t="s">
        <v>99</v>
      </c>
      <c r="K42" s="25" t="s">
        <v>74</v>
      </c>
      <c r="L42" s="25" t="s">
        <v>100</v>
      </c>
    </row>
    <row r="43" spans="1:17" s="99" customFormat="1">
      <c r="A43" s="96"/>
      <c r="B43" s="97" t="s">
        <v>1639</v>
      </c>
      <c r="C43" s="13" t="s">
        <v>98</v>
      </c>
      <c r="D43" s="9" t="s">
        <v>1640</v>
      </c>
      <c r="E43" s="21" t="s">
        <v>58</v>
      </c>
      <c r="F43" s="22"/>
      <c r="G43" s="19" t="s">
        <v>1695</v>
      </c>
      <c r="H43" s="21"/>
      <c r="I43" s="98"/>
      <c r="J43" s="25" t="s">
        <v>99</v>
      </c>
      <c r="K43" s="25" t="s">
        <v>74</v>
      </c>
      <c r="L43" s="25" t="s">
        <v>100</v>
      </c>
    </row>
    <row r="44" spans="1:17" s="2" customFormat="1">
      <c r="B44" s="14" t="s">
        <v>80</v>
      </c>
      <c r="C44" s="15" t="s">
        <v>75</v>
      </c>
      <c r="D44" s="16" t="s">
        <v>103</v>
      </c>
      <c r="E44" s="35"/>
      <c r="F44" s="14"/>
      <c r="G44" s="14"/>
      <c r="H44" s="14"/>
      <c r="I44" s="14"/>
      <c r="J44" s="14"/>
      <c r="K44" s="14"/>
      <c r="L44" s="14"/>
      <c r="M44" s="14"/>
      <c r="N44" s="14"/>
      <c r="O44" s="14"/>
      <c r="P44" s="14"/>
      <c r="Q44" s="14"/>
    </row>
    <row r="45" spans="1:17" s="2" customFormat="1">
      <c r="B45" s="14" t="s">
        <v>0</v>
      </c>
      <c r="C45" s="15" t="s">
        <v>71</v>
      </c>
      <c r="D45" s="16" t="s">
        <v>104</v>
      </c>
      <c r="E45" s="35"/>
      <c r="F45" s="14"/>
      <c r="G45" s="14"/>
      <c r="H45" s="14"/>
      <c r="I45" s="14"/>
      <c r="J45" s="14"/>
      <c r="K45" s="14"/>
      <c r="L45" s="14"/>
      <c r="M45" s="14"/>
      <c r="N45" s="14"/>
      <c r="O45" s="14"/>
      <c r="P45" s="14"/>
      <c r="Q45" s="14"/>
    </row>
  </sheetData>
  <autoFilter ref="A13:Q45" xr:uid="{00000000-0009-0000-0000-000002000000}"/>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8570-BB9F-436B-8315-20CA0B094BBC}">
  <dimension ref="A1:N120"/>
  <sheetViews>
    <sheetView zoomScale="85" zoomScaleNormal="85" workbookViewId="0">
      <pane ySplit="5" topLeftCell="A6" activePane="bottomLeft" state="frozen"/>
      <selection pane="bottomLeft"/>
    </sheetView>
  </sheetViews>
  <sheetFormatPr defaultColWidth="9" defaultRowHeight="13.2"/>
  <cols>
    <col min="1" max="1" width="1.33203125" style="3" customWidth="1"/>
    <col min="2" max="2" width="36.109375" style="3" bestFit="1" customWidth="1"/>
    <col min="3" max="3" width="23.77734375" style="3" customWidth="1"/>
    <col min="4" max="4" width="34.88671875" style="3" customWidth="1"/>
    <col min="5" max="5" width="10.109375" style="3" customWidth="1"/>
    <col min="6" max="6" width="17.5546875" style="3" customWidth="1"/>
    <col min="7" max="7" width="31.77734375" style="3" customWidth="1"/>
    <col min="8" max="8" width="8.6640625" style="3" customWidth="1"/>
    <col min="9" max="9" width="19.6640625" style="3" bestFit="1" customWidth="1"/>
    <col min="10" max="10" width="8.109375" style="3" customWidth="1"/>
    <col min="11" max="11" width="8.44140625" style="3" customWidth="1"/>
    <col min="12" max="12" width="13.5546875" style="4" customWidth="1"/>
    <col min="13" max="16384" width="9" style="4"/>
  </cols>
  <sheetData>
    <row r="1" spans="2:12">
      <c r="B1" s="5" t="str">
        <f>HYPERLINK("#导航!a2","返回")</f>
        <v>返回</v>
      </c>
    </row>
    <row r="2" spans="2:12">
      <c r="B2" s="121"/>
      <c r="C2" s="121"/>
      <c r="D2" s="121"/>
      <c r="E2" s="121"/>
      <c r="F2" s="121"/>
      <c r="G2" s="121"/>
      <c r="H2" s="121"/>
    </row>
    <row r="3" spans="2:12">
      <c r="B3" s="122" t="s">
        <v>45</v>
      </c>
      <c r="C3" s="122"/>
      <c r="D3" s="122"/>
      <c r="E3" s="122"/>
      <c r="F3" s="122"/>
      <c r="G3" s="122"/>
      <c r="H3" s="122"/>
    </row>
    <row r="4" spans="2:12" ht="24">
      <c r="B4" s="7" t="s">
        <v>11</v>
      </c>
      <c r="C4" s="7" t="s">
        <v>46</v>
      </c>
      <c r="D4" s="7" t="s">
        <v>47</v>
      </c>
      <c r="E4" s="7" t="s">
        <v>48</v>
      </c>
      <c r="F4" s="11" t="s">
        <v>49</v>
      </c>
      <c r="G4" s="11" t="s">
        <v>14</v>
      </c>
      <c r="H4" s="7" t="s">
        <v>50</v>
      </c>
    </row>
    <row r="5" spans="2:12">
      <c r="B5" s="8" t="s">
        <v>1759</v>
      </c>
      <c r="C5" s="68" t="s">
        <v>1757</v>
      </c>
      <c r="D5" s="10" t="s">
        <v>1758</v>
      </c>
      <c r="E5" s="12" t="s">
        <v>1272</v>
      </c>
      <c r="F5" s="17"/>
      <c r="G5" s="12"/>
      <c r="H5" s="12"/>
    </row>
    <row r="6" spans="2:12">
      <c r="B6" s="6"/>
      <c r="C6" s="6"/>
      <c r="D6" s="6"/>
      <c r="E6" s="6"/>
      <c r="F6" s="18"/>
      <c r="G6" s="18"/>
      <c r="H6" s="6"/>
    </row>
    <row r="7" spans="2:12">
      <c r="B7" s="122" t="s">
        <v>51</v>
      </c>
      <c r="C7" s="122"/>
      <c r="D7" s="122"/>
      <c r="E7" s="122"/>
      <c r="F7" s="122"/>
      <c r="G7" s="122"/>
      <c r="H7" s="122"/>
    </row>
    <row r="8" spans="2:12">
      <c r="B8" s="11" t="s">
        <v>52</v>
      </c>
      <c r="C8" s="11" t="s">
        <v>53</v>
      </c>
      <c r="D8" s="11" t="s">
        <v>54</v>
      </c>
      <c r="E8" s="11" t="s">
        <v>55</v>
      </c>
      <c r="F8" s="11" t="s">
        <v>56</v>
      </c>
      <c r="G8" s="11" t="s">
        <v>24</v>
      </c>
      <c r="H8" s="11" t="s">
        <v>57</v>
      </c>
    </row>
    <row r="9" spans="2:12">
      <c r="B9" s="12"/>
      <c r="C9" s="9" t="s">
        <v>1851</v>
      </c>
      <c r="D9" s="10" t="s">
        <v>1852</v>
      </c>
      <c r="E9" s="12" t="s">
        <v>58</v>
      </c>
      <c r="F9" s="19"/>
      <c r="G9" s="19"/>
      <c r="H9" s="20" t="s">
        <v>30</v>
      </c>
    </row>
    <row r="10" spans="2:12" ht="39.6">
      <c r="B10" s="12"/>
      <c r="C10" s="9" t="s">
        <v>444</v>
      </c>
      <c r="D10" s="9" t="s">
        <v>1242</v>
      </c>
      <c r="E10" s="12" t="s">
        <v>665</v>
      </c>
      <c r="F10" s="19"/>
      <c r="G10" s="22" t="s">
        <v>1646</v>
      </c>
      <c r="H10" s="20"/>
    </row>
    <row r="11" spans="2:12">
      <c r="B11" s="12"/>
      <c r="C11" s="45" t="s">
        <v>1760</v>
      </c>
      <c r="D11" s="46" t="s">
        <v>1761</v>
      </c>
      <c r="E11" s="12" t="s">
        <v>658</v>
      </c>
      <c r="F11" s="19"/>
      <c r="G11" s="19" t="s">
        <v>1762</v>
      </c>
      <c r="H11" s="20"/>
    </row>
    <row r="13" spans="2:12">
      <c r="B13" s="3" t="s">
        <v>59</v>
      </c>
    </row>
    <row r="14" spans="2:12">
      <c r="B14" s="122" t="s">
        <v>59</v>
      </c>
      <c r="C14" s="122"/>
      <c r="D14" s="122"/>
      <c r="E14" s="122"/>
      <c r="F14" s="122"/>
      <c r="G14" s="122"/>
      <c r="H14" s="122"/>
      <c r="I14" s="122"/>
      <c r="J14" s="122"/>
      <c r="K14" s="122"/>
      <c r="L14" s="122"/>
    </row>
    <row r="15" spans="2:12" ht="24">
      <c r="B15" s="7" t="s">
        <v>60</v>
      </c>
      <c r="C15" s="7" t="s">
        <v>61</v>
      </c>
      <c r="D15" s="7" t="s">
        <v>62</v>
      </c>
      <c r="E15" s="7" t="s">
        <v>63</v>
      </c>
      <c r="F15" s="11" t="s">
        <v>64</v>
      </c>
      <c r="G15" s="11" t="s">
        <v>65</v>
      </c>
      <c r="H15" s="7" t="s">
        <v>66</v>
      </c>
      <c r="I15" s="7" t="s">
        <v>24</v>
      </c>
      <c r="J15" s="7" t="s">
        <v>67</v>
      </c>
      <c r="K15" s="7" t="s">
        <v>68</v>
      </c>
      <c r="L15" s="7" t="s">
        <v>69</v>
      </c>
    </row>
    <row r="16" spans="2:12" s="1" customFormat="1">
      <c r="B16" s="13" t="s">
        <v>76</v>
      </c>
      <c r="C16" s="13" t="s">
        <v>75</v>
      </c>
      <c r="D16" s="9" t="s">
        <v>2253</v>
      </c>
      <c r="E16" s="21" t="s">
        <v>587</v>
      </c>
      <c r="F16" s="19" t="str">
        <f>B16</f>
        <v>interface</v>
      </c>
      <c r="G16" s="19" t="s">
        <v>302</v>
      </c>
      <c r="H16" s="23"/>
      <c r="I16" s="25"/>
      <c r="J16" s="25" t="s">
        <v>1158</v>
      </c>
      <c r="K16" s="25" t="s">
        <v>305</v>
      </c>
      <c r="L16" s="25" t="s">
        <v>305</v>
      </c>
    </row>
    <row r="17" spans="2:12" s="1" customFormat="1">
      <c r="B17" s="13" t="s">
        <v>108</v>
      </c>
      <c r="C17" s="13" t="s">
        <v>71</v>
      </c>
      <c r="D17" s="9" t="s">
        <v>2336</v>
      </c>
      <c r="E17" s="21" t="s">
        <v>587</v>
      </c>
      <c r="F17" s="19" t="str">
        <f>B17</f>
        <v>imsi</v>
      </c>
      <c r="G17" s="19" t="s">
        <v>302</v>
      </c>
      <c r="H17" s="23"/>
      <c r="I17" s="25"/>
      <c r="J17" s="25" t="s">
        <v>1158</v>
      </c>
      <c r="K17" s="25" t="s">
        <v>305</v>
      </c>
      <c r="L17" s="25" t="s">
        <v>305</v>
      </c>
    </row>
    <row r="18" spans="2:12" s="1" customFormat="1">
      <c r="B18" s="13" t="s">
        <v>94</v>
      </c>
      <c r="C18" s="13" t="s">
        <v>71</v>
      </c>
      <c r="D18" s="9" t="s">
        <v>95</v>
      </c>
      <c r="E18" s="21" t="s">
        <v>587</v>
      </c>
      <c r="F18" s="19"/>
      <c r="G18" s="19" t="s">
        <v>1269</v>
      </c>
      <c r="H18" s="23"/>
      <c r="I18" s="25"/>
      <c r="J18" s="25" t="s">
        <v>1158</v>
      </c>
      <c r="K18" s="25" t="s">
        <v>305</v>
      </c>
      <c r="L18" s="25" t="s">
        <v>305</v>
      </c>
    </row>
    <row r="19" spans="2:12" s="1" customFormat="1">
      <c r="B19" s="13" t="s">
        <v>123</v>
      </c>
      <c r="C19" s="13" t="s">
        <v>71</v>
      </c>
      <c r="D19" s="9" t="s">
        <v>2426</v>
      </c>
      <c r="E19" s="21" t="s">
        <v>587</v>
      </c>
      <c r="F19" s="19" t="str">
        <f t="shared" ref="F19:F65" si="0">B19</f>
        <v>imei</v>
      </c>
      <c r="G19" s="19" t="s">
        <v>302</v>
      </c>
      <c r="H19" s="23"/>
      <c r="I19" s="25"/>
      <c r="J19" s="25" t="s">
        <v>1158</v>
      </c>
      <c r="K19" s="25" t="s">
        <v>305</v>
      </c>
      <c r="L19" s="25" t="s">
        <v>305</v>
      </c>
    </row>
    <row r="20" spans="2:12" s="1" customFormat="1">
      <c r="B20" s="13" t="s">
        <v>460</v>
      </c>
      <c r="C20" s="13" t="s">
        <v>71</v>
      </c>
      <c r="D20" s="9" t="s">
        <v>1069</v>
      </c>
      <c r="E20" s="21" t="s">
        <v>587</v>
      </c>
      <c r="F20" s="19" t="str">
        <f t="shared" si="0"/>
        <v>apn</v>
      </c>
      <c r="G20" s="19" t="s">
        <v>302</v>
      </c>
      <c r="H20" s="23"/>
      <c r="I20" s="25"/>
      <c r="J20" s="25" t="s">
        <v>1158</v>
      </c>
      <c r="K20" s="25" t="s">
        <v>305</v>
      </c>
      <c r="L20" s="25" t="s">
        <v>305</v>
      </c>
    </row>
    <row r="21" spans="2:12" s="1" customFormat="1">
      <c r="B21" s="13" t="s">
        <v>1763</v>
      </c>
      <c r="C21" s="13" t="s">
        <v>71</v>
      </c>
      <c r="D21" s="9" t="s">
        <v>2427</v>
      </c>
      <c r="E21" s="21" t="s">
        <v>587</v>
      </c>
      <c r="F21" s="19" t="str">
        <f t="shared" si="0"/>
        <v>destinationip</v>
      </c>
      <c r="G21" s="19" t="s">
        <v>302</v>
      </c>
      <c r="H21" s="23"/>
      <c r="I21" s="25"/>
      <c r="J21" s="25" t="s">
        <v>1158</v>
      </c>
      <c r="K21" s="25" t="s">
        <v>305</v>
      </c>
      <c r="L21" s="25" t="s">
        <v>305</v>
      </c>
    </row>
    <row r="22" spans="2:12" s="1" customFormat="1">
      <c r="B22" s="13" t="s">
        <v>1764</v>
      </c>
      <c r="C22" s="13" t="s">
        <v>75</v>
      </c>
      <c r="D22" s="9" t="s">
        <v>2428</v>
      </c>
      <c r="E22" s="21" t="s">
        <v>587</v>
      </c>
      <c r="F22" s="19" t="str">
        <f t="shared" si="0"/>
        <v>destinationport</v>
      </c>
      <c r="G22" s="19" t="s">
        <v>302</v>
      </c>
      <c r="H22" s="23"/>
      <c r="I22" s="25"/>
      <c r="J22" s="25" t="s">
        <v>1158</v>
      </c>
      <c r="K22" s="25" t="s">
        <v>305</v>
      </c>
      <c r="L22" s="25" t="s">
        <v>305</v>
      </c>
    </row>
    <row r="23" spans="2:12" s="1" customFormat="1">
      <c r="B23" s="13" t="s">
        <v>1765</v>
      </c>
      <c r="C23" s="13" t="s">
        <v>71</v>
      </c>
      <c r="D23" s="9" t="s">
        <v>2429</v>
      </c>
      <c r="E23" s="21" t="s">
        <v>587</v>
      </c>
      <c r="F23" s="19" t="str">
        <f t="shared" si="0"/>
        <v>sourceip</v>
      </c>
      <c r="G23" s="19" t="s">
        <v>302</v>
      </c>
      <c r="H23" s="23"/>
      <c r="I23" s="25"/>
      <c r="J23" s="25" t="s">
        <v>1158</v>
      </c>
      <c r="K23" s="25" t="s">
        <v>305</v>
      </c>
      <c r="L23" s="25" t="s">
        <v>305</v>
      </c>
    </row>
    <row r="24" spans="2:12" s="1" customFormat="1">
      <c r="B24" s="13" t="s">
        <v>1766</v>
      </c>
      <c r="C24" s="13" t="s">
        <v>75</v>
      </c>
      <c r="D24" s="9" t="s">
        <v>2430</v>
      </c>
      <c r="E24" s="21" t="s">
        <v>587</v>
      </c>
      <c r="F24" s="19" t="str">
        <f t="shared" si="0"/>
        <v>sourceport</v>
      </c>
      <c r="G24" s="19" t="s">
        <v>302</v>
      </c>
      <c r="H24" s="23"/>
      <c r="I24" s="25"/>
      <c r="J24" s="25" t="s">
        <v>1158</v>
      </c>
      <c r="K24" s="25" t="s">
        <v>305</v>
      </c>
      <c r="L24" s="25" t="s">
        <v>305</v>
      </c>
    </row>
    <row r="25" spans="2:12" s="1" customFormat="1">
      <c r="B25" s="13" t="s">
        <v>1650</v>
      </c>
      <c r="C25" s="13" t="s">
        <v>71</v>
      </c>
      <c r="D25" s="9" t="s">
        <v>2431</v>
      </c>
      <c r="E25" s="21" t="s">
        <v>587</v>
      </c>
      <c r="F25" s="19" t="str">
        <f t="shared" si="0"/>
        <v>sgwip</v>
      </c>
      <c r="G25" s="19" t="s">
        <v>302</v>
      </c>
      <c r="H25" s="23"/>
      <c r="I25" s="25"/>
      <c r="J25" s="25" t="s">
        <v>1158</v>
      </c>
      <c r="K25" s="25" t="s">
        <v>305</v>
      </c>
      <c r="L25" s="25" t="s">
        <v>305</v>
      </c>
    </row>
    <row r="26" spans="2:12" s="1" customFormat="1">
      <c r="B26" s="13" t="s">
        <v>1671</v>
      </c>
      <c r="C26" s="13" t="s">
        <v>71</v>
      </c>
      <c r="D26" s="9" t="s">
        <v>2432</v>
      </c>
      <c r="E26" s="21" t="s">
        <v>587</v>
      </c>
      <c r="F26" s="19" t="str">
        <f t="shared" si="0"/>
        <v>mmeip</v>
      </c>
      <c r="G26" s="19" t="s">
        <v>302</v>
      </c>
      <c r="H26" s="23"/>
      <c r="I26" s="95"/>
      <c r="J26" s="25" t="s">
        <v>1158</v>
      </c>
      <c r="K26" s="25" t="s">
        <v>305</v>
      </c>
      <c r="L26" s="25" t="s">
        <v>305</v>
      </c>
    </row>
    <row r="27" spans="2:12" s="1" customFormat="1">
      <c r="B27" s="13" t="s">
        <v>1676</v>
      </c>
      <c r="C27" s="13" t="s">
        <v>71</v>
      </c>
      <c r="D27" s="9" t="s">
        <v>2433</v>
      </c>
      <c r="E27" s="21" t="s">
        <v>587</v>
      </c>
      <c r="F27" s="19" t="str">
        <f t="shared" si="0"/>
        <v>pgwip</v>
      </c>
      <c r="G27" s="19" t="s">
        <v>302</v>
      </c>
      <c r="H27" s="23"/>
      <c r="I27" s="90"/>
      <c r="J27" s="25" t="s">
        <v>1158</v>
      </c>
      <c r="K27" s="25" t="s">
        <v>305</v>
      </c>
      <c r="L27" s="25" t="s">
        <v>305</v>
      </c>
    </row>
    <row r="28" spans="2:12" s="1" customFormat="1" ht="26.4">
      <c r="B28" s="13" t="s">
        <v>1055</v>
      </c>
      <c r="C28" s="13" t="s">
        <v>71</v>
      </c>
      <c r="D28" s="9" t="s">
        <v>2434</v>
      </c>
      <c r="E28" s="21" t="s">
        <v>587</v>
      </c>
      <c r="F28" s="19" t="str">
        <f t="shared" si="0"/>
        <v>ecgi</v>
      </c>
      <c r="G28" s="19" t="s">
        <v>302</v>
      </c>
      <c r="H28" s="23"/>
      <c r="I28" s="95" t="s">
        <v>1648</v>
      </c>
      <c r="J28" s="25" t="s">
        <v>1158</v>
      </c>
      <c r="K28" s="25" t="s">
        <v>305</v>
      </c>
      <c r="L28" s="25" t="s">
        <v>305</v>
      </c>
    </row>
    <row r="29" spans="2:12" s="1" customFormat="1">
      <c r="B29" s="13" t="s">
        <v>635</v>
      </c>
      <c r="C29" s="13" t="s">
        <v>71</v>
      </c>
      <c r="D29" s="9" t="s">
        <v>2435</v>
      </c>
      <c r="E29" s="21" t="s">
        <v>587</v>
      </c>
      <c r="F29" s="19" t="str">
        <f t="shared" si="0"/>
        <v>tai</v>
      </c>
      <c r="G29" s="19" t="s">
        <v>302</v>
      </c>
      <c r="H29" s="23"/>
      <c r="I29" s="25" t="s">
        <v>1898</v>
      </c>
      <c r="J29" s="25" t="s">
        <v>1158</v>
      </c>
      <c r="K29" s="25" t="s">
        <v>305</v>
      </c>
      <c r="L29" s="25" t="s">
        <v>305</v>
      </c>
    </row>
    <row r="30" spans="2:12" s="1" customFormat="1">
      <c r="B30" s="13" t="s">
        <v>1767</v>
      </c>
      <c r="C30" s="13" t="s">
        <v>71</v>
      </c>
      <c r="D30" s="9" t="s">
        <v>2436</v>
      </c>
      <c r="E30" s="21" t="s">
        <v>587</v>
      </c>
      <c r="F30" s="19" t="str">
        <f t="shared" si="0"/>
        <v>visitedplmnid</v>
      </c>
      <c r="G30" s="19" t="s">
        <v>302</v>
      </c>
      <c r="H30" s="23"/>
      <c r="I30" s="25"/>
      <c r="J30" s="25" t="s">
        <v>1158</v>
      </c>
      <c r="K30" s="25" t="s">
        <v>305</v>
      </c>
      <c r="L30" s="25" t="s">
        <v>305</v>
      </c>
    </row>
    <row r="31" spans="2:12" s="1" customFormat="1">
      <c r="B31" s="13" t="s">
        <v>1580</v>
      </c>
      <c r="C31" s="13" t="s">
        <v>75</v>
      </c>
      <c r="D31" s="9" t="s">
        <v>2257</v>
      </c>
      <c r="E31" s="21" t="s">
        <v>587</v>
      </c>
      <c r="F31" s="19" t="str">
        <f t="shared" si="0"/>
        <v>rattype</v>
      </c>
      <c r="G31" s="19" t="s">
        <v>302</v>
      </c>
      <c r="H31" s="23"/>
      <c r="I31" s="25"/>
      <c r="J31" s="25" t="s">
        <v>1158</v>
      </c>
      <c r="K31" s="25" t="s">
        <v>305</v>
      </c>
      <c r="L31" s="25" t="s">
        <v>305</v>
      </c>
    </row>
    <row r="32" spans="2:12" s="1" customFormat="1">
      <c r="B32" s="13" t="s">
        <v>1768</v>
      </c>
      <c r="C32" s="13" t="s">
        <v>75</v>
      </c>
      <c r="D32" s="9" t="s">
        <v>2437</v>
      </c>
      <c r="E32" s="21" t="s">
        <v>587</v>
      </c>
      <c r="F32" s="19" t="str">
        <f t="shared" si="0"/>
        <v>protocolid</v>
      </c>
      <c r="G32" s="19" t="s">
        <v>302</v>
      </c>
      <c r="H32" s="23"/>
      <c r="I32" s="25"/>
      <c r="J32" s="25" t="s">
        <v>1158</v>
      </c>
      <c r="K32" s="25" t="s">
        <v>305</v>
      </c>
      <c r="L32" s="25" t="s">
        <v>305</v>
      </c>
    </row>
    <row r="33" spans="2:12" s="1" customFormat="1">
      <c r="B33" s="13" t="s">
        <v>1590</v>
      </c>
      <c r="C33" s="13" t="s">
        <v>71</v>
      </c>
      <c r="D33" s="9" t="s">
        <v>2338</v>
      </c>
      <c r="E33" s="21" t="s">
        <v>587</v>
      </c>
      <c r="F33" s="19"/>
      <c r="G33" s="19" t="s">
        <v>1903</v>
      </c>
      <c r="H33" s="23"/>
      <c r="I33" s="25"/>
      <c r="J33" s="25" t="s">
        <v>1158</v>
      </c>
      <c r="K33" s="25" t="s">
        <v>305</v>
      </c>
      <c r="L33" s="25" t="s">
        <v>305</v>
      </c>
    </row>
    <row r="34" spans="2:12" s="1" customFormat="1">
      <c r="B34" s="13" t="s">
        <v>1769</v>
      </c>
      <c r="C34" s="13" t="s">
        <v>71</v>
      </c>
      <c r="D34" s="9" t="s">
        <v>2438</v>
      </c>
      <c r="E34" s="21" t="s">
        <v>587</v>
      </c>
      <c r="F34" s="19" t="str">
        <f t="shared" si="0"/>
        <v>starttime</v>
      </c>
      <c r="G34" s="19" t="s">
        <v>302</v>
      </c>
      <c r="H34" s="23"/>
      <c r="I34" s="25"/>
      <c r="J34" s="25" t="s">
        <v>1158</v>
      </c>
      <c r="K34" s="25" t="s">
        <v>305</v>
      </c>
      <c r="L34" s="25" t="s">
        <v>305</v>
      </c>
    </row>
    <row r="35" spans="2:12" s="1" customFormat="1">
      <c r="B35" s="13" t="s">
        <v>1770</v>
      </c>
      <c r="C35" s="13" t="s">
        <v>71</v>
      </c>
      <c r="D35" s="9" t="s">
        <v>2438</v>
      </c>
      <c r="E35" s="21" t="s">
        <v>587</v>
      </c>
      <c r="F35" s="19" t="str">
        <f t="shared" si="0"/>
        <v>endtime</v>
      </c>
      <c r="G35" s="19" t="s">
        <v>302</v>
      </c>
      <c r="H35" s="23"/>
      <c r="I35" s="25"/>
      <c r="J35" s="25" t="s">
        <v>1158</v>
      </c>
      <c r="K35" s="25" t="s">
        <v>305</v>
      </c>
      <c r="L35" s="25" t="s">
        <v>305</v>
      </c>
    </row>
    <row r="36" spans="2:12" s="1" customFormat="1">
      <c r="B36" s="13" t="s">
        <v>1771</v>
      </c>
      <c r="C36" s="13" t="s">
        <v>98</v>
      </c>
      <c r="D36" s="9" t="s">
        <v>2439</v>
      </c>
      <c r="E36" s="21" t="s">
        <v>587</v>
      </c>
      <c r="F36" s="19" t="str">
        <f t="shared" si="0"/>
        <v>duration</v>
      </c>
      <c r="G36" s="19" t="s">
        <v>302</v>
      </c>
      <c r="H36" s="23"/>
      <c r="I36" s="25"/>
      <c r="J36" s="25" t="s">
        <v>1158</v>
      </c>
      <c r="K36" s="25" t="s">
        <v>305</v>
      </c>
      <c r="L36" s="25" t="s">
        <v>305</v>
      </c>
    </row>
    <row r="37" spans="2:12" s="1" customFormat="1">
      <c r="B37" s="13" t="s">
        <v>1772</v>
      </c>
      <c r="C37" s="13" t="s">
        <v>98</v>
      </c>
      <c r="D37" s="9" t="s">
        <v>2440</v>
      </c>
      <c r="E37" s="21" t="s">
        <v>587</v>
      </c>
      <c r="F37" s="19" t="str">
        <f t="shared" si="0"/>
        <v>inputoctets</v>
      </c>
      <c r="G37" s="19" t="s">
        <v>302</v>
      </c>
      <c r="H37" s="23"/>
      <c r="I37" s="25"/>
      <c r="J37" s="25" t="s">
        <v>1158</v>
      </c>
      <c r="K37" s="25" t="s">
        <v>305</v>
      </c>
      <c r="L37" s="25" t="s">
        <v>305</v>
      </c>
    </row>
    <row r="38" spans="2:12" s="1" customFormat="1">
      <c r="B38" s="13" t="s">
        <v>1773</v>
      </c>
      <c r="C38" s="13" t="s">
        <v>98</v>
      </c>
      <c r="D38" s="9" t="s">
        <v>2441</v>
      </c>
      <c r="E38" s="21" t="s">
        <v>587</v>
      </c>
      <c r="F38" s="19" t="str">
        <f t="shared" si="0"/>
        <v>outputoctets</v>
      </c>
      <c r="G38" s="19" t="s">
        <v>302</v>
      </c>
      <c r="H38" s="23"/>
      <c r="I38" s="25"/>
      <c r="J38" s="25" t="s">
        <v>1158</v>
      </c>
      <c r="K38" s="25" t="s">
        <v>305</v>
      </c>
      <c r="L38" s="25" t="s">
        <v>305</v>
      </c>
    </row>
    <row r="39" spans="2:12" s="1" customFormat="1">
      <c r="B39" s="13" t="s">
        <v>1774</v>
      </c>
      <c r="C39" s="13" t="s">
        <v>98</v>
      </c>
      <c r="D39" s="9" t="s">
        <v>2272</v>
      </c>
      <c r="E39" s="21" t="s">
        <v>587</v>
      </c>
      <c r="F39" s="19" t="str">
        <f t="shared" si="0"/>
        <v>inputpacket</v>
      </c>
      <c r="G39" s="19" t="s">
        <v>302</v>
      </c>
      <c r="H39" s="23"/>
      <c r="I39" s="25"/>
      <c r="J39" s="25" t="s">
        <v>1158</v>
      </c>
      <c r="K39" s="25" t="s">
        <v>305</v>
      </c>
      <c r="L39" s="25" t="s">
        <v>305</v>
      </c>
    </row>
    <row r="40" spans="2:12" s="1" customFormat="1">
      <c r="B40" s="13" t="s">
        <v>1775</v>
      </c>
      <c r="C40" s="13" t="s">
        <v>98</v>
      </c>
      <c r="D40" s="9" t="s">
        <v>2273</v>
      </c>
      <c r="E40" s="21" t="s">
        <v>587</v>
      </c>
      <c r="F40" s="19" t="str">
        <f t="shared" si="0"/>
        <v>outputpacket</v>
      </c>
      <c r="G40" s="19" t="s">
        <v>302</v>
      </c>
      <c r="H40" s="23"/>
      <c r="I40" s="25"/>
      <c r="J40" s="25" t="s">
        <v>1158</v>
      </c>
      <c r="K40" s="25" t="s">
        <v>305</v>
      </c>
      <c r="L40" s="25" t="s">
        <v>305</v>
      </c>
    </row>
    <row r="41" spans="2:12" s="1" customFormat="1">
      <c r="B41" s="13" t="s">
        <v>1853</v>
      </c>
      <c r="C41" s="13" t="s">
        <v>71</v>
      </c>
      <c r="D41" s="9" t="s">
        <v>2442</v>
      </c>
      <c r="E41" s="21" t="s">
        <v>587</v>
      </c>
      <c r="F41" s="19" t="str">
        <f t="shared" si="0"/>
        <v>pdnconnectionid</v>
      </c>
      <c r="G41" s="19" t="s">
        <v>302</v>
      </c>
      <c r="H41" s="23"/>
      <c r="I41" s="25"/>
      <c r="J41" s="25" t="s">
        <v>1158</v>
      </c>
      <c r="K41" s="25" t="s">
        <v>305</v>
      </c>
      <c r="L41" s="25" t="s">
        <v>305</v>
      </c>
    </row>
    <row r="42" spans="2:12" s="1" customFormat="1">
      <c r="B42" s="13" t="s">
        <v>1854</v>
      </c>
      <c r="C42" s="13" t="s">
        <v>75</v>
      </c>
      <c r="D42" s="9" t="s">
        <v>2443</v>
      </c>
      <c r="E42" s="21" t="s">
        <v>587</v>
      </c>
      <c r="F42" s="19" t="str">
        <f t="shared" si="0"/>
        <v>bearerid</v>
      </c>
      <c r="G42" s="19" t="s">
        <v>302</v>
      </c>
      <c r="H42" s="23"/>
      <c r="I42" s="25"/>
      <c r="J42" s="25" t="s">
        <v>1158</v>
      </c>
      <c r="K42" s="25" t="s">
        <v>305</v>
      </c>
      <c r="L42" s="25" t="s">
        <v>305</v>
      </c>
    </row>
    <row r="43" spans="2:12" s="1" customFormat="1">
      <c r="B43" s="13" t="s">
        <v>1855</v>
      </c>
      <c r="C43" s="13" t="s">
        <v>71</v>
      </c>
      <c r="D43" s="9" t="s">
        <v>2444</v>
      </c>
      <c r="E43" s="21" t="s">
        <v>587</v>
      </c>
      <c r="F43" s="19" t="str">
        <f t="shared" si="0"/>
        <v>bearerqos</v>
      </c>
      <c r="G43" s="19" t="s">
        <v>302</v>
      </c>
      <c r="H43" s="23"/>
      <c r="I43" s="25"/>
      <c r="J43" s="25" t="s">
        <v>1158</v>
      </c>
      <c r="K43" s="25" t="s">
        <v>305</v>
      </c>
      <c r="L43" s="25" t="s">
        <v>305</v>
      </c>
    </row>
    <row r="44" spans="2:12" s="1" customFormat="1">
      <c r="B44" s="13" t="s">
        <v>1776</v>
      </c>
      <c r="C44" s="13" t="s">
        <v>75</v>
      </c>
      <c r="D44" s="9" t="s">
        <v>2445</v>
      </c>
      <c r="E44" s="21" t="s">
        <v>587</v>
      </c>
      <c r="F44" s="19" t="str">
        <f t="shared" si="0"/>
        <v>recordclosecause</v>
      </c>
      <c r="G44" s="19" t="s">
        <v>302</v>
      </c>
      <c r="H44" s="23"/>
      <c r="I44" s="25"/>
      <c r="J44" s="25" t="s">
        <v>1158</v>
      </c>
      <c r="K44" s="25" t="s">
        <v>305</v>
      </c>
      <c r="L44" s="25" t="s">
        <v>305</v>
      </c>
    </row>
    <row r="45" spans="2:12" s="1" customFormat="1">
      <c r="B45" s="13" t="s">
        <v>1652</v>
      </c>
      <c r="C45" s="13" t="s">
        <v>71</v>
      </c>
      <c r="D45" s="9" t="s">
        <v>1882</v>
      </c>
      <c r="E45" s="21" t="s">
        <v>587</v>
      </c>
      <c r="F45" s="19" t="str">
        <f t="shared" si="0"/>
        <v>enbip</v>
      </c>
      <c r="G45" s="19" t="s">
        <v>302</v>
      </c>
      <c r="H45" s="23"/>
      <c r="I45" s="25"/>
      <c r="J45" s="25" t="s">
        <v>1158</v>
      </c>
      <c r="K45" s="25" t="s">
        <v>305</v>
      </c>
      <c r="L45" s="25" t="s">
        <v>305</v>
      </c>
    </row>
    <row r="46" spans="2:12" s="1" customFormat="1">
      <c r="B46" s="13" t="s">
        <v>1856</v>
      </c>
      <c r="C46" s="13" t="s">
        <v>75</v>
      </c>
      <c r="D46" s="9" t="s">
        <v>1883</v>
      </c>
      <c r="E46" s="21" t="s">
        <v>587</v>
      </c>
      <c r="F46" s="19" t="str">
        <f t="shared" si="0"/>
        <v>sgwport</v>
      </c>
      <c r="G46" s="19" t="s">
        <v>302</v>
      </c>
      <c r="H46" s="23"/>
      <c r="I46" s="25"/>
      <c r="J46" s="25" t="s">
        <v>1158</v>
      </c>
      <c r="K46" s="25" t="s">
        <v>305</v>
      </c>
      <c r="L46" s="25" t="s">
        <v>305</v>
      </c>
    </row>
    <row r="47" spans="2:12" s="1" customFormat="1">
      <c r="B47" s="13" t="s">
        <v>458</v>
      </c>
      <c r="C47" s="13" t="s">
        <v>75</v>
      </c>
      <c r="D47" s="9" t="s">
        <v>522</v>
      </c>
      <c r="E47" s="21" t="s">
        <v>587</v>
      </c>
      <c r="F47" s="19" t="str">
        <f t="shared" si="0"/>
        <v>enbport</v>
      </c>
      <c r="G47" s="19" t="s">
        <v>302</v>
      </c>
      <c r="H47" s="23"/>
      <c r="I47" s="25"/>
      <c r="J47" s="25" t="s">
        <v>1158</v>
      </c>
      <c r="K47" s="25" t="s">
        <v>305</v>
      </c>
      <c r="L47" s="25" t="s">
        <v>305</v>
      </c>
    </row>
    <row r="48" spans="2:12" s="1" customFormat="1">
      <c r="B48" s="13" t="s">
        <v>1857</v>
      </c>
      <c r="C48" s="13" t="s">
        <v>75</v>
      </c>
      <c r="D48" s="9" t="s">
        <v>1884</v>
      </c>
      <c r="E48" s="21" t="s">
        <v>587</v>
      </c>
      <c r="F48" s="19" t="str">
        <f t="shared" si="0"/>
        <v>enbgtp_teid</v>
      </c>
      <c r="G48" s="19" t="s">
        <v>302</v>
      </c>
      <c r="H48" s="23"/>
      <c r="I48" s="25"/>
      <c r="J48" s="25" t="s">
        <v>1158</v>
      </c>
      <c r="K48" s="25" t="s">
        <v>305</v>
      </c>
      <c r="L48" s="25" t="s">
        <v>305</v>
      </c>
    </row>
    <row r="49" spans="2:12" s="1" customFormat="1">
      <c r="B49" s="13" t="s">
        <v>1858</v>
      </c>
      <c r="C49" s="13" t="s">
        <v>75</v>
      </c>
      <c r="D49" s="9" t="s">
        <v>1885</v>
      </c>
      <c r="E49" s="21" t="s">
        <v>587</v>
      </c>
      <c r="F49" s="19" t="str">
        <f t="shared" si="0"/>
        <v>sgwgtp_teid</v>
      </c>
      <c r="G49" s="19" t="s">
        <v>302</v>
      </c>
      <c r="H49" s="23"/>
      <c r="I49" s="25"/>
      <c r="J49" s="25" t="s">
        <v>1158</v>
      </c>
      <c r="K49" s="25" t="s">
        <v>305</v>
      </c>
      <c r="L49" s="25" t="s">
        <v>305</v>
      </c>
    </row>
    <row r="50" spans="2:12" s="1" customFormat="1">
      <c r="B50" s="13" t="s">
        <v>1859</v>
      </c>
      <c r="C50" s="13" t="s">
        <v>75</v>
      </c>
      <c r="D50" s="9" t="s">
        <v>2446</v>
      </c>
      <c r="E50" s="21" t="s">
        <v>587</v>
      </c>
      <c r="F50" s="19" t="str">
        <f t="shared" si="0"/>
        <v>pgwport</v>
      </c>
      <c r="G50" s="19" t="s">
        <v>302</v>
      </c>
      <c r="H50" s="23"/>
      <c r="I50" s="25"/>
      <c r="J50" s="25" t="s">
        <v>1158</v>
      </c>
      <c r="K50" s="25" t="s">
        <v>305</v>
      </c>
      <c r="L50" s="25" t="s">
        <v>305</v>
      </c>
    </row>
    <row r="51" spans="2:12" s="1" customFormat="1">
      <c r="B51" s="13" t="s">
        <v>1860</v>
      </c>
      <c r="C51" s="13" t="s">
        <v>98</v>
      </c>
      <c r="D51" s="9" t="s">
        <v>2447</v>
      </c>
      <c r="E51" s="21" t="s">
        <v>587</v>
      </c>
      <c r="F51" s="19" t="str">
        <f t="shared" si="0"/>
        <v>mme_ue_s1ap_id</v>
      </c>
      <c r="G51" s="19" t="s">
        <v>302</v>
      </c>
      <c r="H51" s="23"/>
      <c r="I51" s="25"/>
      <c r="J51" s="25" t="s">
        <v>1158</v>
      </c>
      <c r="K51" s="25" t="s">
        <v>305</v>
      </c>
      <c r="L51" s="25" t="s">
        <v>305</v>
      </c>
    </row>
    <row r="52" spans="2:12" s="1" customFormat="1">
      <c r="B52" s="13" t="s">
        <v>1861</v>
      </c>
      <c r="C52" s="13" t="s">
        <v>98</v>
      </c>
      <c r="D52" s="9" t="s">
        <v>2448</v>
      </c>
      <c r="E52" s="21" t="s">
        <v>587</v>
      </c>
      <c r="F52" s="19" t="str">
        <f t="shared" si="0"/>
        <v>enb_ue_s1ap_id</v>
      </c>
      <c r="G52" s="19" t="s">
        <v>302</v>
      </c>
      <c r="H52" s="23"/>
      <c r="I52" s="25"/>
      <c r="J52" s="25" t="s">
        <v>1158</v>
      </c>
      <c r="K52" s="25" t="s">
        <v>305</v>
      </c>
      <c r="L52" s="25" t="s">
        <v>305</v>
      </c>
    </row>
    <row r="53" spans="2:12" s="1" customFormat="1">
      <c r="B53" s="13" t="s">
        <v>1862</v>
      </c>
      <c r="C53" s="13" t="s">
        <v>75</v>
      </c>
      <c r="D53" s="9" t="s">
        <v>2449</v>
      </c>
      <c r="E53" s="21" t="s">
        <v>587</v>
      </c>
      <c r="F53" s="19" t="str">
        <f t="shared" si="0"/>
        <v>mme_group_id</v>
      </c>
      <c r="G53" s="19" t="s">
        <v>302</v>
      </c>
      <c r="H53" s="23"/>
      <c r="I53" s="25"/>
      <c r="J53" s="25" t="s">
        <v>1158</v>
      </c>
      <c r="K53" s="25" t="s">
        <v>305</v>
      </c>
      <c r="L53" s="25" t="s">
        <v>305</v>
      </c>
    </row>
    <row r="54" spans="2:12" s="1" customFormat="1">
      <c r="B54" s="13" t="s">
        <v>1863</v>
      </c>
      <c r="C54" s="13" t="s">
        <v>75</v>
      </c>
      <c r="D54" s="9" t="s">
        <v>2450</v>
      </c>
      <c r="E54" s="21" t="s">
        <v>587</v>
      </c>
      <c r="F54" s="19" t="str">
        <f t="shared" si="0"/>
        <v>mme_code</v>
      </c>
      <c r="G54" s="19" t="s">
        <v>302</v>
      </c>
      <c r="H54" s="23"/>
      <c r="I54" s="25"/>
      <c r="J54" s="25" t="s">
        <v>1158</v>
      </c>
      <c r="K54" s="25" t="s">
        <v>305</v>
      </c>
      <c r="L54" s="25" t="s">
        <v>305</v>
      </c>
    </row>
    <row r="55" spans="2:12" s="1" customFormat="1">
      <c r="B55" s="13" t="s">
        <v>610</v>
      </c>
      <c r="C55" s="13" t="s">
        <v>75</v>
      </c>
      <c r="D55" s="9" t="s">
        <v>112</v>
      </c>
      <c r="E55" s="21" t="s">
        <v>587</v>
      </c>
      <c r="F55" s="19" t="str">
        <f t="shared" si="0"/>
        <v>enbid</v>
      </c>
      <c r="G55" s="19" t="s">
        <v>302</v>
      </c>
      <c r="H55" s="23"/>
      <c r="I55" s="25"/>
      <c r="J55" s="25" t="s">
        <v>1158</v>
      </c>
      <c r="K55" s="25" t="s">
        <v>305</v>
      </c>
      <c r="L55" s="25" t="s">
        <v>305</v>
      </c>
    </row>
    <row r="56" spans="2:12" s="1" customFormat="1">
      <c r="B56" s="13" t="s">
        <v>96</v>
      </c>
      <c r="C56" s="13" t="s">
        <v>75</v>
      </c>
      <c r="D56" s="9" t="s">
        <v>507</v>
      </c>
      <c r="E56" s="21" t="s">
        <v>587</v>
      </c>
      <c r="F56" s="19" t="str">
        <f t="shared" si="0"/>
        <v>home_province</v>
      </c>
      <c r="G56" s="19" t="s">
        <v>302</v>
      </c>
      <c r="H56" s="23"/>
      <c r="I56" s="25"/>
      <c r="J56" s="25" t="s">
        <v>1158</v>
      </c>
      <c r="K56" s="25" t="s">
        <v>305</v>
      </c>
      <c r="L56" s="25" t="s">
        <v>305</v>
      </c>
    </row>
    <row r="57" spans="2:12" s="1" customFormat="1">
      <c r="B57" s="13" t="s">
        <v>1864</v>
      </c>
      <c r="C57" s="13" t="s">
        <v>71</v>
      </c>
      <c r="D57" s="9" t="s">
        <v>2451</v>
      </c>
      <c r="E57" s="21" t="s">
        <v>587</v>
      </c>
      <c r="F57" s="19" t="str">
        <f t="shared" si="0"/>
        <v>userip</v>
      </c>
      <c r="G57" s="19" t="s">
        <v>302</v>
      </c>
      <c r="H57" s="23"/>
      <c r="I57" s="25"/>
      <c r="J57" s="25" t="s">
        <v>1158</v>
      </c>
      <c r="K57" s="25" t="s">
        <v>305</v>
      </c>
      <c r="L57" s="25" t="s">
        <v>305</v>
      </c>
    </row>
    <row r="58" spans="2:12" s="1" customFormat="1">
      <c r="B58" s="13" t="s">
        <v>1865</v>
      </c>
      <c r="C58" s="13" t="s">
        <v>75</v>
      </c>
      <c r="D58" s="9" t="s">
        <v>1886</v>
      </c>
      <c r="E58" s="21" t="s">
        <v>587</v>
      </c>
      <c r="F58" s="19" t="str">
        <f t="shared" si="0"/>
        <v>userport</v>
      </c>
      <c r="G58" s="19" t="s">
        <v>302</v>
      </c>
      <c r="H58" s="23"/>
      <c r="I58" s="25"/>
      <c r="J58" s="25" t="s">
        <v>1158</v>
      </c>
      <c r="K58" s="25" t="s">
        <v>305</v>
      </c>
      <c r="L58" s="25" t="s">
        <v>305</v>
      </c>
    </row>
    <row r="59" spans="2:12" s="1" customFormat="1">
      <c r="B59" s="13" t="s">
        <v>1593</v>
      </c>
      <c r="C59" s="13" t="s">
        <v>222</v>
      </c>
      <c r="D59" s="27" t="s">
        <v>2469</v>
      </c>
      <c r="E59" s="21" t="s">
        <v>587</v>
      </c>
      <c r="F59" s="19" t="str">
        <f t="shared" si="0"/>
        <v>l4protocol</v>
      </c>
      <c r="G59" s="19" t="s">
        <v>302</v>
      </c>
      <c r="H59" s="23"/>
      <c r="I59" s="25"/>
      <c r="J59" s="25" t="s">
        <v>1158</v>
      </c>
      <c r="K59" s="25" t="s">
        <v>305</v>
      </c>
      <c r="L59" s="25" t="s">
        <v>305</v>
      </c>
    </row>
    <row r="60" spans="2:12" s="1" customFormat="1">
      <c r="B60" s="13" t="s">
        <v>1866</v>
      </c>
      <c r="C60" s="13" t="s">
        <v>71</v>
      </c>
      <c r="D60" s="9" t="s">
        <v>2452</v>
      </c>
      <c r="E60" s="21" t="s">
        <v>587</v>
      </c>
      <c r="F60" s="19" t="str">
        <f t="shared" si="0"/>
        <v>appserverip</v>
      </c>
      <c r="G60" s="19" t="s">
        <v>302</v>
      </c>
      <c r="H60" s="23"/>
      <c r="I60" s="25"/>
      <c r="J60" s="25" t="s">
        <v>1158</v>
      </c>
      <c r="K60" s="25" t="s">
        <v>305</v>
      </c>
      <c r="L60" s="25" t="s">
        <v>305</v>
      </c>
    </row>
    <row r="61" spans="2:12" s="1" customFormat="1">
      <c r="B61" s="13" t="s">
        <v>1867</v>
      </c>
      <c r="C61" s="13" t="s">
        <v>75</v>
      </c>
      <c r="D61" s="9" t="s">
        <v>1887</v>
      </c>
      <c r="E61" s="21" t="s">
        <v>587</v>
      </c>
      <c r="F61" s="19" t="str">
        <f t="shared" si="0"/>
        <v>appserver_port</v>
      </c>
      <c r="G61" s="19" t="s">
        <v>302</v>
      </c>
      <c r="H61" s="23"/>
      <c r="I61" s="25"/>
      <c r="J61" s="25" t="s">
        <v>1158</v>
      </c>
      <c r="K61" s="25" t="s">
        <v>305</v>
      </c>
      <c r="L61" s="25" t="s">
        <v>305</v>
      </c>
    </row>
    <row r="62" spans="2:12" s="1" customFormat="1">
      <c r="B62" s="13" t="s">
        <v>1777</v>
      </c>
      <c r="C62" s="13" t="s">
        <v>98</v>
      </c>
      <c r="D62" s="9" t="s">
        <v>2453</v>
      </c>
      <c r="E62" s="21" t="s">
        <v>587</v>
      </c>
      <c r="F62" s="19" t="str">
        <f t="shared" si="0"/>
        <v>ultcpreorderingpacket</v>
      </c>
      <c r="G62" s="19" t="s">
        <v>302</v>
      </c>
      <c r="H62" s="23"/>
      <c r="I62" s="25"/>
      <c r="J62" s="25" t="s">
        <v>1158</v>
      </c>
      <c r="K62" s="25" t="s">
        <v>305</v>
      </c>
      <c r="L62" s="25" t="s">
        <v>305</v>
      </c>
    </row>
    <row r="63" spans="2:12" s="1" customFormat="1">
      <c r="B63" s="13" t="s">
        <v>1778</v>
      </c>
      <c r="C63" s="13" t="s">
        <v>98</v>
      </c>
      <c r="D63" s="9" t="s">
        <v>2454</v>
      </c>
      <c r="E63" s="21" t="s">
        <v>587</v>
      </c>
      <c r="F63" s="19" t="str">
        <f t="shared" si="0"/>
        <v>dltcpreorderingpacket</v>
      </c>
      <c r="G63" s="19" t="s">
        <v>302</v>
      </c>
      <c r="H63" s="23"/>
      <c r="I63" s="25"/>
      <c r="J63" s="25" t="s">
        <v>1158</v>
      </c>
      <c r="K63" s="25" t="s">
        <v>305</v>
      </c>
      <c r="L63" s="25" t="s">
        <v>305</v>
      </c>
    </row>
    <row r="64" spans="2:12" s="1" customFormat="1">
      <c r="B64" s="13" t="s">
        <v>1779</v>
      </c>
      <c r="C64" s="13" t="s">
        <v>98</v>
      </c>
      <c r="D64" s="9" t="s">
        <v>2455</v>
      </c>
      <c r="E64" s="21" t="s">
        <v>587</v>
      </c>
      <c r="F64" s="19" t="str">
        <f t="shared" si="0"/>
        <v>ultcp_retranspacket</v>
      </c>
      <c r="G64" s="19" t="s">
        <v>302</v>
      </c>
      <c r="H64" s="23"/>
      <c r="I64" s="25"/>
      <c r="J64" s="25" t="s">
        <v>1158</v>
      </c>
      <c r="K64" s="25" t="s">
        <v>305</v>
      </c>
      <c r="L64" s="25" t="s">
        <v>305</v>
      </c>
    </row>
    <row r="65" spans="2:12" s="1" customFormat="1">
      <c r="B65" s="13" t="s">
        <v>1780</v>
      </c>
      <c r="C65" s="13" t="s">
        <v>98</v>
      </c>
      <c r="D65" s="9" t="s">
        <v>2456</v>
      </c>
      <c r="E65" s="21" t="s">
        <v>587</v>
      </c>
      <c r="F65" s="19" t="str">
        <f t="shared" si="0"/>
        <v>dltcp_retranspacket</v>
      </c>
      <c r="G65" s="19" t="s">
        <v>302</v>
      </c>
      <c r="H65" s="23"/>
      <c r="I65" s="25"/>
      <c r="J65" s="25" t="s">
        <v>1158</v>
      </c>
      <c r="K65" s="25" t="s">
        <v>305</v>
      </c>
      <c r="L65" s="25" t="s">
        <v>305</v>
      </c>
    </row>
    <row r="66" spans="2:12" s="1" customFormat="1">
      <c r="B66" s="13" t="s">
        <v>1781</v>
      </c>
      <c r="C66" s="13" t="s">
        <v>98</v>
      </c>
      <c r="D66" s="9" t="s">
        <v>2457</v>
      </c>
      <c r="E66" s="21" t="s">
        <v>587</v>
      </c>
      <c r="F66" s="19"/>
      <c r="G66" s="19" t="s">
        <v>1782</v>
      </c>
      <c r="H66" s="23"/>
      <c r="I66" s="25"/>
      <c r="J66" s="25" t="s">
        <v>1158</v>
      </c>
      <c r="K66" s="25" t="s">
        <v>800</v>
      </c>
      <c r="L66" s="25" t="s">
        <v>1783</v>
      </c>
    </row>
    <row r="67" spans="2:12" s="1" customFormat="1">
      <c r="B67" s="13" t="s">
        <v>1784</v>
      </c>
      <c r="C67" s="13" t="s">
        <v>98</v>
      </c>
      <c r="D67" s="9" t="s">
        <v>2458</v>
      </c>
      <c r="E67" s="21" t="s">
        <v>587</v>
      </c>
      <c r="F67" s="19"/>
      <c r="G67" s="19" t="s">
        <v>1785</v>
      </c>
      <c r="H67" s="23"/>
      <c r="I67" s="25"/>
      <c r="J67" s="25" t="s">
        <v>1158</v>
      </c>
      <c r="K67" s="25" t="s">
        <v>800</v>
      </c>
      <c r="L67" s="25" t="s">
        <v>1783</v>
      </c>
    </row>
    <row r="68" spans="2:12" s="1" customFormat="1">
      <c r="B68" s="13" t="s">
        <v>1786</v>
      </c>
      <c r="C68" s="13" t="s">
        <v>98</v>
      </c>
      <c r="D68" s="9" t="s">
        <v>2459</v>
      </c>
      <c r="E68" s="21" t="s">
        <v>587</v>
      </c>
      <c r="F68" s="19" t="str">
        <f t="shared" ref="F68:F69" si="1">B68</f>
        <v>ulipfragpacks</v>
      </c>
      <c r="G68" s="19" t="s">
        <v>302</v>
      </c>
      <c r="H68" s="23"/>
      <c r="I68" s="25"/>
      <c r="J68" s="25" t="s">
        <v>1158</v>
      </c>
      <c r="K68" s="25" t="s">
        <v>305</v>
      </c>
      <c r="L68" s="25" t="s">
        <v>305</v>
      </c>
    </row>
    <row r="69" spans="2:12" s="1" customFormat="1">
      <c r="B69" s="13" t="s">
        <v>1787</v>
      </c>
      <c r="C69" s="13" t="s">
        <v>98</v>
      </c>
      <c r="D69" s="9" t="s">
        <v>2459</v>
      </c>
      <c r="E69" s="21" t="s">
        <v>587</v>
      </c>
      <c r="F69" s="19" t="str">
        <f t="shared" si="1"/>
        <v>dlipfragpacks</v>
      </c>
      <c r="G69" s="19" t="s">
        <v>302</v>
      </c>
      <c r="H69" s="23"/>
      <c r="I69" s="25"/>
      <c r="J69" s="25" t="s">
        <v>1158</v>
      </c>
      <c r="K69" s="25" t="s">
        <v>305</v>
      </c>
      <c r="L69" s="25" t="s">
        <v>305</v>
      </c>
    </row>
    <row r="70" spans="2:12" s="1" customFormat="1">
      <c r="B70" s="13" t="s">
        <v>1788</v>
      </c>
      <c r="C70" s="13" t="s">
        <v>98</v>
      </c>
      <c r="D70" s="9" t="s">
        <v>2460</v>
      </c>
      <c r="E70" s="21" t="s">
        <v>587</v>
      </c>
      <c r="F70" s="19"/>
      <c r="G70" s="19" t="s">
        <v>1789</v>
      </c>
      <c r="H70" s="23"/>
      <c r="I70" s="25"/>
      <c r="J70" s="25" t="s">
        <v>1158</v>
      </c>
      <c r="K70" s="25" t="s">
        <v>800</v>
      </c>
      <c r="L70" s="25" t="s">
        <v>1790</v>
      </c>
    </row>
    <row r="71" spans="2:12" s="1" customFormat="1">
      <c r="B71" s="13" t="s">
        <v>1791</v>
      </c>
      <c r="C71" s="13" t="s">
        <v>98</v>
      </c>
      <c r="D71" s="9" t="s">
        <v>2461</v>
      </c>
      <c r="E71" s="21" t="s">
        <v>587</v>
      </c>
      <c r="F71" s="19"/>
      <c r="G71" s="19" t="s">
        <v>1792</v>
      </c>
      <c r="H71" s="23"/>
      <c r="I71" s="25"/>
      <c r="J71" s="25" t="s">
        <v>1158</v>
      </c>
      <c r="K71" s="25" t="s">
        <v>800</v>
      </c>
      <c r="L71" s="25" t="s">
        <v>1790</v>
      </c>
    </row>
    <row r="72" spans="2:12" s="1" customFormat="1">
      <c r="B72" s="13" t="s">
        <v>1868</v>
      </c>
      <c r="C72" s="13" t="s">
        <v>75</v>
      </c>
      <c r="D72" s="9" t="s">
        <v>2462</v>
      </c>
      <c r="E72" s="21" t="s">
        <v>587</v>
      </c>
      <c r="F72" s="19" t="str">
        <f t="shared" ref="F72:F98" si="2">B72</f>
        <v>windowsize</v>
      </c>
      <c r="G72" s="19" t="s">
        <v>302</v>
      </c>
      <c r="H72" s="23"/>
      <c r="I72" s="25"/>
      <c r="J72" s="25" t="s">
        <v>1158</v>
      </c>
      <c r="K72" s="25" t="s">
        <v>305</v>
      </c>
      <c r="L72" s="25" t="s">
        <v>305</v>
      </c>
    </row>
    <row r="73" spans="2:12" s="1" customFormat="1">
      <c r="B73" s="13" t="s">
        <v>1793</v>
      </c>
      <c r="C73" s="13" t="s">
        <v>75</v>
      </c>
      <c r="D73" s="9" t="s">
        <v>2463</v>
      </c>
      <c r="E73" s="21" t="s">
        <v>587</v>
      </c>
      <c r="F73" s="19" t="str">
        <f t="shared" si="2"/>
        <v>msssize</v>
      </c>
      <c r="G73" s="19" t="s">
        <v>302</v>
      </c>
      <c r="H73" s="23"/>
      <c r="I73" s="25"/>
      <c r="J73" s="25" t="s">
        <v>1158</v>
      </c>
      <c r="K73" s="25" t="s">
        <v>305</v>
      </c>
      <c r="L73" s="25" t="s">
        <v>305</v>
      </c>
    </row>
    <row r="74" spans="2:12" s="1" customFormat="1">
      <c r="B74" s="13" t="s">
        <v>1794</v>
      </c>
      <c r="C74" s="13" t="s">
        <v>75</v>
      </c>
      <c r="D74" s="9" t="s">
        <v>2464</v>
      </c>
      <c r="E74" s="21" t="s">
        <v>587</v>
      </c>
      <c r="F74" s="19" t="str">
        <f t="shared" si="2"/>
        <v>tcpsynnumber</v>
      </c>
      <c r="G74" s="19" t="s">
        <v>302</v>
      </c>
      <c r="H74" s="23"/>
      <c r="I74" s="25"/>
      <c r="J74" s="25" t="s">
        <v>1158</v>
      </c>
      <c r="K74" s="25" t="s">
        <v>305</v>
      </c>
      <c r="L74" s="25" t="s">
        <v>305</v>
      </c>
    </row>
    <row r="75" spans="2:12" s="1" customFormat="1">
      <c r="B75" s="13" t="s">
        <v>1795</v>
      </c>
      <c r="C75" s="13" t="s">
        <v>75</v>
      </c>
      <c r="D75" s="9" t="s">
        <v>2465</v>
      </c>
      <c r="E75" s="21" t="s">
        <v>587</v>
      </c>
      <c r="F75" s="19" t="str">
        <f t="shared" si="2"/>
        <v>tcpconnectstate</v>
      </c>
      <c r="G75" s="19" t="s">
        <v>302</v>
      </c>
      <c r="H75" s="23"/>
      <c r="I75" s="25"/>
      <c r="J75" s="25" t="s">
        <v>1158</v>
      </c>
      <c r="K75" s="25" t="s">
        <v>305</v>
      </c>
      <c r="L75" s="25" t="s">
        <v>305</v>
      </c>
    </row>
    <row r="76" spans="2:12" s="1" customFormat="1">
      <c r="B76" s="13" t="s">
        <v>1796</v>
      </c>
      <c r="C76" s="13" t="s">
        <v>75</v>
      </c>
      <c r="D76" s="9" t="s">
        <v>2466</v>
      </c>
      <c r="E76" s="21" t="s">
        <v>587</v>
      </c>
      <c r="F76" s="19" t="str">
        <f t="shared" si="2"/>
        <v>sessionstopflag</v>
      </c>
      <c r="G76" s="19" t="s">
        <v>302</v>
      </c>
      <c r="H76" s="23"/>
      <c r="I76" s="25"/>
      <c r="J76" s="25" t="s">
        <v>1158</v>
      </c>
      <c r="K76" s="25" t="s">
        <v>305</v>
      </c>
      <c r="L76" s="25" t="s">
        <v>305</v>
      </c>
    </row>
    <row r="77" spans="2:12" s="1" customFormat="1">
      <c r="B77" s="13" t="s">
        <v>2086</v>
      </c>
      <c r="C77" s="13" t="s">
        <v>75</v>
      </c>
      <c r="D77" s="9" t="s">
        <v>2467</v>
      </c>
      <c r="E77" s="21" t="s">
        <v>587</v>
      </c>
      <c r="F77" s="19" t="str">
        <f t="shared" si="2"/>
        <v>ue_ambr_ul</v>
      </c>
      <c r="G77" s="19" t="s">
        <v>302</v>
      </c>
      <c r="H77" s="23"/>
      <c r="I77" s="25"/>
      <c r="J77" s="25" t="s">
        <v>1158</v>
      </c>
      <c r="K77" s="25" t="s">
        <v>305</v>
      </c>
      <c r="L77" s="25" t="s">
        <v>305</v>
      </c>
    </row>
    <row r="78" spans="2:12" s="1" customFormat="1">
      <c r="B78" s="13" t="s">
        <v>2087</v>
      </c>
      <c r="C78" s="13" t="s">
        <v>75</v>
      </c>
      <c r="D78" s="9" t="s">
        <v>2468</v>
      </c>
      <c r="E78" s="21" t="s">
        <v>587</v>
      </c>
      <c r="F78" s="19" t="str">
        <f t="shared" si="2"/>
        <v>ue_ambr_dl</v>
      </c>
      <c r="G78" s="19" t="s">
        <v>302</v>
      </c>
      <c r="H78" s="23"/>
      <c r="I78" s="25"/>
      <c r="J78" s="25" t="s">
        <v>1158</v>
      </c>
      <c r="K78" s="25" t="s">
        <v>305</v>
      </c>
      <c r="L78" s="25" t="s">
        <v>305</v>
      </c>
    </row>
    <row r="79" spans="2:12" s="1" customFormat="1">
      <c r="B79" s="13" t="s">
        <v>1869</v>
      </c>
      <c r="C79" s="13" t="s">
        <v>75</v>
      </c>
      <c r="D79" s="9" t="s">
        <v>1888</v>
      </c>
      <c r="E79" s="21" t="s">
        <v>587</v>
      </c>
      <c r="F79" s="19" t="str">
        <f t="shared" si="2"/>
        <v>apn_ambr_ul</v>
      </c>
      <c r="G79" s="19" t="s">
        <v>302</v>
      </c>
      <c r="H79" s="23"/>
      <c r="I79" s="25"/>
      <c r="J79" s="25" t="s">
        <v>1158</v>
      </c>
      <c r="K79" s="25" t="s">
        <v>305</v>
      </c>
      <c r="L79" s="25" t="s">
        <v>305</v>
      </c>
    </row>
    <row r="80" spans="2:12" s="1" customFormat="1">
      <c r="B80" s="13" t="s">
        <v>1870</v>
      </c>
      <c r="C80" s="13" t="s">
        <v>75</v>
      </c>
      <c r="D80" s="9" t="s">
        <v>1889</v>
      </c>
      <c r="E80" s="21" t="s">
        <v>587</v>
      </c>
      <c r="F80" s="19" t="str">
        <f t="shared" si="2"/>
        <v>apn_ambr_dl</v>
      </c>
      <c r="G80" s="19" t="s">
        <v>302</v>
      </c>
      <c r="H80" s="23"/>
      <c r="I80" s="25"/>
      <c r="J80" s="25" t="s">
        <v>1158</v>
      </c>
      <c r="K80" s="25" t="s">
        <v>305</v>
      </c>
      <c r="L80" s="25" t="s">
        <v>305</v>
      </c>
    </row>
    <row r="81" spans="2:12" s="1" customFormat="1">
      <c r="B81" s="13" t="s">
        <v>499</v>
      </c>
      <c r="C81" s="13" t="s">
        <v>75</v>
      </c>
      <c r="D81" s="9" t="s">
        <v>553</v>
      </c>
      <c r="E81" s="21" t="s">
        <v>587</v>
      </c>
      <c r="F81" s="19" t="str">
        <f t="shared" si="2"/>
        <v>bearer_qci</v>
      </c>
      <c r="G81" s="19" t="s">
        <v>302</v>
      </c>
      <c r="H81" s="23"/>
      <c r="I81" s="25"/>
      <c r="J81" s="25" t="s">
        <v>1158</v>
      </c>
      <c r="K81" s="25" t="s">
        <v>305</v>
      </c>
      <c r="L81" s="25" t="s">
        <v>305</v>
      </c>
    </row>
    <row r="82" spans="2:12" s="1" customFormat="1">
      <c r="B82" s="13" t="s">
        <v>1800</v>
      </c>
      <c r="C82" s="13" t="s">
        <v>98</v>
      </c>
      <c r="D82" s="27" t="s">
        <v>1891</v>
      </c>
      <c r="E82" s="21" t="s">
        <v>587</v>
      </c>
      <c r="F82" s="19" t="str">
        <f t="shared" si="2"/>
        <v>syntime</v>
      </c>
      <c r="G82" s="19" t="s">
        <v>302</v>
      </c>
      <c r="H82" s="23"/>
      <c r="I82" s="25"/>
      <c r="J82" s="25" t="s">
        <v>1158</v>
      </c>
      <c r="K82" s="25" t="s">
        <v>305</v>
      </c>
      <c r="L82" s="25" t="s">
        <v>305</v>
      </c>
    </row>
    <row r="83" spans="2:12" s="1" customFormat="1">
      <c r="B83" s="13" t="s">
        <v>1801</v>
      </c>
      <c r="C83" s="13" t="s">
        <v>98</v>
      </c>
      <c r="D83" s="27" t="s">
        <v>1892</v>
      </c>
      <c r="E83" s="21" t="s">
        <v>587</v>
      </c>
      <c r="F83" s="19" t="str">
        <f t="shared" si="2"/>
        <v>synacktime</v>
      </c>
      <c r="G83" s="19" t="s">
        <v>302</v>
      </c>
      <c r="H83" s="23"/>
      <c r="I83" s="25"/>
      <c r="J83" s="25" t="s">
        <v>1158</v>
      </c>
      <c r="K83" s="25" t="s">
        <v>305</v>
      </c>
      <c r="L83" s="25" t="s">
        <v>305</v>
      </c>
    </row>
    <row r="84" spans="2:12" s="1" customFormat="1">
      <c r="B84" s="13" t="s">
        <v>1802</v>
      </c>
      <c r="C84" s="13" t="s">
        <v>98</v>
      </c>
      <c r="D84" s="27" t="s">
        <v>1893</v>
      </c>
      <c r="E84" s="21" t="s">
        <v>587</v>
      </c>
      <c r="F84" s="19" t="str">
        <f t="shared" si="2"/>
        <v>acktime</v>
      </c>
      <c r="G84" s="19" t="s">
        <v>302</v>
      </c>
      <c r="H84" s="23"/>
      <c r="I84" s="25"/>
      <c r="J84" s="25" t="s">
        <v>1158</v>
      </c>
      <c r="K84" s="25" t="s">
        <v>305</v>
      </c>
      <c r="L84" s="25" t="s">
        <v>305</v>
      </c>
    </row>
    <row r="85" spans="2:12" s="1" customFormat="1">
      <c r="B85" s="13" t="s">
        <v>1902</v>
      </c>
      <c r="C85" s="13" t="s">
        <v>71</v>
      </c>
      <c r="D85" s="27" t="s">
        <v>1797</v>
      </c>
      <c r="E85" s="21" t="s">
        <v>587</v>
      </c>
      <c r="F85" s="19" t="str">
        <f t="shared" si="2"/>
        <v>destinationurl</v>
      </c>
      <c r="G85" s="19" t="s">
        <v>302</v>
      </c>
      <c r="H85" s="23"/>
      <c r="I85" s="25"/>
      <c r="J85" s="25" t="s">
        <v>1158</v>
      </c>
      <c r="K85" s="25" t="s">
        <v>305</v>
      </c>
      <c r="L85" s="25" t="s">
        <v>305</v>
      </c>
    </row>
    <row r="86" spans="2:12" s="1" customFormat="1">
      <c r="B86" s="13" t="s">
        <v>1871</v>
      </c>
      <c r="C86" s="13" t="s">
        <v>98</v>
      </c>
      <c r="D86" s="27" t="s">
        <v>1803</v>
      </c>
      <c r="E86" s="21" t="s">
        <v>587</v>
      </c>
      <c r="F86" s="19" t="str">
        <f t="shared" si="2"/>
        <v>actiontime</v>
      </c>
      <c r="G86" s="19" t="s">
        <v>302</v>
      </c>
      <c r="H86" s="23"/>
      <c r="I86" s="25"/>
      <c r="J86" s="25" t="s">
        <v>1158</v>
      </c>
      <c r="K86" s="25" t="s">
        <v>305</v>
      </c>
      <c r="L86" s="25" t="s">
        <v>305</v>
      </c>
    </row>
    <row r="87" spans="2:12" s="1" customFormat="1">
      <c r="B87" s="13" t="s">
        <v>1872</v>
      </c>
      <c r="C87" s="13" t="s">
        <v>98</v>
      </c>
      <c r="D87" s="27" t="s">
        <v>1894</v>
      </c>
      <c r="E87" s="21" t="s">
        <v>587</v>
      </c>
      <c r="F87" s="19" t="str">
        <f t="shared" si="2"/>
        <v>firstresptime</v>
      </c>
      <c r="G87" s="19" t="s">
        <v>302</v>
      </c>
      <c r="H87" s="23"/>
      <c r="I87" s="25"/>
      <c r="J87" s="25" t="s">
        <v>1158</v>
      </c>
      <c r="K87" s="25" t="s">
        <v>305</v>
      </c>
      <c r="L87" s="25" t="s">
        <v>305</v>
      </c>
    </row>
    <row r="88" spans="2:12" s="1" customFormat="1">
      <c r="B88" s="13" t="s">
        <v>1804</v>
      </c>
      <c r="C88" s="13" t="s">
        <v>98</v>
      </c>
      <c r="D88" s="27" t="s">
        <v>1895</v>
      </c>
      <c r="E88" s="21" t="s">
        <v>587</v>
      </c>
      <c r="F88" s="19" t="str">
        <f t="shared" si="2"/>
        <v>lastpacktime</v>
      </c>
      <c r="G88" s="19" t="s">
        <v>302</v>
      </c>
      <c r="H88" s="23"/>
      <c r="I88" s="25"/>
      <c r="J88" s="25" t="s">
        <v>1158</v>
      </c>
      <c r="K88" s="25" t="s">
        <v>305</v>
      </c>
      <c r="L88" s="25" t="s">
        <v>305</v>
      </c>
    </row>
    <row r="89" spans="2:12" s="1" customFormat="1">
      <c r="B89" s="13" t="s">
        <v>1873</v>
      </c>
      <c r="C89" s="13" t="s">
        <v>98</v>
      </c>
      <c r="D89" s="27" t="s">
        <v>1805</v>
      </c>
      <c r="E89" s="21" t="s">
        <v>587</v>
      </c>
      <c r="F89" s="19" t="str">
        <f t="shared" si="2"/>
        <v>lastacktime</v>
      </c>
      <c r="G89" s="19" t="s">
        <v>302</v>
      </c>
      <c r="H89" s="23"/>
      <c r="I89" s="25"/>
      <c r="J89" s="25" t="s">
        <v>1158</v>
      </c>
      <c r="K89" s="25" t="s">
        <v>305</v>
      </c>
      <c r="L89" s="25" t="s">
        <v>305</v>
      </c>
    </row>
    <row r="90" spans="2:12" s="1" customFormat="1">
      <c r="B90" s="13" t="s">
        <v>1874</v>
      </c>
      <c r="C90" s="13" t="s">
        <v>98</v>
      </c>
      <c r="D90" s="27" t="s">
        <v>1896</v>
      </c>
      <c r="E90" s="21" t="s">
        <v>587</v>
      </c>
      <c r="F90" s="19" t="str">
        <f t="shared" si="2"/>
        <v>firstfinacktime</v>
      </c>
      <c r="G90" s="19" t="s">
        <v>302</v>
      </c>
      <c r="H90" s="23"/>
      <c r="I90" s="25"/>
      <c r="J90" s="25" t="s">
        <v>1158</v>
      </c>
      <c r="K90" s="25" t="s">
        <v>305</v>
      </c>
      <c r="L90" s="25" t="s">
        <v>305</v>
      </c>
    </row>
    <row r="91" spans="2:12" s="1" customFormat="1" ht="26.4">
      <c r="B91" s="13" t="s">
        <v>1899</v>
      </c>
      <c r="C91" s="13" t="s">
        <v>98</v>
      </c>
      <c r="D91" s="27" t="s">
        <v>1806</v>
      </c>
      <c r="E91" s="21" t="s">
        <v>587</v>
      </c>
      <c r="F91" s="19" t="str">
        <f t="shared" si="2"/>
        <v>dnsquerytime</v>
      </c>
      <c r="G91" s="19" t="s">
        <v>302</v>
      </c>
      <c r="H91" s="23"/>
      <c r="I91" s="25"/>
      <c r="J91" s="25" t="s">
        <v>1158</v>
      </c>
      <c r="K91" s="25" t="s">
        <v>305</v>
      </c>
      <c r="L91" s="25" t="s">
        <v>305</v>
      </c>
    </row>
    <row r="92" spans="2:12" s="1" customFormat="1" ht="26.4">
      <c r="B92" s="13" t="s">
        <v>1900</v>
      </c>
      <c r="C92" s="13" t="s">
        <v>98</v>
      </c>
      <c r="D92" s="27" t="s">
        <v>1807</v>
      </c>
      <c r="E92" s="21" t="s">
        <v>587</v>
      </c>
      <c r="F92" s="19" t="str">
        <f t="shared" si="2"/>
        <v>dnsresponsetime</v>
      </c>
      <c r="G92" s="19" t="s">
        <v>302</v>
      </c>
      <c r="H92" s="23"/>
      <c r="I92" s="25"/>
      <c r="J92" s="25" t="s">
        <v>1158</v>
      </c>
      <c r="K92" s="25" t="s">
        <v>305</v>
      </c>
      <c r="L92" s="25" t="s">
        <v>305</v>
      </c>
    </row>
    <row r="93" spans="2:12" s="1" customFormat="1" ht="26.4">
      <c r="B93" s="13" t="s">
        <v>1875</v>
      </c>
      <c r="C93" s="13" t="s">
        <v>98</v>
      </c>
      <c r="D93" s="27" t="s">
        <v>1808</v>
      </c>
      <c r="E93" s="21" t="s">
        <v>587</v>
      </c>
      <c r="F93" s="19" t="str">
        <f t="shared" si="2"/>
        <v>dnsflowid</v>
      </c>
      <c r="G93" s="19" t="s">
        <v>302</v>
      </c>
      <c r="H93" s="23"/>
      <c r="I93" s="25"/>
      <c r="J93" s="25" t="s">
        <v>1158</v>
      </c>
      <c r="K93" s="25" t="s">
        <v>305</v>
      </c>
      <c r="L93" s="25" t="s">
        <v>305</v>
      </c>
    </row>
    <row r="94" spans="2:12" s="1" customFormat="1">
      <c r="B94" s="13" t="s">
        <v>1876</v>
      </c>
      <c r="C94" s="13" t="s">
        <v>71</v>
      </c>
      <c r="D94" s="27" t="s">
        <v>1798</v>
      </c>
      <c r="E94" s="21" t="s">
        <v>587</v>
      </c>
      <c r="F94" s="19" t="str">
        <f t="shared" si="2"/>
        <v>domainname</v>
      </c>
      <c r="G94" s="19" t="s">
        <v>302</v>
      </c>
      <c r="H94" s="23"/>
      <c r="I94" s="25"/>
      <c r="J94" s="25" t="s">
        <v>1158</v>
      </c>
      <c r="K94" s="25" t="s">
        <v>305</v>
      </c>
      <c r="L94" s="25" t="s">
        <v>305</v>
      </c>
    </row>
    <row r="95" spans="2:12" s="1" customFormat="1">
      <c r="B95" s="13" t="s">
        <v>1799</v>
      </c>
      <c r="C95" s="13" t="s">
        <v>71</v>
      </c>
      <c r="D95" s="27" t="s">
        <v>1897</v>
      </c>
      <c r="E95" s="21" t="s">
        <v>587</v>
      </c>
      <c r="F95" s="19" t="str">
        <f t="shared" si="2"/>
        <v>host</v>
      </c>
      <c r="G95" s="19" t="s">
        <v>302</v>
      </c>
      <c r="H95" s="23"/>
      <c r="I95" s="25"/>
      <c r="J95" s="25" t="s">
        <v>1158</v>
      </c>
      <c r="K95" s="25" t="s">
        <v>305</v>
      </c>
      <c r="L95" s="25" t="s">
        <v>305</v>
      </c>
    </row>
    <row r="96" spans="2:12" s="1" customFormat="1" ht="26.4">
      <c r="B96" s="13" t="s">
        <v>1905</v>
      </c>
      <c r="C96" s="13" t="s">
        <v>98</v>
      </c>
      <c r="D96" s="27" t="s">
        <v>1809</v>
      </c>
      <c r="E96" s="21" t="s">
        <v>587</v>
      </c>
      <c r="F96" s="19" t="str">
        <f t="shared" si="2"/>
        <v>firstscreenfintime</v>
      </c>
      <c r="G96" s="19" t="s">
        <v>302</v>
      </c>
      <c r="H96" s="23"/>
      <c r="I96" s="25"/>
      <c r="J96" s="25" t="s">
        <v>1158</v>
      </c>
      <c r="K96" s="25" t="s">
        <v>305</v>
      </c>
      <c r="L96" s="25" t="s">
        <v>305</v>
      </c>
    </row>
    <row r="97" spans="2:12" s="1" customFormat="1">
      <c r="B97" s="13" t="s">
        <v>1877</v>
      </c>
      <c r="C97" s="13" t="s">
        <v>98</v>
      </c>
      <c r="D97" s="27" t="s">
        <v>1810</v>
      </c>
      <c r="E97" s="21" t="s">
        <v>587</v>
      </c>
      <c r="F97" s="19" t="str">
        <f t="shared" si="2"/>
        <v>sslhandshakestarttime</v>
      </c>
      <c r="G97" s="19" t="s">
        <v>302</v>
      </c>
      <c r="H97" s="23"/>
      <c r="I97" s="25"/>
      <c r="J97" s="25" t="s">
        <v>1158</v>
      </c>
      <c r="K97" s="25" t="s">
        <v>305</v>
      </c>
      <c r="L97" s="25" t="s">
        <v>305</v>
      </c>
    </row>
    <row r="98" spans="2:12" s="1" customFormat="1">
      <c r="B98" s="13" t="s">
        <v>1878</v>
      </c>
      <c r="C98" s="13" t="s">
        <v>98</v>
      </c>
      <c r="D98" s="27" t="s">
        <v>1811</v>
      </c>
      <c r="E98" s="21" t="s">
        <v>587</v>
      </c>
      <c r="F98" s="19" t="str">
        <f t="shared" si="2"/>
        <v>sslhandshakeendtime</v>
      </c>
      <c r="G98" s="19" t="s">
        <v>302</v>
      </c>
      <c r="H98" s="23"/>
      <c r="I98" s="25"/>
      <c r="J98" s="25" t="s">
        <v>1158</v>
      </c>
      <c r="K98" s="25" t="s">
        <v>305</v>
      </c>
      <c r="L98" s="25" t="s">
        <v>305</v>
      </c>
    </row>
    <row r="99" spans="2:12" s="1" customFormat="1" ht="39.6">
      <c r="B99" s="13" t="s">
        <v>307</v>
      </c>
      <c r="C99" s="13" t="s">
        <v>98</v>
      </c>
      <c r="D99" s="9" t="s">
        <v>648</v>
      </c>
      <c r="E99" s="21" t="s">
        <v>587</v>
      </c>
      <c r="F99" s="19"/>
      <c r="G99" s="22" t="s">
        <v>1647</v>
      </c>
      <c r="H99" s="23"/>
      <c r="I99" s="25"/>
      <c r="J99" s="25" t="s">
        <v>1158</v>
      </c>
      <c r="K99" s="25" t="s">
        <v>305</v>
      </c>
      <c r="L99" s="25" t="s">
        <v>305</v>
      </c>
    </row>
    <row r="100" spans="2:12" s="1" customFormat="1">
      <c r="B100" s="13" t="s">
        <v>81</v>
      </c>
      <c r="C100" s="13" t="s">
        <v>75</v>
      </c>
      <c r="D100" s="9" t="s">
        <v>1812</v>
      </c>
      <c r="E100" s="21" t="s">
        <v>665</v>
      </c>
      <c r="F100" s="9" t="s">
        <v>1813</v>
      </c>
      <c r="G100" s="19" t="s">
        <v>1814</v>
      </c>
      <c r="H100" s="23"/>
      <c r="I100" s="25"/>
      <c r="J100" s="25" t="s">
        <v>1158</v>
      </c>
      <c r="K100" s="25" t="s">
        <v>305</v>
      </c>
      <c r="L100" s="25" t="s">
        <v>305</v>
      </c>
    </row>
    <row r="101" spans="2:12" s="1" customFormat="1">
      <c r="B101" s="13" t="s">
        <v>82</v>
      </c>
      <c r="C101" s="13" t="s">
        <v>75</v>
      </c>
      <c r="D101" s="9" t="s">
        <v>1815</v>
      </c>
      <c r="E101" s="21" t="s">
        <v>665</v>
      </c>
      <c r="F101" s="9" t="s">
        <v>1816</v>
      </c>
      <c r="G101" s="19" t="s">
        <v>1814</v>
      </c>
      <c r="H101" s="23"/>
      <c r="I101" s="25"/>
      <c r="J101" s="25" t="s">
        <v>1158</v>
      </c>
      <c r="K101" s="25" t="s">
        <v>305</v>
      </c>
      <c r="L101" s="25" t="s">
        <v>305</v>
      </c>
    </row>
    <row r="102" spans="2:12" s="1" customFormat="1">
      <c r="B102" s="13" t="s">
        <v>83</v>
      </c>
      <c r="C102" s="13" t="s">
        <v>71</v>
      </c>
      <c r="D102" s="9" t="s">
        <v>1051</v>
      </c>
      <c r="E102" s="21" t="s">
        <v>665</v>
      </c>
      <c r="F102" s="27" t="s">
        <v>654</v>
      </c>
      <c r="G102" s="19" t="s">
        <v>1814</v>
      </c>
      <c r="H102" s="23"/>
      <c r="I102" s="25"/>
      <c r="J102" s="25" t="s">
        <v>1158</v>
      </c>
      <c r="K102" s="25" t="s">
        <v>305</v>
      </c>
      <c r="L102" s="25" t="s">
        <v>305</v>
      </c>
    </row>
    <row r="103" spans="2:12" s="1" customFormat="1">
      <c r="B103" s="13" t="s">
        <v>85</v>
      </c>
      <c r="C103" s="13" t="s">
        <v>71</v>
      </c>
      <c r="D103" s="9" t="s">
        <v>1817</v>
      </c>
      <c r="E103" s="21" t="s">
        <v>665</v>
      </c>
      <c r="F103" s="27" t="s">
        <v>1643</v>
      </c>
      <c r="G103" s="19" t="s">
        <v>1814</v>
      </c>
      <c r="H103" s="23"/>
      <c r="I103" s="25"/>
      <c r="J103" s="25" t="s">
        <v>1158</v>
      </c>
      <c r="K103" s="25" t="s">
        <v>305</v>
      </c>
      <c r="L103" s="25" t="s">
        <v>305</v>
      </c>
    </row>
    <row r="104" spans="2:12" s="1" customFormat="1">
      <c r="B104" s="13" t="s">
        <v>87</v>
      </c>
      <c r="C104" s="13" t="s">
        <v>71</v>
      </c>
      <c r="D104" s="9" t="s">
        <v>1818</v>
      </c>
      <c r="E104" s="21" t="s">
        <v>665</v>
      </c>
      <c r="F104" s="27" t="s">
        <v>1644</v>
      </c>
      <c r="G104" s="19" t="s">
        <v>1814</v>
      </c>
      <c r="H104" s="23"/>
      <c r="I104" s="25"/>
      <c r="J104" s="25" t="s">
        <v>1158</v>
      </c>
      <c r="K104" s="25" t="s">
        <v>305</v>
      </c>
      <c r="L104" s="25" t="s">
        <v>305</v>
      </c>
    </row>
    <row r="105" spans="2:12" s="1" customFormat="1">
      <c r="B105" s="13" t="s">
        <v>1819</v>
      </c>
      <c r="C105" s="26" t="s">
        <v>771</v>
      </c>
      <c r="D105" s="9" t="s">
        <v>1820</v>
      </c>
      <c r="E105" s="21" t="s">
        <v>587</v>
      </c>
      <c r="F105" s="13"/>
      <c r="G105" s="19" t="s">
        <v>1901</v>
      </c>
      <c r="H105" s="23"/>
      <c r="I105" s="101"/>
      <c r="J105" s="25" t="s">
        <v>1158</v>
      </c>
      <c r="K105" s="25" t="s">
        <v>800</v>
      </c>
      <c r="L105" s="25" t="s">
        <v>1821</v>
      </c>
    </row>
    <row r="106" spans="2:12" s="1" customFormat="1">
      <c r="B106" s="13" t="s">
        <v>1822</v>
      </c>
      <c r="C106" s="26" t="s">
        <v>98</v>
      </c>
      <c r="D106" s="9" t="s">
        <v>1823</v>
      </c>
      <c r="E106" s="21" t="s">
        <v>587</v>
      </c>
      <c r="F106" s="13"/>
      <c r="G106" s="19" t="s">
        <v>1904</v>
      </c>
      <c r="H106" s="23"/>
      <c r="I106" s="101"/>
      <c r="J106" s="25" t="s">
        <v>1158</v>
      </c>
      <c r="K106" s="25" t="s">
        <v>800</v>
      </c>
      <c r="L106" s="25" t="s">
        <v>1783</v>
      </c>
    </row>
    <row r="107" spans="2:12" s="1" customFormat="1">
      <c r="B107" s="13" t="s">
        <v>1824</v>
      </c>
      <c r="C107" s="26" t="s">
        <v>98</v>
      </c>
      <c r="D107" s="9" t="s">
        <v>1825</v>
      </c>
      <c r="E107" s="21" t="s">
        <v>587</v>
      </c>
      <c r="F107" s="13"/>
      <c r="G107" s="19" t="s">
        <v>1826</v>
      </c>
      <c r="H107" s="23"/>
      <c r="I107" s="101"/>
      <c r="J107" s="25" t="s">
        <v>1158</v>
      </c>
      <c r="K107" s="25" t="s">
        <v>800</v>
      </c>
      <c r="L107" s="25" t="s">
        <v>1783</v>
      </c>
    </row>
    <row r="108" spans="2:12" s="1" customFormat="1">
      <c r="B108" s="13" t="s">
        <v>2251</v>
      </c>
      <c r="C108" s="26" t="s">
        <v>98</v>
      </c>
      <c r="D108" s="9" t="s">
        <v>1827</v>
      </c>
      <c r="E108" s="21" t="s">
        <v>587</v>
      </c>
      <c r="F108" s="13"/>
      <c r="G108" s="93" t="s">
        <v>1908</v>
      </c>
      <c r="H108" s="23"/>
      <c r="I108" s="101" t="s">
        <v>2383</v>
      </c>
      <c r="J108" s="25" t="s">
        <v>1158</v>
      </c>
      <c r="K108" s="25" t="s">
        <v>800</v>
      </c>
      <c r="L108" s="25" t="s">
        <v>1790</v>
      </c>
    </row>
    <row r="109" spans="2:12" s="1" customFormat="1">
      <c r="B109" s="13" t="s">
        <v>1828</v>
      </c>
      <c r="C109" s="26" t="s">
        <v>98</v>
      </c>
      <c r="D109" s="9" t="s">
        <v>1829</v>
      </c>
      <c r="E109" s="21" t="s">
        <v>587</v>
      </c>
      <c r="F109" s="13"/>
      <c r="G109" s="93" t="s">
        <v>1907</v>
      </c>
      <c r="H109" s="23"/>
      <c r="I109" s="101" t="s">
        <v>2384</v>
      </c>
      <c r="J109" s="25" t="s">
        <v>1158</v>
      </c>
      <c r="K109" s="25" t="s">
        <v>800</v>
      </c>
      <c r="L109" s="25" t="s">
        <v>1821</v>
      </c>
    </row>
    <row r="110" spans="2:12" s="1" customFormat="1">
      <c r="B110" s="13" t="s">
        <v>1830</v>
      </c>
      <c r="C110" s="26" t="s">
        <v>98</v>
      </c>
      <c r="D110" s="9" t="s">
        <v>1831</v>
      </c>
      <c r="E110" s="21" t="s">
        <v>587</v>
      </c>
      <c r="F110" s="13"/>
      <c r="G110" s="93" t="s">
        <v>1906</v>
      </c>
      <c r="H110" s="23"/>
      <c r="I110" s="101" t="s">
        <v>2383</v>
      </c>
      <c r="J110" s="25" t="s">
        <v>1158</v>
      </c>
      <c r="K110" s="25" t="s">
        <v>800</v>
      </c>
      <c r="L110" s="25" t="s">
        <v>1790</v>
      </c>
    </row>
    <row r="111" spans="2:12" s="1" customFormat="1">
      <c r="B111" s="13" t="s">
        <v>1832</v>
      </c>
      <c r="C111" s="26" t="s">
        <v>504</v>
      </c>
      <c r="D111" s="9" t="s">
        <v>1833</v>
      </c>
      <c r="E111" s="21" t="s">
        <v>658</v>
      </c>
      <c r="F111" s="13"/>
      <c r="G111" s="19" t="s">
        <v>1834</v>
      </c>
      <c r="H111" s="23"/>
      <c r="I111" s="25"/>
      <c r="J111" s="25" t="s">
        <v>1158</v>
      </c>
      <c r="K111" s="25" t="s">
        <v>305</v>
      </c>
      <c r="L111" s="25" t="s">
        <v>1835</v>
      </c>
    </row>
    <row r="112" spans="2:12" s="1" customFormat="1">
      <c r="B112" s="13" t="s">
        <v>1595</v>
      </c>
      <c r="C112" s="26" t="s">
        <v>71</v>
      </c>
      <c r="D112" s="9" t="s">
        <v>1836</v>
      </c>
      <c r="E112" s="21" t="s">
        <v>587</v>
      </c>
      <c r="F112" s="13"/>
      <c r="G112" s="19" t="s">
        <v>1837</v>
      </c>
      <c r="H112" s="23"/>
      <c r="I112" s="19" t="s">
        <v>2089</v>
      </c>
      <c r="J112" s="25" t="s">
        <v>1158</v>
      </c>
      <c r="K112" s="25" t="s">
        <v>305</v>
      </c>
      <c r="L112" s="25" t="s">
        <v>1838</v>
      </c>
    </row>
    <row r="113" spans="2:14" s="1" customFormat="1">
      <c r="B113" s="13" t="s">
        <v>1839</v>
      </c>
      <c r="C113" s="26" t="s">
        <v>71</v>
      </c>
      <c r="D113" s="9" t="s">
        <v>1840</v>
      </c>
      <c r="E113" s="21" t="s">
        <v>587</v>
      </c>
      <c r="F113" s="13"/>
      <c r="G113" s="19" t="s">
        <v>1841</v>
      </c>
      <c r="H113" s="23"/>
      <c r="I113" s="25"/>
      <c r="J113" s="25" t="s">
        <v>1158</v>
      </c>
      <c r="K113" s="25" t="s">
        <v>305</v>
      </c>
      <c r="L113" s="25" t="s">
        <v>1842</v>
      </c>
    </row>
    <row r="114" spans="2:14" s="1" customFormat="1">
      <c r="B114" s="13" t="s">
        <v>1843</v>
      </c>
      <c r="C114" s="26" t="s">
        <v>75</v>
      </c>
      <c r="D114" s="9" t="s">
        <v>1844</v>
      </c>
      <c r="E114" s="21" t="s">
        <v>587</v>
      </c>
      <c r="F114" s="13"/>
      <c r="G114" s="19" t="s">
        <v>1909</v>
      </c>
      <c r="H114" s="23"/>
      <c r="I114" s="25"/>
      <c r="J114" s="25" t="s">
        <v>1158</v>
      </c>
      <c r="K114" s="25" t="s">
        <v>305</v>
      </c>
      <c r="L114" s="25" t="s">
        <v>1835</v>
      </c>
    </row>
    <row r="115" spans="2:14" s="1" customFormat="1">
      <c r="B115" s="13" t="s">
        <v>1845</v>
      </c>
      <c r="C115" s="26" t="s">
        <v>75</v>
      </c>
      <c r="D115" s="9" t="s">
        <v>1846</v>
      </c>
      <c r="E115" s="21" t="s">
        <v>587</v>
      </c>
      <c r="F115" s="13"/>
      <c r="G115" s="19" t="s">
        <v>1847</v>
      </c>
      <c r="H115" s="23"/>
      <c r="I115" s="25"/>
      <c r="J115" s="25" t="s">
        <v>1158</v>
      </c>
      <c r="K115" s="25" t="s">
        <v>305</v>
      </c>
      <c r="L115" s="25" t="s">
        <v>1835</v>
      </c>
    </row>
    <row r="116" spans="2:14" s="1" customFormat="1">
      <c r="B116" s="13" t="s">
        <v>1848</v>
      </c>
      <c r="C116" s="26" t="s">
        <v>75</v>
      </c>
      <c r="D116" s="9" t="s">
        <v>1849</v>
      </c>
      <c r="E116" s="21" t="s">
        <v>587</v>
      </c>
      <c r="F116" s="13"/>
      <c r="G116" s="19" t="s">
        <v>1850</v>
      </c>
      <c r="H116" s="23"/>
      <c r="I116" s="25"/>
      <c r="J116" s="25" t="s">
        <v>1158</v>
      </c>
      <c r="K116" s="25" t="s">
        <v>305</v>
      </c>
      <c r="L116" s="25" t="s">
        <v>1835</v>
      </c>
    </row>
    <row r="117" spans="2:14" s="2" customFormat="1">
      <c r="B117" s="14" t="s">
        <v>80</v>
      </c>
      <c r="C117" s="15" t="s">
        <v>75</v>
      </c>
      <c r="D117" s="16" t="s">
        <v>103</v>
      </c>
      <c r="E117" s="24"/>
      <c r="F117" s="24"/>
      <c r="G117" s="24"/>
      <c r="H117" s="14"/>
      <c r="I117" s="14"/>
      <c r="J117" s="14"/>
      <c r="K117" s="14"/>
      <c r="L117" s="14"/>
      <c r="M117" s="14"/>
      <c r="N117" s="14"/>
    </row>
    <row r="118" spans="2:14" s="2" customFormat="1">
      <c r="B118" s="14" t="s">
        <v>0</v>
      </c>
      <c r="C118" s="15" t="s">
        <v>71</v>
      </c>
      <c r="D118" s="16" t="s">
        <v>104</v>
      </c>
      <c r="E118" s="24"/>
      <c r="F118" s="24"/>
      <c r="G118" s="24"/>
      <c r="H118" s="14"/>
      <c r="I118" s="14"/>
      <c r="J118" s="14"/>
      <c r="K118" s="14"/>
      <c r="L118" s="14"/>
      <c r="M118" s="14"/>
      <c r="N118" s="14"/>
    </row>
    <row r="119" spans="2:14" s="2" customFormat="1">
      <c r="B119" s="14" t="s">
        <v>1</v>
      </c>
      <c r="C119" s="15" t="s">
        <v>75</v>
      </c>
      <c r="D119" s="16" t="s">
        <v>105</v>
      </c>
      <c r="E119" s="24"/>
      <c r="F119" s="24"/>
      <c r="G119" s="24"/>
      <c r="H119" s="14"/>
      <c r="I119" s="14"/>
      <c r="J119" s="14"/>
      <c r="K119" s="14"/>
      <c r="L119" s="14"/>
      <c r="M119" s="14"/>
      <c r="N119" s="14"/>
    </row>
    <row r="120" spans="2:14" s="2" customFormat="1">
      <c r="B120" s="14" t="s">
        <v>1267</v>
      </c>
      <c r="C120" s="15" t="s">
        <v>75</v>
      </c>
      <c r="D120" s="16" t="s">
        <v>1268</v>
      </c>
      <c r="E120" s="24"/>
      <c r="F120" s="24"/>
      <c r="G120" s="24"/>
      <c r="H120" s="14"/>
      <c r="I120" s="14"/>
      <c r="J120" s="14"/>
      <c r="K120" s="14"/>
      <c r="L120" s="14"/>
      <c r="M120" s="14"/>
      <c r="N120" s="14"/>
    </row>
  </sheetData>
  <autoFilter ref="A15:N119" xr:uid="{00000000-0009-0000-0000-00000B000000}"/>
  <mergeCells count="4">
    <mergeCell ref="B2:H2"/>
    <mergeCell ref="B3:H3"/>
    <mergeCell ref="B7:H7"/>
    <mergeCell ref="B14:L14"/>
  </mergeCells>
  <phoneticPr fontId="23"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0431A-BF7E-4034-B07E-9E9A42598C25}">
  <dimension ref="A1:Q120"/>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36.109375" style="3" bestFit="1"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bestFit="1"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11" t="s">
        <v>50</v>
      </c>
    </row>
    <row r="5" spans="2:14">
      <c r="B5" s="8" t="s">
        <v>1910</v>
      </c>
      <c r="C5" s="68" t="s">
        <v>1912</v>
      </c>
      <c r="D5" s="9" t="s">
        <v>1913</v>
      </c>
      <c r="E5" s="12" t="s">
        <v>4</v>
      </c>
      <c r="F5" s="17"/>
      <c r="G5" s="12"/>
      <c r="H5" s="12"/>
      <c r="N5" s="3"/>
    </row>
    <row r="6" spans="2:14">
      <c r="B6" s="6"/>
      <c r="C6" s="6"/>
      <c r="D6" s="6"/>
      <c r="E6" s="6"/>
      <c r="F6" s="18"/>
      <c r="G6" s="18"/>
      <c r="H6" s="18"/>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68" t="s">
        <v>1757</v>
      </c>
      <c r="D9" s="10" t="s">
        <v>1758</v>
      </c>
      <c r="E9" s="12" t="s">
        <v>58</v>
      </c>
      <c r="F9" s="19"/>
      <c r="G9" s="19"/>
      <c r="H9" s="20" t="s">
        <v>30</v>
      </c>
    </row>
    <row r="11" spans="2:14">
      <c r="B11" s="3" t="s">
        <v>59</v>
      </c>
    </row>
    <row r="12" spans="2:14">
      <c r="B12" s="122" t="s">
        <v>59</v>
      </c>
      <c r="C12" s="122"/>
      <c r="D12" s="122"/>
      <c r="E12" s="122"/>
      <c r="F12" s="122"/>
      <c r="G12" s="122"/>
      <c r="H12" s="122"/>
      <c r="I12" s="122"/>
      <c r="J12" s="122"/>
      <c r="K12" s="122"/>
      <c r="L12" s="122"/>
    </row>
    <row r="13" spans="2:14">
      <c r="B13" s="7" t="s">
        <v>60</v>
      </c>
      <c r="C13" s="7" t="s">
        <v>61</v>
      </c>
      <c r="D13" s="7" t="s">
        <v>62</v>
      </c>
      <c r="E13" s="7" t="s">
        <v>63</v>
      </c>
      <c r="F13" s="11" t="s">
        <v>64</v>
      </c>
      <c r="G13" s="11" t="s">
        <v>65</v>
      </c>
      <c r="H13" s="11" t="s">
        <v>66</v>
      </c>
      <c r="I13" s="7" t="s">
        <v>24</v>
      </c>
      <c r="J13" s="7" t="s">
        <v>67</v>
      </c>
      <c r="K13" s="7" t="s">
        <v>68</v>
      </c>
      <c r="L13" s="7" t="s">
        <v>69</v>
      </c>
    </row>
    <row r="14" spans="2:14" s="1" customFormat="1">
      <c r="B14" s="13" t="s">
        <v>1259</v>
      </c>
      <c r="C14" s="13" t="s">
        <v>1914</v>
      </c>
      <c r="D14" s="9" t="s">
        <v>1469</v>
      </c>
      <c r="E14" s="21" t="s">
        <v>587</v>
      </c>
      <c r="F14" s="19" t="s">
        <v>303</v>
      </c>
      <c r="G14" s="19" t="s">
        <v>302</v>
      </c>
      <c r="H14" s="71"/>
      <c r="I14" s="25"/>
      <c r="J14" s="25" t="s">
        <v>304</v>
      </c>
      <c r="K14" s="25" t="s">
        <v>305</v>
      </c>
      <c r="L14" s="25" t="s">
        <v>1576</v>
      </c>
    </row>
    <row r="15" spans="2:14" s="1" customFormat="1">
      <c r="B15" s="13" t="s">
        <v>1159</v>
      </c>
      <c r="C15" s="13" t="s">
        <v>504</v>
      </c>
      <c r="D15" s="9" t="s">
        <v>1701</v>
      </c>
      <c r="E15" s="21" t="s">
        <v>587</v>
      </c>
      <c r="F15" s="19" t="s">
        <v>1052</v>
      </c>
      <c r="G15" s="19" t="s">
        <v>302</v>
      </c>
      <c r="H15" s="71"/>
      <c r="I15" s="25"/>
      <c r="J15" s="25" t="s">
        <v>304</v>
      </c>
      <c r="K15" s="25" t="s">
        <v>305</v>
      </c>
      <c r="L15" s="25" t="s">
        <v>1577</v>
      </c>
    </row>
    <row r="16" spans="2:14" s="1" customFormat="1">
      <c r="B16" s="13" t="s">
        <v>1272</v>
      </c>
      <c r="C16" s="13" t="s">
        <v>504</v>
      </c>
      <c r="D16" s="9" t="s">
        <v>1277</v>
      </c>
      <c r="E16" s="21" t="s">
        <v>587</v>
      </c>
      <c r="F16" s="19" t="s">
        <v>1267</v>
      </c>
      <c r="G16" s="19" t="s">
        <v>302</v>
      </c>
      <c r="H16" s="71"/>
      <c r="I16" s="25"/>
      <c r="J16" s="25" t="s">
        <v>304</v>
      </c>
      <c r="K16" s="25" t="s">
        <v>305</v>
      </c>
      <c r="L16" s="25" t="s">
        <v>1578</v>
      </c>
    </row>
    <row r="17" spans="1:12" s="1" customFormat="1">
      <c r="A17" s="89"/>
      <c r="B17" s="13" t="s">
        <v>76</v>
      </c>
      <c r="C17" s="13" t="s">
        <v>504</v>
      </c>
      <c r="D17" s="9" t="s">
        <v>1915</v>
      </c>
      <c r="E17" s="21" t="s">
        <v>587</v>
      </c>
      <c r="F17" s="19" t="s">
        <v>76</v>
      </c>
      <c r="G17" s="19" t="s">
        <v>302</v>
      </c>
      <c r="H17" s="71"/>
      <c r="I17" s="90"/>
      <c r="J17" s="25" t="s">
        <v>304</v>
      </c>
      <c r="K17" s="25" t="s">
        <v>305</v>
      </c>
      <c r="L17" s="25" t="s">
        <v>1579</v>
      </c>
    </row>
    <row r="18" spans="1:12" s="1" customFormat="1">
      <c r="A18" s="89"/>
      <c r="B18" s="13" t="s">
        <v>1580</v>
      </c>
      <c r="C18" s="13" t="s">
        <v>504</v>
      </c>
      <c r="D18" s="9" t="s">
        <v>1581</v>
      </c>
      <c r="E18" s="21" t="s">
        <v>587</v>
      </c>
      <c r="F18" s="19" t="s">
        <v>1580</v>
      </c>
      <c r="G18" s="19" t="s">
        <v>302</v>
      </c>
      <c r="H18" s="71"/>
      <c r="I18" s="90"/>
      <c r="J18" s="25" t="s">
        <v>304</v>
      </c>
      <c r="K18" s="25" t="s">
        <v>305</v>
      </c>
      <c r="L18" s="25" t="s">
        <v>1582</v>
      </c>
    </row>
    <row r="19" spans="1:12" s="1" customFormat="1">
      <c r="A19" s="89"/>
      <c r="B19" s="13" t="s">
        <v>1916</v>
      </c>
      <c r="C19" s="13" t="s">
        <v>504</v>
      </c>
      <c r="D19" s="9" t="s">
        <v>1509</v>
      </c>
      <c r="E19" s="21" t="s">
        <v>587</v>
      </c>
      <c r="F19" s="19" t="s">
        <v>301</v>
      </c>
      <c r="G19" s="19" t="s">
        <v>302</v>
      </c>
      <c r="H19" s="71"/>
      <c r="I19" s="90"/>
      <c r="J19" s="25" t="s">
        <v>304</v>
      </c>
      <c r="K19" s="25" t="s">
        <v>305</v>
      </c>
      <c r="L19" s="25" t="s">
        <v>1583</v>
      </c>
    </row>
    <row r="20" spans="1:12" s="1" customFormat="1">
      <c r="A20" s="89"/>
      <c r="B20" s="13" t="s">
        <v>81</v>
      </c>
      <c r="C20" s="13" t="s">
        <v>504</v>
      </c>
      <c r="D20" s="9" t="s">
        <v>1584</v>
      </c>
      <c r="E20" s="21" t="s">
        <v>587</v>
      </c>
      <c r="F20" s="9" t="s">
        <v>1813</v>
      </c>
      <c r="G20" s="19" t="s">
        <v>302</v>
      </c>
      <c r="H20" s="71"/>
      <c r="I20" s="90"/>
      <c r="J20" s="25" t="s">
        <v>304</v>
      </c>
      <c r="K20" s="25" t="s">
        <v>305</v>
      </c>
      <c r="L20" s="25" t="s">
        <v>1583</v>
      </c>
    </row>
    <row r="21" spans="1:12" s="1" customFormat="1">
      <c r="A21" s="89"/>
      <c r="B21" s="12" t="s">
        <v>82</v>
      </c>
      <c r="C21" s="13" t="s">
        <v>504</v>
      </c>
      <c r="D21" s="9" t="s">
        <v>1586</v>
      </c>
      <c r="E21" s="21" t="s">
        <v>587</v>
      </c>
      <c r="F21" s="9" t="s">
        <v>1816</v>
      </c>
      <c r="G21" s="19" t="s">
        <v>302</v>
      </c>
      <c r="H21" s="71"/>
      <c r="I21" s="90"/>
      <c r="J21" s="25" t="s">
        <v>304</v>
      </c>
      <c r="K21" s="25" t="s">
        <v>305</v>
      </c>
      <c r="L21" s="25" t="s">
        <v>1583</v>
      </c>
    </row>
    <row r="22" spans="1:12" s="1" customFormat="1">
      <c r="A22" s="89"/>
      <c r="B22" s="12" t="s">
        <v>83</v>
      </c>
      <c r="C22" s="13" t="s">
        <v>1914</v>
      </c>
      <c r="D22" s="9" t="s">
        <v>84</v>
      </c>
      <c r="E22" s="21" t="s">
        <v>587</v>
      </c>
      <c r="F22" s="9" t="s">
        <v>654</v>
      </c>
      <c r="G22" s="19" t="s">
        <v>302</v>
      </c>
      <c r="H22" s="71"/>
      <c r="I22" s="90"/>
      <c r="J22" s="25" t="s">
        <v>304</v>
      </c>
      <c r="K22" s="25" t="s">
        <v>305</v>
      </c>
      <c r="L22" s="25" t="s">
        <v>74</v>
      </c>
    </row>
    <row r="23" spans="1:12" s="1" customFormat="1">
      <c r="A23" s="89"/>
      <c r="B23" s="12" t="s">
        <v>85</v>
      </c>
      <c r="C23" s="13" t="s">
        <v>1914</v>
      </c>
      <c r="D23" s="9" t="s">
        <v>86</v>
      </c>
      <c r="E23" s="21" t="s">
        <v>587</v>
      </c>
      <c r="F23" s="9" t="s">
        <v>1643</v>
      </c>
      <c r="G23" s="19" t="s">
        <v>302</v>
      </c>
      <c r="H23" s="71"/>
      <c r="I23" s="90"/>
      <c r="J23" s="25" t="s">
        <v>304</v>
      </c>
      <c r="K23" s="25" t="s">
        <v>305</v>
      </c>
      <c r="L23" s="25" t="s">
        <v>74</v>
      </c>
    </row>
    <row r="24" spans="1:12" s="1" customFormat="1">
      <c r="A24" s="89"/>
      <c r="B24" s="12" t="s">
        <v>87</v>
      </c>
      <c r="C24" s="13" t="s">
        <v>1914</v>
      </c>
      <c r="D24" s="9" t="s">
        <v>88</v>
      </c>
      <c r="E24" s="21" t="s">
        <v>587</v>
      </c>
      <c r="F24" s="9" t="s">
        <v>1644</v>
      </c>
      <c r="G24" s="19" t="s">
        <v>302</v>
      </c>
      <c r="H24" s="71"/>
      <c r="I24" s="90"/>
      <c r="J24" s="25" t="s">
        <v>304</v>
      </c>
      <c r="K24" s="25" t="s">
        <v>305</v>
      </c>
      <c r="L24" s="25" t="s">
        <v>74</v>
      </c>
    </row>
    <row r="25" spans="1:12" s="1" customFormat="1">
      <c r="A25" s="89"/>
      <c r="B25" s="12" t="s">
        <v>307</v>
      </c>
      <c r="C25" s="12" t="s">
        <v>1914</v>
      </c>
      <c r="D25" s="9" t="s">
        <v>648</v>
      </c>
      <c r="E25" s="21" t="s">
        <v>587</v>
      </c>
      <c r="F25" s="9" t="s">
        <v>307</v>
      </c>
      <c r="G25" s="19" t="s">
        <v>302</v>
      </c>
      <c r="H25" s="71"/>
      <c r="I25" s="102"/>
      <c r="J25" s="25" t="s">
        <v>304</v>
      </c>
      <c r="K25" s="25" t="s">
        <v>305</v>
      </c>
      <c r="L25" s="25" t="s">
        <v>74</v>
      </c>
    </row>
    <row r="26" spans="1:12" s="1" customFormat="1">
      <c r="A26" s="89"/>
      <c r="B26" s="12" t="s">
        <v>308</v>
      </c>
      <c r="C26" s="12" t="s">
        <v>71</v>
      </c>
      <c r="D26" s="9" t="s">
        <v>93</v>
      </c>
      <c r="E26" s="21" t="s">
        <v>587</v>
      </c>
      <c r="F26" s="9" t="s">
        <v>308</v>
      </c>
      <c r="G26" s="19" t="s">
        <v>302</v>
      </c>
      <c r="H26" s="71"/>
      <c r="I26" s="90"/>
      <c r="J26" s="25" t="s">
        <v>304</v>
      </c>
      <c r="K26" s="25" t="s">
        <v>305</v>
      </c>
      <c r="L26" s="25" t="s">
        <v>74</v>
      </c>
    </row>
    <row r="27" spans="1:12" s="1" customFormat="1">
      <c r="A27" s="89"/>
      <c r="B27" s="12" t="s">
        <v>94</v>
      </c>
      <c r="C27" s="12" t="s">
        <v>71</v>
      </c>
      <c r="D27" s="9" t="s">
        <v>95</v>
      </c>
      <c r="E27" s="21" t="s">
        <v>587</v>
      </c>
      <c r="F27" s="9" t="s">
        <v>94</v>
      </c>
      <c r="G27" s="19" t="s">
        <v>302</v>
      </c>
      <c r="H27" s="71"/>
      <c r="I27" s="90"/>
      <c r="J27" s="25" t="s">
        <v>304</v>
      </c>
      <c r="K27" s="25" t="s">
        <v>305</v>
      </c>
      <c r="L27" s="25" t="s">
        <v>74</v>
      </c>
    </row>
    <row r="28" spans="1:12" s="1" customFormat="1">
      <c r="A28" s="89"/>
      <c r="B28" s="12" t="s">
        <v>616</v>
      </c>
      <c r="C28" s="12" t="s">
        <v>71</v>
      </c>
      <c r="D28" s="9" t="s">
        <v>1587</v>
      </c>
      <c r="E28" s="21" t="s">
        <v>587</v>
      </c>
      <c r="F28" s="9" t="s">
        <v>616</v>
      </c>
      <c r="G28" s="19" t="s">
        <v>302</v>
      </c>
      <c r="H28" s="71"/>
      <c r="I28" s="90"/>
      <c r="J28" s="25" t="s">
        <v>304</v>
      </c>
      <c r="K28" s="25" t="s">
        <v>305</v>
      </c>
      <c r="L28" s="25" t="s">
        <v>74</v>
      </c>
    </row>
    <row r="29" spans="1:12" s="1" customFormat="1">
      <c r="A29" s="89"/>
      <c r="B29" s="12" t="s">
        <v>622</v>
      </c>
      <c r="C29" s="12" t="s">
        <v>71</v>
      </c>
      <c r="D29" s="9" t="s">
        <v>1917</v>
      </c>
      <c r="E29" s="21" t="s">
        <v>587</v>
      </c>
      <c r="F29" s="9" t="s">
        <v>622</v>
      </c>
      <c r="G29" s="19" t="s">
        <v>302</v>
      </c>
      <c r="H29" s="71"/>
      <c r="I29" s="90"/>
      <c r="J29" s="25" t="s">
        <v>304</v>
      </c>
      <c r="K29" s="25" t="s">
        <v>305</v>
      </c>
      <c r="L29" s="25" t="s">
        <v>74</v>
      </c>
    </row>
    <row r="30" spans="1:12" s="1" customFormat="1">
      <c r="B30" s="13" t="s">
        <v>1650</v>
      </c>
      <c r="C30" s="13" t="s">
        <v>71</v>
      </c>
      <c r="D30" s="9" t="s">
        <v>1879</v>
      </c>
      <c r="E30" s="21" t="s">
        <v>587</v>
      </c>
      <c r="F30" s="19" t="str">
        <f t="shared" ref="F30:F32" si="0">B30</f>
        <v>sgwip</v>
      </c>
      <c r="G30" s="19" t="s">
        <v>302</v>
      </c>
      <c r="H30" s="71"/>
      <c r="I30" s="25"/>
      <c r="J30" s="25" t="s">
        <v>304</v>
      </c>
      <c r="K30" s="25" t="s">
        <v>305</v>
      </c>
      <c r="L30" s="25" t="s">
        <v>74</v>
      </c>
    </row>
    <row r="31" spans="1:12" s="1" customFormat="1">
      <c r="B31" s="13" t="s">
        <v>1671</v>
      </c>
      <c r="C31" s="13" t="s">
        <v>71</v>
      </c>
      <c r="D31" s="9" t="s">
        <v>1880</v>
      </c>
      <c r="E31" s="21" t="s">
        <v>587</v>
      </c>
      <c r="F31" s="19" t="str">
        <f t="shared" si="0"/>
        <v>mmeip</v>
      </c>
      <c r="G31" s="19" t="s">
        <v>302</v>
      </c>
      <c r="H31" s="71"/>
      <c r="I31" s="95"/>
      <c r="J31" s="25" t="s">
        <v>304</v>
      </c>
      <c r="K31" s="25" t="s">
        <v>305</v>
      </c>
      <c r="L31" s="25" t="s">
        <v>74</v>
      </c>
    </row>
    <row r="32" spans="1:12" s="1" customFormat="1">
      <c r="B32" s="13" t="s">
        <v>1676</v>
      </c>
      <c r="C32" s="13" t="s">
        <v>71</v>
      </c>
      <c r="D32" s="9" t="s">
        <v>1881</v>
      </c>
      <c r="E32" s="21" t="s">
        <v>587</v>
      </c>
      <c r="F32" s="19" t="str">
        <f t="shared" si="0"/>
        <v>pgwip</v>
      </c>
      <c r="G32" s="19" t="s">
        <v>302</v>
      </c>
      <c r="H32" s="71"/>
      <c r="I32" s="90"/>
      <c r="J32" s="25" t="s">
        <v>304</v>
      </c>
      <c r="K32" s="25" t="s">
        <v>305</v>
      </c>
      <c r="L32" s="25" t="s">
        <v>74</v>
      </c>
    </row>
    <row r="33" spans="1:13" s="1" customFormat="1">
      <c r="B33" s="13" t="s">
        <v>1590</v>
      </c>
      <c r="C33" s="12" t="s">
        <v>71</v>
      </c>
      <c r="D33" s="9" t="s">
        <v>1589</v>
      </c>
      <c r="E33" s="21" t="s">
        <v>587</v>
      </c>
      <c r="F33" s="19" t="s">
        <v>1590</v>
      </c>
      <c r="G33" s="19" t="s">
        <v>302</v>
      </c>
      <c r="H33" s="71"/>
      <c r="I33" s="25"/>
      <c r="J33" s="25" t="s">
        <v>304</v>
      </c>
      <c r="K33" s="25" t="s">
        <v>305</v>
      </c>
      <c r="L33" s="25" t="s">
        <v>74</v>
      </c>
    </row>
    <row r="34" spans="1:13" s="1" customFormat="1">
      <c r="B34" s="13" t="s">
        <v>1918</v>
      </c>
      <c r="C34" s="26" t="s">
        <v>71</v>
      </c>
      <c r="D34" s="9" t="s">
        <v>1840</v>
      </c>
      <c r="E34" s="21" t="s">
        <v>587</v>
      </c>
      <c r="F34" s="9" t="s">
        <v>1918</v>
      </c>
      <c r="G34" s="19" t="s">
        <v>302</v>
      </c>
      <c r="H34" s="71"/>
      <c r="I34" s="25"/>
      <c r="J34" s="25" t="s">
        <v>304</v>
      </c>
      <c r="K34" s="25" t="s">
        <v>305</v>
      </c>
      <c r="L34" s="25" t="s">
        <v>1842</v>
      </c>
    </row>
    <row r="35" spans="1:13" s="1" customFormat="1">
      <c r="B35" s="13" t="s">
        <v>1652</v>
      </c>
      <c r="C35" s="13" t="s">
        <v>71</v>
      </c>
      <c r="D35" s="9" t="s">
        <v>1882</v>
      </c>
      <c r="E35" s="21" t="s">
        <v>587</v>
      </c>
      <c r="F35" s="19" t="str">
        <f t="shared" ref="F35" si="1">B35</f>
        <v>enbip</v>
      </c>
      <c r="G35" s="19" t="s">
        <v>302</v>
      </c>
      <c r="H35" s="71"/>
      <c r="I35" s="25"/>
      <c r="J35" s="25" t="s">
        <v>304</v>
      </c>
      <c r="K35" s="25" t="s">
        <v>305</v>
      </c>
      <c r="L35" s="25" t="s">
        <v>305</v>
      </c>
    </row>
    <row r="36" spans="1:13" s="89" customFormat="1">
      <c r="B36" s="13" t="s">
        <v>96</v>
      </c>
      <c r="C36" s="12" t="s">
        <v>71</v>
      </c>
      <c r="D36" s="9" t="s">
        <v>1592</v>
      </c>
      <c r="E36" s="21" t="s">
        <v>587</v>
      </c>
      <c r="F36" s="19" t="s">
        <v>96</v>
      </c>
      <c r="G36" s="19" t="s">
        <v>302</v>
      </c>
      <c r="H36" s="71"/>
      <c r="I36" s="90"/>
      <c r="J36" s="25" t="s">
        <v>304</v>
      </c>
      <c r="K36" s="25" t="s">
        <v>305</v>
      </c>
      <c r="L36" s="25" t="s">
        <v>1583</v>
      </c>
      <c r="M36" s="1"/>
    </row>
    <row r="37" spans="1:13" s="99" customFormat="1">
      <c r="A37" s="96"/>
      <c r="B37" s="97" t="s">
        <v>1593</v>
      </c>
      <c r="C37" s="12" t="s">
        <v>75</v>
      </c>
      <c r="D37" s="9" t="s">
        <v>1919</v>
      </c>
      <c r="E37" s="21" t="s">
        <v>587</v>
      </c>
      <c r="F37" s="19" t="s">
        <v>1593</v>
      </c>
      <c r="G37" s="19" t="s">
        <v>302</v>
      </c>
      <c r="H37" s="71"/>
      <c r="I37" s="98"/>
      <c r="J37" s="25" t="s">
        <v>304</v>
      </c>
      <c r="K37" s="25" t="s">
        <v>305</v>
      </c>
      <c r="L37" s="25" t="s">
        <v>97</v>
      </c>
      <c r="M37" s="1"/>
    </row>
    <row r="38" spans="1:13" s="1" customFormat="1">
      <c r="B38" s="13" t="s">
        <v>499</v>
      </c>
      <c r="C38" s="13" t="s">
        <v>75</v>
      </c>
      <c r="D38" s="9" t="s">
        <v>1890</v>
      </c>
      <c r="E38" s="21" t="s">
        <v>587</v>
      </c>
      <c r="F38" s="19" t="str">
        <f t="shared" ref="F38" si="2">B38</f>
        <v>bearer_qci</v>
      </c>
      <c r="G38" s="19" t="s">
        <v>302</v>
      </c>
      <c r="H38" s="71"/>
      <c r="I38" s="25"/>
      <c r="J38" s="25" t="s">
        <v>304</v>
      </c>
      <c r="K38" s="25" t="s">
        <v>305</v>
      </c>
      <c r="L38" s="25" t="s">
        <v>305</v>
      </c>
    </row>
    <row r="39" spans="1:13" s="1" customFormat="1">
      <c r="A39" s="89"/>
      <c r="B39" s="12" t="s">
        <v>1595</v>
      </c>
      <c r="C39" s="12" t="s">
        <v>71</v>
      </c>
      <c r="D39" s="9" t="s">
        <v>1596</v>
      </c>
      <c r="E39" s="21" t="s">
        <v>587</v>
      </c>
      <c r="F39" s="19" t="s">
        <v>1595</v>
      </c>
      <c r="G39" s="19" t="s">
        <v>302</v>
      </c>
      <c r="H39" s="71"/>
      <c r="I39" s="19"/>
      <c r="J39" s="25" t="s">
        <v>304</v>
      </c>
      <c r="K39" s="25" t="s">
        <v>305</v>
      </c>
      <c r="L39" s="25" t="s">
        <v>74</v>
      </c>
    </row>
    <row r="40" spans="1:13" s="1" customFormat="1">
      <c r="A40" s="89"/>
      <c r="B40" s="12" t="s">
        <v>1845</v>
      </c>
      <c r="C40" s="12" t="s">
        <v>504</v>
      </c>
      <c r="D40" s="9" t="s">
        <v>1920</v>
      </c>
      <c r="E40" s="21" t="s">
        <v>587</v>
      </c>
      <c r="F40" s="19" t="s">
        <v>1845</v>
      </c>
      <c r="G40" s="19" t="s">
        <v>302</v>
      </c>
      <c r="H40" s="71"/>
      <c r="I40" s="19"/>
      <c r="J40" s="25" t="s">
        <v>304</v>
      </c>
      <c r="K40" s="25" t="s">
        <v>305</v>
      </c>
      <c r="L40" s="25" t="s">
        <v>1921</v>
      </c>
    </row>
    <row r="41" spans="1:13" s="1" customFormat="1">
      <c r="A41" s="89"/>
      <c r="B41" s="12" t="s">
        <v>1922</v>
      </c>
      <c r="C41" s="12" t="s">
        <v>504</v>
      </c>
      <c r="D41" s="9" t="s">
        <v>1923</v>
      </c>
      <c r="E41" s="21" t="s">
        <v>587</v>
      </c>
      <c r="F41" s="19" t="s">
        <v>1922</v>
      </c>
      <c r="G41" s="19" t="s">
        <v>302</v>
      </c>
      <c r="H41" s="71"/>
      <c r="I41" s="19"/>
      <c r="J41" s="25" t="s">
        <v>304</v>
      </c>
      <c r="K41" s="25" t="s">
        <v>305</v>
      </c>
      <c r="L41" s="25" t="s">
        <v>1921</v>
      </c>
    </row>
    <row r="42" spans="1:13" s="1" customFormat="1">
      <c r="A42" s="89"/>
      <c r="B42" s="12" t="s">
        <v>1924</v>
      </c>
      <c r="C42" s="12" t="s">
        <v>98</v>
      </c>
      <c r="D42" s="9" t="s">
        <v>1617</v>
      </c>
      <c r="E42" s="21" t="s">
        <v>587</v>
      </c>
      <c r="F42" s="19"/>
      <c r="G42" s="19" t="s">
        <v>1925</v>
      </c>
      <c r="H42" s="71"/>
      <c r="I42" s="19"/>
      <c r="J42" s="25" t="s">
        <v>306</v>
      </c>
      <c r="K42" s="25" t="s">
        <v>305</v>
      </c>
      <c r="L42" s="25" t="s">
        <v>1209</v>
      </c>
    </row>
    <row r="43" spans="1:13" s="1" customFormat="1">
      <c r="A43" s="89"/>
      <c r="B43" s="12" t="s">
        <v>300</v>
      </c>
      <c r="C43" s="12" t="s">
        <v>98</v>
      </c>
      <c r="D43" s="9" t="s">
        <v>1926</v>
      </c>
      <c r="E43" s="21" t="s">
        <v>587</v>
      </c>
      <c r="F43" s="19"/>
      <c r="G43" s="19" t="s">
        <v>1927</v>
      </c>
      <c r="H43" s="19"/>
      <c r="I43" s="19"/>
      <c r="J43" s="25" t="s">
        <v>306</v>
      </c>
      <c r="K43" s="25" t="s">
        <v>305</v>
      </c>
      <c r="L43" s="25" t="s">
        <v>1209</v>
      </c>
    </row>
    <row r="44" spans="1:13" s="1" customFormat="1">
      <c r="A44" s="89"/>
      <c r="B44" s="12" t="s">
        <v>1928</v>
      </c>
      <c r="C44" s="12" t="s">
        <v>98</v>
      </c>
      <c r="D44" s="9" t="s">
        <v>1929</v>
      </c>
      <c r="E44" s="21" t="s">
        <v>587</v>
      </c>
      <c r="F44" s="19"/>
      <c r="G44" s="19" t="s">
        <v>2088</v>
      </c>
      <c r="H44" s="19"/>
      <c r="I44" s="19"/>
      <c r="J44" s="25" t="s">
        <v>306</v>
      </c>
      <c r="K44" s="25" t="s">
        <v>305</v>
      </c>
      <c r="L44" s="25" t="s">
        <v>1209</v>
      </c>
    </row>
    <row r="45" spans="1:13" s="1" customFormat="1">
      <c r="A45" s="89"/>
      <c r="B45" s="13" t="s">
        <v>1930</v>
      </c>
      <c r="C45" s="13" t="s">
        <v>98</v>
      </c>
      <c r="D45" s="9" t="s">
        <v>1931</v>
      </c>
      <c r="E45" s="21" t="s">
        <v>587</v>
      </c>
      <c r="F45" s="19"/>
      <c r="G45" s="19" t="s">
        <v>1754</v>
      </c>
      <c r="H45" s="19"/>
      <c r="I45" s="19"/>
      <c r="J45" s="25" t="s">
        <v>306</v>
      </c>
      <c r="K45" s="25" t="s">
        <v>800</v>
      </c>
      <c r="L45" s="25" t="s">
        <v>1209</v>
      </c>
    </row>
    <row r="46" spans="1:13" s="1" customFormat="1">
      <c r="A46" s="89"/>
      <c r="B46" s="12" t="s">
        <v>1932</v>
      </c>
      <c r="C46" s="12" t="s">
        <v>98</v>
      </c>
      <c r="D46" s="9" t="s">
        <v>1933</v>
      </c>
      <c r="E46" s="21" t="s">
        <v>587</v>
      </c>
      <c r="F46" s="19"/>
      <c r="G46" s="19" t="s">
        <v>1753</v>
      </c>
      <c r="H46" s="71"/>
      <c r="I46" s="19"/>
      <c r="J46" s="25" t="s">
        <v>306</v>
      </c>
      <c r="K46" s="25" t="s">
        <v>1934</v>
      </c>
      <c r="L46" s="25" t="s">
        <v>1209</v>
      </c>
    </row>
    <row r="47" spans="1:13" s="1" customFormat="1">
      <c r="A47" s="89"/>
      <c r="B47" s="12" t="s">
        <v>1935</v>
      </c>
      <c r="C47" s="12" t="s">
        <v>98</v>
      </c>
      <c r="D47" s="9" t="s">
        <v>1936</v>
      </c>
      <c r="E47" s="21" t="s">
        <v>587</v>
      </c>
      <c r="F47" s="19"/>
      <c r="G47" s="19" t="s">
        <v>1752</v>
      </c>
      <c r="H47" s="71"/>
      <c r="I47" s="19"/>
      <c r="J47" s="25" t="s">
        <v>306</v>
      </c>
      <c r="K47" s="25" t="s">
        <v>1934</v>
      </c>
      <c r="L47" s="25" t="s">
        <v>1209</v>
      </c>
    </row>
    <row r="48" spans="1:13" s="1" customFormat="1">
      <c r="A48" s="89"/>
      <c r="B48" s="12" t="s">
        <v>1984</v>
      </c>
      <c r="C48" s="12" t="s">
        <v>98</v>
      </c>
      <c r="D48" s="9" t="s">
        <v>2090</v>
      </c>
      <c r="E48" s="21" t="s">
        <v>587</v>
      </c>
      <c r="F48" s="19"/>
      <c r="G48" s="19" t="s">
        <v>2092</v>
      </c>
      <c r="H48" s="71"/>
      <c r="I48" s="19"/>
      <c r="J48" s="25" t="s">
        <v>306</v>
      </c>
      <c r="K48" s="25" t="s">
        <v>1934</v>
      </c>
      <c r="L48" s="25" t="s">
        <v>100</v>
      </c>
    </row>
    <row r="49" spans="1:12" s="1" customFormat="1">
      <c r="A49" s="89"/>
      <c r="B49" s="12" t="s">
        <v>1937</v>
      </c>
      <c r="C49" s="12" t="s">
        <v>98</v>
      </c>
      <c r="D49" s="9" t="s">
        <v>1938</v>
      </c>
      <c r="E49" s="21" t="s">
        <v>587</v>
      </c>
      <c r="F49" s="19"/>
      <c r="G49" s="9" t="s">
        <v>1939</v>
      </c>
      <c r="H49" s="71"/>
      <c r="I49" s="19"/>
      <c r="J49" s="25" t="s">
        <v>306</v>
      </c>
      <c r="K49" s="25" t="s">
        <v>74</v>
      </c>
      <c r="L49" s="25" t="s">
        <v>100</v>
      </c>
    </row>
    <row r="50" spans="1:12" s="1" customFormat="1">
      <c r="A50" s="89"/>
      <c r="B50" s="12" t="s">
        <v>1940</v>
      </c>
      <c r="C50" s="12" t="s">
        <v>98</v>
      </c>
      <c r="D50" s="9" t="s">
        <v>1941</v>
      </c>
      <c r="E50" s="21" t="s">
        <v>587</v>
      </c>
      <c r="F50" s="19"/>
      <c r="G50" s="19" t="s">
        <v>1942</v>
      </c>
      <c r="H50" s="71"/>
      <c r="I50" s="19"/>
      <c r="J50" s="25" t="s">
        <v>306</v>
      </c>
      <c r="K50" s="25" t="s">
        <v>74</v>
      </c>
      <c r="L50" s="25" t="s">
        <v>100</v>
      </c>
    </row>
    <row r="51" spans="1:12" s="1" customFormat="1">
      <c r="A51" s="89"/>
      <c r="B51" s="12" t="s">
        <v>1986</v>
      </c>
      <c r="C51" s="12" t="s">
        <v>98</v>
      </c>
      <c r="D51" s="9" t="s">
        <v>2091</v>
      </c>
      <c r="E51" s="21" t="s">
        <v>587</v>
      </c>
      <c r="F51" s="19"/>
      <c r="G51" s="19" t="s">
        <v>2093</v>
      </c>
      <c r="H51" s="71"/>
      <c r="I51" s="19"/>
      <c r="J51" s="25" t="s">
        <v>306</v>
      </c>
      <c r="K51" s="25" t="s">
        <v>1934</v>
      </c>
      <c r="L51" s="25" t="s">
        <v>100</v>
      </c>
    </row>
    <row r="52" spans="1:12" s="1" customFormat="1">
      <c r="A52" s="89"/>
      <c r="B52" s="12" t="s">
        <v>1943</v>
      </c>
      <c r="C52" s="12" t="s">
        <v>98</v>
      </c>
      <c r="D52" s="9" t="s">
        <v>1944</v>
      </c>
      <c r="E52" s="21" t="s">
        <v>587</v>
      </c>
      <c r="F52" s="19"/>
      <c r="G52" s="19" t="s">
        <v>1945</v>
      </c>
      <c r="H52" s="71"/>
      <c r="I52" s="19"/>
      <c r="J52" s="25" t="s">
        <v>306</v>
      </c>
      <c r="K52" s="25" t="s">
        <v>74</v>
      </c>
      <c r="L52" s="25" t="s">
        <v>100</v>
      </c>
    </row>
    <row r="53" spans="1:12" s="1" customFormat="1">
      <c r="A53" s="89"/>
      <c r="B53" s="12" t="s">
        <v>1946</v>
      </c>
      <c r="C53" s="12" t="s">
        <v>98</v>
      </c>
      <c r="D53" s="9" t="s">
        <v>1947</v>
      </c>
      <c r="E53" s="21" t="s">
        <v>587</v>
      </c>
      <c r="F53" s="19"/>
      <c r="G53" s="19" t="s">
        <v>1948</v>
      </c>
      <c r="H53" s="71"/>
      <c r="I53" s="19"/>
      <c r="J53" s="25" t="s">
        <v>306</v>
      </c>
      <c r="K53" s="25" t="s">
        <v>74</v>
      </c>
      <c r="L53" s="25" t="s">
        <v>100</v>
      </c>
    </row>
    <row r="54" spans="1:12" s="1" customFormat="1">
      <c r="A54" s="89"/>
      <c r="B54" s="12" t="s">
        <v>2094</v>
      </c>
      <c r="C54" s="12" t="s">
        <v>1991</v>
      </c>
      <c r="D54" s="9" t="s">
        <v>2096</v>
      </c>
      <c r="E54" s="21" t="s">
        <v>587</v>
      </c>
      <c r="F54" s="19"/>
      <c r="G54" s="19" t="s">
        <v>2097</v>
      </c>
      <c r="H54" s="71"/>
      <c r="I54" s="19"/>
      <c r="J54" s="25" t="s">
        <v>306</v>
      </c>
      <c r="K54" s="25" t="s">
        <v>2317</v>
      </c>
      <c r="L54" s="25" t="s">
        <v>1498</v>
      </c>
    </row>
    <row r="55" spans="1:12" s="1" customFormat="1">
      <c r="A55" s="89"/>
      <c r="B55" s="12" t="s">
        <v>2095</v>
      </c>
      <c r="C55" s="12" t="s">
        <v>1991</v>
      </c>
      <c r="D55" s="9" t="s">
        <v>2472</v>
      </c>
      <c r="E55" s="21" t="s">
        <v>587</v>
      </c>
      <c r="F55" s="19"/>
      <c r="G55" s="19" t="s">
        <v>2098</v>
      </c>
      <c r="H55" s="71"/>
      <c r="I55" s="19"/>
      <c r="J55" s="25" t="s">
        <v>306</v>
      </c>
      <c r="K55" s="25" t="s">
        <v>2318</v>
      </c>
      <c r="L55" s="25" t="s">
        <v>1498</v>
      </c>
    </row>
    <row r="56" spans="1:12" s="1" customFormat="1">
      <c r="A56" s="89"/>
      <c r="B56" s="12" t="s">
        <v>2099</v>
      </c>
      <c r="C56" s="12" t="s">
        <v>1991</v>
      </c>
      <c r="D56" s="9" t="s">
        <v>2101</v>
      </c>
      <c r="E56" s="21" t="s">
        <v>587</v>
      </c>
      <c r="F56" s="19"/>
      <c r="G56" s="19" t="s">
        <v>2102</v>
      </c>
      <c r="H56" s="71"/>
      <c r="I56" s="19"/>
      <c r="J56" s="25" t="s">
        <v>306</v>
      </c>
      <c r="K56" s="25" t="s">
        <v>2317</v>
      </c>
      <c r="L56" s="25" t="s">
        <v>1498</v>
      </c>
    </row>
    <row r="57" spans="1:12" s="1" customFormat="1">
      <c r="A57" s="89"/>
      <c r="B57" s="12" t="s">
        <v>2100</v>
      </c>
      <c r="C57" s="12" t="s">
        <v>1991</v>
      </c>
      <c r="D57" s="9" t="s">
        <v>2473</v>
      </c>
      <c r="E57" s="21" t="s">
        <v>587</v>
      </c>
      <c r="F57" s="19"/>
      <c r="G57" s="19" t="s">
        <v>2103</v>
      </c>
      <c r="H57" s="71"/>
      <c r="I57" s="19"/>
      <c r="J57" s="25" t="s">
        <v>306</v>
      </c>
      <c r="K57" s="25" t="s">
        <v>2318</v>
      </c>
      <c r="L57" s="25" t="s">
        <v>1498</v>
      </c>
    </row>
    <row r="58" spans="1:12" s="1" customFormat="1">
      <c r="A58" s="89"/>
      <c r="B58" s="12" t="s">
        <v>2104</v>
      </c>
      <c r="C58" s="12" t="s">
        <v>1991</v>
      </c>
      <c r="D58" s="9" t="s">
        <v>2108</v>
      </c>
      <c r="E58" s="21" t="s">
        <v>587</v>
      </c>
      <c r="F58" s="19"/>
      <c r="G58" s="19" t="s">
        <v>2110</v>
      </c>
      <c r="H58" s="71"/>
      <c r="I58" s="19"/>
      <c r="J58" s="25" t="s">
        <v>306</v>
      </c>
      <c r="K58" s="25" t="s">
        <v>2317</v>
      </c>
      <c r="L58" s="25" t="s">
        <v>1498</v>
      </c>
    </row>
    <row r="59" spans="1:12" s="1" customFormat="1">
      <c r="A59" s="89"/>
      <c r="B59" s="12" t="s">
        <v>2105</v>
      </c>
      <c r="C59" s="12" t="s">
        <v>1991</v>
      </c>
      <c r="D59" s="9" t="s">
        <v>2474</v>
      </c>
      <c r="E59" s="21" t="s">
        <v>587</v>
      </c>
      <c r="F59" s="19"/>
      <c r="G59" s="19" t="s">
        <v>2111</v>
      </c>
      <c r="H59" s="71"/>
      <c r="I59" s="19"/>
      <c r="J59" s="25" t="s">
        <v>306</v>
      </c>
      <c r="K59" s="25" t="s">
        <v>2318</v>
      </c>
      <c r="L59" s="25" t="s">
        <v>1498</v>
      </c>
    </row>
    <row r="60" spans="1:12" s="1" customFormat="1">
      <c r="A60" s="89"/>
      <c r="B60" s="12" t="s">
        <v>2106</v>
      </c>
      <c r="C60" s="12" t="s">
        <v>1991</v>
      </c>
      <c r="D60" s="9" t="s">
        <v>2109</v>
      </c>
      <c r="E60" s="21" t="s">
        <v>587</v>
      </c>
      <c r="F60" s="19"/>
      <c r="G60" s="19" t="s">
        <v>2112</v>
      </c>
      <c r="H60" s="71"/>
      <c r="I60" s="19"/>
      <c r="J60" s="25" t="s">
        <v>306</v>
      </c>
      <c r="K60" s="25" t="s">
        <v>2317</v>
      </c>
      <c r="L60" s="25" t="s">
        <v>1498</v>
      </c>
    </row>
    <row r="61" spans="1:12" s="1" customFormat="1">
      <c r="A61" s="89"/>
      <c r="B61" s="12" t="s">
        <v>2107</v>
      </c>
      <c r="C61" s="12" t="s">
        <v>1991</v>
      </c>
      <c r="D61" s="9" t="s">
        <v>2475</v>
      </c>
      <c r="E61" s="21" t="s">
        <v>587</v>
      </c>
      <c r="F61" s="19"/>
      <c r="G61" s="19" t="s">
        <v>2113</v>
      </c>
      <c r="H61" s="71"/>
      <c r="I61" s="19"/>
      <c r="J61" s="25" t="s">
        <v>306</v>
      </c>
      <c r="K61" s="25" t="s">
        <v>2318</v>
      </c>
      <c r="L61" s="25" t="s">
        <v>1498</v>
      </c>
    </row>
    <row r="62" spans="1:12" s="1" customFormat="1">
      <c r="A62" s="89"/>
      <c r="B62" s="12" t="s">
        <v>1949</v>
      </c>
      <c r="C62" s="12" t="s">
        <v>98</v>
      </c>
      <c r="D62" s="9" t="s">
        <v>1950</v>
      </c>
      <c r="E62" s="21" t="s">
        <v>587</v>
      </c>
      <c r="F62" s="19"/>
      <c r="G62" s="19" t="s">
        <v>1951</v>
      </c>
      <c r="H62" s="71"/>
      <c r="I62" s="19"/>
      <c r="J62" s="25" t="s">
        <v>306</v>
      </c>
      <c r="K62" s="25" t="s">
        <v>74</v>
      </c>
      <c r="L62" s="25" t="s">
        <v>100</v>
      </c>
    </row>
    <row r="63" spans="1:12" s="1" customFormat="1">
      <c r="A63" s="89"/>
      <c r="B63" s="12" t="s">
        <v>1952</v>
      </c>
      <c r="C63" s="12" t="s">
        <v>98</v>
      </c>
      <c r="D63" s="9" t="s">
        <v>1953</v>
      </c>
      <c r="E63" s="21" t="s">
        <v>587</v>
      </c>
      <c r="F63" s="19"/>
      <c r="G63" s="19" t="s">
        <v>1954</v>
      </c>
      <c r="H63" s="71"/>
      <c r="I63" s="19"/>
      <c r="J63" s="25" t="s">
        <v>306</v>
      </c>
      <c r="K63" s="25" t="s">
        <v>74</v>
      </c>
      <c r="L63" s="25" t="s">
        <v>100</v>
      </c>
    </row>
    <row r="64" spans="1:12" s="1" customFormat="1">
      <c r="A64" s="89"/>
      <c r="B64" s="12" t="s">
        <v>1955</v>
      </c>
      <c r="C64" s="12" t="s">
        <v>98</v>
      </c>
      <c r="D64" s="9" t="s">
        <v>1956</v>
      </c>
      <c r="E64" s="21" t="s">
        <v>587</v>
      </c>
      <c r="F64" s="19"/>
      <c r="G64" s="19" t="s">
        <v>1957</v>
      </c>
      <c r="H64" s="71"/>
      <c r="I64" s="19"/>
      <c r="J64" s="25" t="s">
        <v>306</v>
      </c>
      <c r="K64" s="25" t="s">
        <v>74</v>
      </c>
      <c r="L64" s="25" t="s">
        <v>100</v>
      </c>
    </row>
    <row r="65" spans="1:12" s="1" customFormat="1">
      <c r="A65" s="89"/>
      <c r="B65" s="12" t="s">
        <v>1958</v>
      </c>
      <c r="C65" s="12" t="s">
        <v>98</v>
      </c>
      <c r="D65" s="9" t="s">
        <v>1959</v>
      </c>
      <c r="E65" s="21" t="s">
        <v>587</v>
      </c>
      <c r="F65" s="19"/>
      <c r="G65" s="19" t="s">
        <v>1960</v>
      </c>
      <c r="H65" s="71"/>
      <c r="I65" s="19"/>
      <c r="J65" s="25" t="s">
        <v>306</v>
      </c>
      <c r="K65" s="25" t="s">
        <v>74</v>
      </c>
      <c r="L65" s="25" t="s">
        <v>100</v>
      </c>
    </row>
    <row r="66" spans="1:12" s="1" customFormat="1">
      <c r="A66" s="89"/>
      <c r="B66" s="12" t="s">
        <v>1961</v>
      </c>
      <c r="C66" s="12" t="s">
        <v>98</v>
      </c>
      <c r="D66" s="9" t="s">
        <v>1962</v>
      </c>
      <c r="E66" s="21" t="s">
        <v>587</v>
      </c>
      <c r="F66" s="19"/>
      <c r="G66" s="19" t="s">
        <v>1963</v>
      </c>
      <c r="H66" s="71"/>
      <c r="I66" s="19"/>
      <c r="J66" s="25" t="s">
        <v>306</v>
      </c>
      <c r="K66" s="25" t="s">
        <v>74</v>
      </c>
      <c r="L66" s="25" t="s">
        <v>100</v>
      </c>
    </row>
    <row r="67" spans="1:12" s="1" customFormat="1">
      <c r="A67" s="89"/>
      <c r="B67" s="12" t="s">
        <v>1964</v>
      </c>
      <c r="C67" s="12" t="s">
        <v>98</v>
      </c>
      <c r="D67" s="9" t="s">
        <v>1965</v>
      </c>
      <c r="E67" s="21" t="s">
        <v>587</v>
      </c>
      <c r="F67" s="19"/>
      <c r="G67" s="19" t="s">
        <v>1966</v>
      </c>
      <c r="H67" s="71"/>
      <c r="I67" s="19"/>
      <c r="J67" s="25" t="s">
        <v>306</v>
      </c>
      <c r="K67" s="25" t="s">
        <v>74</v>
      </c>
      <c r="L67" s="25" t="s">
        <v>100</v>
      </c>
    </row>
    <row r="68" spans="1:12" s="1" customFormat="1">
      <c r="A68" s="89"/>
      <c r="B68" s="12" t="s">
        <v>2136</v>
      </c>
      <c r="C68" s="12" t="s">
        <v>98</v>
      </c>
      <c r="D68" s="9" t="s">
        <v>2133</v>
      </c>
      <c r="E68" s="21" t="s">
        <v>587</v>
      </c>
      <c r="F68" s="19"/>
      <c r="G68" s="19" t="s">
        <v>2141</v>
      </c>
      <c r="H68" s="71"/>
      <c r="I68" s="19"/>
      <c r="J68" s="25" t="s">
        <v>306</v>
      </c>
      <c r="K68" s="25" t="s">
        <v>74</v>
      </c>
      <c r="L68" s="25" t="s">
        <v>100</v>
      </c>
    </row>
    <row r="69" spans="1:12" s="1" customFormat="1">
      <c r="A69" s="89"/>
      <c r="B69" s="12" t="s">
        <v>2139</v>
      </c>
      <c r="C69" s="12" t="s">
        <v>98</v>
      </c>
      <c r="D69" s="9" t="s">
        <v>2135</v>
      </c>
      <c r="E69" s="21" t="s">
        <v>587</v>
      </c>
      <c r="F69" s="19"/>
      <c r="G69" s="19" t="s">
        <v>2142</v>
      </c>
      <c r="H69" s="71"/>
      <c r="I69" s="19"/>
      <c r="J69" s="25" t="s">
        <v>306</v>
      </c>
      <c r="K69" s="25" t="s">
        <v>74</v>
      </c>
      <c r="L69" s="25" t="s">
        <v>100</v>
      </c>
    </row>
    <row r="70" spans="1:12" s="1" customFormat="1">
      <c r="A70" s="89"/>
      <c r="B70" s="12" t="s">
        <v>2132</v>
      </c>
      <c r="C70" s="12" t="s">
        <v>98</v>
      </c>
      <c r="D70" s="9" t="s">
        <v>1967</v>
      </c>
      <c r="E70" s="21" t="s">
        <v>587</v>
      </c>
      <c r="F70" s="19"/>
      <c r="G70" s="19" t="s">
        <v>1968</v>
      </c>
      <c r="H70" s="71"/>
      <c r="I70" s="19"/>
      <c r="J70" s="25" t="s">
        <v>306</v>
      </c>
      <c r="K70" s="25" t="s">
        <v>74</v>
      </c>
      <c r="L70" s="25" t="s">
        <v>100</v>
      </c>
    </row>
    <row r="71" spans="1:12" s="1" customFormat="1">
      <c r="A71" s="89"/>
      <c r="B71" s="12" t="s">
        <v>1969</v>
      </c>
      <c r="C71" s="12" t="s">
        <v>98</v>
      </c>
      <c r="D71" s="9" t="s">
        <v>1970</v>
      </c>
      <c r="E71" s="21" t="s">
        <v>587</v>
      </c>
      <c r="F71" s="19"/>
      <c r="G71" s="19" t="s">
        <v>1971</v>
      </c>
      <c r="H71" s="71"/>
      <c r="I71" s="19"/>
      <c r="J71" s="25" t="s">
        <v>306</v>
      </c>
      <c r="K71" s="25" t="s">
        <v>74</v>
      </c>
      <c r="L71" s="25" t="s">
        <v>100</v>
      </c>
    </row>
    <row r="72" spans="1:12" s="1" customFormat="1">
      <c r="A72" s="89"/>
      <c r="B72" s="12" t="s">
        <v>1972</v>
      </c>
      <c r="C72" s="12" t="s">
        <v>98</v>
      </c>
      <c r="D72" s="9" t="s">
        <v>1973</v>
      </c>
      <c r="E72" s="21" t="s">
        <v>587</v>
      </c>
      <c r="F72" s="19"/>
      <c r="G72" s="19" t="s">
        <v>1974</v>
      </c>
      <c r="H72" s="71"/>
      <c r="I72" s="19"/>
      <c r="J72" s="25" t="s">
        <v>306</v>
      </c>
      <c r="K72" s="25" t="s">
        <v>74</v>
      </c>
      <c r="L72" s="25" t="s">
        <v>100</v>
      </c>
    </row>
    <row r="73" spans="1:12" s="1" customFormat="1">
      <c r="A73" s="89"/>
      <c r="B73" s="12" t="s">
        <v>1975</v>
      </c>
      <c r="C73" s="12" t="s">
        <v>98</v>
      </c>
      <c r="D73" s="9" t="s">
        <v>1976</v>
      </c>
      <c r="E73" s="21" t="s">
        <v>587</v>
      </c>
      <c r="F73" s="19"/>
      <c r="G73" s="19" t="s">
        <v>1977</v>
      </c>
      <c r="H73" s="71"/>
      <c r="I73" s="19"/>
      <c r="J73" s="25" t="s">
        <v>306</v>
      </c>
      <c r="K73" s="25" t="s">
        <v>74</v>
      </c>
      <c r="L73" s="25" t="s">
        <v>100</v>
      </c>
    </row>
    <row r="74" spans="1:12" s="1" customFormat="1">
      <c r="A74" s="89"/>
      <c r="B74" s="12" t="s">
        <v>1978</v>
      </c>
      <c r="C74" s="12" t="s">
        <v>98</v>
      </c>
      <c r="D74" s="9" t="s">
        <v>1979</v>
      </c>
      <c r="E74" s="21" t="s">
        <v>587</v>
      </c>
      <c r="F74" s="19"/>
      <c r="G74" s="19" t="s">
        <v>2114</v>
      </c>
      <c r="H74" s="71"/>
      <c r="I74" s="19"/>
      <c r="J74" s="25" t="s">
        <v>306</v>
      </c>
      <c r="K74" s="25" t="s">
        <v>74</v>
      </c>
      <c r="L74" s="25" t="s">
        <v>100</v>
      </c>
    </row>
    <row r="75" spans="1:12" s="1" customFormat="1">
      <c r="A75" s="89"/>
      <c r="B75" s="12" t="s">
        <v>1981</v>
      </c>
      <c r="C75" s="12" t="s">
        <v>98</v>
      </c>
      <c r="D75" s="9" t="s">
        <v>1982</v>
      </c>
      <c r="E75" s="21" t="s">
        <v>587</v>
      </c>
      <c r="F75" s="19"/>
      <c r="G75" s="19" t="s">
        <v>1983</v>
      </c>
      <c r="H75" s="71"/>
      <c r="I75" s="19"/>
      <c r="J75" s="25" t="s">
        <v>306</v>
      </c>
      <c r="K75" s="25" t="s">
        <v>74</v>
      </c>
      <c r="L75" s="25" t="s">
        <v>100</v>
      </c>
    </row>
    <row r="76" spans="1:12" s="1" customFormat="1">
      <c r="A76" s="89"/>
      <c r="B76" s="12" t="s">
        <v>1988</v>
      </c>
      <c r="C76" s="12" t="s">
        <v>98</v>
      </c>
      <c r="D76" s="9" t="s">
        <v>1989</v>
      </c>
      <c r="E76" s="21" t="s">
        <v>587</v>
      </c>
      <c r="F76" s="19"/>
      <c r="G76" s="19" t="s">
        <v>1974</v>
      </c>
      <c r="H76" s="71"/>
      <c r="I76" s="19"/>
      <c r="J76" s="25" t="s">
        <v>306</v>
      </c>
      <c r="K76" s="25" t="s">
        <v>74</v>
      </c>
      <c r="L76" s="25" t="s">
        <v>100</v>
      </c>
    </row>
    <row r="77" spans="1:12" s="1" customFormat="1">
      <c r="A77" s="89"/>
      <c r="B77" s="12" t="s">
        <v>1990</v>
      </c>
      <c r="C77" s="12" t="s">
        <v>1991</v>
      </c>
      <c r="D77" s="9" t="s">
        <v>1992</v>
      </c>
      <c r="E77" s="21" t="s">
        <v>587</v>
      </c>
      <c r="F77" s="19"/>
      <c r="G77" s="19" t="s">
        <v>1993</v>
      </c>
      <c r="H77" s="71"/>
      <c r="I77" s="19"/>
      <c r="J77" s="25" t="s">
        <v>306</v>
      </c>
      <c r="K77" s="25" t="s">
        <v>115</v>
      </c>
      <c r="L77" s="25" t="s">
        <v>100</v>
      </c>
    </row>
    <row r="78" spans="1:12" s="1" customFormat="1">
      <c r="A78" s="89"/>
      <c r="B78" s="12" t="s">
        <v>1994</v>
      </c>
      <c r="C78" s="12" t="s">
        <v>98</v>
      </c>
      <c r="D78" s="9" t="s">
        <v>1995</v>
      </c>
      <c r="E78" s="21" t="s">
        <v>587</v>
      </c>
      <c r="F78" s="19"/>
      <c r="G78" s="19" t="s">
        <v>2385</v>
      </c>
      <c r="H78" s="71"/>
      <c r="I78" s="19"/>
      <c r="J78" s="25" t="s">
        <v>306</v>
      </c>
      <c r="K78" s="25" t="s">
        <v>74</v>
      </c>
      <c r="L78" s="25" t="s">
        <v>100</v>
      </c>
    </row>
    <row r="79" spans="1:12" s="1" customFormat="1">
      <c r="A79" s="89"/>
      <c r="B79" s="12" t="s">
        <v>1996</v>
      </c>
      <c r="C79" s="12" t="s">
        <v>98</v>
      </c>
      <c r="D79" s="9" t="s">
        <v>1997</v>
      </c>
      <c r="E79" s="21" t="s">
        <v>587</v>
      </c>
      <c r="F79" s="19"/>
      <c r="G79" s="19" t="s">
        <v>2386</v>
      </c>
      <c r="H79" s="71"/>
      <c r="I79" s="19"/>
      <c r="J79" s="25" t="s">
        <v>306</v>
      </c>
      <c r="K79" s="25" t="s">
        <v>74</v>
      </c>
      <c r="L79" s="25" t="s">
        <v>100</v>
      </c>
    </row>
    <row r="80" spans="1:12" s="1" customFormat="1">
      <c r="A80" s="89"/>
      <c r="B80" s="12" t="s">
        <v>1998</v>
      </c>
      <c r="C80" s="12" t="s">
        <v>98</v>
      </c>
      <c r="D80" s="9" t="s">
        <v>1999</v>
      </c>
      <c r="E80" s="21" t="s">
        <v>587</v>
      </c>
      <c r="F80" s="19"/>
      <c r="G80" s="19" t="s">
        <v>2387</v>
      </c>
      <c r="H80" s="71"/>
      <c r="I80" s="19"/>
      <c r="J80" s="25" t="s">
        <v>306</v>
      </c>
      <c r="K80" s="25" t="s">
        <v>74</v>
      </c>
      <c r="L80" s="25" t="s">
        <v>100</v>
      </c>
    </row>
    <row r="81" spans="1:12" s="1" customFormat="1">
      <c r="A81" s="89"/>
      <c r="B81" s="12" t="s">
        <v>2000</v>
      </c>
      <c r="C81" s="12" t="s">
        <v>98</v>
      </c>
      <c r="D81" s="9" t="s">
        <v>2001</v>
      </c>
      <c r="E81" s="21" t="s">
        <v>587</v>
      </c>
      <c r="F81" s="19"/>
      <c r="G81" s="19" t="s">
        <v>2388</v>
      </c>
      <c r="H81" s="71"/>
      <c r="I81" s="19"/>
      <c r="J81" s="25" t="s">
        <v>306</v>
      </c>
      <c r="K81" s="25" t="s">
        <v>74</v>
      </c>
      <c r="L81" s="25" t="s">
        <v>100</v>
      </c>
    </row>
    <row r="82" spans="1:12" s="1" customFormat="1">
      <c r="A82" s="89"/>
      <c r="B82" s="12" t="s">
        <v>2002</v>
      </c>
      <c r="C82" s="12" t="s">
        <v>98</v>
      </c>
      <c r="D82" s="9" t="s">
        <v>2003</v>
      </c>
      <c r="E82" s="21" t="s">
        <v>587</v>
      </c>
      <c r="F82" s="19"/>
      <c r="G82" s="19" t="s">
        <v>2389</v>
      </c>
      <c r="H82" s="71"/>
      <c r="I82" s="19"/>
      <c r="J82" s="25" t="s">
        <v>306</v>
      </c>
      <c r="K82" s="25" t="s">
        <v>74</v>
      </c>
      <c r="L82" s="25" t="s">
        <v>100</v>
      </c>
    </row>
    <row r="83" spans="1:12" s="1" customFormat="1">
      <c r="A83" s="89"/>
      <c r="B83" s="12" t="s">
        <v>2004</v>
      </c>
      <c r="C83" s="12" t="s">
        <v>98</v>
      </c>
      <c r="D83" s="9" t="s">
        <v>2005</v>
      </c>
      <c r="E83" s="21" t="s">
        <v>587</v>
      </c>
      <c r="F83" s="19"/>
      <c r="G83" s="19" t="s">
        <v>2006</v>
      </c>
      <c r="H83" s="71"/>
      <c r="I83" s="19"/>
      <c r="J83" s="25" t="s">
        <v>306</v>
      </c>
      <c r="K83" s="25" t="s">
        <v>74</v>
      </c>
      <c r="L83" s="25" t="s">
        <v>100</v>
      </c>
    </row>
    <row r="84" spans="1:12" s="1" customFormat="1">
      <c r="A84" s="89"/>
      <c r="B84" s="12" t="s">
        <v>2007</v>
      </c>
      <c r="C84" s="12" t="s">
        <v>1991</v>
      </c>
      <c r="D84" s="9" t="s">
        <v>2008</v>
      </c>
      <c r="E84" s="21" t="s">
        <v>587</v>
      </c>
      <c r="F84" s="19"/>
      <c r="G84" s="19" t="s">
        <v>2009</v>
      </c>
      <c r="H84" s="71"/>
      <c r="I84" s="19"/>
      <c r="J84" s="25" t="s">
        <v>306</v>
      </c>
      <c r="K84" s="25" t="s">
        <v>115</v>
      </c>
      <c r="L84" s="25" t="s">
        <v>100</v>
      </c>
    </row>
    <row r="85" spans="1:12" s="1" customFormat="1">
      <c r="A85" s="89"/>
      <c r="B85" s="12" t="s">
        <v>2010</v>
      </c>
      <c r="C85" s="12" t="s">
        <v>98</v>
      </c>
      <c r="D85" s="9" t="s">
        <v>2011</v>
      </c>
      <c r="E85" s="21" t="s">
        <v>587</v>
      </c>
      <c r="F85" s="19"/>
      <c r="G85" s="19" t="s">
        <v>2390</v>
      </c>
      <c r="H85" s="71"/>
      <c r="I85" s="19"/>
      <c r="J85" s="25" t="s">
        <v>306</v>
      </c>
      <c r="K85" s="25" t="s">
        <v>74</v>
      </c>
      <c r="L85" s="25" t="s">
        <v>100</v>
      </c>
    </row>
    <row r="86" spans="1:12" s="1" customFormat="1">
      <c r="A86" s="89"/>
      <c r="B86" s="12" t="s">
        <v>2012</v>
      </c>
      <c r="C86" s="12" t="s">
        <v>98</v>
      </c>
      <c r="D86" s="9" t="s">
        <v>2013</v>
      </c>
      <c r="E86" s="21" t="s">
        <v>587</v>
      </c>
      <c r="F86" s="19"/>
      <c r="G86" s="19" t="s">
        <v>2391</v>
      </c>
      <c r="H86" s="71"/>
      <c r="I86" s="19"/>
      <c r="J86" s="25" t="s">
        <v>306</v>
      </c>
      <c r="K86" s="25" t="s">
        <v>74</v>
      </c>
      <c r="L86" s="25" t="s">
        <v>100</v>
      </c>
    </row>
    <row r="87" spans="1:12" s="1" customFormat="1">
      <c r="A87" s="89"/>
      <c r="B87" s="12" t="s">
        <v>2014</v>
      </c>
      <c r="C87" s="12" t="s">
        <v>98</v>
      </c>
      <c r="D87" s="9" t="s">
        <v>2015</v>
      </c>
      <c r="E87" s="21" t="s">
        <v>587</v>
      </c>
      <c r="F87" s="19"/>
      <c r="G87" s="19" t="s">
        <v>2392</v>
      </c>
      <c r="H87" s="71"/>
      <c r="I87" s="19"/>
      <c r="J87" s="25" t="s">
        <v>306</v>
      </c>
      <c r="K87" s="25" t="s">
        <v>74</v>
      </c>
      <c r="L87" s="25" t="s">
        <v>100</v>
      </c>
    </row>
    <row r="88" spans="1:12" s="1" customFormat="1">
      <c r="A88" s="89"/>
      <c r="B88" s="12" t="s">
        <v>2016</v>
      </c>
      <c r="C88" s="12" t="s">
        <v>98</v>
      </c>
      <c r="D88" s="9" t="s">
        <v>2017</v>
      </c>
      <c r="E88" s="21" t="s">
        <v>587</v>
      </c>
      <c r="F88" s="19"/>
      <c r="G88" s="19" t="s">
        <v>2393</v>
      </c>
      <c r="H88" s="71"/>
      <c r="I88" s="19"/>
      <c r="J88" s="25" t="s">
        <v>306</v>
      </c>
      <c r="K88" s="25" t="s">
        <v>74</v>
      </c>
      <c r="L88" s="25" t="s">
        <v>100</v>
      </c>
    </row>
    <row r="89" spans="1:12" s="1" customFormat="1">
      <c r="A89" s="89"/>
      <c r="B89" s="12" t="s">
        <v>2018</v>
      </c>
      <c r="C89" s="12" t="s">
        <v>98</v>
      </c>
      <c r="D89" s="9" t="s">
        <v>2019</v>
      </c>
      <c r="E89" s="21" t="s">
        <v>587</v>
      </c>
      <c r="F89" s="19"/>
      <c r="G89" s="19" t="s">
        <v>2394</v>
      </c>
      <c r="H89" s="71"/>
      <c r="I89" s="19"/>
      <c r="J89" s="25" t="s">
        <v>306</v>
      </c>
      <c r="K89" s="25" t="s">
        <v>74</v>
      </c>
      <c r="L89" s="25" t="s">
        <v>100</v>
      </c>
    </row>
    <row r="90" spans="1:12" s="1" customFormat="1">
      <c r="A90" s="89"/>
      <c r="B90" s="12" t="s">
        <v>2020</v>
      </c>
      <c r="C90" s="12" t="s">
        <v>1991</v>
      </c>
      <c r="D90" s="9" t="s">
        <v>2021</v>
      </c>
      <c r="E90" s="21" t="s">
        <v>587</v>
      </c>
      <c r="F90" s="19"/>
      <c r="G90" s="19" t="s">
        <v>2022</v>
      </c>
      <c r="H90" s="71"/>
      <c r="I90" s="19"/>
      <c r="J90" s="25" t="s">
        <v>306</v>
      </c>
      <c r="K90" s="25" t="s">
        <v>115</v>
      </c>
      <c r="L90" s="25" t="s">
        <v>100</v>
      </c>
    </row>
    <row r="91" spans="1:12" s="1" customFormat="1">
      <c r="A91" s="89"/>
      <c r="B91" s="12" t="s">
        <v>2023</v>
      </c>
      <c r="C91" s="12" t="s">
        <v>1991</v>
      </c>
      <c r="D91" s="9" t="s">
        <v>2024</v>
      </c>
      <c r="E91" s="21" t="s">
        <v>587</v>
      </c>
      <c r="F91" s="19"/>
      <c r="G91" s="19" t="s">
        <v>2025</v>
      </c>
      <c r="H91" s="71"/>
      <c r="I91" s="19"/>
      <c r="J91" s="25" t="s">
        <v>306</v>
      </c>
      <c r="K91" s="25" t="s">
        <v>115</v>
      </c>
      <c r="L91" s="25" t="s">
        <v>100</v>
      </c>
    </row>
    <row r="92" spans="1:12" s="1" customFormat="1">
      <c r="A92" s="89"/>
      <c r="B92" s="12" t="s">
        <v>2026</v>
      </c>
      <c r="C92" s="12" t="s">
        <v>98</v>
      </c>
      <c r="D92" s="9" t="s">
        <v>2027</v>
      </c>
      <c r="E92" s="21" t="s">
        <v>587</v>
      </c>
      <c r="F92" s="19"/>
      <c r="G92" s="19" t="s">
        <v>2395</v>
      </c>
      <c r="H92" s="71"/>
      <c r="I92" s="19"/>
      <c r="J92" s="25" t="s">
        <v>306</v>
      </c>
      <c r="K92" s="25" t="s">
        <v>74</v>
      </c>
      <c r="L92" s="25" t="s">
        <v>100</v>
      </c>
    </row>
    <row r="93" spans="1:12" s="1" customFormat="1">
      <c r="A93" s="89"/>
      <c r="B93" s="12" t="s">
        <v>2028</v>
      </c>
      <c r="C93" s="12" t="s">
        <v>98</v>
      </c>
      <c r="D93" s="9" t="s">
        <v>2029</v>
      </c>
      <c r="E93" s="21" t="s">
        <v>587</v>
      </c>
      <c r="F93" s="19"/>
      <c r="G93" s="19" t="s">
        <v>2396</v>
      </c>
      <c r="H93" s="71"/>
      <c r="I93" s="19"/>
      <c r="J93" s="25" t="s">
        <v>306</v>
      </c>
      <c r="K93" s="25" t="s">
        <v>74</v>
      </c>
      <c r="L93" s="25" t="s">
        <v>100</v>
      </c>
    </row>
    <row r="94" spans="1:12" s="1" customFormat="1">
      <c r="A94" s="89"/>
      <c r="B94" s="12" t="s">
        <v>2030</v>
      </c>
      <c r="C94" s="12" t="s">
        <v>98</v>
      </c>
      <c r="D94" s="9" t="s">
        <v>2031</v>
      </c>
      <c r="E94" s="21" t="s">
        <v>587</v>
      </c>
      <c r="F94" s="19"/>
      <c r="G94" s="19" t="s">
        <v>2397</v>
      </c>
      <c r="H94" s="71"/>
      <c r="I94" s="19"/>
      <c r="J94" s="25" t="s">
        <v>306</v>
      </c>
      <c r="K94" s="25" t="s">
        <v>74</v>
      </c>
      <c r="L94" s="25" t="s">
        <v>100</v>
      </c>
    </row>
    <row r="95" spans="1:12" s="1" customFormat="1">
      <c r="A95" s="89"/>
      <c r="B95" s="12" t="s">
        <v>2032</v>
      </c>
      <c r="C95" s="12" t="s">
        <v>98</v>
      </c>
      <c r="D95" s="9" t="s">
        <v>2033</v>
      </c>
      <c r="E95" s="21" t="s">
        <v>587</v>
      </c>
      <c r="F95" s="19"/>
      <c r="G95" s="19" t="s">
        <v>2398</v>
      </c>
      <c r="H95" s="71"/>
      <c r="I95" s="19"/>
      <c r="J95" s="25" t="s">
        <v>306</v>
      </c>
      <c r="K95" s="25" t="s">
        <v>74</v>
      </c>
      <c r="L95" s="25" t="s">
        <v>100</v>
      </c>
    </row>
    <row r="96" spans="1:12" s="1" customFormat="1">
      <c r="A96" s="89"/>
      <c r="B96" s="12" t="s">
        <v>2034</v>
      </c>
      <c r="C96" s="12" t="s">
        <v>98</v>
      </c>
      <c r="D96" s="9" t="s">
        <v>2035</v>
      </c>
      <c r="E96" s="21" t="s">
        <v>587</v>
      </c>
      <c r="F96" s="19"/>
      <c r="G96" s="19" t="s">
        <v>2399</v>
      </c>
      <c r="H96" s="71"/>
      <c r="I96" s="19"/>
      <c r="J96" s="25" t="s">
        <v>306</v>
      </c>
      <c r="K96" s="25" t="s">
        <v>74</v>
      </c>
      <c r="L96" s="25" t="s">
        <v>100</v>
      </c>
    </row>
    <row r="97" spans="1:12" s="1" customFormat="1">
      <c r="A97" s="89"/>
      <c r="B97" s="12" t="s">
        <v>2036</v>
      </c>
      <c r="C97" s="12" t="s">
        <v>1991</v>
      </c>
      <c r="D97" s="9" t="s">
        <v>2037</v>
      </c>
      <c r="E97" s="21" t="s">
        <v>587</v>
      </c>
      <c r="F97" s="19"/>
      <c r="G97" s="19" t="s">
        <v>2038</v>
      </c>
      <c r="H97" s="71"/>
      <c r="I97" s="19"/>
      <c r="J97" s="25" t="s">
        <v>306</v>
      </c>
      <c r="K97" s="25" t="s">
        <v>115</v>
      </c>
      <c r="L97" s="25" t="s">
        <v>100</v>
      </c>
    </row>
    <row r="98" spans="1:12" s="1" customFormat="1">
      <c r="A98" s="89"/>
      <c r="B98" s="12" t="s">
        <v>2039</v>
      </c>
      <c r="C98" s="12" t="s">
        <v>98</v>
      </c>
      <c r="D98" s="9" t="s">
        <v>2040</v>
      </c>
      <c r="E98" s="21" t="s">
        <v>587</v>
      </c>
      <c r="F98" s="19"/>
      <c r="G98" s="19" t="s">
        <v>2041</v>
      </c>
      <c r="H98" s="71"/>
      <c r="I98" s="19"/>
      <c r="J98" s="25" t="s">
        <v>306</v>
      </c>
      <c r="K98" s="25" t="s">
        <v>74</v>
      </c>
      <c r="L98" s="25" t="s">
        <v>100</v>
      </c>
    </row>
    <row r="99" spans="1:12" s="1" customFormat="1">
      <c r="A99" s="89"/>
      <c r="B99" s="12" t="s">
        <v>2042</v>
      </c>
      <c r="C99" s="12" t="s">
        <v>1991</v>
      </c>
      <c r="D99" s="9" t="s">
        <v>2043</v>
      </c>
      <c r="E99" s="21" t="s">
        <v>587</v>
      </c>
      <c r="F99" s="19"/>
      <c r="G99" s="19" t="s">
        <v>2044</v>
      </c>
      <c r="H99" s="71"/>
      <c r="I99" s="19"/>
      <c r="J99" s="25" t="s">
        <v>306</v>
      </c>
      <c r="K99" s="25" t="s">
        <v>115</v>
      </c>
      <c r="L99" s="25" t="s">
        <v>100</v>
      </c>
    </row>
    <row r="100" spans="1:12" s="1" customFormat="1">
      <c r="A100" s="89"/>
      <c r="B100" s="12" t="s">
        <v>2045</v>
      </c>
      <c r="C100" s="12" t="s">
        <v>98</v>
      </c>
      <c r="D100" s="9" t="s">
        <v>2046</v>
      </c>
      <c r="E100" s="21" t="s">
        <v>587</v>
      </c>
      <c r="F100" s="19"/>
      <c r="G100" s="19" t="s">
        <v>2047</v>
      </c>
      <c r="H100" s="71"/>
      <c r="I100" s="19"/>
      <c r="J100" s="25" t="s">
        <v>306</v>
      </c>
      <c r="K100" s="25" t="s">
        <v>74</v>
      </c>
      <c r="L100" s="25" t="s">
        <v>100</v>
      </c>
    </row>
    <row r="101" spans="1:12" s="1" customFormat="1">
      <c r="A101" s="89"/>
      <c r="B101" s="12" t="s">
        <v>2048</v>
      </c>
      <c r="C101" s="12" t="s">
        <v>771</v>
      </c>
      <c r="D101" s="9" t="s">
        <v>2470</v>
      </c>
      <c r="E101" s="21" t="s">
        <v>587</v>
      </c>
      <c r="F101" s="19"/>
      <c r="G101" s="19" t="s">
        <v>2050</v>
      </c>
      <c r="H101" s="71"/>
      <c r="I101" s="19"/>
      <c r="J101" s="25" t="s">
        <v>306</v>
      </c>
      <c r="K101" s="25" t="s">
        <v>1208</v>
      </c>
      <c r="L101" s="25" t="s">
        <v>1209</v>
      </c>
    </row>
    <row r="102" spans="1:12" s="1" customFormat="1">
      <c r="A102" s="89"/>
      <c r="B102" s="12" t="s">
        <v>2051</v>
      </c>
      <c r="C102" s="12" t="s">
        <v>1991</v>
      </c>
      <c r="D102" s="9" t="s">
        <v>1827</v>
      </c>
      <c r="E102" s="21" t="s">
        <v>587</v>
      </c>
      <c r="F102" s="19"/>
      <c r="G102" s="19" t="s">
        <v>2052</v>
      </c>
      <c r="H102" s="71"/>
      <c r="I102" s="19"/>
      <c r="J102" s="25" t="s">
        <v>306</v>
      </c>
      <c r="K102" s="25" t="s">
        <v>800</v>
      </c>
      <c r="L102" s="25" t="s">
        <v>100</v>
      </c>
    </row>
    <row r="103" spans="1:12" s="1" customFormat="1">
      <c r="A103" s="89"/>
      <c r="B103" s="12" t="s">
        <v>2053</v>
      </c>
      <c r="C103" s="12" t="s">
        <v>771</v>
      </c>
      <c r="D103" s="9" t="s">
        <v>2471</v>
      </c>
      <c r="E103" s="21" t="s">
        <v>587</v>
      </c>
      <c r="F103" s="19"/>
      <c r="G103" s="19" t="s">
        <v>2055</v>
      </c>
      <c r="H103" s="71"/>
      <c r="I103" s="19"/>
      <c r="J103" s="25" t="s">
        <v>306</v>
      </c>
      <c r="K103" s="25" t="s">
        <v>1208</v>
      </c>
      <c r="L103" s="25" t="s">
        <v>1209</v>
      </c>
    </row>
    <row r="104" spans="1:12" s="1" customFormat="1">
      <c r="A104" s="89"/>
      <c r="B104" s="12" t="s">
        <v>1828</v>
      </c>
      <c r="C104" s="12" t="s">
        <v>1991</v>
      </c>
      <c r="D104" s="9" t="s">
        <v>2056</v>
      </c>
      <c r="E104" s="21" t="s">
        <v>587</v>
      </c>
      <c r="F104" s="19"/>
      <c r="G104" s="19" t="s">
        <v>2057</v>
      </c>
      <c r="H104" s="71"/>
      <c r="I104" s="19"/>
      <c r="J104" s="25" t="s">
        <v>306</v>
      </c>
      <c r="K104" s="25" t="s">
        <v>800</v>
      </c>
      <c r="L104" s="25" t="s">
        <v>100</v>
      </c>
    </row>
    <row r="105" spans="1:12" s="1" customFormat="1">
      <c r="A105" s="89"/>
      <c r="B105" s="12" t="s">
        <v>2058</v>
      </c>
      <c r="C105" s="12" t="s">
        <v>98</v>
      </c>
      <c r="D105" s="9" t="s">
        <v>2059</v>
      </c>
      <c r="E105" s="21" t="s">
        <v>587</v>
      </c>
      <c r="F105" s="19"/>
      <c r="G105" s="19" t="s">
        <v>2060</v>
      </c>
      <c r="H105" s="71"/>
      <c r="I105" s="19"/>
      <c r="J105" s="25" t="s">
        <v>306</v>
      </c>
      <c r="K105" s="25" t="s">
        <v>74</v>
      </c>
      <c r="L105" s="25" t="s">
        <v>100</v>
      </c>
    </row>
    <row r="106" spans="1:12" s="1" customFormat="1">
      <c r="A106" s="89"/>
      <c r="B106" s="12" t="s">
        <v>1830</v>
      </c>
      <c r="C106" s="12" t="s">
        <v>1991</v>
      </c>
      <c r="D106" s="9" t="s">
        <v>2061</v>
      </c>
      <c r="E106" s="21" t="s">
        <v>587</v>
      </c>
      <c r="F106" s="19"/>
      <c r="G106" s="19" t="s">
        <v>2062</v>
      </c>
      <c r="H106" s="71"/>
      <c r="I106" s="19"/>
      <c r="J106" s="25" t="s">
        <v>306</v>
      </c>
      <c r="K106" s="25" t="s">
        <v>115</v>
      </c>
      <c r="L106" s="25" t="s">
        <v>100</v>
      </c>
    </row>
    <row r="107" spans="1:12" s="1" customFormat="1">
      <c r="A107" s="89"/>
      <c r="B107" s="12" t="s">
        <v>2063</v>
      </c>
      <c r="C107" s="12" t="s">
        <v>98</v>
      </c>
      <c r="D107" s="9" t="s">
        <v>2064</v>
      </c>
      <c r="E107" s="21" t="s">
        <v>587</v>
      </c>
      <c r="F107" s="19"/>
      <c r="G107" s="19" t="s">
        <v>2065</v>
      </c>
      <c r="H107" s="71"/>
      <c r="I107" s="19"/>
      <c r="J107" s="25" t="s">
        <v>306</v>
      </c>
      <c r="K107" s="25" t="s">
        <v>1208</v>
      </c>
      <c r="L107" s="25" t="s">
        <v>100</v>
      </c>
    </row>
    <row r="108" spans="1:12" s="1" customFormat="1">
      <c r="A108" s="89"/>
      <c r="B108" s="12" t="s">
        <v>2066</v>
      </c>
      <c r="C108" s="12" t="s">
        <v>1991</v>
      </c>
      <c r="D108" s="9" t="s">
        <v>2067</v>
      </c>
      <c r="E108" s="21" t="s">
        <v>587</v>
      </c>
      <c r="F108" s="19"/>
      <c r="G108" s="19" t="s">
        <v>2068</v>
      </c>
      <c r="H108" s="71"/>
      <c r="I108" s="19"/>
      <c r="J108" s="25" t="s">
        <v>306</v>
      </c>
      <c r="K108" s="25" t="s">
        <v>115</v>
      </c>
      <c r="L108" s="25" t="s">
        <v>100</v>
      </c>
    </row>
    <row r="109" spans="1:12" s="1" customFormat="1">
      <c r="A109" s="89"/>
      <c r="B109" s="12" t="s">
        <v>1819</v>
      </c>
      <c r="C109" s="12" t="s">
        <v>1991</v>
      </c>
      <c r="D109" s="9" t="s">
        <v>1820</v>
      </c>
      <c r="E109" s="21" t="s">
        <v>587</v>
      </c>
      <c r="F109" s="19"/>
      <c r="G109" s="19" t="s">
        <v>2069</v>
      </c>
      <c r="H109" s="71"/>
      <c r="I109" s="19"/>
      <c r="J109" s="25" t="s">
        <v>306</v>
      </c>
      <c r="K109" s="25" t="s">
        <v>115</v>
      </c>
      <c r="L109" s="25" t="s">
        <v>100</v>
      </c>
    </row>
    <row r="110" spans="1:12" s="1" customFormat="1">
      <c r="A110" s="89"/>
      <c r="B110" s="12" t="s">
        <v>2070</v>
      </c>
      <c r="C110" s="12" t="s">
        <v>98</v>
      </c>
      <c r="D110" s="9" t="s">
        <v>2071</v>
      </c>
      <c r="E110" s="21" t="s">
        <v>587</v>
      </c>
      <c r="F110" s="19"/>
      <c r="G110" s="19" t="s">
        <v>2072</v>
      </c>
      <c r="H110" s="71"/>
      <c r="I110" s="19"/>
      <c r="J110" s="25" t="s">
        <v>306</v>
      </c>
      <c r="K110" s="25" t="s">
        <v>1208</v>
      </c>
      <c r="L110" s="25" t="s">
        <v>100</v>
      </c>
    </row>
    <row r="111" spans="1:12" s="1" customFormat="1">
      <c r="A111" s="89"/>
      <c r="B111" s="12" t="s">
        <v>2073</v>
      </c>
      <c r="C111" s="12" t="s">
        <v>98</v>
      </c>
      <c r="D111" s="9" t="s">
        <v>2074</v>
      </c>
      <c r="E111" s="21" t="s">
        <v>587</v>
      </c>
      <c r="F111" s="19"/>
      <c r="G111" s="19" t="s">
        <v>2182</v>
      </c>
      <c r="H111" s="71"/>
      <c r="I111" s="19"/>
      <c r="J111" s="25" t="s">
        <v>306</v>
      </c>
      <c r="K111" s="25" t="s">
        <v>1208</v>
      </c>
      <c r="L111" s="25" t="s">
        <v>100</v>
      </c>
    </row>
    <row r="112" spans="1:12" s="1" customFormat="1">
      <c r="A112" s="89"/>
      <c r="B112" s="12" t="s">
        <v>2075</v>
      </c>
      <c r="C112" s="12" t="s">
        <v>1991</v>
      </c>
      <c r="D112" s="9" t="s">
        <v>2076</v>
      </c>
      <c r="E112" s="21" t="s">
        <v>587</v>
      </c>
      <c r="F112" s="19"/>
      <c r="G112" s="19" t="s">
        <v>2077</v>
      </c>
      <c r="H112" s="71"/>
      <c r="I112" s="19"/>
      <c r="J112" s="25" t="s">
        <v>306</v>
      </c>
      <c r="K112" s="25" t="s">
        <v>115</v>
      </c>
      <c r="L112" s="25" t="s">
        <v>100</v>
      </c>
    </row>
    <row r="113" spans="1:17" s="1" customFormat="1">
      <c r="A113" s="89"/>
      <c r="B113" s="12" t="s">
        <v>2078</v>
      </c>
      <c r="C113" s="12" t="s">
        <v>98</v>
      </c>
      <c r="D113" s="9" t="s">
        <v>2079</v>
      </c>
      <c r="E113" s="21" t="s">
        <v>587</v>
      </c>
      <c r="F113" s="19"/>
      <c r="G113" s="19" t="s">
        <v>2080</v>
      </c>
      <c r="H113" s="71"/>
      <c r="I113" s="19"/>
      <c r="J113" s="25" t="s">
        <v>306</v>
      </c>
      <c r="K113" s="25" t="s">
        <v>1208</v>
      </c>
      <c r="L113" s="25" t="s">
        <v>100</v>
      </c>
    </row>
    <row r="114" spans="1:17" s="1" customFormat="1">
      <c r="A114" s="89"/>
      <c r="B114" s="12" t="s">
        <v>2081</v>
      </c>
      <c r="C114" s="12" t="s">
        <v>98</v>
      </c>
      <c r="D114" s="9" t="s">
        <v>1614</v>
      </c>
      <c r="E114" s="21" t="s">
        <v>587</v>
      </c>
      <c r="F114" s="19"/>
      <c r="G114" s="19" t="s">
        <v>1615</v>
      </c>
      <c r="H114" s="71"/>
      <c r="I114" s="19"/>
      <c r="J114" s="25" t="s">
        <v>306</v>
      </c>
      <c r="K114" s="25" t="s">
        <v>74</v>
      </c>
      <c r="L114" s="25" t="s">
        <v>100</v>
      </c>
    </row>
    <row r="115" spans="1:17" s="1" customFormat="1">
      <c r="A115" s="89"/>
      <c r="B115" s="12" t="s">
        <v>118</v>
      </c>
      <c r="C115" s="12" t="s">
        <v>71</v>
      </c>
      <c r="D115" s="9" t="s">
        <v>2082</v>
      </c>
      <c r="E115" s="21" t="s">
        <v>58</v>
      </c>
      <c r="F115" s="19"/>
      <c r="G115" s="27" t="s">
        <v>2083</v>
      </c>
      <c r="H115" s="71"/>
      <c r="I115" s="103">
        <v>20250415101139</v>
      </c>
      <c r="J115" s="25" t="s">
        <v>306</v>
      </c>
      <c r="K115" s="25" t="s">
        <v>74</v>
      </c>
      <c r="L115" s="25" t="s">
        <v>1498</v>
      </c>
    </row>
    <row r="116" spans="1:17" s="1" customFormat="1">
      <c r="A116" s="89"/>
      <c r="B116" s="12" t="s">
        <v>119</v>
      </c>
      <c r="C116" s="12" t="s">
        <v>71</v>
      </c>
      <c r="D116" s="9" t="s">
        <v>2084</v>
      </c>
      <c r="E116" s="21" t="s">
        <v>58</v>
      </c>
      <c r="F116" s="19"/>
      <c r="G116" s="27" t="s">
        <v>2085</v>
      </c>
      <c r="H116" s="71"/>
      <c r="I116" s="103">
        <v>20250415101024</v>
      </c>
      <c r="J116" s="25" t="s">
        <v>306</v>
      </c>
      <c r="K116" s="25" t="s">
        <v>74</v>
      </c>
      <c r="L116" s="25" t="s">
        <v>1498</v>
      </c>
    </row>
    <row r="117" spans="1:17" s="2" customFormat="1">
      <c r="B117" s="14" t="s">
        <v>80</v>
      </c>
      <c r="C117" s="15" t="s">
        <v>75</v>
      </c>
      <c r="D117" s="16" t="s">
        <v>103</v>
      </c>
      <c r="E117" s="24"/>
      <c r="F117" s="24"/>
      <c r="G117" s="24" t="s">
        <v>293</v>
      </c>
      <c r="H117" s="24" t="s">
        <v>293</v>
      </c>
      <c r="I117" s="14"/>
      <c r="J117" s="14"/>
      <c r="K117" s="14"/>
      <c r="L117" s="14"/>
      <c r="M117" s="14"/>
      <c r="N117" s="14"/>
      <c r="O117" s="14"/>
      <c r="P117" s="14"/>
      <c r="Q117" s="14"/>
    </row>
    <row r="118" spans="1:17" s="2" customFormat="1">
      <c r="B118" s="14" t="s">
        <v>0</v>
      </c>
      <c r="C118" s="15" t="s">
        <v>71</v>
      </c>
      <c r="D118" s="16" t="s">
        <v>104</v>
      </c>
      <c r="E118" s="24"/>
      <c r="F118" s="24"/>
      <c r="G118" s="24" t="s">
        <v>293</v>
      </c>
      <c r="H118" s="24" t="s">
        <v>293</v>
      </c>
      <c r="I118" s="14"/>
      <c r="J118" s="14"/>
      <c r="K118" s="14"/>
      <c r="L118" s="14"/>
      <c r="M118" s="14"/>
      <c r="N118" s="14"/>
      <c r="O118" s="14"/>
      <c r="P118" s="14"/>
      <c r="Q118" s="14"/>
    </row>
    <row r="119" spans="1:17" s="2" customFormat="1">
      <c r="B119" s="14" t="s">
        <v>1</v>
      </c>
      <c r="C119" s="15" t="s">
        <v>75</v>
      </c>
      <c r="D119" s="16" t="s">
        <v>105</v>
      </c>
      <c r="E119" s="24"/>
      <c r="F119" s="24"/>
      <c r="G119" s="24" t="s">
        <v>293</v>
      </c>
      <c r="H119" s="24" t="s">
        <v>293</v>
      </c>
      <c r="I119" s="14"/>
      <c r="J119" s="14"/>
      <c r="K119" s="14"/>
      <c r="L119" s="14"/>
      <c r="M119" s="14"/>
      <c r="N119" s="14"/>
      <c r="O119" s="14"/>
      <c r="P119" s="14"/>
      <c r="Q119" s="14"/>
    </row>
    <row r="120" spans="1:17" s="2" customFormat="1">
      <c r="B120" s="14" t="s">
        <v>2</v>
      </c>
      <c r="C120" s="15" t="s">
        <v>75</v>
      </c>
      <c r="D120" s="16" t="s">
        <v>106</v>
      </c>
      <c r="E120" s="24"/>
      <c r="F120" s="24"/>
      <c r="G120" s="24" t="s">
        <v>293</v>
      </c>
      <c r="H120" s="24" t="s">
        <v>293</v>
      </c>
      <c r="I120" s="14"/>
      <c r="J120" s="14"/>
      <c r="K120" s="14"/>
      <c r="L120" s="14"/>
      <c r="M120" s="14"/>
      <c r="N120" s="14"/>
      <c r="O120" s="14"/>
      <c r="P120" s="14"/>
      <c r="Q120" s="14"/>
    </row>
  </sheetData>
  <autoFilter ref="A13:Q120" xr:uid="{E16EFA29-E820-4A10-98BC-CF6E577605DD}"/>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CFD6-DACE-4A9A-87F9-0058E6EB8852}">
  <dimension ref="A1:Q118"/>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36.109375" style="3" bestFit="1"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bestFit="1"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21"/>
      <c r="C2" s="121"/>
      <c r="D2" s="121"/>
      <c r="E2" s="121"/>
      <c r="F2" s="121"/>
      <c r="G2" s="121"/>
      <c r="H2" s="121"/>
    </row>
    <row r="3" spans="1:14">
      <c r="B3" s="122" t="s">
        <v>45</v>
      </c>
      <c r="C3" s="122"/>
      <c r="D3" s="122"/>
      <c r="E3" s="122"/>
      <c r="F3" s="122"/>
      <c r="G3" s="122"/>
      <c r="H3" s="122"/>
    </row>
    <row r="4" spans="1:14">
      <c r="B4" s="7" t="s">
        <v>11</v>
      </c>
      <c r="C4" s="7" t="s">
        <v>46</v>
      </c>
      <c r="D4" s="7" t="s">
        <v>47</v>
      </c>
      <c r="E4" s="7" t="s">
        <v>48</v>
      </c>
      <c r="F4" s="11" t="s">
        <v>49</v>
      </c>
      <c r="G4" s="11" t="s">
        <v>14</v>
      </c>
      <c r="H4" s="11" t="s">
        <v>50</v>
      </c>
    </row>
    <row r="5" spans="1:14">
      <c r="B5" s="8" t="s">
        <v>1910</v>
      </c>
      <c r="C5" s="68" t="s">
        <v>2173</v>
      </c>
      <c r="D5" s="9" t="s">
        <v>2174</v>
      </c>
      <c r="E5" s="12" t="s">
        <v>1159</v>
      </c>
      <c r="F5" s="17"/>
      <c r="G5" s="12"/>
      <c r="H5" s="12"/>
      <c r="N5" s="3"/>
    </row>
    <row r="6" spans="1:14">
      <c r="B6" s="6"/>
      <c r="C6" s="6"/>
      <c r="D6" s="6"/>
      <c r="E6" s="6"/>
      <c r="F6" s="18"/>
      <c r="G6" s="18"/>
      <c r="H6" s="18"/>
    </row>
    <row r="7" spans="1:14">
      <c r="B7" s="122" t="s">
        <v>51</v>
      </c>
      <c r="C7" s="122"/>
      <c r="D7" s="122"/>
      <c r="E7" s="122"/>
      <c r="F7" s="122"/>
      <c r="G7" s="122"/>
      <c r="H7" s="122"/>
    </row>
    <row r="8" spans="1:14">
      <c r="B8" s="11" t="s">
        <v>52</v>
      </c>
      <c r="C8" s="11" t="s">
        <v>53</v>
      </c>
      <c r="D8" s="11" t="s">
        <v>54</v>
      </c>
      <c r="E8" s="11" t="s">
        <v>55</v>
      </c>
      <c r="F8" s="11" t="s">
        <v>56</v>
      </c>
      <c r="G8" s="11" t="s">
        <v>24</v>
      </c>
      <c r="H8" s="11" t="s">
        <v>57</v>
      </c>
    </row>
    <row r="9" spans="1:14">
      <c r="B9" s="12"/>
      <c r="C9" s="68" t="s">
        <v>1912</v>
      </c>
      <c r="D9" s="9" t="s">
        <v>1913</v>
      </c>
      <c r="E9" s="12" t="s">
        <v>58</v>
      </c>
      <c r="F9" s="19"/>
      <c r="G9" s="19"/>
      <c r="H9" s="20" t="s">
        <v>30</v>
      </c>
    </row>
    <row r="11" spans="1:14">
      <c r="B11" s="3" t="s">
        <v>59</v>
      </c>
    </row>
    <row r="12" spans="1:14">
      <c r="B12" s="122" t="s">
        <v>59</v>
      </c>
      <c r="C12" s="122"/>
      <c r="D12" s="122"/>
      <c r="E12" s="122"/>
      <c r="F12" s="122"/>
      <c r="G12" s="122"/>
      <c r="H12" s="122"/>
      <c r="I12" s="122"/>
      <c r="J12" s="122"/>
      <c r="K12" s="122"/>
      <c r="L12" s="122"/>
    </row>
    <row r="13" spans="1:14">
      <c r="B13" s="7" t="s">
        <v>60</v>
      </c>
      <c r="C13" s="7" t="s">
        <v>61</v>
      </c>
      <c r="D13" s="7" t="s">
        <v>62</v>
      </c>
      <c r="E13" s="7" t="s">
        <v>63</v>
      </c>
      <c r="F13" s="11" t="s">
        <v>64</v>
      </c>
      <c r="G13" s="11" t="s">
        <v>65</v>
      </c>
      <c r="H13" s="11" t="s">
        <v>66</v>
      </c>
      <c r="I13" s="7" t="s">
        <v>24</v>
      </c>
      <c r="J13" s="7" t="s">
        <v>67</v>
      </c>
      <c r="K13" s="7" t="s">
        <v>68</v>
      </c>
      <c r="L13" s="7" t="s">
        <v>69</v>
      </c>
    </row>
    <row r="14" spans="1:14" s="1" customFormat="1">
      <c r="B14" s="13" t="s">
        <v>1259</v>
      </c>
      <c r="C14" s="13" t="s">
        <v>1914</v>
      </c>
      <c r="D14" s="9" t="s">
        <v>1469</v>
      </c>
      <c r="E14" s="21" t="s">
        <v>587</v>
      </c>
      <c r="F14" s="19" t="s">
        <v>303</v>
      </c>
      <c r="G14" s="19" t="s">
        <v>302</v>
      </c>
      <c r="H14" s="71"/>
      <c r="I14" s="25"/>
      <c r="J14" s="25" t="s">
        <v>304</v>
      </c>
      <c r="K14" s="25" t="s">
        <v>305</v>
      </c>
      <c r="L14" s="25" t="s">
        <v>1576</v>
      </c>
    </row>
    <row r="15" spans="1:14" s="1" customFormat="1">
      <c r="B15" s="13" t="s">
        <v>1159</v>
      </c>
      <c r="C15" s="13" t="s">
        <v>504</v>
      </c>
      <c r="D15" s="9" t="s">
        <v>1701</v>
      </c>
      <c r="E15" s="21" t="s">
        <v>587</v>
      </c>
      <c r="F15" s="19" t="s">
        <v>1052</v>
      </c>
      <c r="G15" s="19" t="s">
        <v>302</v>
      </c>
      <c r="H15" s="71"/>
      <c r="I15" s="25"/>
      <c r="J15" s="25" t="s">
        <v>304</v>
      </c>
      <c r="K15" s="25" t="s">
        <v>305</v>
      </c>
      <c r="L15" s="25" t="s">
        <v>1577</v>
      </c>
    </row>
    <row r="16" spans="1:14" s="1" customFormat="1">
      <c r="A16" s="89"/>
      <c r="B16" s="13" t="s">
        <v>76</v>
      </c>
      <c r="C16" s="13" t="s">
        <v>504</v>
      </c>
      <c r="D16" s="9" t="s">
        <v>1915</v>
      </c>
      <c r="E16" s="21" t="s">
        <v>587</v>
      </c>
      <c r="F16" s="19" t="s">
        <v>76</v>
      </c>
      <c r="G16" s="19" t="s">
        <v>302</v>
      </c>
      <c r="H16" s="71"/>
      <c r="I16" s="90"/>
      <c r="J16" s="25" t="s">
        <v>304</v>
      </c>
      <c r="K16" s="25" t="s">
        <v>305</v>
      </c>
      <c r="L16" s="25" t="s">
        <v>1579</v>
      </c>
    </row>
    <row r="17" spans="1:12" s="1" customFormat="1">
      <c r="A17" s="89"/>
      <c r="B17" s="13" t="s">
        <v>1580</v>
      </c>
      <c r="C17" s="13" t="s">
        <v>504</v>
      </c>
      <c r="D17" s="9" t="s">
        <v>1581</v>
      </c>
      <c r="E17" s="21" t="s">
        <v>587</v>
      </c>
      <c r="F17" s="19" t="s">
        <v>1580</v>
      </c>
      <c r="G17" s="19" t="s">
        <v>302</v>
      </c>
      <c r="H17" s="71"/>
      <c r="I17" s="90"/>
      <c r="J17" s="25" t="s">
        <v>304</v>
      </c>
      <c r="K17" s="25" t="s">
        <v>305</v>
      </c>
      <c r="L17" s="25" t="s">
        <v>1582</v>
      </c>
    </row>
    <row r="18" spans="1:12" s="1" customFormat="1">
      <c r="A18" s="89"/>
      <c r="B18" s="13" t="s">
        <v>1916</v>
      </c>
      <c r="C18" s="13" t="s">
        <v>504</v>
      </c>
      <c r="D18" s="9" t="s">
        <v>1509</v>
      </c>
      <c r="E18" s="21" t="s">
        <v>587</v>
      </c>
      <c r="F18" s="19" t="s">
        <v>301</v>
      </c>
      <c r="G18" s="19" t="s">
        <v>302</v>
      </c>
      <c r="H18" s="71"/>
      <c r="I18" s="90"/>
      <c r="J18" s="25" t="s">
        <v>304</v>
      </c>
      <c r="K18" s="25" t="s">
        <v>305</v>
      </c>
      <c r="L18" s="25" t="s">
        <v>1583</v>
      </c>
    </row>
    <row r="19" spans="1:12" s="1" customFormat="1">
      <c r="A19" s="89"/>
      <c r="B19" s="13" t="s">
        <v>81</v>
      </c>
      <c r="C19" s="13" t="s">
        <v>504</v>
      </c>
      <c r="D19" s="9" t="s">
        <v>1584</v>
      </c>
      <c r="E19" s="21" t="s">
        <v>587</v>
      </c>
      <c r="F19" s="9" t="s">
        <v>1813</v>
      </c>
      <c r="G19" s="19" t="s">
        <v>302</v>
      </c>
      <c r="H19" s="71"/>
      <c r="I19" s="90"/>
      <c r="J19" s="25" t="s">
        <v>304</v>
      </c>
      <c r="K19" s="25" t="s">
        <v>305</v>
      </c>
      <c r="L19" s="25" t="s">
        <v>1583</v>
      </c>
    </row>
    <row r="20" spans="1:12" s="1" customFormat="1">
      <c r="A20" s="89"/>
      <c r="B20" s="12" t="s">
        <v>82</v>
      </c>
      <c r="C20" s="13" t="s">
        <v>504</v>
      </c>
      <c r="D20" s="9" t="s">
        <v>1586</v>
      </c>
      <c r="E20" s="21" t="s">
        <v>587</v>
      </c>
      <c r="F20" s="9" t="s">
        <v>1816</v>
      </c>
      <c r="G20" s="19" t="s">
        <v>302</v>
      </c>
      <c r="H20" s="71"/>
      <c r="I20" s="90"/>
      <c r="J20" s="25" t="s">
        <v>304</v>
      </c>
      <c r="K20" s="25" t="s">
        <v>305</v>
      </c>
      <c r="L20" s="25" t="s">
        <v>1583</v>
      </c>
    </row>
    <row r="21" spans="1:12" s="1" customFormat="1">
      <c r="A21" s="89"/>
      <c r="B21" s="12" t="s">
        <v>83</v>
      </c>
      <c r="C21" s="13" t="s">
        <v>1914</v>
      </c>
      <c r="D21" s="9" t="s">
        <v>84</v>
      </c>
      <c r="E21" s="21" t="s">
        <v>587</v>
      </c>
      <c r="F21" s="9" t="s">
        <v>654</v>
      </c>
      <c r="G21" s="19" t="s">
        <v>302</v>
      </c>
      <c r="H21" s="71"/>
      <c r="I21" s="90"/>
      <c r="J21" s="25" t="s">
        <v>304</v>
      </c>
      <c r="K21" s="25" t="s">
        <v>305</v>
      </c>
      <c r="L21" s="25" t="s">
        <v>74</v>
      </c>
    </row>
    <row r="22" spans="1:12" s="1" customFormat="1">
      <c r="A22" s="89"/>
      <c r="B22" s="12" t="s">
        <v>85</v>
      </c>
      <c r="C22" s="13" t="s">
        <v>1914</v>
      </c>
      <c r="D22" s="9" t="s">
        <v>86</v>
      </c>
      <c r="E22" s="21" t="s">
        <v>587</v>
      </c>
      <c r="F22" s="9" t="s">
        <v>1643</v>
      </c>
      <c r="G22" s="19" t="s">
        <v>302</v>
      </c>
      <c r="H22" s="71"/>
      <c r="I22" s="90"/>
      <c r="J22" s="25" t="s">
        <v>304</v>
      </c>
      <c r="K22" s="25" t="s">
        <v>305</v>
      </c>
      <c r="L22" s="25" t="s">
        <v>74</v>
      </c>
    </row>
    <row r="23" spans="1:12" s="1" customFormat="1">
      <c r="A23" s="89"/>
      <c r="B23" s="12" t="s">
        <v>87</v>
      </c>
      <c r="C23" s="13" t="s">
        <v>1914</v>
      </c>
      <c r="D23" s="9" t="s">
        <v>88</v>
      </c>
      <c r="E23" s="21" t="s">
        <v>587</v>
      </c>
      <c r="F23" s="9" t="s">
        <v>1644</v>
      </c>
      <c r="G23" s="19" t="s">
        <v>302</v>
      </c>
      <c r="H23" s="71"/>
      <c r="I23" s="90"/>
      <c r="J23" s="25" t="s">
        <v>304</v>
      </c>
      <c r="K23" s="25" t="s">
        <v>305</v>
      </c>
      <c r="L23" s="25" t="s">
        <v>74</v>
      </c>
    </row>
    <row r="24" spans="1:12" s="1" customFormat="1">
      <c r="A24" s="89"/>
      <c r="B24" s="12" t="s">
        <v>307</v>
      </c>
      <c r="C24" s="12" t="s">
        <v>1914</v>
      </c>
      <c r="D24" s="9" t="s">
        <v>648</v>
      </c>
      <c r="E24" s="21" t="s">
        <v>587</v>
      </c>
      <c r="F24" s="9" t="s">
        <v>307</v>
      </c>
      <c r="G24" s="19" t="s">
        <v>302</v>
      </c>
      <c r="H24" s="71"/>
      <c r="I24" s="102"/>
      <c r="J24" s="25" t="s">
        <v>304</v>
      </c>
      <c r="K24" s="25" t="s">
        <v>305</v>
      </c>
      <c r="L24" s="25" t="s">
        <v>74</v>
      </c>
    </row>
    <row r="25" spans="1:12" s="1" customFormat="1">
      <c r="A25" s="89"/>
      <c r="B25" s="12" t="s">
        <v>308</v>
      </c>
      <c r="C25" s="12" t="s">
        <v>71</v>
      </c>
      <c r="D25" s="9" t="s">
        <v>93</v>
      </c>
      <c r="E25" s="21" t="s">
        <v>587</v>
      </c>
      <c r="F25" s="9" t="s">
        <v>308</v>
      </c>
      <c r="G25" s="19" t="s">
        <v>302</v>
      </c>
      <c r="H25" s="71"/>
      <c r="I25" s="90"/>
      <c r="J25" s="25" t="s">
        <v>304</v>
      </c>
      <c r="K25" s="25" t="s">
        <v>305</v>
      </c>
      <c r="L25" s="25" t="s">
        <v>74</v>
      </c>
    </row>
    <row r="26" spans="1:12" s="1" customFormat="1">
      <c r="A26" s="89"/>
      <c r="B26" s="12" t="s">
        <v>94</v>
      </c>
      <c r="C26" s="12" t="s">
        <v>71</v>
      </c>
      <c r="D26" s="9" t="s">
        <v>95</v>
      </c>
      <c r="E26" s="21" t="s">
        <v>587</v>
      </c>
      <c r="F26" s="9" t="s">
        <v>94</v>
      </c>
      <c r="G26" s="19" t="s">
        <v>302</v>
      </c>
      <c r="H26" s="71"/>
      <c r="I26" s="90"/>
      <c r="J26" s="25" t="s">
        <v>304</v>
      </c>
      <c r="K26" s="25" t="s">
        <v>305</v>
      </c>
      <c r="L26" s="25" t="s">
        <v>74</v>
      </c>
    </row>
    <row r="27" spans="1:12" s="1" customFormat="1">
      <c r="A27" s="89"/>
      <c r="B27" s="12" t="s">
        <v>616</v>
      </c>
      <c r="C27" s="12" t="s">
        <v>71</v>
      </c>
      <c r="D27" s="9" t="s">
        <v>1587</v>
      </c>
      <c r="E27" s="21" t="s">
        <v>587</v>
      </c>
      <c r="F27" s="9" t="s">
        <v>616</v>
      </c>
      <c r="G27" s="19" t="s">
        <v>302</v>
      </c>
      <c r="H27" s="71"/>
      <c r="I27" s="90"/>
      <c r="J27" s="25" t="s">
        <v>304</v>
      </c>
      <c r="K27" s="25" t="s">
        <v>305</v>
      </c>
      <c r="L27" s="25" t="s">
        <v>74</v>
      </c>
    </row>
    <row r="28" spans="1:12" s="1" customFormat="1">
      <c r="A28" s="89"/>
      <c r="B28" s="12" t="s">
        <v>622</v>
      </c>
      <c r="C28" s="12" t="s">
        <v>71</v>
      </c>
      <c r="D28" s="9" t="s">
        <v>1917</v>
      </c>
      <c r="E28" s="21" t="s">
        <v>587</v>
      </c>
      <c r="F28" s="9" t="s">
        <v>622</v>
      </c>
      <c r="G28" s="19" t="s">
        <v>302</v>
      </c>
      <c r="H28" s="71"/>
      <c r="I28" s="90"/>
      <c r="J28" s="25" t="s">
        <v>304</v>
      </c>
      <c r="K28" s="25" t="s">
        <v>305</v>
      </c>
      <c r="L28" s="25" t="s">
        <v>74</v>
      </c>
    </row>
    <row r="29" spans="1:12" s="1" customFormat="1">
      <c r="B29" s="13" t="s">
        <v>1650</v>
      </c>
      <c r="C29" s="13" t="s">
        <v>71</v>
      </c>
      <c r="D29" s="9" t="s">
        <v>1879</v>
      </c>
      <c r="E29" s="21" t="s">
        <v>587</v>
      </c>
      <c r="F29" s="19" t="s">
        <v>1650</v>
      </c>
      <c r="G29" s="19" t="s">
        <v>302</v>
      </c>
      <c r="H29" s="71"/>
      <c r="I29" s="25"/>
      <c r="J29" s="25" t="s">
        <v>304</v>
      </c>
      <c r="K29" s="25" t="s">
        <v>305</v>
      </c>
      <c r="L29" s="25" t="s">
        <v>74</v>
      </c>
    </row>
    <row r="30" spans="1:12" s="1" customFormat="1">
      <c r="B30" s="13" t="s">
        <v>1671</v>
      </c>
      <c r="C30" s="13" t="s">
        <v>71</v>
      </c>
      <c r="D30" s="9" t="s">
        <v>1880</v>
      </c>
      <c r="E30" s="21" t="s">
        <v>587</v>
      </c>
      <c r="F30" s="19" t="s">
        <v>1671</v>
      </c>
      <c r="G30" s="19" t="s">
        <v>302</v>
      </c>
      <c r="H30" s="71"/>
      <c r="I30" s="95"/>
      <c r="J30" s="25" t="s">
        <v>304</v>
      </c>
      <c r="K30" s="25" t="s">
        <v>305</v>
      </c>
      <c r="L30" s="25" t="s">
        <v>74</v>
      </c>
    </row>
    <row r="31" spans="1:12" s="1" customFormat="1">
      <c r="B31" s="13" t="s">
        <v>1676</v>
      </c>
      <c r="C31" s="13" t="s">
        <v>71</v>
      </c>
      <c r="D31" s="9" t="s">
        <v>1881</v>
      </c>
      <c r="E31" s="21" t="s">
        <v>587</v>
      </c>
      <c r="F31" s="19" t="s">
        <v>1676</v>
      </c>
      <c r="G31" s="19" t="s">
        <v>302</v>
      </c>
      <c r="H31" s="71"/>
      <c r="I31" s="90"/>
      <c r="J31" s="25" t="s">
        <v>304</v>
      </c>
      <c r="K31" s="25" t="s">
        <v>305</v>
      </c>
      <c r="L31" s="25" t="s">
        <v>74</v>
      </c>
    </row>
    <row r="32" spans="1:12" s="1" customFormat="1">
      <c r="B32" s="13" t="s">
        <v>1590</v>
      </c>
      <c r="C32" s="12" t="s">
        <v>71</v>
      </c>
      <c r="D32" s="9" t="s">
        <v>1589</v>
      </c>
      <c r="E32" s="21" t="s">
        <v>587</v>
      </c>
      <c r="F32" s="19" t="s">
        <v>1590</v>
      </c>
      <c r="G32" s="19" t="s">
        <v>302</v>
      </c>
      <c r="H32" s="71"/>
      <c r="I32" s="25"/>
      <c r="J32" s="25" t="s">
        <v>304</v>
      </c>
      <c r="K32" s="25" t="s">
        <v>305</v>
      </c>
      <c r="L32" s="25" t="s">
        <v>74</v>
      </c>
    </row>
    <row r="33" spans="1:13" s="1" customFormat="1">
      <c r="B33" s="13" t="s">
        <v>1918</v>
      </c>
      <c r="C33" s="26" t="s">
        <v>71</v>
      </c>
      <c r="D33" s="9" t="s">
        <v>1840</v>
      </c>
      <c r="E33" s="21" t="s">
        <v>587</v>
      </c>
      <c r="F33" s="9" t="s">
        <v>1918</v>
      </c>
      <c r="G33" s="19" t="s">
        <v>302</v>
      </c>
      <c r="H33" s="71"/>
      <c r="I33" s="25"/>
      <c r="J33" s="25" t="s">
        <v>304</v>
      </c>
      <c r="K33" s="25" t="s">
        <v>305</v>
      </c>
      <c r="L33" s="25" t="s">
        <v>1842</v>
      </c>
    </row>
    <row r="34" spans="1:13" s="1" customFormat="1">
      <c r="B34" s="13" t="s">
        <v>1652</v>
      </c>
      <c r="C34" s="13" t="s">
        <v>71</v>
      </c>
      <c r="D34" s="9" t="s">
        <v>1882</v>
      </c>
      <c r="E34" s="21" t="s">
        <v>587</v>
      </c>
      <c r="F34" s="19" t="s">
        <v>1652</v>
      </c>
      <c r="G34" s="19" t="s">
        <v>302</v>
      </c>
      <c r="H34" s="71"/>
      <c r="I34" s="25"/>
      <c r="J34" s="25" t="s">
        <v>304</v>
      </c>
      <c r="K34" s="25" t="s">
        <v>305</v>
      </c>
      <c r="L34" s="25" t="s">
        <v>305</v>
      </c>
    </row>
    <row r="35" spans="1:13" s="89" customFormat="1">
      <c r="B35" s="13" t="s">
        <v>96</v>
      </c>
      <c r="C35" s="12" t="s">
        <v>71</v>
      </c>
      <c r="D35" s="9" t="s">
        <v>1592</v>
      </c>
      <c r="E35" s="21" t="s">
        <v>587</v>
      </c>
      <c r="F35" s="19" t="s">
        <v>96</v>
      </c>
      <c r="G35" s="19" t="s">
        <v>302</v>
      </c>
      <c r="H35" s="71"/>
      <c r="I35" s="90"/>
      <c r="J35" s="25" t="s">
        <v>304</v>
      </c>
      <c r="K35" s="25" t="s">
        <v>305</v>
      </c>
      <c r="L35" s="25" t="s">
        <v>1583</v>
      </c>
      <c r="M35" s="1"/>
    </row>
    <row r="36" spans="1:13" s="99" customFormat="1">
      <c r="A36" s="96"/>
      <c r="B36" s="97" t="s">
        <v>1593</v>
      </c>
      <c r="C36" s="12" t="s">
        <v>75</v>
      </c>
      <c r="D36" s="9" t="s">
        <v>1919</v>
      </c>
      <c r="E36" s="21" t="s">
        <v>587</v>
      </c>
      <c r="F36" s="19" t="s">
        <v>1593</v>
      </c>
      <c r="G36" s="19" t="s">
        <v>302</v>
      </c>
      <c r="H36" s="71"/>
      <c r="I36" s="98"/>
      <c r="J36" s="25" t="s">
        <v>304</v>
      </c>
      <c r="K36" s="25" t="s">
        <v>305</v>
      </c>
      <c r="L36" s="25" t="s">
        <v>97</v>
      </c>
      <c r="M36" s="1"/>
    </row>
    <row r="37" spans="1:13" s="1" customFormat="1">
      <c r="B37" s="13" t="s">
        <v>499</v>
      </c>
      <c r="C37" s="13" t="s">
        <v>75</v>
      </c>
      <c r="D37" s="9" t="s">
        <v>1890</v>
      </c>
      <c r="E37" s="21" t="s">
        <v>587</v>
      </c>
      <c r="F37" s="19" t="s">
        <v>499</v>
      </c>
      <c r="G37" s="19" t="s">
        <v>302</v>
      </c>
      <c r="H37" s="71"/>
      <c r="I37" s="25"/>
      <c r="J37" s="25" t="s">
        <v>304</v>
      </c>
      <c r="K37" s="25" t="s">
        <v>305</v>
      </c>
      <c r="L37" s="25" t="s">
        <v>305</v>
      </c>
    </row>
    <row r="38" spans="1:13" s="1" customFormat="1">
      <c r="A38" s="89"/>
      <c r="B38" s="12" t="s">
        <v>1595</v>
      </c>
      <c r="C38" s="12" t="s">
        <v>71</v>
      </c>
      <c r="D38" s="9" t="s">
        <v>1596</v>
      </c>
      <c r="E38" s="21" t="s">
        <v>587</v>
      </c>
      <c r="F38" s="19" t="s">
        <v>1595</v>
      </c>
      <c r="G38" s="19" t="s">
        <v>302</v>
      </c>
      <c r="H38" s="71"/>
      <c r="I38" s="19"/>
      <c r="J38" s="25" t="s">
        <v>304</v>
      </c>
      <c r="K38" s="25" t="s">
        <v>305</v>
      </c>
      <c r="L38" s="25" t="s">
        <v>74</v>
      </c>
    </row>
    <row r="39" spans="1:13" s="1" customFormat="1">
      <c r="A39" s="89"/>
      <c r="B39" s="12" t="s">
        <v>1845</v>
      </c>
      <c r="C39" s="12" t="s">
        <v>504</v>
      </c>
      <c r="D39" s="9" t="s">
        <v>1920</v>
      </c>
      <c r="E39" s="21" t="s">
        <v>587</v>
      </c>
      <c r="F39" s="19" t="s">
        <v>1845</v>
      </c>
      <c r="G39" s="19" t="s">
        <v>302</v>
      </c>
      <c r="H39" s="71"/>
      <c r="I39" s="19"/>
      <c r="J39" s="25" t="s">
        <v>304</v>
      </c>
      <c r="K39" s="25" t="s">
        <v>305</v>
      </c>
      <c r="L39" s="25" t="s">
        <v>1921</v>
      </c>
    </row>
    <row r="40" spans="1:13" s="1" customFormat="1">
      <c r="A40" s="89"/>
      <c r="B40" s="12" t="s">
        <v>1922</v>
      </c>
      <c r="C40" s="12" t="s">
        <v>504</v>
      </c>
      <c r="D40" s="9" t="s">
        <v>1923</v>
      </c>
      <c r="E40" s="21" t="s">
        <v>587</v>
      </c>
      <c r="F40" s="19" t="s">
        <v>1922</v>
      </c>
      <c r="G40" s="19" t="s">
        <v>302</v>
      </c>
      <c r="H40" s="71"/>
      <c r="I40" s="19"/>
      <c r="J40" s="25" t="s">
        <v>304</v>
      </c>
      <c r="K40" s="25" t="s">
        <v>305</v>
      </c>
      <c r="L40" s="25" t="s">
        <v>1921</v>
      </c>
    </row>
    <row r="41" spans="1:13" s="1" customFormat="1">
      <c r="A41" s="89"/>
      <c r="B41" s="12" t="s">
        <v>1924</v>
      </c>
      <c r="C41" s="12" t="s">
        <v>98</v>
      </c>
      <c r="D41" s="9" t="s">
        <v>1617</v>
      </c>
      <c r="E41" s="21"/>
      <c r="F41" s="19"/>
      <c r="G41" s="19" t="s">
        <v>1688</v>
      </c>
      <c r="H41" s="71"/>
      <c r="I41" s="19"/>
      <c r="J41" s="25" t="s">
        <v>306</v>
      </c>
      <c r="K41" s="25" t="s">
        <v>305</v>
      </c>
      <c r="L41" s="25" t="s">
        <v>1209</v>
      </c>
    </row>
    <row r="42" spans="1:13" s="1" customFormat="1">
      <c r="A42" s="89"/>
      <c r="B42" s="12" t="s">
        <v>300</v>
      </c>
      <c r="C42" s="12" t="s">
        <v>98</v>
      </c>
      <c r="D42" s="9" t="s">
        <v>1926</v>
      </c>
      <c r="E42" s="21"/>
      <c r="F42" s="19"/>
      <c r="G42" s="19" t="s">
        <v>120</v>
      </c>
      <c r="H42" s="19"/>
      <c r="I42" s="19"/>
      <c r="J42" s="25" t="s">
        <v>306</v>
      </c>
      <c r="K42" s="25" t="s">
        <v>305</v>
      </c>
      <c r="L42" s="25" t="s">
        <v>1209</v>
      </c>
    </row>
    <row r="43" spans="1:13" s="1" customFormat="1">
      <c r="A43" s="89"/>
      <c r="B43" s="12" t="s">
        <v>1928</v>
      </c>
      <c r="C43" s="12" t="s">
        <v>98</v>
      </c>
      <c r="D43" s="9" t="s">
        <v>1929</v>
      </c>
      <c r="E43" s="21"/>
      <c r="F43" s="19"/>
      <c r="G43" s="19" t="s">
        <v>2194</v>
      </c>
      <c r="H43" s="19"/>
      <c r="I43" s="19"/>
      <c r="J43" s="25" t="s">
        <v>306</v>
      </c>
      <c r="K43" s="25" t="s">
        <v>305</v>
      </c>
      <c r="L43" s="25" t="s">
        <v>1209</v>
      </c>
    </row>
    <row r="44" spans="1:13" s="1" customFormat="1">
      <c r="A44" s="89"/>
      <c r="B44" s="13" t="s">
        <v>1930</v>
      </c>
      <c r="C44" s="13" t="s">
        <v>98</v>
      </c>
      <c r="D44" s="9" t="s">
        <v>1931</v>
      </c>
      <c r="E44" s="21"/>
      <c r="F44" s="19"/>
      <c r="G44" s="19" t="s">
        <v>2179</v>
      </c>
      <c r="H44" s="19"/>
      <c r="I44" s="19"/>
      <c r="J44" s="25" t="s">
        <v>306</v>
      </c>
      <c r="K44" s="25" t="s">
        <v>800</v>
      </c>
      <c r="L44" s="25" t="s">
        <v>1209</v>
      </c>
    </row>
    <row r="45" spans="1:13" s="1" customFormat="1">
      <c r="A45" s="89"/>
      <c r="B45" s="12" t="s">
        <v>1932</v>
      </c>
      <c r="C45" s="12" t="s">
        <v>98</v>
      </c>
      <c r="D45" s="9" t="s">
        <v>1933</v>
      </c>
      <c r="E45" s="21"/>
      <c r="F45" s="19"/>
      <c r="G45" s="19" t="s">
        <v>2180</v>
      </c>
      <c r="H45" s="71"/>
      <c r="I45" s="19"/>
      <c r="J45" s="25" t="s">
        <v>306</v>
      </c>
      <c r="K45" s="25" t="s">
        <v>1934</v>
      </c>
      <c r="L45" s="25" t="s">
        <v>1209</v>
      </c>
    </row>
    <row r="46" spans="1:13" s="1" customFormat="1">
      <c r="A46" s="89"/>
      <c r="B46" s="12" t="s">
        <v>1935</v>
      </c>
      <c r="C46" s="12" t="s">
        <v>98</v>
      </c>
      <c r="D46" s="9" t="s">
        <v>1936</v>
      </c>
      <c r="E46" s="21"/>
      <c r="F46" s="19"/>
      <c r="G46" s="19" t="s">
        <v>2181</v>
      </c>
      <c r="H46" s="71"/>
      <c r="I46" s="19"/>
      <c r="J46" s="25" t="s">
        <v>306</v>
      </c>
      <c r="K46" s="25" t="s">
        <v>1934</v>
      </c>
      <c r="L46" s="25" t="s">
        <v>1209</v>
      </c>
    </row>
    <row r="47" spans="1:13" s="1" customFormat="1">
      <c r="A47" s="89"/>
      <c r="B47" s="12" t="s">
        <v>1984</v>
      </c>
      <c r="C47" s="12" t="s">
        <v>98</v>
      </c>
      <c r="D47" s="9" t="s">
        <v>2090</v>
      </c>
      <c r="E47" s="21"/>
      <c r="F47" s="19"/>
      <c r="G47" s="19" t="s">
        <v>2195</v>
      </c>
      <c r="H47" s="71"/>
      <c r="I47" s="19"/>
      <c r="J47" s="25" t="s">
        <v>306</v>
      </c>
      <c r="K47" s="25" t="s">
        <v>1934</v>
      </c>
      <c r="L47" s="25" t="s">
        <v>100</v>
      </c>
    </row>
    <row r="48" spans="1:13" s="1" customFormat="1">
      <c r="A48" s="89"/>
      <c r="B48" s="12" t="s">
        <v>1937</v>
      </c>
      <c r="C48" s="12" t="s">
        <v>98</v>
      </c>
      <c r="D48" s="9" t="s">
        <v>1938</v>
      </c>
      <c r="E48" s="21"/>
      <c r="F48" s="19"/>
      <c r="G48" s="19" t="s">
        <v>2196</v>
      </c>
      <c r="H48" s="71"/>
      <c r="I48" s="19"/>
      <c r="J48" s="25" t="s">
        <v>306</v>
      </c>
      <c r="K48" s="25" t="s">
        <v>74</v>
      </c>
      <c r="L48" s="25" t="s">
        <v>100</v>
      </c>
    </row>
    <row r="49" spans="1:12" s="1" customFormat="1">
      <c r="A49" s="89"/>
      <c r="B49" s="12" t="s">
        <v>1940</v>
      </c>
      <c r="C49" s="12" t="s">
        <v>98</v>
      </c>
      <c r="D49" s="9" t="s">
        <v>1941</v>
      </c>
      <c r="E49" s="21"/>
      <c r="F49" s="19"/>
      <c r="G49" s="19" t="s">
        <v>2197</v>
      </c>
      <c r="H49" s="71"/>
      <c r="I49" s="19"/>
      <c r="J49" s="25" t="s">
        <v>306</v>
      </c>
      <c r="K49" s="25" t="s">
        <v>74</v>
      </c>
      <c r="L49" s="25" t="s">
        <v>100</v>
      </c>
    </row>
    <row r="50" spans="1:12" s="1" customFormat="1">
      <c r="A50" s="89"/>
      <c r="B50" s="12" t="s">
        <v>1986</v>
      </c>
      <c r="C50" s="12" t="s">
        <v>98</v>
      </c>
      <c r="D50" s="9" t="s">
        <v>2091</v>
      </c>
      <c r="E50" s="21"/>
      <c r="F50" s="19"/>
      <c r="G50" s="19" t="s">
        <v>2198</v>
      </c>
      <c r="H50" s="71"/>
      <c r="I50" s="19"/>
      <c r="J50" s="25" t="s">
        <v>306</v>
      </c>
      <c r="K50" s="25" t="s">
        <v>1934</v>
      </c>
      <c r="L50" s="25" t="s">
        <v>100</v>
      </c>
    </row>
    <row r="51" spans="1:12" s="1" customFormat="1">
      <c r="A51" s="89"/>
      <c r="B51" s="12" t="s">
        <v>1943</v>
      </c>
      <c r="C51" s="12" t="s">
        <v>98</v>
      </c>
      <c r="D51" s="9" t="s">
        <v>1944</v>
      </c>
      <c r="E51" s="21"/>
      <c r="F51" s="19"/>
      <c r="G51" s="19" t="s">
        <v>2199</v>
      </c>
      <c r="H51" s="71"/>
      <c r="I51" s="19"/>
      <c r="J51" s="25" t="s">
        <v>306</v>
      </c>
      <c r="K51" s="25" t="s">
        <v>74</v>
      </c>
      <c r="L51" s="25" t="s">
        <v>100</v>
      </c>
    </row>
    <row r="52" spans="1:12" s="1" customFormat="1">
      <c r="A52" s="89"/>
      <c r="B52" s="12" t="s">
        <v>1946</v>
      </c>
      <c r="C52" s="12" t="s">
        <v>98</v>
      </c>
      <c r="D52" s="9" t="s">
        <v>1947</v>
      </c>
      <c r="E52" s="21"/>
      <c r="F52" s="19"/>
      <c r="G52" s="19" t="s">
        <v>2200</v>
      </c>
      <c r="H52" s="71"/>
      <c r="I52" s="19"/>
      <c r="J52" s="25" t="s">
        <v>306</v>
      </c>
      <c r="K52" s="25" t="s">
        <v>74</v>
      </c>
      <c r="L52" s="25" t="s">
        <v>100</v>
      </c>
    </row>
    <row r="53" spans="1:12" s="1" customFormat="1">
      <c r="A53" s="89"/>
      <c r="B53" s="12" t="s">
        <v>2094</v>
      </c>
      <c r="C53" s="12" t="s">
        <v>1991</v>
      </c>
      <c r="D53" s="9" t="s">
        <v>2096</v>
      </c>
      <c r="E53" s="21"/>
      <c r="F53" s="19"/>
      <c r="G53" s="19" t="s">
        <v>2201</v>
      </c>
      <c r="H53" s="71"/>
      <c r="I53" s="19"/>
      <c r="J53" s="25" t="s">
        <v>306</v>
      </c>
      <c r="K53" s="25" t="s">
        <v>2317</v>
      </c>
      <c r="L53" s="25" t="s">
        <v>1498</v>
      </c>
    </row>
    <row r="54" spans="1:12" s="1" customFormat="1">
      <c r="A54" s="89"/>
      <c r="B54" s="12" t="s">
        <v>2095</v>
      </c>
      <c r="C54" s="12" t="s">
        <v>1991</v>
      </c>
      <c r="D54" s="9" t="s">
        <v>2472</v>
      </c>
      <c r="E54" s="21"/>
      <c r="F54" s="19"/>
      <c r="G54" s="19" t="s">
        <v>2202</v>
      </c>
      <c r="H54" s="71"/>
      <c r="I54" s="19"/>
      <c r="J54" s="25" t="s">
        <v>306</v>
      </c>
      <c r="K54" s="25" t="s">
        <v>2318</v>
      </c>
      <c r="L54" s="25" t="s">
        <v>1498</v>
      </c>
    </row>
    <row r="55" spans="1:12" s="1" customFormat="1">
      <c r="A55" s="89"/>
      <c r="B55" s="12" t="s">
        <v>2099</v>
      </c>
      <c r="C55" s="12" t="s">
        <v>1991</v>
      </c>
      <c r="D55" s="9" t="s">
        <v>2101</v>
      </c>
      <c r="E55" s="21"/>
      <c r="F55" s="19"/>
      <c r="G55" s="19" t="s">
        <v>2203</v>
      </c>
      <c r="H55" s="71"/>
      <c r="I55" s="19"/>
      <c r="J55" s="25" t="s">
        <v>306</v>
      </c>
      <c r="K55" s="25" t="s">
        <v>2317</v>
      </c>
      <c r="L55" s="25" t="s">
        <v>1498</v>
      </c>
    </row>
    <row r="56" spans="1:12" s="1" customFormat="1">
      <c r="A56" s="89"/>
      <c r="B56" s="12" t="s">
        <v>2100</v>
      </c>
      <c r="C56" s="12" t="s">
        <v>1991</v>
      </c>
      <c r="D56" s="9" t="s">
        <v>2473</v>
      </c>
      <c r="E56" s="21"/>
      <c r="F56" s="19"/>
      <c r="G56" s="19" t="s">
        <v>2204</v>
      </c>
      <c r="H56" s="71"/>
      <c r="I56" s="19"/>
      <c r="J56" s="25" t="s">
        <v>306</v>
      </c>
      <c r="K56" s="25" t="s">
        <v>2318</v>
      </c>
      <c r="L56" s="25" t="s">
        <v>1498</v>
      </c>
    </row>
    <row r="57" spans="1:12" s="1" customFormat="1">
      <c r="A57" s="89"/>
      <c r="B57" s="12" t="s">
        <v>2104</v>
      </c>
      <c r="C57" s="12" t="s">
        <v>1991</v>
      </c>
      <c r="D57" s="9" t="s">
        <v>2108</v>
      </c>
      <c r="E57" s="21"/>
      <c r="F57" s="19"/>
      <c r="G57" s="19" t="s">
        <v>2205</v>
      </c>
      <c r="H57" s="71"/>
      <c r="I57" s="19"/>
      <c r="J57" s="25" t="s">
        <v>306</v>
      </c>
      <c r="K57" s="25" t="s">
        <v>2317</v>
      </c>
      <c r="L57" s="25" t="s">
        <v>1498</v>
      </c>
    </row>
    <row r="58" spans="1:12" s="1" customFormat="1">
      <c r="A58" s="89"/>
      <c r="B58" s="12" t="s">
        <v>2105</v>
      </c>
      <c r="C58" s="12" t="s">
        <v>1991</v>
      </c>
      <c r="D58" s="9" t="s">
        <v>2474</v>
      </c>
      <c r="E58" s="21"/>
      <c r="F58" s="19"/>
      <c r="G58" s="19" t="s">
        <v>2206</v>
      </c>
      <c r="H58" s="71"/>
      <c r="I58" s="19"/>
      <c r="J58" s="25" t="s">
        <v>306</v>
      </c>
      <c r="K58" s="25" t="s">
        <v>2318</v>
      </c>
      <c r="L58" s="25" t="s">
        <v>1498</v>
      </c>
    </row>
    <row r="59" spans="1:12" s="1" customFormat="1">
      <c r="A59" s="89"/>
      <c r="B59" s="12" t="s">
        <v>2106</v>
      </c>
      <c r="C59" s="12" t="s">
        <v>1991</v>
      </c>
      <c r="D59" s="9" t="s">
        <v>2109</v>
      </c>
      <c r="E59" s="21"/>
      <c r="F59" s="19"/>
      <c r="G59" s="19" t="s">
        <v>2207</v>
      </c>
      <c r="H59" s="71"/>
      <c r="I59" s="19"/>
      <c r="J59" s="25" t="s">
        <v>306</v>
      </c>
      <c r="K59" s="25" t="s">
        <v>2317</v>
      </c>
      <c r="L59" s="25" t="s">
        <v>1498</v>
      </c>
    </row>
    <row r="60" spans="1:12" s="1" customFormat="1">
      <c r="A60" s="89"/>
      <c r="B60" s="12" t="s">
        <v>2107</v>
      </c>
      <c r="C60" s="12" t="s">
        <v>1991</v>
      </c>
      <c r="D60" s="9" t="s">
        <v>2475</v>
      </c>
      <c r="E60" s="21"/>
      <c r="F60" s="19"/>
      <c r="G60" s="19" t="s">
        <v>2208</v>
      </c>
      <c r="H60" s="71"/>
      <c r="I60" s="19"/>
      <c r="J60" s="25" t="s">
        <v>306</v>
      </c>
      <c r="K60" s="25" t="s">
        <v>2318</v>
      </c>
      <c r="L60" s="25" t="s">
        <v>1498</v>
      </c>
    </row>
    <row r="61" spans="1:12" s="1" customFormat="1">
      <c r="A61" s="89"/>
      <c r="B61" s="12" t="s">
        <v>1949</v>
      </c>
      <c r="C61" s="12" t="s">
        <v>98</v>
      </c>
      <c r="D61" s="9" t="s">
        <v>1950</v>
      </c>
      <c r="E61" s="21"/>
      <c r="F61" s="19"/>
      <c r="G61" s="19" t="s">
        <v>1951</v>
      </c>
      <c r="H61" s="71"/>
      <c r="I61" s="19"/>
      <c r="J61" s="25" t="s">
        <v>306</v>
      </c>
      <c r="K61" s="25" t="s">
        <v>74</v>
      </c>
      <c r="L61" s="25" t="s">
        <v>100</v>
      </c>
    </row>
    <row r="62" spans="1:12" s="1" customFormat="1">
      <c r="A62" s="89"/>
      <c r="B62" s="12" t="s">
        <v>1952</v>
      </c>
      <c r="C62" s="12" t="s">
        <v>98</v>
      </c>
      <c r="D62" s="9" t="s">
        <v>1953</v>
      </c>
      <c r="E62" s="21"/>
      <c r="F62" s="19"/>
      <c r="G62" s="19" t="s">
        <v>1954</v>
      </c>
      <c r="H62" s="71"/>
      <c r="I62" s="19"/>
      <c r="J62" s="25" t="s">
        <v>306</v>
      </c>
      <c r="K62" s="25" t="s">
        <v>74</v>
      </c>
      <c r="L62" s="25" t="s">
        <v>100</v>
      </c>
    </row>
    <row r="63" spans="1:12" s="1" customFormat="1">
      <c r="A63" s="89"/>
      <c r="B63" s="12" t="s">
        <v>1955</v>
      </c>
      <c r="C63" s="12" t="s">
        <v>98</v>
      </c>
      <c r="D63" s="9" t="s">
        <v>2183</v>
      </c>
      <c r="E63" s="21"/>
      <c r="F63" s="19"/>
      <c r="G63" s="19" t="s">
        <v>1957</v>
      </c>
      <c r="H63" s="71"/>
      <c r="I63" s="19"/>
      <c r="J63" s="25" t="s">
        <v>306</v>
      </c>
      <c r="K63" s="25" t="s">
        <v>74</v>
      </c>
      <c r="L63" s="25" t="s">
        <v>100</v>
      </c>
    </row>
    <row r="64" spans="1:12" s="1" customFormat="1">
      <c r="A64" s="89"/>
      <c r="B64" s="12" t="s">
        <v>1958</v>
      </c>
      <c r="C64" s="12" t="s">
        <v>98</v>
      </c>
      <c r="D64" s="9" t="s">
        <v>1959</v>
      </c>
      <c r="E64" s="21"/>
      <c r="F64" s="19"/>
      <c r="G64" s="19" t="s">
        <v>1960</v>
      </c>
      <c r="H64" s="71"/>
      <c r="I64" s="19"/>
      <c r="J64" s="25" t="s">
        <v>306</v>
      </c>
      <c r="K64" s="25" t="s">
        <v>74</v>
      </c>
      <c r="L64" s="25" t="s">
        <v>100</v>
      </c>
    </row>
    <row r="65" spans="1:12" s="1" customFormat="1">
      <c r="A65" s="89"/>
      <c r="B65" s="12" t="s">
        <v>1961</v>
      </c>
      <c r="C65" s="12" t="s">
        <v>98</v>
      </c>
      <c r="D65" s="9" t="s">
        <v>1962</v>
      </c>
      <c r="E65" s="21"/>
      <c r="F65" s="19"/>
      <c r="G65" s="19" t="s">
        <v>2209</v>
      </c>
      <c r="H65" s="71"/>
      <c r="I65" s="19"/>
      <c r="J65" s="25" t="s">
        <v>306</v>
      </c>
      <c r="K65" s="25" t="s">
        <v>74</v>
      </c>
      <c r="L65" s="25" t="s">
        <v>100</v>
      </c>
    </row>
    <row r="66" spans="1:12" s="1" customFormat="1">
      <c r="A66" s="89"/>
      <c r="B66" s="12" t="s">
        <v>1964</v>
      </c>
      <c r="C66" s="12" t="s">
        <v>98</v>
      </c>
      <c r="D66" s="9" t="s">
        <v>1965</v>
      </c>
      <c r="E66" s="21"/>
      <c r="F66" s="19"/>
      <c r="G66" s="19" t="s">
        <v>2210</v>
      </c>
      <c r="H66" s="71"/>
      <c r="I66" s="19"/>
      <c r="J66" s="25" t="s">
        <v>306</v>
      </c>
      <c r="K66" s="25" t="s">
        <v>74</v>
      </c>
      <c r="L66" s="25" t="s">
        <v>100</v>
      </c>
    </row>
    <row r="67" spans="1:12" s="1" customFormat="1">
      <c r="A67" s="89"/>
      <c r="B67" s="12" t="s">
        <v>2136</v>
      </c>
      <c r="C67" s="12" t="s">
        <v>98</v>
      </c>
      <c r="D67" s="9" t="s">
        <v>2133</v>
      </c>
      <c r="E67" s="21"/>
      <c r="F67" s="19"/>
      <c r="G67" s="19" t="s">
        <v>2140</v>
      </c>
      <c r="H67" s="71"/>
      <c r="I67" s="19"/>
      <c r="J67" s="25" t="s">
        <v>306</v>
      </c>
      <c r="K67" s="25" t="s">
        <v>74</v>
      </c>
      <c r="L67" s="25" t="s">
        <v>100</v>
      </c>
    </row>
    <row r="68" spans="1:12" s="1" customFormat="1">
      <c r="A68" s="89"/>
      <c r="B68" s="12" t="s">
        <v>2139</v>
      </c>
      <c r="C68" s="12" t="s">
        <v>98</v>
      </c>
      <c r="D68" s="9" t="s">
        <v>2135</v>
      </c>
      <c r="E68" s="21"/>
      <c r="F68" s="19"/>
      <c r="G68" s="19" t="s">
        <v>2211</v>
      </c>
      <c r="H68" s="71"/>
      <c r="I68" s="19"/>
      <c r="J68" s="25" t="s">
        <v>306</v>
      </c>
      <c r="K68" s="25" t="s">
        <v>74</v>
      </c>
      <c r="L68" s="25" t="s">
        <v>100</v>
      </c>
    </row>
    <row r="69" spans="1:12" s="1" customFormat="1">
      <c r="A69" s="89"/>
      <c r="B69" s="12" t="s">
        <v>2132</v>
      </c>
      <c r="C69" s="12" t="s">
        <v>98</v>
      </c>
      <c r="D69" s="9" t="s">
        <v>1967</v>
      </c>
      <c r="E69" s="21"/>
      <c r="F69" s="19"/>
      <c r="G69" s="19" t="s">
        <v>2212</v>
      </c>
      <c r="H69" s="71"/>
      <c r="I69" s="19"/>
      <c r="J69" s="25" t="s">
        <v>306</v>
      </c>
      <c r="K69" s="25" t="s">
        <v>74</v>
      </c>
      <c r="L69" s="25" t="s">
        <v>100</v>
      </c>
    </row>
    <row r="70" spans="1:12" s="1" customFormat="1">
      <c r="A70" s="89"/>
      <c r="B70" s="12" t="s">
        <v>1969</v>
      </c>
      <c r="C70" s="12" t="s">
        <v>98</v>
      </c>
      <c r="D70" s="9" t="s">
        <v>1970</v>
      </c>
      <c r="E70" s="21"/>
      <c r="F70" s="19"/>
      <c r="G70" s="19" t="s">
        <v>2213</v>
      </c>
      <c r="H70" s="71"/>
      <c r="I70" s="19"/>
      <c r="J70" s="25" t="s">
        <v>306</v>
      </c>
      <c r="K70" s="25" t="s">
        <v>74</v>
      </c>
      <c r="L70" s="25" t="s">
        <v>100</v>
      </c>
    </row>
    <row r="71" spans="1:12" s="1" customFormat="1">
      <c r="A71" s="89"/>
      <c r="B71" s="12" t="s">
        <v>1972</v>
      </c>
      <c r="C71" s="12" t="s">
        <v>98</v>
      </c>
      <c r="D71" s="9" t="s">
        <v>1973</v>
      </c>
      <c r="E71" s="21"/>
      <c r="F71" s="19"/>
      <c r="G71" s="19" t="s">
        <v>2214</v>
      </c>
      <c r="H71" s="71"/>
      <c r="I71" s="19"/>
      <c r="J71" s="25" t="s">
        <v>306</v>
      </c>
      <c r="K71" s="25" t="s">
        <v>74</v>
      </c>
      <c r="L71" s="25" t="s">
        <v>100</v>
      </c>
    </row>
    <row r="72" spans="1:12" s="1" customFormat="1">
      <c r="A72" s="89"/>
      <c r="B72" s="12" t="s">
        <v>1975</v>
      </c>
      <c r="C72" s="12" t="s">
        <v>98</v>
      </c>
      <c r="D72" s="9" t="s">
        <v>1976</v>
      </c>
      <c r="E72" s="21"/>
      <c r="F72" s="19"/>
      <c r="G72" s="19" t="s">
        <v>2215</v>
      </c>
      <c r="H72" s="71"/>
      <c r="I72" s="19"/>
      <c r="J72" s="25" t="s">
        <v>306</v>
      </c>
      <c r="K72" s="25" t="s">
        <v>74</v>
      </c>
      <c r="L72" s="25" t="s">
        <v>100</v>
      </c>
    </row>
    <row r="73" spans="1:12" s="1" customFormat="1">
      <c r="A73" s="89"/>
      <c r="B73" s="12" t="s">
        <v>1978</v>
      </c>
      <c r="C73" s="12" t="s">
        <v>98</v>
      </c>
      <c r="D73" s="9" t="s">
        <v>1979</v>
      </c>
      <c r="E73" s="21"/>
      <c r="F73" s="19"/>
      <c r="G73" s="19" t="s">
        <v>1980</v>
      </c>
      <c r="H73" s="71"/>
      <c r="I73" s="19"/>
      <c r="J73" s="25" t="s">
        <v>306</v>
      </c>
      <c r="K73" s="25" t="s">
        <v>74</v>
      </c>
      <c r="L73" s="25" t="s">
        <v>100</v>
      </c>
    </row>
    <row r="74" spans="1:12" s="1" customFormat="1">
      <c r="A74" s="89"/>
      <c r="B74" s="12" t="s">
        <v>1981</v>
      </c>
      <c r="C74" s="12" t="s">
        <v>98</v>
      </c>
      <c r="D74" s="9" t="s">
        <v>1982</v>
      </c>
      <c r="E74" s="21"/>
      <c r="F74" s="19"/>
      <c r="G74" s="19" t="s">
        <v>1983</v>
      </c>
      <c r="H74" s="71"/>
      <c r="I74" s="19"/>
      <c r="J74" s="25" t="s">
        <v>306</v>
      </c>
      <c r="K74" s="25" t="s">
        <v>74</v>
      </c>
      <c r="L74" s="25" t="s">
        <v>100</v>
      </c>
    </row>
    <row r="75" spans="1:12" s="1" customFormat="1">
      <c r="A75" s="89"/>
      <c r="B75" s="12" t="s">
        <v>1988</v>
      </c>
      <c r="C75" s="12" t="s">
        <v>98</v>
      </c>
      <c r="D75" s="9" t="s">
        <v>1989</v>
      </c>
      <c r="E75" s="21"/>
      <c r="F75" s="19"/>
      <c r="G75" s="19" t="s">
        <v>2216</v>
      </c>
      <c r="H75" s="71"/>
      <c r="I75" s="19"/>
      <c r="J75" s="25" t="s">
        <v>306</v>
      </c>
      <c r="K75" s="25" t="s">
        <v>74</v>
      </c>
      <c r="L75" s="25" t="s">
        <v>100</v>
      </c>
    </row>
    <row r="76" spans="1:12" s="1" customFormat="1">
      <c r="A76" s="89"/>
      <c r="B76" s="12" t="s">
        <v>1990</v>
      </c>
      <c r="C76" s="12" t="s">
        <v>1991</v>
      </c>
      <c r="D76" s="9" t="s">
        <v>1992</v>
      </c>
      <c r="E76" s="21"/>
      <c r="F76" s="19"/>
      <c r="G76" s="19" t="s">
        <v>2184</v>
      </c>
      <c r="H76" s="71"/>
      <c r="I76" s="19"/>
      <c r="J76" s="25" t="s">
        <v>306</v>
      </c>
      <c r="K76" s="25" t="s">
        <v>115</v>
      </c>
      <c r="L76" s="25" t="s">
        <v>100</v>
      </c>
    </row>
    <row r="77" spans="1:12" s="1" customFormat="1">
      <c r="A77" s="89"/>
      <c r="B77" s="12" t="s">
        <v>1994</v>
      </c>
      <c r="C77" s="12" t="s">
        <v>98</v>
      </c>
      <c r="D77" s="9" t="s">
        <v>1995</v>
      </c>
      <c r="E77" s="21"/>
      <c r="F77" s="19"/>
      <c r="G77" s="19" t="s">
        <v>2217</v>
      </c>
      <c r="H77" s="71"/>
      <c r="I77" s="19"/>
      <c r="J77" s="25" t="s">
        <v>306</v>
      </c>
      <c r="K77" s="25" t="s">
        <v>74</v>
      </c>
      <c r="L77" s="25" t="s">
        <v>100</v>
      </c>
    </row>
    <row r="78" spans="1:12" s="1" customFormat="1">
      <c r="A78" s="89"/>
      <c r="B78" s="12" t="s">
        <v>1996</v>
      </c>
      <c r="C78" s="12" t="s">
        <v>98</v>
      </c>
      <c r="D78" s="9" t="s">
        <v>1997</v>
      </c>
      <c r="E78" s="21"/>
      <c r="F78" s="19"/>
      <c r="G78" s="19" t="s">
        <v>2218</v>
      </c>
      <c r="H78" s="71"/>
      <c r="I78" s="19"/>
      <c r="J78" s="25" t="s">
        <v>306</v>
      </c>
      <c r="K78" s="25" t="s">
        <v>74</v>
      </c>
      <c r="L78" s="25" t="s">
        <v>100</v>
      </c>
    </row>
    <row r="79" spans="1:12" s="1" customFormat="1">
      <c r="A79" s="89"/>
      <c r="B79" s="12" t="s">
        <v>1998</v>
      </c>
      <c r="C79" s="12" t="s">
        <v>98</v>
      </c>
      <c r="D79" s="9" t="s">
        <v>1999</v>
      </c>
      <c r="E79" s="21"/>
      <c r="F79" s="19"/>
      <c r="G79" s="19" t="s">
        <v>2219</v>
      </c>
      <c r="H79" s="71"/>
      <c r="I79" s="19"/>
      <c r="J79" s="25" t="s">
        <v>306</v>
      </c>
      <c r="K79" s="25" t="s">
        <v>74</v>
      </c>
      <c r="L79" s="25" t="s">
        <v>100</v>
      </c>
    </row>
    <row r="80" spans="1:12" s="1" customFormat="1">
      <c r="A80" s="89"/>
      <c r="B80" s="12" t="s">
        <v>2000</v>
      </c>
      <c r="C80" s="12" t="s">
        <v>98</v>
      </c>
      <c r="D80" s="9" t="s">
        <v>2001</v>
      </c>
      <c r="E80" s="21"/>
      <c r="F80" s="19"/>
      <c r="G80" s="19" t="s">
        <v>2220</v>
      </c>
      <c r="H80" s="71"/>
      <c r="I80" s="19"/>
      <c r="J80" s="25" t="s">
        <v>306</v>
      </c>
      <c r="K80" s="25" t="s">
        <v>74</v>
      </c>
      <c r="L80" s="25" t="s">
        <v>100</v>
      </c>
    </row>
    <row r="81" spans="1:12" s="1" customFormat="1">
      <c r="A81" s="89"/>
      <c r="B81" s="12" t="s">
        <v>2002</v>
      </c>
      <c r="C81" s="12" t="s">
        <v>98</v>
      </c>
      <c r="D81" s="9" t="s">
        <v>2003</v>
      </c>
      <c r="E81" s="21"/>
      <c r="F81" s="19"/>
      <c r="G81" s="19" t="s">
        <v>2221</v>
      </c>
      <c r="H81" s="71"/>
      <c r="I81" s="19"/>
      <c r="J81" s="25" t="s">
        <v>306</v>
      </c>
      <c r="K81" s="25" t="s">
        <v>74</v>
      </c>
      <c r="L81" s="25" t="s">
        <v>100</v>
      </c>
    </row>
    <row r="82" spans="1:12" s="1" customFormat="1">
      <c r="A82" s="89"/>
      <c r="B82" s="12" t="s">
        <v>2004</v>
      </c>
      <c r="C82" s="12" t="s">
        <v>98</v>
      </c>
      <c r="D82" s="9" t="s">
        <v>2005</v>
      </c>
      <c r="E82" s="21"/>
      <c r="F82" s="19"/>
      <c r="G82" s="19" t="s">
        <v>2222</v>
      </c>
      <c r="H82" s="71"/>
      <c r="I82" s="19"/>
      <c r="J82" s="25" t="s">
        <v>306</v>
      </c>
      <c r="K82" s="25" t="s">
        <v>74</v>
      </c>
      <c r="L82" s="25" t="s">
        <v>100</v>
      </c>
    </row>
    <row r="83" spans="1:12" s="1" customFormat="1">
      <c r="A83" s="89"/>
      <c r="B83" s="12" t="s">
        <v>2007</v>
      </c>
      <c r="C83" s="12" t="s">
        <v>1991</v>
      </c>
      <c r="D83" s="9" t="s">
        <v>2008</v>
      </c>
      <c r="E83" s="21"/>
      <c r="F83" s="19"/>
      <c r="G83" s="19" t="s">
        <v>2186</v>
      </c>
      <c r="H83" s="71"/>
      <c r="I83" s="19"/>
      <c r="J83" s="25" t="s">
        <v>306</v>
      </c>
      <c r="K83" s="25" t="s">
        <v>115</v>
      </c>
      <c r="L83" s="25" t="s">
        <v>100</v>
      </c>
    </row>
    <row r="84" spans="1:12" s="1" customFormat="1">
      <c r="A84" s="89"/>
      <c r="B84" s="12" t="s">
        <v>2010</v>
      </c>
      <c r="C84" s="12" t="s">
        <v>98</v>
      </c>
      <c r="D84" s="9" t="s">
        <v>2011</v>
      </c>
      <c r="E84" s="21"/>
      <c r="F84" s="19"/>
      <c r="G84" s="19" t="s">
        <v>2223</v>
      </c>
      <c r="H84" s="71"/>
      <c r="I84" s="19"/>
      <c r="J84" s="25" t="s">
        <v>306</v>
      </c>
      <c r="K84" s="25" t="s">
        <v>74</v>
      </c>
      <c r="L84" s="25" t="s">
        <v>100</v>
      </c>
    </row>
    <row r="85" spans="1:12" s="1" customFormat="1">
      <c r="A85" s="89"/>
      <c r="B85" s="12" t="s">
        <v>2012</v>
      </c>
      <c r="C85" s="12" t="s">
        <v>98</v>
      </c>
      <c r="D85" s="9" t="s">
        <v>2013</v>
      </c>
      <c r="E85" s="21"/>
      <c r="F85" s="19"/>
      <c r="G85" s="19" t="s">
        <v>2224</v>
      </c>
      <c r="H85" s="71"/>
      <c r="I85" s="19"/>
      <c r="J85" s="25" t="s">
        <v>306</v>
      </c>
      <c r="K85" s="25" t="s">
        <v>74</v>
      </c>
      <c r="L85" s="25" t="s">
        <v>100</v>
      </c>
    </row>
    <row r="86" spans="1:12" s="1" customFormat="1">
      <c r="A86" s="89"/>
      <c r="B86" s="12" t="s">
        <v>2014</v>
      </c>
      <c r="C86" s="12" t="s">
        <v>98</v>
      </c>
      <c r="D86" s="9" t="s">
        <v>2015</v>
      </c>
      <c r="E86" s="21"/>
      <c r="F86" s="19"/>
      <c r="G86" s="19" t="s">
        <v>2225</v>
      </c>
      <c r="H86" s="71"/>
      <c r="I86" s="19"/>
      <c r="J86" s="25" t="s">
        <v>306</v>
      </c>
      <c r="K86" s="25" t="s">
        <v>74</v>
      </c>
      <c r="L86" s="25" t="s">
        <v>100</v>
      </c>
    </row>
    <row r="87" spans="1:12" s="1" customFormat="1">
      <c r="A87" s="89"/>
      <c r="B87" s="12" t="s">
        <v>2016</v>
      </c>
      <c r="C87" s="12" t="s">
        <v>98</v>
      </c>
      <c r="D87" s="9" t="s">
        <v>2017</v>
      </c>
      <c r="E87" s="21"/>
      <c r="F87" s="19"/>
      <c r="G87" s="19" t="s">
        <v>2226</v>
      </c>
      <c r="H87" s="71"/>
      <c r="I87" s="19"/>
      <c r="J87" s="25" t="s">
        <v>306</v>
      </c>
      <c r="K87" s="25" t="s">
        <v>74</v>
      </c>
      <c r="L87" s="25" t="s">
        <v>100</v>
      </c>
    </row>
    <row r="88" spans="1:12" s="1" customFormat="1">
      <c r="A88" s="89"/>
      <c r="B88" s="12" t="s">
        <v>2018</v>
      </c>
      <c r="C88" s="12" t="s">
        <v>98</v>
      </c>
      <c r="D88" s="9" t="s">
        <v>2019</v>
      </c>
      <c r="E88" s="21"/>
      <c r="F88" s="19"/>
      <c r="G88" s="19" t="s">
        <v>2227</v>
      </c>
      <c r="H88" s="71"/>
      <c r="I88" s="19"/>
      <c r="J88" s="25" t="s">
        <v>306</v>
      </c>
      <c r="K88" s="25" t="s">
        <v>74</v>
      </c>
      <c r="L88" s="25" t="s">
        <v>100</v>
      </c>
    </row>
    <row r="89" spans="1:12" s="1" customFormat="1">
      <c r="A89" s="89"/>
      <c r="B89" s="12" t="s">
        <v>2020</v>
      </c>
      <c r="C89" s="12" t="s">
        <v>1991</v>
      </c>
      <c r="D89" s="9" t="s">
        <v>2021</v>
      </c>
      <c r="E89" s="21"/>
      <c r="F89" s="19"/>
      <c r="G89" s="19" t="s">
        <v>2228</v>
      </c>
      <c r="H89" s="71"/>
      <c r="I89" s="19"/>
      <c r="J89" s="25" t="s">
        <v>306</v>
      </c>
      <c r="K89" s="25" t="s">
        <v>115</v>
      </c>
      <c r="L89" s="25" t="s">
        <v>100</v>
      </c>
    </row>
    <row r="90" spans="1:12" s="1" customFormat="1">
      <c r="A90" s="89"/>
      <c r="B90" s="12" t="s">
        <v>2023</v>
      </c>
      <c r="C90" s="12" t="s">
        <v>1991</v>
      </c>
      <c r="D90" s="9" t="s">
        <v>2024</v>
      </c>
      <c r="E90" s="21"/>
      <c r="F90" s="19"/>
      <c r="G90" s="19" t="s">
        <v>2187</v>
      </c>
      <c r="H90" s="71"/>
      <c r="I90" s="19"/>
      <c r="J90" s="25" t="s">
        <v>306</v>
      </c>
      <c r="K90" s="25" t="s">
        <v>115</v>
      </c>
      <c r="L90" s="25" t="s">
        <v>100</v>
      </c>
    </row>
    <row r="91" spans="1:12" s="1" customFormat="1">
      <c r="A91" s="89"/>
      <c r="B91" s="12" t="s">
        <v>2026</v>
      </c>
      <c r="C91" s="12" t="s">
        <v>98</v>
      </c>
      <c r="D91" s="9" t="s">
        <v>2027</v>
      </c>
      <c r="E91" s="21"/>
      <c r="F91" s="19"/>
      <c r="G91" s="19" t="s">
        <v>2229</v>
      </c>
      <c r="H91" s="71"/>
      <c r="I91" s="19"/>
      <c r="J91" s="25" t="s">
        <v>306</v>
      </c>
      <c r="K91" s="25" t="s">
        <v>74</v>
      </c>
      <c r="L91" s="25" t="s">
        <v>100</v>
      </c>
    </row>
    <row r="92" spans="1:12" s="1" customFormat="1">
      <c r="A92" s="89"/>
      <c r="B92" s="12" t="s">
        <v>2028</v>
      </c>
      <c r="C92" s="12" t="s">
        <v>98</v>
      </c>
      <c r="D92" s="9" t="s">
        <v>2029</v>
      </c>
      <c r="E92" s="21"/>
      <c r="F92" s="19"/>
      <c r="G92" s="19" t="s">
        <v>2230</v>
      </c>
      <c r="H92" s="71"/>
      <c r="I92" s="19"/>
      <c r="J92" s="25" t="s">
        <v>306</v>
      </c>
      <c r="K92" s="25" t="s">
        <v>74</v>
      </c>
      <c r="L92" s="25" t="s">
        <v>100</v>
      </c>
    </row>
    <row r="93" spans="1:12" s="1" customFormat="1">
      <c r="A93" s="89"/>
      <c r="B93" s="12" t="s">
        <v>2030</v>
      </c>
      <c r="C93" s="12" t="s">
        <v>98</v>
      </c>
      <c r="D93" s="9" t="s">
        <v>2031</v>
      </c>
      <c r="E93" s="21"/>
      <c r="F93" s="19"/>
      <c r="G93" s="19" t="s">
        <v>2231</v>
      </c>
      <c r="H93" s="71"/>
      <c r="I93" s="19"/>
      <c r="J93" s="25" t="s">
        <v>306</v>
      </c>
      <c r="K93" s="25" t="s">
        <v>74</v>
      </c>
      <c r="L93" s="25" t="s">
        <v>100</v>
      </c>
    </row>
    <row r="94" spans="1:12" s="1" customFormat="1">
      <c r="A94" s="89"/>
      <c r="B94" s="12" t="s">
        <v>2032</v>
      </c>
      <c r="C94" s="12" t="s">
        <v>98</v>
      </c>
      <c r="D94" s="9" t="s">
        <v>2033</v>
      </c>
      <c r="E94" s="21"/>
      <c r="F94" s="19"/>
      <c r="G94" s="19" t="s">
        <v>2232</v>
      </c>
      <c r="H94" s="71"/>
      <c r="I94" s="19"/>
      <c r="J94" s="25" t="s">
        <v>306</v>
      </c>
      <c r="K94" s="25" t="s">
        <v>74</v>
      </c>
      <c r="L94" s="25" t="s">
        <v>100</v>
      </c>
    </row>
    <row r="95" spans="1:12" s="1" customFormat="1">
      <c r="A95" s="89"/>
      <c r="B95" s="12" t="s">
        <v>2034</v>
      </c>
      <c r="C95" s="12" t="s">
        <v>98</v>
      </c>
      <c r="D95" s="9" t="s">
        <v>2035</v>
      </c>
      <c r="E95" s="21"/>
      <c r="F95" s="19"/>
      <c r="G95" s="19" t="s">
        <v>2233</v>
      </c>
      <c r="H95" s="71"/>
      <c r="I95" s="19"/>
      <c r="J95" s="25" t="s">
        <v>306</v>
      </c>
      <c r="K95" s="25" t="s">
        <v>74</v>
      </c>
      <c r="L95" s="25" t="s">
        <v>100</v>
      </c>
    </row>
    <row r="96" spans="1:12" s="1" customFormat="1">
      <c r="A96" s="89"/>
      <c r="B96" s="12" t="s">
        <v>2036</v>
      </c>
      <c r="C96" s="12" t="s">
        <v>1991</v>
      </c>
      <c r="D96" s="9" t="s">
        <v>2037</v>
      </c>
      <c r="E96" s="21"/>
      <c r="F96" s="19"/>
      <c r="G96" s="19" t="s">
        <v>2191</v>
      </c>
      <c r="H96" s="71"/>
      <c r="I96" s="19"/>
      <c r="J96" s="25" t="s">
        <v>306</v>
      </c>
      <c r="K96" s="25" t="s">
        <v>115</v>
      </c>
      <c r="L96" s="25" t="s">
        <v>100</v>
      </c>
    </row>
    <row r="97" spans="1:12" s="1" customFormat="1">
      <c r="A97" s="89"/>
      <c r="B97" s="12" t="s">
        <v>2039</v>
      </c>
      <c r="C97" s="12" t="s">
        <v>98</v>
      </c>
      <c r="D97" s="9" t="s">
        <v>2040</v>
      </c>
      <c r="E97" s="21"/>
      <c r="F97" s="19"/>
      <c r="G97" s="19" t="s">
        <v>2234</v>
      </c>
      <c r="H97" s="71"/>
      <c r="I97" s="19"/>
      <c r="J97" s="25" t="s">
        <v>306</v>
      </c>
      <c r="K97" s="25" t="s">
        <v>74</v>
      </c>
      <c r="L97" s="25" t="s">
        <v>100</v>
      </c>
    </row>
    <row r="98" spans="1:12" s="1" customFormat="1">
      <c r="A98" s="89"/>
      <c r="B98" s="12" t="s">
        <v>2042</v>
      </c>
      <c r="C98" s="12" t="s">
        <v>1991</v>
      </c>
      <c r="D98" s="9" t="s">
        <v>2043</v>
      </c>
      <c r="E98" s="21"/>
      <c r="F98" s="19"/>
      <c r="G98" s="19" t="s">
        <v>2193</v>
      </c>
      <c r="H98" s="71"/>
      <c r="I98" s="19"/>
      <c r="J98" s="25" t="s">
        <v>306</v>
      </c>
      <c r="K98" s="25" t="s">
        <v>115</v>
      </c>
      <c r="L98" s="25" t="s">
        <v>100</v>
      </c>
    </row>
    <row r="99" spans="1:12" s="1" customFormat="1">
      <c r="A99" s="89"/>
      <c r="B99" s="12" t="s">
        <v>2045</v>
      </c>
      <c r="C99" s="12" t="s">
        <v>98</v>
      </c>
      <c r="D99" s="9" t="s">
        <v>2046</v>
      </c>
      <c r="E99" s="21"/>
      <c r="F99" s="19"/>
      <c r="G99" s="19" t="s">
        <v>2235</v>
      </c>
      <c r="H99" s="71"/>
      <c r="I99" s="19"/>
      <c r="J99" s="25" t="s">
        <v>306</v>
      </c>
      <c r="K99" s="25" t="s">
        <v>74</v>
      </c>
      <c r="L99" s="25" t="s">
        <v>100</v>
      </c>
    </row>
    <row r="100" spans="1:12" s="1" customFormat="1">
      <c r="A100" s="89"/>
      <c r="B100" s="12" t="s">
        <v>2048</v>
      </c>
      <c r="C100" s="12" t="s">
        <v>771</v>
      </c>
      <c r="D100" s="9" t="s">
        <v>2049</v>
      </c>
      <c r="E100" s="21"/>
      <c r="F100" s="19"/>
      <c r="G100" s="19" t="s">
        <v>2236</v>
      </c>
      <c r="H100" s="71"/>
      <c r="I100" s="19"/>
      <c r="J100" s="25" t="s">
        <v>306</v>
      </c>
      <c r="K100" s="25" t="s">
        <v>1208</v>
      </c>
      <c r="L100" s="25" t="s">
        <v>1209</v>
      </c>
    </row>
    <row r="101" spans="1:12" s="1" customFormat="1">
      <c r="A101" s="89"/>
      <c r="B101" s="12" t="s">
        <v>2051</v>
      </c>
      <c r="C101" s="12" t="s">
        <v>1991</v>
      </c>
      <c r="D101" s="9" t="s">
        <v>1827</v>
      </c>
      <c r="E101" s="21"/>
      <c r="F101" s="19"/>
      <c r="G101" s="19" t="s">
        <v>2243</v>
      </c>
      <c r="H101" s="71"/>
      <c r="I101" s="19"/>
      <c r="J101" s="25" t="s">
        <v>306</v>
      </c>
      <c r="K101" s="25" t="s">
        <v>800</v>
      </c>
      <c r="L101" s="25" t="s">
        <v>100</v>
      </c>
    </row>
    <row r="102" spans="1:12" s="1" customFormat="1">
      <c r="A102" s="89"/>
      <c r="B102" s="12" t="s">
        <v>2053</v>
      </c>
      <c r="C102" s="12" t="s">
        <v>771</v>
      </c>
      <c r="D102" s="9" t="s">
        <v>2054</v>
      </c>
      <c r="E102" s="21"/>
      <c r="F102" s="19"/>
      <c r="G102" s="19" t="s">
        <v>2237</v>
      </c>
      <c r="H102" s="71"/>
      <c r="I102" s="19"/>
      <c r="J102" s="25" t="s">
        <v>306</v>
      </c>
      <c r="K102" s="25" t="s">
        <v>1208</v>
      </c>
      <c r="L102" s="25" t="s">
        <v>1209</v>
      </c>
    </row>
    <row r="103" spans="1:12" s="1" customFormat="1">
      <c r="A103" s="89"/>
      <c r="B103" s="12" t="s">
        <v>1828</v>
      </c>
      <c r="C103" s="12" t="s">
        <v>1991</v>
      </c>
      <c r="D103" s="9" t="s">
        <v>2056</v>
      </c>
      <c r="E103" s="21"/>
      <c r="F103" s="19"/>
      <c r="G103" s="19" t="s">
        <v>2244</v>
      </c>
      <c r="H103" s="71"/>
      <c r="I103" s="19"/>
      <c r="J103" s="25" t="s">
        <v>306</v>
      </c>
      <c r="K103" s="25" t="s">
        <v>800</v>
      </c>
      <c r="L103" s="25" t="s">
        <v>100</v>
      </c>
    </row>
    <row r="104" spans="1:12" s="1" customFormat="1">
      <c r="A104" s="89"/>
      <c r="B104" s="12" t="s">
        <v>2058</v>
      </c>
      <c r="C104" s="12" t="s">
        <v>98</v>
      </c>
      <c r="D104" s="9" t="s">
        <v>2059</v>
      </c>
      <c r="E104" s="21"/>
      <c r="F104" s="19"/>
      <c r="G104" s="19" t="s">
        <v>2238</v>
      </c>
      <c r="H104" s="71"/>
      <c r="I104" s="19"/>
      <c r="J104" s="25" t="s">
        <v>306</v>
      </c>
      <c r="K104" s="25" t="s">
        <v>74</v>
      </c>
      <c r="L104" s="25" t="s">
        <v>100</v>
      </c>
    </row>
    <row r="105" spans="1:12" s="1" customFormat="1">
      <c r="A105" s="89"/>
      <c r="B105" s="12" t="s">
        <v>1830</v>
      </c>
      <c r="C105" s="12" t="s">
        <v>1991</v>
      </c>
      <c r="D105" s="9" t="s">
        <v>2061</v>
      </c>
      <c r="E105" s="21"/>
      <c r="F105" s="19"/>
      <c r="G105" s="19" t="s">
        <v>2246</v>
      </c>
      <c r="H105" s="71"/>
      <c r="I105" s="19"/>
      <c r="J105" s="25" t="s">
        <v>306</v>
      </c>
      <c r="K105" s="25" t="s">
        <v>115</v>
      </c>
      <c r="L105" s="25" t="s">
        <v>100</v>
      </c>
    </row>
    <row r="106" spans="1:12" s="1" customFormat="1">
      <c r="A106" s="89"/>
      <c r="B106" s="12" t="s">
        <v>2063</v>
      </c>
      <c r="C106" s="12" t="s">
        <v>98</v>
      </c>
      <c r="D106" s="9" t="s">
        <v>2064</v>
      </c>
      <c r="E106" s="21"/>
      <c r="F106" s="19"/>
      <c r="G106" s="19" t="s">
        <v>2239</v>
      </c>
      <c r="H106" s="71"/>
      <c r="I106" s="19"/>
      <c r="J106" s="25" t="s">
        <v>306</v>
      </c>
      <c r="K106" s="25" t="s">
        <v>1208</v>
      </c>
      <c r="L106" s="25" t="s">
        <v>100</v>
      </c>
    </row>
    <row r="107" spans="1:12" s="1" customFormat="1">
      <c r="A107" s="89"/>
      <c r="B107" s="12" t="s">
        <v>2066</v>
      </c>
      <c r="C107" s="12" t="s">
        <v>1991</v>
      </c>
      <c r="D107" s="9" t="s">
        <v>2067</v>
      </c>
      <c r="E107" s="21"/>
      <c r="F107" s="19"/>
      <c r="G107" s="19" t="s">
        <v>2247</v>
      </c>
      <c r="H107" s="71"/>
      <c r="I107" s="19"/>
      <c r="J107" s="25" t="s">
        <v>306</v>
      </c>
      <c r="K107" s="25" t="s">
        <v>115</v>
      </c>
      <c r="L107" s="25" t="s">
        <v>100</v>
      </c>
    </row>
    <row r="108" spans="1:12" s="1" customFormat="1">
      <c r="A108" s="89"/>
      <c r="B108" s="12" t="s">
        <v>1819</v>
      </c>
      <c r="C108" s="12" t="s">
        <v>1991</v>
      </c>
      <c r="D108" s="9" t="s">
        <v>1820</v>
      </c>
      <c r="E108" s="21"/>
      <c r="F108" s="19"/>
      <c r="G108" s="19" t="s">
        <v>2249</v>
      </c>
      <c r="H108" s="71"/>
      <c r="I108" s="19"/>
      <c r="J108" s="25" t="s">
        <v>306</v>
      </c>
      <c r="K108" s="25" t="s">
        <v>115</v>
      </c>
      <c r="L108" s="25" t="s">
        <v>100</v>
      </c>
    </row>
    <row r="109" spans="1:12" s="1" customFormat="1">
      <c r="A109" s="89"/>
      <c r="B109" s="12" t="s">
        <v>2070</v>
      </c>
      <c r="C109" s="12" t="s">
        <v>98</v>
      </c>
      <c r="D109" s="9" t="s">
        <v>2071</v>
      </c>
      <c r="E109" s="21"/>
      <c r="F109" s="19"/>
      <c r="G109" s="19" t="s">
        <v>2240</v>
      </c>
      <c r="H109" s="71"/>
      <c r="I109" s="19"/>
      <c r="J109" s="25" t="s">
        <v>306</v>
      </c>
      <c r="K109" s="25" t="s">
        <v>1208</v>
      </c>
      <c r="L109" s="25" t="s">
        <v>100</v>
      </c>
    </row>
    <row r="110" spans="1:12" s="1" customFormat="1">
      <c r="A110" s="89"/>
      <c r="B110" s="12" t="s">
        <v>2073</v>
      </c>
      <c r="C110" s="12" t="s">
        <v>98</v>
      </c>
      <c r="D110" s="9" t="s">
        <v>2074</v>
      </c>
      <c r="E110" s="21"/>
      <c r="F110" s="19"/>
      <c r="G110" s="19" t="s">
        <v>2241</v>
      </c>
      <c r="H110" s="71"/>
      <c r="I110" s="19"/>
      <c r="J110" s="25" t="s">
        <v>306</v>
      </c>
      <c r="K110" s="25" t="s">
        <v>1208</v>
      </c>
      <c r="L110" s="25" t="s">
        <v>100</v>
      </c>
    </row>
    <row r="111" spans="1:12" s="1" customFormat="1">
      <c r="A111" s="89"/>
      <c r="B111" s="12" t="s">
        <v>1822</v>
      </c>
      <c r="C111" s="12" t="s">
        <v>1991</v>
      </c>
      <c r="D111" s="9" t="s">
        <v>2076</v>
      </c>
      <c r="E111" s="21"/>
      <c r="F111" s="19"/>
      <c r="G111" s="19" t="s">
        <v>2250</v>
      </c>
      <c r="H111" s="71"/>
      <c r="I111" s="19"/>
      <c r="J111" s="25" t="s">
        <v>306</v>
      </c>
      <c r="K111" s="25" t="s">
        <v>115</v>
      </c>
      <c r="L111" s="25" t="s">
        <v>100</v>
      </c>
    </row>
    <row r="112" spans="1:12" s="1" customFormat="1">
      <c r="A112" s="89"/>
      <c r="B112" s="12" t="s">
        <v>2078</v>
      </c>
      <c r="C112" s="12" t="s">
        <v>98</v>
      </c>
      <c r="D112" s="9" t="s">
        <v>2079</v>
      </c>
      <c r="E112" s="21"/>
      <c r="F112" s="19"/>
      <c r="G112" s="19" t="s">
        <v>2242</v>
      </c>
      <c r="H112" s="71"/>
      <c r="I112" s="19"/>
      <c r="J112" s="25" t="s">
        <v>306</v>
      </c>
      <c r="K112" s="25" t="s">
        <v>1208</v>
      </c>
      <c r="L112" s="25" t="s">
        <v>100</v>
      </c>
    </row>
    <row r="113" spans="1:17" s="1" customFormat="1">
      <c r="A113" s="89"/>
      <c r="B113" s="12" t="s">
        <v>2081</v>
      </c>
      <c r="C113" s="12" t="s">
        <v>98</v>
      </c>
      <c r="D113" s="9" t="s">
        <v>1614</v>
      </c>
      <c r="E113" s="21"/>
      <c r="F113" s="19"/>
      <c r="G113" s="19" t="s">
        <v>2316</v>
      </c>
      <c r="H113" s="71"/>
      <c r="I113" s="19"/>
      <c r="J113" s="25" t="s">
        <v>306</v>
      </c>
      <c r="K113" s="25" t="s">
        <v>74</v>
      </c>
      <c r="L113" s="25" t="s">
        <v>100</v>
      </c>
    </row>
    <row r="114" spans="1:17" s="1" customFormat="1">
      <c r="A114" s="89"/>
      <c r="B114" s="12" t="s">
        <v>2175</v>
      </c>
      <c r="C114" s="12" t="s">
        <v>71</v>
      </c>
      <c r="D114" s="9" t="s">
        <v>2082</v>
      </c>
      <c r="E114" s="21"/>
      <c r="F114" s="19"/>
      <c r="G114" s="27" t="s">
        <v>2176</v>
      </c>
      <c r="H114" s="71"/>
      <c r="I114" s="103">
        <v>20250415101139</v>
      </c>
      <c r="J114" s="25" t="s">
        <v>306</v>
      </c>
      <c r="K114" s="25" t="s">
        <v>74</v>
      </c>
      <c r="L114" s="25" t="s">
        <v>1498</v>
      </c>
    </row>
    <row r="115" spans="1:17" s="1" customFormat="1">
      <c r="A115" s="89"/>
      <c r="B115" s="12" t="s">
        <v>2177</v>
      </c>
      <c r="C115" s="12" t="s">
        <v>71</v>
      </c>
      <c r="D115" s="9" t="s">
        <v>2084</v>
      </c>
      <c r="E115" s="21"/>
      <c r="F115" s="19"/>
      <c r="G115" s="27" t="s">
        <v>2178</v>
      </c>
      <c r="H115" s="71"/>
      <c r="I115" s="103">
        <v>20250415101024</v>
      </c>
      <c r="J115" s="25" t="s">
        <v>306</v>
      </c>
      <c r="K115" s="25" t="s">
        <v>74</v>
      </c>
      <c r="L115" s="25" t="s">
        <v>1498</v>
      </c>
    </row>
    <row r="116" spans="1:17" s="2" customFormat="1">
      <c r="B116" s="14" t="s">
        <v>80</v>
      </c>
      <c r="C116" s="15" t="s">
        <v>75</v>
      </c>
      <c r="D116" s="16" t="s">
        <v>103</v>
      </c>
      <c r="E116" s="24"/>
      <c r="F116" s="24"/>
      <c r="G116" s="24" t="s">
        <v>293</v>
      </c>
      <c r="H116" s="24" t="s">
        <v>293</v>
      </c>
      <c r="I116" s="14"/>
      <c r="J116" s="14"/>
      <c r="K116" s="14"/>
      <c r="L116" s="14"/>
      <c r="M116" s="14"/>
      <c r="N116" s="14"/>
      <c r="O116" s="14"/>
      <c r="P116" s="14"/>
      <c r="Q116" s="14"/>
    </row>
    <row r="117" spans="1:17" s="2" customFormat="1">
      <c r="B117" s="14" t="s">
        <v>0</v>
      </c>
      <c r="C117" s="15" t="s">
        <v>71</v>
      </c>
      <c r="D117" s="16" t="s">
        <v>104</v>
      </c>
      <c r="E117" s="24"/>
      <c r="F117" s="24"/>
      <c r="G117" s="24" t="s">
        <v>293</v>
      </c>
      <c r="H117" s="24" t="s">
        <v>293</v>
      </c>
      <c r="I117" s="14"/>
      <c r="J117" s="14"/>
      <c r="K117" s="14"/>
      <c r="L117" s="14"/>
      <c r="M117" s="14"/>
      <c r="N117" s="14"/>
      <c r="O117" s="14"/>
      <c r="P117" s="14"/>
      <c r="Q117" s="14"/>
    </row>
    <row r="118" spans="1:17" s="2" customFormat="1">
      <c r="B118" s="14" t="s">
        <v>1</v>
      </c>
      <c r="C118" s="15" t="s">
        <v>75</v>
      </c>
      <c r="D118" s="16" t="s">
        <v>105</v>
      </c>
      <c r="E118" s="24"/>
      <c r="F118" s="24"/>
      <c r="G118" s="24" t="s">
        <v>293</v>
      </c>
      <c r="H118" s="24" t="s">
        <v>293</v>
      </c>
      <c r="I118" s="14"/>
      <c r="J118" s="14"/>
      <c r="K118" s="14"/>
      <c r="L118" s="14"/>
      <c r="M118" s="14"/>
      <c r="N118" s="14"/>
      <c r="O118" s="14"/>
      <c r="P118" s="14"/>
      <c r="Q118" s="14"/>
    </row>
  </sheetData>
  <autoFilter ref="A13:Q118" xr:uid="{E16EFA29-E820-4A10-98BC-CF6E577605DD}"/>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C295C-92CD-497F-93BA-8E006CB2BD5E}">
  <dimension ref="A1:Q93"/>
  <sheetViews>
    <sheetView zoomScale="85" zoomScaleNormal="85" workbookViewId="0">
      <pane ySplit="5" topLeftCell="A6" activePane="bottomLeft" state="frozen"/>
      <selection pane="bottomLeft" activeCell="C5" sqref="C5"/>
    </sheetView>
  </sheetViews>
  <sheetFormatPr defaultColWidth="9" defaultRowHeight="13.2"/>
  <cols>
    <col min="1" max="1" width="1.33203125" style="3" customWidth="1"/>
    <col min="2" max="2" width="34.21875" style="3" customWidth="1"/>
    <col min="3" max="3" width="32.886718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bestFit="1"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21"/>
      <c r="C2" s="121"/>
      <c r="D2" s="121"/>
      <c r="E2" s="121"/>
      <c r="F2" s="121"/>
      <c r="G2" s="121"/>
      <c r="H2" s="121"/>
    </row>
    <row r="3" spans="1:14">
      <c r="B3" s="122" t="s">
        <v>45</v>
      </c>
      <c r="C3" s="122"/>
      <c r="D3" s="122"/>
      <c r="E3" s="122"/>
      <c r="F3" s="122"/>
      <c r="G3" s="122"/>
      <c r="H3" s="122"/>
    </row>
    <row r="4" spans="1:14">
      <c r="B4" s="7" t="s">
        <v>11</v>
      </c>
      <c r="C4" s="7" t="s">
        <v>46</v>
      </c>
      <c r="D4" s="7" t="s">
        <v>47</v>
      </c>
      <c r="E4" s="7" t="s">
        <v>48</v>
      </c>
      <c r="F4" s="11" t="s">
        <v>49</v>
      </c>
      <c r="G4" s="11" t="s">
        <v>14</v>
      </c>
      <c r="H4" s="11" t="s">
        <v>50</v>
      </c>
    </row>
    <row r="5" spans="1:14">
      <c r="B5" s="8" t="s">
        <v>1910</v>
      </c>
      <c r="C5" s="68" t="s">
        <v>2402</v>
      </c>
      <c r="D5" s="9" t="s">
        <v>2252</v>
      </c>
      <c r="E5" s="12" t="s">
        <v>1159</v>
      </c>
      <c r="F5" s="17"/>
      <c r="G5" s="12"/>
      <c r="H5" s="12"/>
      <c r="N5" s="3"/>
    </row>
    <row r="6" spans="1:14">
      <c r="B6" s="6"/>
      <c r="C6" s="6"/>
      <c r="D6" s="6"/>
      <c r="E6" s="6"/>
      <c r="F6" s="18"/>
      <c r="G6" s="18"/>
      <c r="H6" s="18"/>
    </row>
    <row r="7" spans="1:14">
      <c r="B7" s="122" t="s">
        <v>51</v>
      </c>
      <c r="C7" s="122"/>
      <c r="D7" s="122"/>
      <c r="E7" s="122"/>
      <c r="F7" s="122"/>
      <c r="G7" s="122"/>
      <c r="H7" s="122"/>
    </row>
    <row r="8" spans="1:14">
      <c r="B8" s="11" t="s">
        <v>52</v>
      </c>
      <c r="C8" s="11" t="s">
        <v>53</v>
      </c>
      <c r="D8" s="11" t="s">
        <v>54</v>
      </c>
      <c r="E8" s="11" t="s">
        <v>55</v>
      </c>
      <c r="F8" s="11" t="s">
        <v>56</v>
      </c>
      <c r="G8" s="11" t="s">
        <v>24</v>
      </c>
      <c r="H8" s="11" t="s">
        <v>57</v>
      </c>
    </row>
    <row r="9" spans="1:14">
      <c r="B9" s="12"/>
      <c r="C9" s="68" t="s">
        <v>2173</v>
      </c>
      <c r="D9" s="9" t="s">
        <v>2174</v>
      </c>
      <c r="E9" s="12" t="s">
        <v>58</v>
      </c>
      <c r="F9" s="19"/>
      <c r="G9" s="19"/>
      <c r="H9" s="20" t="s">
        <v>30</v>
      </c>
    </row>
    <row r="11" spans="1:14">
      <c r="B11" s="3" t="s">
        <v>59</v>
      </c>
    </row>
    <row r="12" spans="1:14">
      <c r="B12" s="122" t="s">
        <v>59</v>
      </c>
      <c r="C12" s="122"/>
      <c r="D12" s="122"/>
      <c r="E12" s="122"/>
      <c r="F12" s="122"/>
      <c r="G12" s="122"/>
      <c r="H12" s="122"/>
      <c r="I12" s="122"/>
      <c r="J12" s="122"/>
      <c r="K12" s="122"/>
      <c r="L12" s="122"/>
    </row>
    <row r="13" spans="1:14">
      <c r="B13" s="7" t="s">
        <v>60</v>
      </c>
      <c r="C13" s="7" t="s">
        <v>61</v>
      </c>
      <c r="D13" s="7" t="s">
        <v>62</v>
      </c>
      <c r="E13" s="7" t="s">
        <v>63</v>
      </c>
      <c r="F13" s="11" t="s">
        <v>64</v>
      </c>
      <c r="G13" s="11" t="s">
        <v>65</v>
      </c>
      <c r="H13" s="11" t="s">
        <v>66</v>
      </c>
      <c r="I13" s="7" t="s">
        <v>24</v>
      </c>
      <c r="J13" s="7" t="s">
        <v>67</v>
      </c>
      <c r="K13" s="7" t="s">
        <v>68</v>
      </c>
      <c r="L13" s="7" t="s">
        <v>69</v>
      </c>
    </row>
    <row r="14" spans="1:14" s="1" customFormat="1">
      <c r="B14" s="13" t="s">
        <v>76</v>
      </c>
      <c r="C14" s="13" t="s">
        <v>75</v>
      </c>
      <c r="D14" s="9" t="s">
        <v>2253</v>
      </c>
      <c r="E14" s="21"/>
      <c r="F14" s="19" t="s">
        <v>76</v>
      </c>
      <c r="G14" s="19"/>
      <c r="H14" s="71"/>
      <c r="I14" s="25"/>
      <c r="J14" s="25" t="s">
        <v>304</v>
      </c>
      <c r="K14" s="25" t="s">
        <v>305</v>
      </c>
      <c r="L14" s="25" t="s">
        <v>1579</v>
      </c>
    </row>
    <row r="15" spans="1:14" s="1" customFormat="1">
      <c r="B15" s="13" t="s">
        <v>70</v>
      </c>
      <c r="C15" s="13" t="s">
        <v>2254</v>
      </c>
      <c r="D15" s="9" t="s">
        <v>2255</v>
      </c>
      <c r="E15" s="21"/>
      <c r="F15" s="19" t="s">
        <v>0</v>
      </c>
      <c r="G15" s="19"/>
      <c r="H15" s="71"/>
      <c r="I15" s="25"/>
      <c r="J15" s="25" t="s">
        <v>304</v>
      </c>
      <c r="K15" s="25" t="s">
        <v>305</v>
      </c>
      <c r="L15" s="25" t="s">
        <v>1576</v>
      </c>
    </row>
    <row r="16" spans="1:14" s="1" customFormat="1">
      <c r="A16" s="89"/>
      <c r="B16" s="13" t="s">
        <v>6</v>
      </c>
      <c r="C16" s="13" t="s">
        <v>75</v>
      </c>
      <c r="D16" s="9" t="s">
        <v>34</v>
      </c>
      <c r="E16" s="21"/>
      <c r="F16" s="19" t="s">
        <v>1</v>
      </c>
      <c r="G16" s="19"/>
      <c r="H16" s="71"/>
      <c r="I16" s="90"/>
      <c r="J16" s="25" t="s">
        <v>304</v>
      </c>
      <c r="K16" s="25" t="s">
        <v>305</v>
      </c>
      <c r="L16" s="25" t="s">
        <v>1577</v>
      </c>
    </row>
    <row r="17" spans="1:12" s="1" customFormat="1">
      <c r="A17" s="89"/>
      <c r="B17" s="13" t="s">
        <v>83</v>
      </c>
      <c r="C17" s="13" t="s">
        <v>75</v>
      </c>
      <c r="D17" s="9" t="s">
        <v>2256</v>
      </c>
      <c r="E17" s="21"/>
      <c r="F17" s="19" t="s">
        <v>83</v>
      </c>
      <c r="G17" s="19"/>
      <c r="H17" s="71"/>
      <c r="I17" s="90"/>
      <c r="J17" s="25" t="s">
        <v>304</v>
      </c>
      <c r="K17" s="25" t="s">
        <v>305</v>
      </c>
      <c r="L17" s="25" t="s">
        <v>74</v>
      </c>
    </row>
    <row r="18" spans="1:12" s="1" customFormat="1">
      <c r="A18" s="89"/>
      <c r="B18" s="13" t="s">
        <v>1580</v>
      </c>
      <c r="C18" s="13" t="s">
        <v>75</v>
      </c>
      <c r="D18" s="9" t="s">
        <v>2257</v>
      </c>
      <c r="E18" s="21"/>
      <c r="F18" s="19" t="s">
        <v>1580</v>
      </c>
      <c r="G18" s="19"/>
      <c r="H18" s="71"/>
      <c r="I18" s="90"/>
      <c r="J18" s="25" t="s">
        <v>304</v>
      </c>
      <c r="K18" s="25" t="s">
        <v>305</v>
      </c>
      <c r="L18" s="25" t="s">
        <v>2408</v>
      </c>
    </row>
    <row r="19" spans="1:12" s="1" customFormat="1">
      <c r="A19" s="89"/>
      <c r="B19" s="13" t="s">
        <v>2258</v>
      </c>
      <c r="C19" s="13" t="s">
        <v>98</v>
      </c>
      <c r="D19" s="9" t="s">
        <v>2259</v>
      </c>
      <c r="E19" s="21"/>
      <c r="F19" s="19"/>
      <c r="G19" s="19" t="s">
        <v>2306</v>
      </c>
      <c r="H19" s="71"/>
      <c r="I19" s="90"/>
      <c r="J19" s="25" t="s">
        <v>304</v>
      </c>
      <c r="K19" s="25" t="s">
        <v>305</v>
      </c>
      <c r="L19" s="25" t="s">
        <v>74</v>
      </c>
    </row>
    <row r="20" spans="1:12" s="1" customFormat="1">
      <c r="A20" s="89"/>
      <c r="B20" s="12" t="s">
        <v>113</v>
      </c>
      <c r="C20" s="13" t="s">
        <v>98</v>
      </c>
      <c r="D20" s="9" t="s">
        <v>114</v>
      </c>
      <c r="E20" s="21"/>
      <c r="F20" s="19"/>
      <c r="G20" s="19" t="s">
        <v>2307</v>
      </c>
      <c r="H20" s="71"/>
      <c r="I20" s="90"/>
      <c r="J20" s="25" t="s">
        <v>304</v>
      </c>
      <c r="K20" s="25" t="s">
        <v>305</v>
      </c>
      <c r="L20" s="25" t="s">
        <v>74</v>
      </c>
    </row>
    <row r="21" spans="1:12" s="1" customFormat="1">
      <c r="A21" s="89"/>
      <c r="B21" s="12" t="s">
        <v>307</v>
      </c>
      <c r="C21" s="13" t="s">
        <v>71</v>
      </c>
      <c r="D21" s="9" t="s">
        <v>90</v>
      </c>
      <c r="E21" s="21"/>
      <c r="F21" s="19" t="s">
        <v>90</v>
      </c>
      <c r="G21" s="19"/>
      <c r="H21" s="71"/>
      <c r="I21" s="90"/>
      <c r="J21" s="25" t="s">
        <v>304</v>
      </c>
      <c r="K21" s="25" t="s">
        <v>305</v>
      </c>
      <c r="L21" s="25" t="s">
        <v>74</v>
      </c>
    </row>
    <row r="22" spans="1:12" s="1" customFormat="1">
      <c r="A22" s="89"/>
      <c r="B22" s="12" t="s">
        <v>81</v>
      </c>
      <c r="C22" s="13" t="s">
        <v>75</v>
      </c>
      <c r="D22" s="9" t="s">
        <v>109</v>
      </c>
      <c r="E22" s="21"/>
      <c r="F22" s="19" t="s">
        <v>81</v>
      </c>
      <c r="G22" s="19"/>
      <c r="H22" s="71"/>
      <c r="I22" s="90"/>
      <c r="J22" s="25" t="s">
        <v>304</v>
      </c>
      <c r="K22" s="25" t="s">
        <v>305</v>
      </c>
      <c r="L22" s="25" t="s">
        <v>1583</v>
      </c>
    </row>
    <row r="23" spans="1:12" s="1" customFormat="1">
      <c r="A23" s="89"/>
      <c r="B23" s="12" t="s">
        <v>82</v>
      </c>
      <c r="C23" s="13" t="s">
        <v>75</v>
      </c>
      <c r="D23" s="9" t="s">
        <v>110</v>
      </c>
      <c r="E23" s="21"/>
      <c r="F23" s="19" t="s">
        <v>82</v>
      </c>
      <c r="G23" s="19"/>
      <c r="H23" s="71"/>
      <c r="I23" s="90"/>
      <c r="J23" s="25" t="s">
        <v>304</v>
      </c>
      <c r="K23" s="25" t="s">
        <v>305</v>
      </c>
      <c r="L23" s="25" t="s">
        <v>1583</v>
      </c>
    </row>
    <row r="24" spans="1:12" s="1" customFormat="1">
      <c r="A24" s="89"/>
      <c r="B24" s="12" t="s">
        <v>1678</v>
      </c>
      <c r="C24" s="12" t="s">
        <v>71</v>
      </c>
      <c r="D24" s="9" t="s">
        <v>2260</v>
      </c>
      <c r="E24" s="21"/>
      <c r="F24" s="19" t="s">
        <v>1678</v>
      </c>
      <c r="G24" s="19"/>
      <c r="H24" s="71"/>
      <c r="I24" s="102"/>
      <c r="J24" s="25" t="s">
        <v>304</v>
      </c>
      <c r="K24" s="25" t="s">
        <v>305</v>
      </c>
      <c r="L24" s="25" t="s">
        <v>74</v>
      </c>
    </row>
    <row r="25" spans="1:12" s="1" customFormat="1">
      <c r="A25" s="89"/>
      <c r="B25" s="12" t="s">
        <v>108</v>
      </c>
      <c r="C25" s="12" t="s">
        <v>71</v>
      </c>
      <c r="D25" s="9" t="s">
        <v>2261</v>
      </c>
      <c r="E25" s="21"/>
      <c r="F25" s="19" t="s">
        <v>108</v>
      </c>
      <c r="G25" s="19"/>
      <c r="H25" s="71"/>
      <c r="I25" s="90"/>
      <c r="J25" s="25" t="s">
        <v>304</v>
      </c>
      <c r="K25" s="25" t="s">
        <v>305</v>
      </c>
      <c r="L25" s="25" t="s">
        <v>74</v>
      </c>
    </row>
    <row r="26" spans="1:12" s="1" customFormat="1">
      <c r="A26" s="89"/>
      <c r="B26" s="12" t="s">
        <v>616</v>
      </c>
      <c r="C26" s="12" t="s">
        <v>71</v>
      </c>
      <c r="D26" s="9" t="s">
        <v>123</v>
      </c>
      <c r="E26" s="21"/>
      <c r="F26" s="19" t="s">
        <v>123</v>
      </c>
      <c r="G26" s="19"/>
      <c r="H26" s="71"/>
      <c r="I26" s="90"/>
      <c r="J26" s="25" t="s">
        <v>304</v>
      </c>
      <c r="K26" s="25" t="s">
        <v>305</v>
      </c>
      <c r="L26" s="25" t="s">
        <v>74</v>
      </c>
    </row>
    <row r="27" spans="1:12" s="1" customFormat="1">
      <c r="A27" s="89"/>
      <c r="B27" s="12" t="s">
        <v>94</v>
      </c>
      <c r="C27" s="12" t="s">
        <v>71</v>
      </c>
      <c r="D27" s="9" t="s">
        <v>2262</v>
      </c>
      <c r="E27" s="21"/>
      <c r="F27" s="19" t="s">
        <v>94</v>
      </c>
      <c r="G27" s="19"/>
      <c r="H27" s="71"/>
      <c r="I27" s="90"/>
      <c r="J27" s="25" t="s">
        <v>304</v>
      </c>
      <c r="K27" s="25" t="s">
        <v>305</v>
      </c>
      <c r="L27" s="25" t="s">
        <v>74</v>
      </c>
    </row>
    <row r="28" spans="1:12" s="1" customFormat="1">
      <c r="A28" s="89"/>
      <c r="B28" s="12" t="s">
        <v>2263</v>
      </c>
      <c r="C28" s="12" t="s">
        <v>75</v>
      </c>
      <c r="D28" s="9" t="s">
        <v>2264</v>
      </c>
      <c r="E28" s="21"/>
      <c r="F28" s="19"/>
      <c r="G28" s="19" t="s">
        <v>2308</v>
      </c>
      <c r="H28" s="71"/>
      <c r="I28" s="90"/>
      <c r="J28" s="25" t="s">
        <v>304</v>
      </c>
      <c r="K28" s="25" t="s">
        <v>305</v>
      </c>
      <c r="L28" s="25" t="s">
        <v>74</v>
      </c>
    </row>
    <row r="29" spans="1:12" s="1" customFormat="1">
      <c r="B29" s="13" t="s">
        <v>1650</v>
      </c>
      <c r="C29" s="13" t="s">
        <v>71</v>
      </c>
      <c r="D29" s="9" t="s">
        <v>1650</v>
      </c>
      <c r="E29" s="21"/>
      <c r="F29" s="19" t="s">
        <v>1650</v>
      </c>
      <c r="G29" s="19"/>
      <c r="H29" s="71"/>
      <c r="I29" s="25"/>
      <c r="J29" s="25" t="s">
        <v>304</v>
      </c>
      <c r="K29" s="25" t="s">
        <v>305</v>
      </c>
      <c r="L29" s="25" t="s">
        <v>74</v>
      </c>
    </row>
    <row r="30" spans="1:12" s="1" customFormat="1">
      <c r="B30" s="13" t="s">
        <v>1652</v>
      </c>
      <c r="C30" s="13" t="s">
        <v>71</v>
      </c>
      <c r="D30" s="9" t="s">
        <v>1652</v>
      </c>
      <c r="E30" s="21"/>
      <c r="F30" s="19" t="s">
        <v>1652</v>
      </c>
      <c r="G30" s="19"/>
      <c r="H30" s="71"/>
      <c r="I30" s="95"/>
      <c r="J30" s="25" t="s">
        <v>304</v>
      </c>
      <c r="K30" s="25" t="s">
        <v>305</v>
      </c>
      <c r="L30" s="25" t="s">
        <v>74</v>
      </c>
    </row>
    <row r="31" spans="1:12" s="1" customFormat="1">
      <c r="B31" s="13" t="s">
        <v>460</v>
      </c>
      <c r="C31" s="13" t="s">
        <v>71</v>
      </c>
      <c r="D31" s="9" t="s">
        <v>277</v>
      </c>
      <c r="E31" s="21"/>
      <c r="F31" s="19" t="s">
        <v>460</v>
      </c>
      <c r="G31" s="19"/>
      <c r="H31" s="71"/>
      <c r="I31" s="90"/>
      <c r="J31" s="25" t="s">
        <v>304</v>
      </c>
      <c r="K31" s="25" t="s">
        <v>305</v>
      </c>
      <c r="L31" s="25" t="s">
        <v>74</v>
      </c>
    </row>
    <row r="32" spans="1:12" s="1" customFormat="1">
      <c r="B32" s="13" t="s">
        <v>96</v>
      </c>
      <c r="C32" s="26" t="s">
        <v>71</v>
      </c>
      <c r="D32" s="9" t="s">
        <v>1592</v>
      </c>
      <c r="E32" s="21"/>
      <c r="F32" s="19" t="s">
        <v>96</v>
      </c>
      <c r="G32" s="19"/>
      <c r="H32" s="71"/>
      <c r="I32" s="25"/>
      <c r="J32" s="25" t="s">
        <v>304</v>
      </c>
      <c r="K32" s="25" t="s">
        <v>305</v>
      </c>
      <c r="L32" s="25" t="s">
        <v>1583</v>
      </c>
    </row>
    <row r="33" spans="1:13" s="1" customFormat="1">
      <c r="B33" s="13" t="s">
        <v>1590</v>
      </c>
      <c r="C33" s="13" t="s">
        <v>71</v>
      </c>
      <c r="D33" s="9" t="s">
        <v>1589</v>
      </c>
      <c r="E33" s="21"/>
      <c r="F33" s="19" t="s">
        <v>1590</v>
      </c>
      <c r="G33" s="19"/>
      <c r="H33" s="71"/>
      <c r="I33" s="25"/>
      <c r="J33" s="25" t="s">
        <v>304</v>
      </c>
      <c r="K33" s="25" t="s">
        <v>305</v>
      </c>
      <c r="L33" s="25" t="s">
        <v>74</v>
      </c>
    </row>
    <row r="34" spans="1:13" s="89" customFormat="1">
      <c r="B34" s="13" t="s">
        <v>2115</v>
      </c>
      <c r="C34" s="12" t="s">
        <v>98</v>
      </c>
      <c r="D34" s="9" t="s">
        <v>2265</v>
      </c>
      <c r="E34" s="21"/>
      <c r="F34" s="19"/>
      <c r="G34" s="19" t="s">
        <v>2179</v>
      </c>
      <c r="H34" s="71"/>
      <c r="I34" s="90"/>
      <c r="J34" s="25" t="s">
        <v>306</v>
      </c>
      <c r="K34" s="25" t="s">
        <v>800</v>
      </c>
      <c r="L34" s="25" t="s">
        <v>100</v>
      </c>
      <c r="M34" s="1"/>
    </row>
    <row r="35" spans="1:13" s="99" customFormat="1">
      <c r="A35" s="96"/>
      <c r="B35" s="97" t="s">
        <v>2128</v>
      </c>
      <c r="C35" s="12" t="s">
        <v>98</v>
      </c>
      <c r="D35" s="9" t="s">
        <v>2266</v>
      </c>
      <c r="E35" s="21"/>
      <c r="F35" s="19"/>
      <c r="G35" s="19" t="s">
        <v>1327</v>
      </c>
      <c r="H35" s="71"/>
      <c r="I35" s="98"/>
      <c r="J35" s="25" t="s">
        <v>306</v>
      </c>
      <c r="K35" s="25" t="s">
        <v>74</v>
      </c>
      <c r="L35" s="25" t="s">
        <v>100</v>
      </c>
      <c r="M35" s="1"/>
    </row>
    <row r="36" spans="1:13" s="1" customFormat="1">
      <c r="B36" s="13" t="s">
        <v>2267</v>
      </c>
      <c r="C36" s="13" t="s">
        <v>98</v>
      </c>
      <c r="D36" s="9" t="s">
        <v>2268</v>
      </c>
      <c r="E36" s="21"/>
      <c r="F36" s="19"/>
      <c r="G36" s="19" t="s">
        <v>2309</v>
      </c>
      <c r="H36" s="71"/>
      <c r="I36" s="25"/>
      <c r="J36" s="25" t="s">
        <v>306</v>
      </c>
      <c r="K36" s="25" t="s">
        <v>800</v>
      </c>
      <c r="L36" s="25" t="s">
        <v>100</v>
      </c>
    </row>
    <row r="37" spans="1:13" s="1" customFormat="1">
      <c r="A37" s="89"/>
      <c r="B37" s="12" t="s">
        <v>2269</v>
      </c>
      <c r="C37" s="12" t="s">
        <v>98</v>
      </c>
      <c r="D37" s="9" t="s">
        <v>2270</v>
      </c>
      <c r="E37" s="21"/>
      <c r="F37" s="19"/>
      <c r="G37" s="19" t="s">
        <v>2310</v>
      </c>
      <c r="H37" s="71"/>
      <c r="I37" s="19"/>
      <c r="J37" s="25" t="s">
        <v>306</v>
      </c>
      <c r="K37" s="25" t="s">
        <v>800</v>
      </c>
      <c r="L37" s="25" t="s">
        <v>100</v>
      </c>
    </row>
    <row r="38" spans="1:13" s="1" customFormat="1">
      <c r="A38" s="89"/>
      <c r="B38" s="12" t="s">
        <v>2116</v>
      </c>
      <c r="C38" s="12" t="s">
        <v>98</v>
      </c>
      <c r="D38" s="9" t="s">
        <v>2271</v>
      </c>
      <c r="E38" s="21"/>
      <c r="F38" s="19"/>
      <c r="G38" s="19" t="s">
        <v>2180</v>
      </c>
      <c r="H38" s="71"/>
      <c r="I38" s="19"/>
      <c r="J38" s="25" t="s">
        <v>306</v>
      </c>
      <c r="K38" s="25" t="s">
        <v>1934</v>
      </c>
      <c r="L38" s="25" t="s">
        <v>100</v>
      </c>
    </row>
    <row r="39" spans="1:13" s="1" customFormat="1">
      <c r="A39" s="89"/>
      <c r="B39" s="12" t="s">
        <v>2117</v>
      </c>
      <c r="C39" s="12" t="s">
        <v>98</v>
      </c>
      <c r="D39" s="9" t="s">
        <v>1936</v>
      </c>
      <c r="E39" s="21"/>
      <c r="F39" s="19"/>
      <c r="G39" s="19" t="s">
        <v>2181</v>
      </c>
      <c r="H39" s="71"/>
      <c r="I39" s="19"/>
      <c r="J39" s="25" t="s">
        <v>306</v>
      </c>
      <c r="K39" s="25" t="s">
        <v>1934</v>
      </c>
      <c r="L39" s="25" t="s">
        <v>100</v>
      </c>
    </row>
    <row r="40" spans="1:13" s="1" customFormat="1">
      <c r="A40" s="89"/>
      <c r="B40" s="12" t="s">
        <v>2123</v>
      </c>
      <c r="C40" s="12" t="s">
        <v>98</v>
      </c>
      <c r="D40" s="9" t="s">
        <v>2272</v>
      </c>
      <c r="E40" s="21"/>
      <c r="F40" s="19"/>
      <c r="G40" s="19" t="s">
        <v>1954</v>
      </c>
      <c r="H40" s="71"/>
      <c r="I40" s="19"/>
      <c r="J40" s="25" t="s">
        <v>306</v>
      </c>
      <c r="K40" s="25" t="s">
        <v>74</v>
      </c>
      <c r="L40" s="25" t="s">
        <v>100</v>
      </c>
    </row>
    <row r="41" spans="1:13" s="1" customFormat="1">
      <c r="A41" s="89"/>
      <c r="B41" s="12" t="s">
        <v>2122</v>
      </c>
      <c r="C41" s="12" t="s">
        <v>98</v>
      </c>
      <c r="D41" s="9" t="s">
        <v>2273</v>
      </c>
      <c r="E41" s="21"/>
      <c r="F41" s="19"/>
      <c r="G41" s="19" t="s">
        <v>1951</v>
      </c>
      <c r="H41" s="19"/>
      <c r="I41" s="19"/>
      <c r="J41" s="25" t="s">
        <v>306</v>
      </c>
      <c r="K41" s="25" t="s">
        <v>74</v>
      </c>
      <c r="L41" s="25" t="s">
        <v>100</v>
      </c>
    </row>
    <row r="42" spans="1:13" s="1" customFormat="1">
      <c r="A42" s="89"/>
      <c r="B42" s="12" t="s">
        <v>2124</v>
      </c>
      <c r="C42" s="12" t="s">
        <v>98</v>
      </c>
      <c r="D42" s="9" t="s">
        <v>1956</v>
      </c>
      <c r="E42" s="21"/>
      <c r="F42" s="19"/>
      <c r="G42" s="19" t="s">
        <v>1957</v>
      </c>
      <c r="H42" s="19"/>
      <c r="I42" s="19"/>
      <c r="J42" s="25" t="s">
        <v>306</v>
      </c>
      <c r="K42" s="25" t="s">
        <v>74</v>
      </c>
      <c r="L42" s="25" t="s">
        <v>100</v>
      </c>
    </row>
    <row r="43" spans="1:13" s="1" customFormat="1">
      <c r="A43" s="89"/>
      <c r="B43" s="13" t="s">
        <v>2125</v>
      </c>
      <c r="C43" s="13" t="s">
        <v>98</v>
      </c>
      <c r="D43" s="9" t="s">
        <v>1959</v>
      </c>
      <c r="E43" s="21"/>
      <c r="F43" s="19"/>
      <c r="G43" s="19" t="s">
        <v>1960</v>
      </c>
      <c r="H43" s="19"/>
      <c r="I43" s="19"/>
      <c r="J43" s="25" t="s">
        <v>306</v>
      </c>
      <c r="K43" s="25" t="s">
        <v>74</v>
      </c>
      <c r="L43" s="25" t="s">
        <v>100</v>
      </c>
    </row>
    <row r="44" spans="1:13" s="1" customFormat="1">
      <c r="A44" s="89"/>
      <c r="B44" s="12" t="s">
        <v>2129</v>
      </c>
      <c r="C44" s="12" t="s">
        <v>98</v>
      </c>
      <c r="D44" s="9" t="s">
        <v>1962</v>
      </c>
      <c r="E44" s="21"/>
      <c r="F44" s="19"/>
      <c r="G44" s="19" t="s">
        <v>2209</v>
      </c>
      <c r="H44" s="71"/>
      <c r="I44" s="19"/>
      <c r="J44" s="25" t="s">
        <v>306</v>
      </c>
      <c r="K44" s="25" t="s">
        <v>74</v>
      </c>
      <c r="L44" s="25" t="s">
        <v>100</v>
      </c>
    </row>
    <row r="45" spans="1:13" s="1" customFormat="1">
      <c r="A45" s="89"/>
      <c r="B45" s="12" t="s">
        <v>2130</v>
      </c>
      <c r="C45" s="12" t="s">
        <v>98</v>
      </c>
      <c r="D45" s="9" t="s">
        <v>1965</v>
      </c>
      <c r="E45" s="21"/>
      <c r="F45" s="19"/>
      <c r="G45" s="19" t="s">
        <v>2210</v>
      </c>
      <c r="H45" s="71"/>
      <c r="I45" s="19"/>
      <c r="J45" s="25" t="s">
        <v>306</v>
      </c>
      <c r="K45" s="25" t="s">
        <v>74</v>
      </c>
      <c r="L45" s="25" t="s">
        <v>100</v>
      </c>
    </row>
    <row r="46" spans="1:13" s="1" customFormat="1">
      <c r="A46" s="89"/>
      <c r="B46" s="12" t="s">
        <v>2137</v>
      </c>
      <c r="C46" s="12" t="s">
        <v>98</v>
      </c>
      <c r="D46" s="9" t="s">
        <v>2274</v>
      </c>
      <c r="E46" s="21"/>
      <c r="F46" s="19"/>
      <c r="G46" s="19" t="s">
        <v>2141</v>
      </c>
      <c r="H46" s="71"/>
      <c r="I46" s="19"/>
      <c r="J46" s="25" t="s">
        <v>306</v>
      </c>
      <c r="K46" s="25" t="s">
        <v>74</v>
      </c>
      <c r="L46" s="25" t="s">
        <v>100</v>
      </c>
    </row>
    <row r="47" spans="1:13" s="1" customFormat="1">
      <c r="A47" s="89"/>
      <c r="B47" s="12" t="s">
        <v>2138</v>
      </c>
      <c r="C47" s="12" t="s">
        <v>98</v>
      </c>
      <c r="D47" s="9" t="s">
        <v>2134</v>
      </c>
      <c r="E47" s="21"/>
      <c r="F47" s="19"/>
      <c r="G47" s="19" t="s">
        <v>2311</v>
      </c>
      <c r="H47" s="71"/>
      <c r="I47" s="19"/>
      <c r="J47" s="25" t="s">
        <v>306</v>
      </c>
      <c r="K47" s="25" t="s">
        <v>74</v>
      </c>
      <c r="L47" s="25" t="s">
        <v>100</v>
      </c>
    </row>
    <row r="48" spans="1:13" s="1" customFormat="1">
      <c r="A48" s="89"/>
      <c r="B48" s="12" t="s">
        <v>2126</v>
      </c>
      <c r="C48" s="12" t="s">
        <v>98</v>
      </c>
      <c r="D48" s="9" t="s">
        <v>2275</v>
      </c>
      <c r="E48" s="21"/>
      <c r="F48" s="19"/>
      <c r="G48" s="19" t="s">
        <v>1980</v>
      </c>
      <c r="H48" s="71"/>
      <c r="I48" s="19"/>
      <c r="J48" s="25" t="s">
        <v>306</v>
      </c>
      <c r="K48" s="25" t="s">
        <v>74</v>
      </c>
      <c r="L48" s="25" t="s">
        <v>100</v>
      </c>
    </row>
    <row r="49" spans="1:12" s="1" customFormat="1">
      <c r="A49" s="89"/>
      <c r="B49" s="12" t="s">
        <v>2127</v>
      </c>
      <c r="C49" s="12" t="s">
        <v>98</v>
      </c>
      <c r="D49" s="9" t="s">
        <v>2276</v>
      </c>
      <c r="E49" s="21"/>
      <c r="F49" s="19"/>
      <c r="G49" s="19" t="s">
        <v>1983</v>
      </c>
      <c r="H49" s="71"/>
      <c r="I49" s="19"/>
      <c r="J49" s="25" t="s">
        <v>306</v>
      </c>
      <c r="K49" s="25" t="s">
        <v>74</v>
      </c>
      <c r="L49" s="25" t="s">
        <v>100</v>
      </c>
    </row>
    <row r="50" spans="1:12" s="1" customFormat="1">
      <c r="A50" s="89"/>
      <c r="B50" s="12" t="s">
        <v>1722</v>
      </c>
      <c r="C50" s="12" t="s">
        <v>98</v>
      </c>
      <c r="D50" s="9" t="s">
        <v>1739</v>
      </c>
      <c r="E50" s="21"/>
      <c r="F50" s="19"/>
      <c r="G50" s="19" t="s">
        <v>2241</v>
      </c>
      <c r="H50" s="71"/>
      <c r="I50" s="19"/>
      <c r="J50" s="25" t="s">
        <v>306</v>
      </c>
      <c r="K50" s="25" t="s">
        <v>121</v>
      </c>
      <c r="L50" s="25" t="s">
        <v>100</v>
      </c>
    </row>
    <row r="51" spans="1:12" s="1" customFormat="1">
      <c r="A51" s="89"/>
      <c r="B51" s="12" t="s">
        <v>1723</v>
      </c>
      <c r="C51" s="12" t="s">
        <v>98</v>
      </c>
      <c r="D51" s="9" t="s">
        <v>2277</v>
      </c>
      <c r="E51" s="21"/>
      <c r="F51" s="19"/>
      <c r="G51" s="19" t="s">
        <v>2240</v>
      </c>
      <c r="H51" s="71"/>
      <c r="I51" s="19"/>
      <c r="J51" s="25" t="s">
        <v>306</v>
      </c>
      <c r="K51" s="25" t="s">
        <v>121</v>
      </c>
      <c r="L51" s="25" t="s">
        <v>100</v>
      </c>
    </row>
    <row r="52" spans="1:12" s="1" customFormat="1">
      <c r="A52" s="89"/>
      <c r="B52" s="12" t="s">
        <v>2143</v>
      </c>
      <c r="C52" s="12" t="s">
        <v>98</v>
      </c>
      <c r="D52" s="9" t="s">
        <v>2278</v>
      </c>
      <c r="E52" s="21"/>
      <c r="F52" s="19"/>
      <c r="G52" s="19" t="s">
        <v>2184</v>
      </c>
      <c r="H52" s="71"/>
      <c r="I52" s="19"/>
      <c r="J52" s="25" t="s">
        <v>306</v>
      </c>
      <c r="K52" s="25" t="s">
        <v>115</v>
      </c>
      <c r="L52" s="25" t="s">
        <v>100</v>
      </c>
    </row>
    <row r="53" spans="1:12" s="1" customFormat="1">
      <c r="A53" s="89"/>
      <c r="B53" s="12" t="s">
        <v>2144</v>
      </c>
      <c r="C53" s="12" t="s">
        <v>98</v>
      </c>
      <c r="D53" s="9" t="s">
        <v>2279</v>
      </c>
      <c r="E53" s="21"/>
      <c r="F53" s="19"/>
      <c r="G53" s="19" t="s">
        <v>2186</v>
      </c>
      <c r="H53" s="71"/>
      <c r="I53" s="19"/>
      <c r="J53" s="25" t="s">
        <v>306</v>
      </c>
      <c r="K53" s="25" t="s">
        <v>115</v>
      </c>
      <c r="L53" s="25" t="s">
        <v>100</v>
      </c>
    </row>
    <row r="54" spans="1:12" s="1" customFormat="1">
      <c r="A54" s="89"/>
      <c r="B54" s="12" t="s">
        <v>2145</v>
      </c>
      <c r="C54" s="12" t="s">
        <v>98</v>
      </c>
      <c r="D54" s="9" t="s">
        <v>2280</v>
      </c>
      <c r="E54" s="21"/>
      <c r="F54" s="19"/>
      <c r="G54" s="19" t="s">
        <v>2185</v>
      </c>
      <c r="H54" s="71"/>
      <c r="I54" s="19"/>
      <c r="J54" s="25" t="s">
        <v>306</v>
      </c>
      <c r="K54" s="25" t="s">
        <v>115</v>
      </c>
      <c r="L54" s="25" t="s">
        <v>100</v>
      </c>
    </row>
    <row r="55" spans="1:12" s="1" customFormat="1">
      <c r="A55" s="89"/>
      <c r="B55" s="12" t="s">
        <v>2146</v>
      </c>
      <c r="C55" s="12" t="s">
        <v>98</v>
      </c>
      <c r="D55" s="9" t="s">
        <v>2281</v>
      </c>
      <c r="E55" s="21"/>
      <c r="F55" s="19"/>
      <c r="G55" s="19" t="s">
        <v>2190</v>
      </c>
      <c r="H55" s="71"/>
      <c r="I55" s="19"/>
      <c r="J55" s="25" t="s">
        <v>306</v>
      </c>
      <c r="K55" s="25" t="s">
        <v>115</v>
      </c>
      <c r="L55" s="25" t="s">
        <v>100</v>
      </c>
    </row>
    <row r="56" spans="1:12" s="1" customFormat="1">
      <c r="A56" s="89"/>
      <c r="B56" s="12" t="s">
        <v>2147</v>
      </c>
      <c r="C56" s="12" t="s">
        <v>98</v>
      </c>
      <c r="D56" s="9" t="s">
        <v>2282</v>
      </c>
      <c r="E56" s="21"/>
      <c r="F56" s="19"/>
      <c r="G56" s="19" t="s">
        <v>2192</v>
      </c>
      <c r="H56" s="71"/>
      <c r="I56" s="19"/>
      <c r="J56" s="25" t="s">
        <v>306</v>
      </c>
      <c r="K56" s="25" t="s">
        <v>115</v>
      </c>
      <c r="L56" s="25" t="s">
        <v>100</v>
      </c>
    </row>
    <row r="57" spans="1:12" s="1" customFormat="1">
      <c r="A57" s="89"/>
      <c r="B57" s="12" t="s">
        <v>2283</v>
      </c>
      <c r="C57" s="12" t="s">
        <v>98</v>
      </c>
      <c r="D57" s="9" t="s">
        <v>2284</v>
      </c>
      <c r="E57" s="21"/>
      <c r="F57" s="19"/>
      <c r="G57" s="19" t="s">
        <v>2312</v>
      </c>
      <c r="H57" s="71"/>
      <c r="I57" s="19"/>
      <c r="J57" s="25" t="s">
        <v>306</v>
      </c>
      <c r="K57" s="25" t="s">
        <v>121</v>
      </c>
      <c r="L57" s="25" t="s">
        <v>100</v>
      </c>
    </row>
    <row r="58" spans="1:12" s="1" customFormat="1">
      <c r="A58" s="89"/>
      <c r="B58" s="12" t="s">
        <v>2148</v>
      </c>
      <c r="C58" s="12" t="s">
        <v>98</v>
      </c>
      <c r="D58" s="9" t="s">
        <v>2285</v>
      </c>
      <c r="E58" s="21"/>
      <c r="F58" s="19"/>
      <c r="G58" s="19" t="s">
        <v>2248</v>
      </c>
      <c r="H58" s="71"/>
      <c r="I58" s="19"/>
      <c r="J58" s="25" t="s">
        <v>306</v>
      </c>
      <c r="K58" s="25" t="s">
        <v>115</v>
      </c>
      <c r="L58" s="25" t="s">
        <v>100</v>
      </c>
    </row>
    <row r="59" spans="1:12" s="1" customFormat="1">
      <c r="A59" s="89"/>
      <c r="B59" s="12" t="s">
        <v>2149</v>
      </c>
      <c r="C59" s="12" t="s">
        <v>98</v>
      </c>
      <c r="D59" s="9" t="s">
        <v>2286</v>
      </c>
      <c r="E59" s="21"/>
      <c r="F59" s="19"/>
      <c r="G59" s="19" t="s">
        <v>2188</v>
      </c>
      <c r="H59" s="71"/>
      <c r="I59" s="19"/>
      <c r="J59" s="25" t="s">
        <v>306</v>
      </c>
      <c r="K59" s="25" t="s">
        <v>115</v>
      </c>
      <c r="L59" s="25" t="s">
        <v>100</v>
      </c>
    </row>
    <row r="60" spans="1:12" s="1" customFormat="1">
      <c r="A60" s="89"/>
      <c r="B60" s="12" t="s">
        <v>2150</v>
      </c>
      <c r="C60" s="12" t="s">
        <v>98</v>
      </c>
      <c r="D60" s="9" t="s">
        <v>2287</v>
      </c>
      <c r="E60" s="21"/>
      <c r="F60" s="19"/>
      <c r="G60" s="19" t="s">
        <v>2189</v>
      </c>
      <c r="H60" s="71"/>
      <c r="I60" s="19"/>
      <c r="J60" s="25" t="s">
        <v>306</v>
      </c>
      <c r="K60" s="25" t="s">
        <v>115</v>
      </c>
      <c r="L60" s="25" t="s">
        <v>100</v>
      </c>
    </row>
    <row r="61" spans="1:12" s="1" customFormat="1">
      <c r="A61" s="89"/>
      <c r="B61" s="12" t="s">
        <v>2151</v>
      </c>
      <c r="C61" s="12" t="s">
        <v>98</v>
      </c>
      <c r="D61" s="9" t="s">
        <v>1967</v>
      </c>
      <c r="E61" s="21"/>
      <c r="F61" s="19"/>
      <c r="G61" s="19" t="s">
        <v>2212</v>
      </c>
      <c r="H61" s="71"/>
      <c r="I61" s="19"/>
      <c r="J61" s="25" t="s">
        <v>306</v>
      </c>
      <c r="K61" s="25" t="s">
        <v>74</v>
      </c>
      <c r="L61" s="25" t="s">
        <v>100</v>
      </c>
    </row>
    <row r="62" spans="1:12" s="1" customFormat="1">
      <c r="A62" s="89"/>
      <c r="B62" s="12" t="s">
        <v>2152</v>
      </c>
      <c r="C62" s="12" t="s">
        <v>98</v>
      </c>
      <c r="D62" s="9" t="s">
        <v>1970</v>
      </c>
      <c r="E62" s="21"/>
      <c r="F62" s="19"/>
      <c r="G62" s="19" t="s">
        <v>2213</v>
      </c>
      <c r="H62" s="71"/>
      <c r="I62" s="19"/>
      <c r="J62" s="25" t="s">
        <v>306</v>
      </c>
      <c r="K62" s="25" t="s">
        <v>74</v>
      </c>
      <c r="L62" s="25" t="s">
        <v>100</v>
      </c>
    </row>
    <row r="63" spans="1:12" s="1" customFormat="1">
      <c r="A63" s="89"/>
      <c r="B63" s="12" t="s">
        <v>2153</v>
      </c>
      <c r="C63" s="12" t="s">
        <v>98</v>
      </c>
      <c r="D63" s="9" t="s">
        <v>1973</v>
      </c>
      <c r="E63" s="21"/>
      <c r="F63" s="19"/>
      <c r="G63" s="19" t="s">
        <v>2214</v>
      </c>
      <c r="H63" s="71"/>
      <c r="I63" s="19"/>
      <c r="J63" s="25" t="s">
        <v>306</v>
      </c>
      <c r="K63" s="25" t="s">
        <v>74</v>
      </c>
      <c r="L63" s="25" t="s">
        <v>100</v>
      </c>
    </row>
    <row r="64" spans="1:12" s="1" customFormat="1">
      <c r="A64" s="89"/>
      <c r="B64" s="12" t="s">
        <v>2154</v>
      </c>
      <c r="C64" s="12" t="s">
        <v>98</v>
      </c>
      <c r="D64" s="9" t="s">
        <v>1976</v>
      </c>
      <c r="E64" s="21"/>
      <c r="F64" s="19"/>
      <c r="G64" s="19" t="s">
        <v>2215</v>
      </c>
      <c r="H64" s="71"/>
      <c r="I64" s="19"/>
      <c r="J64" s="25" t="s">
        <v>306</v>
      </c>
      <c r="K64" s="25" t="s">
        <v>74</v>
      </c>
      <c r="L64" s="25" t="s">
        <v>100</v>
      </c>
    </row>
    <row r="65" spans="1:12" s="1" customFormat="1">
      <c r="A65" s="89"/>
      <c r="B65" s="12" t="s">
        <v>2288</v>
      </c>
      <c r="C65" s="12" t="s">
        <v>98</v>
      </c>
      <c r="D65" s="9" t="s">
        <v>2289</v>
      </c>
      <c r="E65" s="21"/>
      <c r="F65" s="19"/>
      <c r="G65" s="19" t="s">
        <v>2313</v>
      </c>
      <c r="H65" s="71"/>
      <c r="I65" s="19"/>
      <c r="J65" s="25" t="s">
        <v>306</v>
      </c>
      <c r="K65" s="25" t="s">
        <v>115</v>
      </c>
      <c r="L65" s="25" t="s">
        <v>100</v>
      </c>
    </row>
    <row r="66" spans="1:12" s="1" customFormat="1">
      <c r="A66" s="89"/>
      <c r="B66" s="12" t="s">
        <v>2155</v>
      </c>
      <c r="C66" s="12" t="s">
        <v>98</v>
      </c>
      <c r="D66" s="9" t="s">
        <v>2290</v>
      </c>
      <c r="E66" s="21"/>
      <c r="F66" s="19"/>
      <c r="G66" s="19" t="s">
        <v>2217</v>
      </c>
      <c r="H66" s="71"/>
      <c r="I66" s="19"/>
      <c r="J66" s="25" t="s">
        <v>306</v>
      </c>
      <c r="K66" s="25" t="s">
        <v>74</v>
      </c>
      <c r="L66" s="25" t="s">
        <v>100</v>
      </c>
    </row>
    <row r="67" spans="1:12" s="1" customFormat="1">
      <c r="A67" s="89"/>
      <c r="B67" s="12" t="s">
        <v>2156</v>
      </c>
      <c r="C67" s="12" t="s">
        <v>98</v>
      </c>
      <c r="D67" s="9" t="s">
        <v>2291</v>
      </c>
      <c r="E67" s="21"/>
      <c r="F67" s="19"/>
      <c r="G67" s="19" t="s">
        <v>2218</v>
      </c>
      <c r="H67" s="71"/>
      <c r="I67" s="19"/>
      <c r="J67" s="25" t="s">
        <v>306</v>
      </c>
      <c r="K67" s="25" t="s">
        <v>74</v>
      </c>
      <c r="L67" s="25" t="s">
        <v>100</v>
      </c>
    </row>
    <row r="68" spans="1:12" s="1" customFormat="1">
      <c r="A68" s="89"/>
      <c r="B68" s="12" t="s">
        <v>2157</v>
      </c>
      <c r="C68" s="12" t="s">
        <v>98</v>
      </c>
      <c r="D68" s="9" t="s">
        <v>2292</v>
      </c>
      <c r="E68" s="21"/>
      <c r="F68" s="19"/>
      <c r="G68" s="19" t="s">
        <v>2219</v>
      </c>
      <c r="H68" s="71"/>
      <c r="I68" s="19"/>
      <c r="J68" s="25" t="s">
        <v>306</v>
      </c>
      <c r="K68" s="25" t="s">
        <v>74</v>
      </c>
      <c r="L68" s="25" t="s">
        <v>100</v>
      </c>
    </row>
    <row r="69" spans="1:12" s="1" customFormat="1">
      <c r="A69" s="89"/>
      <c r="B69" s="12" t="s">
        <v>2158</v>
      </c>
      <c r="C69" s="12" t="s">
        <v>98</v>
      </c>
      <c r="D69" s="9" t="s">
        <v>2293</v>
      </c>
      <c r="E69" s="21"/>
      <c r="F69" s="19"/>
      <c r="G69" s="19" t="s">
        <v>2220</v>
      </c>
      <c r="H69" s="71"/>
      <c r="I69" s="19"/>
      <c r="J69" s="25" t="s">
        <v>306</v>
      </c>
      <c r="K69" s="25" t="s">
        <v>74</v>
      </c>
      <c r="L69" s="25" t="s">
        <v>100</v>
      </c>
    </row>
    <row r="70" spans="1:12" s="1" customFormat="1">
      <c r="A70" s="89"/>
      <c r="B70" s="12" t="s">
        <v>2159</v>
      </c>
      <c r="C70" s="12" t="s">
        <v>98</v>
      </c>
      <c r="D70" s="9" t="s">
        <v>2294</v>
      </c>
      <c r="E70" s="21"/>
      <c r="F70" s="19"/>
      <c r="G70" s="19" t="s">
        <v>2221</v>
      </c>
      <c r="H70" s="71"/>
      <c r="I70" s="19"/>
      <c r="J70" s="25" t="s">
        <v>306</v>
      </c>
      <c r="K70" s="25" t="s">
        <v>74</v>
      </c>
      <c r="L70" s="25" t="s">
        <v>100</v>
      </c>
    </row>
    <row r="71" spans="1:12" s="1" customFormat="1">
      <c r="A71" s="89"/>
      <c r="B71" s="12" t="s">
        <v>2160</v>
      </c>
      <c r="C71" s="12" t="s">
        <v>98</v>
      </c>
      <c r="D71" s="9" t="s">
        <v>2295</v>
      </c>
      <c r="E71" s="21"/>
      <c r="F71" s="19"/>
      <c r="G71" s="19" t="s">
        <v>2223</v>
      </c>
      <c r="H71" s="71"/>
      <c r="I71" s="19"/>
      <c r="J71" s="25" t="s">
        <v>306</v>
      </c>
      <c r="K71" s="25" t="s">
        <v>74</v>
      </c>
      <c r="L71" s="25" t="s">
        <v>100</v>
      </c>
    </row>
    <row r="72" spans="1:12" s="1" customFormat="1">
      <c r="A72" s="89"/>
      <c r="B72" s="12" t="s">
        <v>2161</v>
      </c>
      <c r="C72" s="12" t="s">
        <v>98</v>
      </c>
      <c r="D72" s="9" t="s">
        <v>2296</v>
      </c>
      <c r="E72" s="21"/>
      <c r="F72" s="19"/>
      <c r="G72" s="19" t="s">
        <v>2224</v>
      </c>
      <c r="H72" s="71"/>
      <c r="I72" s="19"/>
      <c r="J72" s="25" t="s">
        <v>306</v>
      </c>
      <c r="K72" s="25" t="s">
        <v>74</v>
      </c>
      <c r="L72" s="25" t="s">
        <v>100</v>
      </c>
    </row>
    <row r="73" spans="1:12" s="1" customFormat="1">
      <c r="A73" s="89"/>
      <c r="B73" s="12" t="s">
        <v>2162</v>
      </c>
      <c r="C73" s="12" t="s">
        <v>98</v>
      </c>
      <c r="D73" s="9" t="s">
        <v>2297</v>
      </c>
      <c r="E73" s="21"/>
      <c r="F73" s="19"/>
      <c r="G73" s="19" t="s">
        <v>2225</v>
      </c>
      <c r="H73" s="71"/>
      <c r="I73" s="19"/>
      <c r="J73" s="25" t="s">
        <v>306</v>
      </c>
      <c r="K73" s="25" t="s">
        <v>74</v>
      </c>
      <c r="L73" s="25" t="s">
        <v>100</v>
      </c>
    </row>
    <row r="74" spans="1:12" s="1" customFormat="1">
      <c r="A74" s="89"/>
      <c r="B74" s="12" t="s">
        <v>2163</v>
      </c>
      <c r="C74" s="12" t="s">
        <v>98</v>
      </c>
      <c r="D74" s="9" t="s">
        <v>2298</v>
      </c>
      <c r="E74" s="21"/>
      <c r="F74" s="19"/>
      <c r="G74" s="19" t="s">
        <v>2226</v>
      </c>
      <c r="H74" s="71"/>
      <c r="I74" s="19"/>
      <c r="J74" s="25" t="s">
        <v>306</v>
      </c>
      <c r="K74" s="25" t="s">
        <v>74</v>
      </c>
      <c r="L74" s="25" t="s">
        <v>100</v>
      </c>
    </row>
    <row r="75" spans="1:12" s="1" customFormat="1">
      <c r="A75" s="89"/>
      <c r="B75" s="12" t="s">
        <v>2164</v>
      </c>
      <c r="C75" s="12" t="s">
        <v>98</v>
      </c>
      <c r="D75" s="9" t="s">
        <v>2299</v>
      </c>
      <c r="E75" s="21"/>
      <c r="F75" s="19"/>
      <c r="G75" s="19" t="s">
        <v>2227</v>
      </c>
      <c r="H75" s="71"/>
      <c r="I75" s="19"/>
      <c r="J75" s="25" t="s">
        <v>306</v>
      </c>
      <c r="K75" s="25" t="s">
        <v>74</v>
      </c>
      <c r="L75" s="25" t="s">
        <v>100</v>
      </c>
    </row>
    <row r="76" spans="1:12" s="1" customFormat="1">
      <c r="A76" s="89"/>
      <c r="B76" s="12" t="s">
        <v>2165</v>
      </c>
      <c r="C76" s="12" t="s">
        <v>98</v>
      </c>
      <c r="D76" s="9" t="s">
        <v>1989</v>
      </c>
      <c r="E76" s="21"/>
      <c r="F76" s="19"/>
      <c r="G76" s="19" t="s">
        <v>2216</v>
      </c>
      <c r="H76" s="71"/>
      <c r="I76" s="19"/>
      <c r="J76" s="25" t="s">
        <v>306</v>
      </c>
      <c r="K76" s="25" t="s">
        <v>74</v>
      </c>
      <c r="L76" s="25" t="s">
        <v>100</v>
      </c>
    </row>
    <row r="77" spans="1:12" s="1" customFormat="1">
      <c r="A77" s="89"/>
      <c r="B77" s="12" t="s">
        <v>2166</v>
      </c>
      <c r="C77" s="12" t="s">
        <v>98</v>
      </c>
      <c r="D77" s="9" t="s">
        <v>2005</v>
      </c>
      <c r="E77" s="21"/>
      <c r="F77" s="19"/>
      <c r="G77" s="19" t="s">
        <v>2222</v>
      </c>
      <c r="H77" s="71"/>
      <c r="I77" s="19"/>
      <c r="J77" s="25" t="s">
        <v>306</v>
      </c>
      <c r="K77" s="25" t="s">
        <v>74</v>
      </c>
      <c r="L77" s="25" t="s">
        <v>100</v>
      </c>
    </row>
    <row r="78" spans="1:12" s="1" customFormat="1">
      <c r="A78" s="89"/>
      <c r="B78" s="12" t="s">
        <v>2300</v>
      </c>
      <c r="C78" s="12" t="s">
        <v>98</v>
      </c>
      <c r="D78" s="9" t="s">
        <v>2301</v>
      </c>
      <c r="E78" s="21"/>
      <c r="F78" s="19"/>
      <c r="G78" s="19" t="s">
        <v>2314</v>
      </c>
      <c r="H78" s="71"/>
      <c r="I78" s="19"/>
      <c r="J78" s="25" t="s">
        <v>306</v>
      </c>
      <c r="K78" s="25" t="s">
        <v>800</v>
      </c>
      <c r="L78" s="25" t="s">
        <v>100</v>
      </c>
    </row>
    <row r="79" spans="1:12" s="1" customFormat="1">
      <c r="A79" s="89"/>
      <c r="B79" s="12" t="s">
        <v>2167</v>
      </c>
      <c r="C79" s="12" t="s">
        <v>98</v>
      </c>
      <c r="D79" s="9" t="s">
        <v>2040</v>
      </c>
      <c r="E79" s="21"/>
      <c r="F79" s="19"/>
      <c r="G79" s="19" t="s">
        <v>2234</v>
      </c>
      <c r="H79" s="71"/>
      <c r="I79" s="19"/>
      <c r="J79" s="25" t="s">
        <v>306</v>
      </c>
      <c r="K79" s="25" t="s">
        <v>74</v>
      </c>
      <c r="L79" s="25" t="s">
        <v>100</v>
      </c>
    </row>
    <row r="80" spans="1:12" s="1" customFormat="1">
      <c r="A80" s="89"/>
      <c r="B80" s="12" t="s">
        <v>2302</v>
      </c>
      <c r="C80" s="12" t="s">
        <v>98</v>
      </c>
      <c r="D80" s="9" t="s">
        <v>2303</v>
      </c>
      <c r="E80" s="21"/>
      <c r="F80" s="19"/>
      <c r="G80" s="19" t="s">
        <v>2315</v>
      </c>
      <c r="H80" s="71"/>
      <c r="I80" s="19"/>
      <c r="J80" s="25" t="s">
        <v>306</v>
      </c>
      <c r="K80" s="25" t="s">
        <v>800</v>
      </c>
      <c r="L80" s="25" t="s">
        <v>100</v>
      </c>
    </row>
    <row r="81" spans="1:17" s="1" customFormat="1">
      <c r="A81" s="89"/>
      <c r="B81" s="12" t="s">
        <v>2168</v>
      </c>
      <c r="C81" s="12" t="s">
        <v>98</v>
      </c>
      <c r="D81" s="9" t="s">
        <v>2046</v>
      </c>
      <c r="E81" s="21"/>
      <c r="F81" s="19"/>
      <c r="G81" s="19" t="s">
        <v>2235</v>
      </c>
      <c r="H81" s="71"/>
      <c r="I81" s="19"/>
      <c r="J81" s="25" t="s">
        <v>306</v>
      </c>
      <c r="K81" s="25" t="s">
        <v>74</v>
      </c>
      <c r="L81" s="25" t="s">
        <v>100</v>
      </c>
    </row>
    <row r="82" spans="1:17" s="1" customFormat="1">
      <c r="A82" s="89"/>
      <c r="B82" s="12" t="s">
        <v>2118</v>
      </c>
      <c r="C82" s="12" t="s">
        <v>98</v>
      </c>
      <c r="D82" s="9" t="s">
        <v>1985</v>
      </c>
      <c r="E82" s="21"/>
      <c r="F82" s="19"/>
      <c r="G82" s="19" t="s">
        <v>2195</v>
      </c>
      <c r="H82" s="71"/>
      <c r="I82" s="19"/>
      <c r="J82" s="25" t="s">
        <v>306</v>
      </c>
      <c r="K82" s="25" t="s">
        <v>1934</v>
      </c>
      <c r="L82" s="25" t="s">
        <v>100</v>
      </c>
    </row>
    <row r="83" spans="1:17" s="1" customFormat="1">
      <c r="A83" s="89"/>
      <c r="B83" s="12" t="s">
        <v>2119</v>
      </c>
      <c r="C83" s="12" t="s">
        <v>98</v>
      </c>
      <c r="D83" s="9" t="s">
        <v>1938</v>
      </c>
      <c r="E83" s="21"/>
      <c r="F83" s="19"/>
      <c r="G83" s="19" t="s">
        <v>2196</v>
      </c>
      <c r="H83" s="71"/>
      <c r="I83" s="19"/>
      <c r="J83" s="25" t="s">
        <v>306</v>
      </c>
      <c r="K83" s="25" t="s">
        <v>74</v>
      </c>
      <c r="L83" s="25" t="s">
        <v>100</v>
      </c>
    </row>
    <row r="84" spans="1:17" s="1" customFormat="1">
      <c r="A84" s="89"/>
      <c r="B84" s="12" t="s">
        <v>2169</v>
      </c>
      <c r="C84" s="12" t="s">
        <v>98</v>
      </c>
      <c r="D84" s="9" t="s">
        <v>1941</v>
      </c>
      <c r="E84" s="21"/>
      <c r="F84" s="19"/>
      <c r="G84" s="19" t="s">
        <v>2197</v>
      </c>
      <c r="H84" s="71"/>
      <c r="I84" s="19"/>
      <c r="J84" s="25" t="s">
        <v>306</v>
      </c>
      <c r="K84" s="25" t="s">
        <v>74</v>
      </c>
      <c r="L84" s="25" t="s">
        <v>100</v>
      </c>
    </row>
    <row r="85" spans="1:17" s="1" customFormat="1">
      <c r="A85" s="89"/>
      <c r="B85" s="12" t="s">
        <v>2120</v>
      </c>
      <c r="C85" s="12" t="s">
        <v>98</v>
      </c>
      <c r="D85" s="9" t="s">
        <v>1987</v>
      </c>
      <c r="E85" s="21"/>
      <c r="F85" s="19"/>
      <c r="G85" s="19" t="s">
        <v>2198</v>
      </c>
      <c r="H85" s="71"/>
      <c r="I85" s="19"/>
      <c r="J85" s="25" t="s">
        <v>306</v>
      </c>
      <c r="K85" s="25" t="s">
        <v>1934</v>
      </c>
      <c r="L85" s="25" t="s">
        <v>100</v>
      </c>
    </row>
    <row r="86" spans="1:17" s="1" customFormat="1">
      <c r="A86" s="89"/>
      <c r="B86" s="12" t="s">
        <v>2121</v>
      </c>
      <c r="C86" s="12" t="s">
        <v>98</v>
      </c>
      <c r="D86" s="9" t="s">
        <v>1944</v>
      </c>
      <c r="E86" s="21"/>
      <c r="F86" s="19"/>
      <c r="G86" s="19" t="s">
        <v>2199</v>
      </c>
      <c r="H86" s="71"/>
      <c r="I86" s="19"/>
      <c r="J86" s="25" t="s">
        <v>306</v>
      </c>
      <c r="K86" s="25" t="s">
        <v>74</v>
      </c>
      <c r="L86" s="25" t="s">
        <v>100</v>
      </c>
    </row>
    <row r="87" spans="1:17" s="1" customFormat="1">
      <c r="A87" s="89"/>
      <c r="B87" s="12" t="s">
        <v>2170</v>
      </c>
      <c r="C87" s="12" t="s">
        <v>98</v>
      </c>
      <c r="D87" s="9" t="s">
        <v>1947</v>
      </c>
      <c r="E87" s="21"/>
      <c r="F87" s="19"/>
      <c r="G87" s="19" t="s">
        <v>2200</v>
      </c>
      <c r="H87" s="71"/>
      <c r="I87" s="19"/>
      <c r="J87" s="25" t="s">
        <v>306</v>
      </c>
      <c r="K87" s="25" t="s">
        <v>74</v>
      </c>
      <c r="L87" s="25" t="s">
        <v>100</v>
      </c>
    </row>
    <row r="88" spans="1:17" s="1" customFormat="1">
      <c r="A88" s="89"/>
      <c r="B88" s="12" t="s">
        <v>2171</v>
      </c>
      <c r="C88" s="12" t="s">
        <v>98</v>
      </c>
      <c r="D88" s="9" t="s">
        <v>2304</v>
      </c>
      <c r="E88" s="21"/>
      <c r="F88" s="19"/>
      <c r="G88" s="19" t="s">
        <v>2238</v>
      </c>
      <c r="H88" s="71"/>
      <c r="I88" s="19"/>
      <c r="J88" s="25" t="s">
        <v>306</v>
      </c>
      <c r="K88" s="25" t="s">
        <v>74</v>
      </c>
      <c r="L88" s="25" t="s">
        <v>100</v>
      </c>
    </row>
    <row r="89" spans="1:17" s="1" customFormat="1">
      <c r="A89" s="89"/>
      <c r="B89" s="12" t="s">
        <v>2172</v>
      </c>
      <c r="C89" s="12" t="s">
        <v>98</v>
      </c>
      <c r="D89" s="9" t="s">
        <v>2305</v>
      </c>
      <c r="E89" s="21"/>
      <c r="F89" s="19"/>
      <c r="G89" s="19" t="s">
        <v>2245</v>
      </c>
      <c r="H89" s="71"/>
      <c r="I89" s="19"/>
      <c r="J89" s="25" t="s">
        <v>306</v>
      </c>
      <c r="K89" s="25" t="s">
        <v>115</v>
      </c>
      <c r="L89" s="25" t="s">
        <v>100</v>
      </c>
    </row>
    <row r="90" spans="1:17" s="1" customFormat="1">
      <c r="A90" s="89"/>
      <c r="B90" s="12" t="s">
        <v>2081</v>
      </c>
      <c r="C90" s="12" t="s">
        <v>98</v>
      </c>
      <c r="D90" s="9" t="s">
        <v>1614</v>
      </c>
      <c r="E90" s="21"/>
      <c r="F90" s="19"/>
      <c r="G90" s="19" t="s">
        <v>2316</v>
      </c>
      <c r="H90" s="71"/>
      <c r="I90" s="19"/>
      <c r="J90" s="25" t="s">
        <v>306</v>
      </c>
      <c r="K90" s="25" t="s">
        <v>1208</v>
      </c>
      <c r="L90" s="25" t="s">
        <v>100</v>
      </c>
    </row>
    <row r="91" spans="1:17" s="2" customFormat="1">
      <c r="B91" s="14" t="s">
        <v>80</v>
      </c>
      <c r="C91" s="15" t="s">
        <v>75</v>
      </c>
      <c r="D91" s="16" t="s">
        <v>103</v>
      </c>
      <c r="E91" s="24"/>
      <c r="F91" s="104"/>
      <c r="G91" s="104"/>
      <c r="H91" s="104"/>
      <c r="I91" s="104"/>
      <c r="J91" s="104"/>
      <c r="K91" s="104"/>
      <c r="L91" s="104"/>
      <c r="M91" s="14"/>
      <c r="N91" s="14"/>
      <c r="O91" s="14"/>
      <c r="P91" s="14"/>
      <c r="Q91" s="14"/>
    </row>
    <row r="92" spans="1:17" s="2" customFormat="1">
      <c r="B92" s="14" t="s">
        <v>0</v>
      </c>
      <c r="C92" s="15" t="s">
        <v>71</v>
      </c>
      <c r="D92" s="16" t="s">
        <v>104</v>
      </c>
      <c r="E92" s="24"/>
      <c r="F92" s="104"/>
      <c r="G92" s="104"/>
      <c r="H92" s="104"/>
      <c r="I92" s="104"/>
      <c r="J92" s="104"/>
      <c r="K92" s="104"/>
      <c r="L92" s="104"/>
      <c r="M92" s="14"/>
      <c r="N92" s="14"/>
      <c r="O92" s="14"/>
      <c r="P92" s="14"/>
      <c r="Q92" s="14"/>
    </row>
    <row r="93" spans="1:17" s="2" customFormat="1">
      <c r="B93" s="14" t="s">
        <v>1</v>
      </c>
      <c r="C93" s="15" t="s">
        <v>75</v>
      </c>
      <c r="D93" s="16" t="s">
        <v>105</v>
      </c>
      <c r="E93" s="24"/>
      <c r="F93" s="104"/>
      <c r="G93" s="104"/>
      <c r="H93" s="104"/>
      <c r="I93" s="104"/>
      <c r="J93" s="104"/>
      <c r="K93" s="104"/>
      <c r="L93" s="104"/>
      <c r="M93" s="14"/>
      <c r="N93" s="14"/>
      <c r="O93" s="14"/>
      <c r="P93" s="14"/>
      <c r="Q93" s="14"/>
    </row>
  </sheetData>
  <autoFilter ref="A13:Q93" xr:uid="{E16EFA29-E820-4A10-98BC-CF6E577605DD}"/>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14961-C466-450B-85F4-316299427F0F}">
  <dimension ref="A1:Q110"/>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36.109375" style="3" bestFit="1" customWidth="1"/>
    <col min="3" max="3" width="27.3320312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bestFit="1"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21"/>
      <c r="C2" s="121"/>
      <c r="D2" s="121"/>
      <c r="E2" s="121"/>
      <c r="F2" s="121"/>
      <c r="G2" s="121"/>
      <c r="H2" s="121"/>
    </row>
    <row r="3" spans="1:14">
      <c r="B3" s="122" t="s">
        <v>45</v>
      </c>
      <c r="C3" s="122"/>
      <c r="D3" s="122"/>
      <c r="E3" s="122"/>
      <c r="F3" s="122"/>
      <c r="G3" s="122"/>
      <c r="H3" s="122"/>
    </row>
    <row r="4" spans="1:14">
      <c r="B4" s="7" t="s">
        <v>11</v>
      </c>
      <c r="C4" s="7" t="s">
        <v>46</v>
      </c>
      <c r="D4" s="7" t="s">
        <v>47</v>
      </c>
      <c r="E4" s="7" t="s">
        <v>48</v>
      </c>
      <c r="F4" s="11" t="s">
        <v>49</v>
      </c>
      <c r="G4" s="11" t="s">
        <v>14</v>
      </c>
      <c r="H4" s="11" t="s">
        <v>50</v>
      </c>
    </row>
    <row r="5" spans="1:14">
      <c r="B5" s="8" t="s">
        <v>1910</v>
      </c>
      <c r="C5" s="68" t="s">
        <v>2319</v>
      </c>
      <c r="D5" s="9" t="s">
        <v>2320</v>
      </c>
      <c r="E5" s="12" t="s">
        <v>1159</v>
      </c>
      <c r="F5" s="17"/>
      <c r="G5" s="12"/>
      <c r="H5" s="12"/>
      <c r="N5" s="3"/>
    </row>
    <row r="6" spans="1:14">
      <c r="B6" s="6"/>
      <c r="C6" s="6"/>
      <c r="D6" s="6"/>
      <c r="E6" s="6"/>
      <c r="F6" s="18"/>
      <c r="G6" s="18"/>
      <c r="H6" s="18"/>
    </row>
    <row r="7" spans="1:14">
      <c r="B7" s="122" t="s">
        <v>51</v>
      </c>
      <c r="C7" s="122"/>
      <c r="D7" s="122"/>
      <c r="E7" s="122"/>
      <c r="F7" s="122"/>
      <c r="G7" s="122"/>
      <c r="H7" s="122"/>
    </row>
    <row r="8" spans="1:14">
      <c r="B8" s="11" t="s">
        <v>52</v>
      </c>
      <c r="C8" s="11" t="s">
        <v>53</v>
      </c>
      <c r="D8" s="11" t="s">
        <v>54</v>
      </c>
      <c r="E8" s="11" t="s">
        <v>55</v>
      </c>
      <c r="F8" s="11" t="s">
        <v>56</v>
      </c>
      <c r="G8" s="11" t="s">
        <v>24</v>
      </c>
      <c r="H8" s="11" t="s">
        <v>57</v>
      </c>
    </row>
    <row r="9" spans="1:14">
      <c r="B9" s="12"/>
      <c r="C9" s="68" t="s">
        <v>2173</v>
      </c>
      <c r="D9" s="9" t="s">
        <v>2174</v>
      </c>
      <c r="E9" s="12" t="s">
        <v>58</v>
      </c>
      <c r="F9" s="19"/>
      <c r="G9" s="19"/>
      <c r="H9" s="20" t="s">
        <v>30</v>
      </c>
    </row>
    <row r="11" spans="1:14">
      <c r="B11" s="3" t="s">
        <v>59</v>
      </c>
    </row>
    <row r="12" spans="1:14">
      <c r="B12" s="122" t="s">
        <v>59</v>
      </c>
      <c r="C12" s="122"/>
      <c r="D12" s="122"/>
      <c r="E12" s="122"/>
      <c r="F12" s="122"/>
      <c r="G12" s="122"/>
      <c r="H12" s="122"/>
      <c r="I12" s="122"/>
      <c r="J12" s="122"/>
      <c r="K12" s="122"/>
      <c r="L12" s="122"/>
    </row>
    <row r="13" spans="1:14">
      <c r="B13" s="7" t="s">
        <v>60</v>
      </c>
      <c r="C13" s="7" t="s">
        <v>61</v>
      </c>
      <c r="D13" s="7" t="s">
        <v>62</v>
      </c>
      <c r="E13" s="7" t="s">
        <v>63</v>
      </c>
      <c r="F13" s="11" t="s">
        <v>64</v>
      </c>
      <c r="G13" s="11" t="s">
        <v>65</v>
      </c>
      <c r="H13" s="11" t="s">
        <v>66</v>
      </c>
      <c r="I13" s="7" t="s">
        <v>24</v>
      </c>
      <c r="J13" s="7" t="s">
        <v>67</v>
      </c>
      <c r="K13" s="7" t="s">
        <v>68</v>
      </c>
      <c r="L13" s="7" t="s">
        <v>69</v>
      </c>
    </row>
    <row r="14" spans="1:14" s="1" customFormat="1">
      <c r="B14" s="13" t="s">
        <v>1259</v>
      </c>
      <c r="C14" s="13" t="s">
        <v>1914</v>
      </c>
      <c r="D14" s="9" t="s">
        <v>1469</v>
      </c>
      <c r="E14" s="21" t="s">
        <v>587</v>
      </c>
      <c r="F14" s="19" t="s">
        <v>303</v>
      </c>
      <c r="G14" s="19" t="s">
        <v>302</v>
      </c>
      <c r="H14" s="71"/>
      <c r="I14" s="25"/>
      <c r="J14" s="25" t="s">
        <v>304</v>
      </c>
      <c r="K14" s="25" t="s">
        <v>305</v>
      </c>
      <c r="L14" s="25" t="s">
        <v>1576</v>
      </c>
    </row>
    <row r="15" spans="1:14" s="1" customFormat="1">
      <c r="B15" s="13" t="s">
        <v>1159</v>
      </c>
      <c r="C15" s="13" t="s">
        <v>504</v>
      </c>
      <c r="D15" s="9" t="s">
        <v>1701</v>
      </c>
      <c r="E15" s="21" t="s">
        <v>587</v>
      </c>
      <c r="F15" s="19" t="s">
        <v>1052</v>
      </c>
      <c r="G15" s="19" t="s">
        <v>302</v>
      </c>
      <c r="H15" s="71"/>
      <c r="I15" s="25"/>
      <c r="J15" s="25" t="s">
        <v>304</v>
      </c>
      <c r="K15" s="25" t="s">
        <v>305</v>
      </c>
      <c r="L15" s="25" t="s">
        <v>1577</v>
      </c>
    </row>
    <row r="16" spans="1:14" s="1" customFormat="1">
      <c r="A16" s="89"/>
      <c r="B16" s="13" t="s">
        <v>76</v>
      </c>
      <c r="C16" s="13" t="s">
        <v>504</v>
      </c>
      <c r="D16" s="9" t="s">
        <v>1915</v>
      </c>
      <c r="E16" s="21" t="s">
        <v>587</v>
      </c>
      <c r="F16" s="19" t="s">
        <v>76</v>
      </c>
      <c r="G16" s="19" t="s">
        <v>302</v>
      </c>
      <c r="H16" s="71"/>
      <c r="I16" s="90"/>
      <c r="J16" s="25" t="s">
        <v>304</v>
      </c>
      <c r="K16" s="25" t="s">
        <v>305</v>
      </c>
      <c r="L16" s="25" t="s">
        <v>1579</v>
      </c>
    </row>
    <row r="17" spans="1:13" s="1" customFormat="1">
      <c r="A17" s="89"/>
      <c r="B17" s="13" t="s">
        <v>1580</v>
      </c>
      <c r="C17" s="13" t="s">
        <v>504</v>
      </c>
      <c r="D17" s="9" t="s">
        <v>1581</v>
      </c>
      <c r="E17" s="21" t="s">
        <v>587</v>
      </c>
      <c r="F17" s="19" t="s">
        <v>1580</v>
      </c>
      <c r="G17" s="19" t="s">
        <v>302</v>
      </c>
      <c r="H17" s="71"/>
      <c r="I17" s="90"/>
      <c r="J17" s="25" t="s">
        <v>304</v>
      </c>
      <c r="K17" s="25" t="s">
        <v>305</v>
      </c>
      <c r="L17" s="25" t="s">
        <v>1582</v>
      </c>
    </row>
    <row r="18" spans="1:13" s="1" customFormat="1">
      <c r="A18" s="89"/>
      <c r="B18" s="13" t="s">
        <v>1916</v>
      </c>
      <c r="C18" s="13" t="s">
        <v>504</v>
      </c>
      <c r="D18" s="9" t="s">
        <v>1509</v>
      </c>
      <c r="E18" s="21" t="s">
        <v>587</v>
      </c>
      <c r="F18" s="19" t="s">
        <v>301</v>
      </c>
      <c r="G18" s="19" t="s">
        <v>302</v>
      </c>
      <c r="H18" s="71"/>
      <c r="I18" s="90"/>
      <c r="J18" s="25" t="s">
        <v>304</v>
      </c>
      <c r="K18" s="25" t="s">
        <v>305</v>
      </c>
      <c r="L18" s="25" t="s">
        <v>1583</v>
      </c>
    </row>
    <row r="19" spans="1:13" s="1" customFormat="1">
      <c r="A19" s="89"/>
      <c r="B19" s="13" t="s">
        <v>81</v>
      </c>
      <c r="C19" s="13" t="s">
        <v>504</v>
      </c>
      <c r="D19" s="9" t="s">
        <v>1584</v>
      </c>
      <c r="E19" s="21" t="s">
        <v>587</v>
      </c>
      <c r="F19" s="9" t="s">
        <v>1813</v>
      </c>
      <c r="G19" s="19" t="s">
        <v>302</v>
      </c>
      <c r="H19" s="71"/>
      <c r="I19" s="90"/>
      <c r="J19" s="25" t="s">
        <v>304</v>
      </c>
      <c r="K19" s="25" t="s">
        <v>305</v>
      </c>
      <c r="L19" s="25" t="s">
        <v>1583</v>
      </c>
    </row>
    <row r="20" spans="1:13" s="1" customFormat="1">
      <c r="A20" s="89"/>
      <c r="B20" s="12" t="s">
        <v>82</v>
      </c>
      <c r="C20" s="13" t="s">
        <v>504</v>
      </c>
      <c r="D20" s="9" t="s">
        <v>1586</v>
      </c>
      <c r="E20" s="21" t="s">
        <v>587</v>
      </c>
      <c r="F20" s="9" t="s">
        <v>1816</v>
      </c>
      <c r="G20" s="19" t="s">
        <v>302</v>
      </c>
      <c r="H20" s="71"/>
      <c r="I20" s="90"/>
      <c r="J20" s="25" t="s">
        <v>304</v>
      </c>
      <c r="K20" s="25" t="s">
        <v>305</v>
      </c>
      <c r="L20" s="25" t="s">
        <v>1583</v>
      </c>
    </row>
    <row r="21" spans="1:13" s="1" customFormat="1">
      <c r="A21" s="89"/>
      <c r="B21" s="12" t="s">
        <v>83</v>
      </c>
      <c r="C21" s="13" t="s">
        <v>1914</v>
      </c>
      <c r="D21" s="9" t="s">
        <v>84</v>
      </c>
      <c r="E21" s="21" t="s">
        <v>587</v>
      </c>
      <c r="F21" s="9" t="s">
        <v>654</v>
      </c>
      <c r="G21" s="19" t="s">
        <v>302</v>
      </c>
      <c r="H21" s="71"/>
      <c r="I21" s="90"/>
      <c r="J21" s="25" t="s">
        <v>304</v>
      </c>
      <c r="K21" s="25" t="s">
        <v>305</v>
      </c>
      <c r="L21" s="25" t="s">
        <v>74</v>
      </c>
    </row>
    <row r="22" spans="1:13" s="1" customFormat="1">
      <c r="A22" s="89"/>
      <c r="B22" s="12" t="s">
        <v>85</v>
      </c>
      <c r="C22" s="13" t="s">
        <v>1914</v>
      </c>
      <c r="D22" s="9" t="s">
        <v>86</v>
      </c>
      <c r="E22" s="21" t="s">
        <v>587</v>
      </c>
      <c r="F22" s="9" t="s">
        <v>1643</v>
      </c>
      <c r="G22" s="19" t="s">
        <v>302</v>
      </c>
      <c r="H22" s="71"/>
      <c r="I22" s="90"/>
      <c r="J22" s="25" t="s">
        <v>304</v>
      </c>
      <c r="K22" s="25" t="s">
        <v>305</v>
      </c>
      <c r="L22" s="25" t="s">
        <v>74</v>
      </c>
    </row>
    <row r="23" spans="1:13" s="1" customFormat="1">
      <c r="A23" s="89"/>
      <c r="B23" s="12" t="s">
        <v>87</v>
      </c>
      <c r="C23" s="13" t="s">
        <v>1914</v>
      </c>
      <c r="D23" s="9" t="s">
        <v>88</v>
      </c>
      <c r="E23" s="21" t="s">
        <v>587</v>
      </c>
      <c r="F23" s="9" t="s">
        <v>1644</v>
      </c>
      <c r="G23" s="19" t="s">
        <v>302</v>
      </c>
      <c r="H23" s="71"/>
      <c r="I23" s="90"/>
      <c r="J23" s="25" t="s">
        <v>304</v>
      </c>
      <c r="K23" s="25" t="s">
        <v>305</v>
      </c>
      <c r="L23" s="25" t="s">
        <v>74</v>
      </c>
    </row>
    <row r="24" spans="1:13" s="1" customFormat="1">
      <c r="A24" s="89"/>
      <c r="B24" s="12" t="s">
        <v>307</v>
      </c>
      <c r="C24" s="12" t="s">
        <v>1914</v>
      </c>
      <c r="D24" s="9" t="s">
        <v>648</v>
      </c>
      <c r="E24" s="21" t="s">
        <v>587</v>
      </c>
      <c r="F24" s="9" t="s">
        <v>307</v>
      </c>
      <c r="G24" s="19" t="s">
        <v>302</v>
      </c>
      <c r="H24" s="71"/>
      <c r="I24" s="102"/>
      <c r="J24" s="25" t="s">
        <v>304</v>
      </c>
      <c r="K24" s="25" t="s">
        <v>305</v>
      </c>
      <c r="L24" s="25" t="s">
        <v>74</v>
      </c>
    </row>
    <row r="25" spans="1:13" s="1" customFormat="1">
      <c r="A25" s="89"/>
      <c r="B25" s="12" t="s">
        <v>308</v>
      </c>
      <c r="C25" s="12" t="s">
        <v>71</v>
      </c>
      <c r="D25" s="9" t="s">
        <v>93</v>
      </c>
      <c r="E25" s="21" t="s">
        <v>587</v>
      </c>
      <c r="F25" s="9" t="s">
        <v>308</v>
      </c>
      <c r="G25" s="19" t="s">
        <v>302</v>
      </c>
      <c r="H25" s="71"/>
      <c r="I25" s="90"/>
      <c r="J25" s="25" t="s">
        <v>304</v>
      </c>
      <c r="K25" s="25" t="s">
        <v>305</v>
      </c>
      <c r="L25" s="25" t="s">
        <v>74</v>
      </c>
    </row>
    <row r="26" spans="1:13" s="1" customFormat="1">
      <c r="A26" s="89"/>
      <c r="B26" s="12" t="s">
        <v>94</v>
      </c>
      <c r="C26" s="12" t="s">
        <v>71</v>
      </c>
      <c r="D26" s="9" t="s">
        <v>95</v>
      </c>
      <c r="E26" s="21" t="s">
        <v>587</v>
      </c>
      <c r="F26" s="9" t="s">
        <v>94</v>
      </c>
      <c r="G26" s="19" t="s">
        <v>302</v>
      </c>
      <c r="H26" s="71"/>
      <c r="I26" s="90"/>
      <c r="J26" s="25" t="s">
        <v>304</v>
      </c>
      <c r="K26" s="25" t="s">
        <v>305</v>
      </c>
      <c r="L26" s="25" t="s">
        <v>74</v>
      </c>
    </row>
    <row r="27" spans="1:13" s="1" customFormat="1">
      <c r="A27" s="89"/>
      <c r="B27" s="12" t="s">
        <v>616</v>
      </c>
      <c r="C27" s="12" t="s">
        <v>71</v>
      </c>
      <c r="D27" s="9" t="s">
        <v>1587</v>
      </c>
      <c r="E27" s="21" t="s">
        <v>587</v>
      </c>
      <c r="F27" s="9" t="s">
        <v>616</v>
      </c>
      <c r="G27" s="19" t="s">
        <v>302</v>
      </c>
      <c r="H27" s="71"/>
      <c r="I27" s="90"/>
      <c r="J27" s="25" t="s">
        <v>304</v>
      </c>
      <c r="K27" s="25" t="s">
        <v>305</v>
      </c>
      <c r="L27" s="25" t="s">
        <v>74</v>
      </c>
    </row>
    <row r="28" spans="1:13" s="1" customFormat="1">
      <c r="B28" s="13" t="s">
        <v>1590</v>
      </c>
      <c r="C28" s="12" t="s">
        <v>71</v>
      </c>
      <c r="D28" s="9" t="s">
        <v>1589</v>
      </c>
      <c r="E28" s="21" t="s">
        <v>587</v>
      </c>
      <c r="F28" s="19" t="s">
        <v>1590</v>
      </c>
      <c r="G28" s="19" t="s">
        <v>302</v>
      </c>
      <c r="H28" s="71"/>
      <c r="I28" s="25"/>
      <c r="J28" s="25" t="s">
        <v>304</v>
      </c>
      <c r="K28" s="25" t="s">
        <v>305</v>
      </c>
      <c r="L28" s="25" t="s">
        <v>74</v>
      </c>
    </row>
    <row r="29" spans="1:13" s="1" customFormat="1">
      <c r="B29" s="13" t="s">
        <v>1918</v>
      </c>
      <c r="C29" s="26" t="s">
        <v>71</v>
      </c>
      <c r="D29" s="9" t="s">
        <v>1840</v>
      </c>
      <c r="E29" s="21" t="s">
        <v>587</v>
      </c>
      <c r="F29" s="9" t="s">
        <v>1918</v>
      </c>
      <c r="G29" s="19" t="s">
        <v>302</v>
      </c>
      <c r="H29" s="71"/>
      <c r="I29" s="25"/>
      <c r="J29" s="25" t="s">
        <v>304</v>
      </c>
      <c r="K29" s="25" t="s">
        <v>305</v>
      </c>
      <c r="L29" s="25" t="s">
        <v>1842</v>
      </c>
    </row>
    <row r="30" spans="1:13" s="89" customFormat="1">
      <c r="B30" s="13" t="s">
        <v>96</v>
      </c>
      <c r="C30" s="12" t="s">
        <v>71</v>
      </c>
      <c r="D30" s="9" t="s">
        <v>1592</v>
      </c>
      <c r="E30" s="21" t="s">
        <v>587</v>
      </c>
      <c r="F30" s="19" t="s">
        <v>96</v>
      </c>
      <c r="G30" s="19" t="s">
        <v>302</v>
      </c>
      <c r="H30" s="71"/>
      <c r="I30" s="90"/>
      <c r="J30" s="25" t="s">
        <v>304</v>
      </c>
      <c r="K30" s="25" t="s">
        <v>305</v>
      </c>
      <c r="L30" s="25" t="s">
        <v>1583</v>
      </c>
      <c r="M30" s="1"/>
    </row>
    <row r="31" spans="1:13" s="1" customFormat="1">
      <c r="A31" s="89"/>
      <c r="B31" s="12" t="s">
        <v>1845</v>
      </c>
      <c r="C31" s="12" t="s">
        <v>504</v>
      </c>
      <c r="D31" s="9" t="s">
        <v>1920</v>
      </c>
      <c r="E31" s="21" t="s">
        <v>587</v>
      </c>
      <c r="F31" s="19" t="s">
        <v>1845</v>
      </c>
      <c r="G31" s="19" t="s">
        <v>302</v>
      </c>
      <c r="H31" s="71"/>
      <c r="I31" s="19"/>
      <c r="J31" s="25" t="s">
        <v>304</v>
      </c>
      <c r="K31" s="25" t="s">
        <v>305</v>
      </c>
      <c r="L31" s="25" t="s">
        <v>1921</v>
      </c>
    </row>
    <row r="32" spans="1:13" s="1" customFormat="1">
      <c r="A32" s="89"/>
      <c r="B32" s="12" t="s">
        <v>1922</v>
      </c>
      <c r="C32" s="12" t="s">
        <v>504</v>
      </c>
      <c r="D32" s="9" t="s">
        <v>1923</v>
      </c>
      <c r="E32" s="21" t="s">
        <v>587</v>
      </c>
      <c r="F32" s="19" t="s">
        <v>1922</v>
      </c>
      <c r="G32" s="19" t="s">
        <v>302</v>
      </c>
      <c r="H32" s="71"/>
      <c r="I32" s="19"/>
      <c r="J32" s="25" t="s">
        <v>304</v>
      </c>
      <c r="K32" s="25" t="s">
        <v>305</v>
      </c>
      <c r="L32" s="25" t="s">
        <v>1921</v>
      </c>
    </row>
    <row r="33" spans="1:12" s="1" customFormat="1">
      <c r="A33" s="89"/>
      <c r="B33" s="12" t="s">
        <v>1924</v>
      </c>
      <c r="C33" s="12" t="s">
        <v>98</v>
      </c>
      <c r="D33" s="9" t="s">
        <v>1617</v>
      </c>
      <c r="E33" s="21"/>
      <c r="F33" s="19"/>
      <c r="G33" s="19" t="s">
        <v>1688</v>
      </c>
      <c r="H33" s="71"/>
      <c r="I33" s="19"/>
      <c r="J33" s="25" t="s">
        <v>306</v>
      </c>
      <c r="K33" s="25" t="s">
        <v>305</v>
      </c>
      <c r="L33" s="25" t="s">
        <v>1209</v>
      </c>
    </row>
    <row r="34" spans="1:12" s="1" customFormat="1">
      <c r="A34" s="89"/>
      <c r="B34" s="12" t="s">
        <v>300</v>
      </c>
      <c r="C34" s="12" t="s">
        <v>98</v>
      </c>
      <c r="D34" s="9" t="s">
        <v>1926</v>
      </c>
      <c r="E34" s="21"/>
      <c r="F34" s="19"/>
      <c r="G34" s="19" t="s">
        <v>120</v>
      </c>
      <c r="H34" s="19"/>
      <c r="I34" s="19"/>
      <c r="J34" s="25" t="s">
        <v>306</v>
      </c>
      <c r="K34" s="25" t="s">
        <v>305</v>
      </c>
      <c r="L34" s="25" t="s">
        <v>1209</v>
      </c>
    </row>
    <row r="35" spans="1:12" s="1" customFormat="1">
      <c r="A35" s="89"/>
      <c r="B35" s="12" t="s">
        <v>1928</v>
      </c>
      <c r="C35" s="12" t="s">
        <v>98</v>
      </c>
      <c r="D35" s="9" t="s">
        <v>1929</v>
      </c>
      <c r="E35" s="21"/>
      <c r="F35" s="19"/>
      <c r="G35" s="19" t="s">
        <v>2194</v>
      </c>
      <c r="H35" s="19"/>
      <c r="I35" s="19"/>
      <c r="J35" s="25" t="s">
        <v>306</v>
      </c>
      <c r="K35" s="25" t="s">
        <v>305</v>
      </c>
      <c r="L35" s="25" t="s">
        <v>1209</v>
      </c>
    </row>
    <row r="36" spans="1:12" s="1" customFormat="1">
      <c r="A36" s="89"/>
      <c r="B36" s="13" t="s">
        <v>1930</v>
      </c>
      <c r="C36" s="13" t="s">
        <v>98</v>
      </c>
      <c r="D36" s="9" t="s">
        <v>1931</v>
      </c>
      <c r="E36" s="21"/>
      <c r="F36" s="19"/>
      <c r="G36" s="19" t="s">
        <v>2179</v>
      </c>
      <c r="H36" s="19"/>
      <c r="I36" s="19"/>
      <c r="J36" s="25" t="s">
        <v>306</v>
      </c>
      <c r="K36" s="25" t="s">
        <v>800</v>
      </c>
      <c r="L36" s="25" t="s">
        <v>1209</v>
      </c>
    </row>
    <row r="37" spans="1:12" s="1" customFormat="1">
      <c r="A37" s="89"/>
      <c r="B37" s="12" t="s">
        <v>1932</v>
      </c>
      <c r="C37" s="12" t="s">
        <v>98</v>
      </c>
      <c r="D37" s="9" t="s">
        <v>1933</v>
      </c>
      <c r="E37" s="21"/>
      <c r="F37" s="19"/>
      <c r="G37" s="19" t="s">
        <v>2180</v>
      </c>
      <c r="H37" s="71"/>
      <c r="I37" s="19"/>
      <c r="J37" s="25" t="s">
        <v>306</v>
      </c>
      <c r="K37" s="25" t="s">
        <v>1934</v>
      </c>
      <c r="L37" s="25" t="s">
        <v>1209</v>
      </c>
    </row>
    <row r="38" spans="1:12" s="1" customFormat="1">
      <c r="A38" s="89"/>
      <c r="B38" s="12" t="s">
        <v>1935</v>
      </c>
      <c r="C38" s="12" t="s">
        <v>98</v>
      </c>
      <c r="D38" s="9" t="s">
        <v>1936</v>
      </c>
      <c r="E38" s="21"/>
      <c r="F38" s="19"/>
      <c r="G38" s="19" t="s">
        <v>2181</v>
      </c>
      <c r="H38" s="71"/>
      <c r="I38" s="19"/>
      <c r="J38" s="25" t="s">
        <v>306</v>
      </c>
      <c r="K38" s="25" t="s">
        <v>1934</v>
      </c>
      <c r="L38" s="25" t="s">
        <v>1209</v>
      </c>
    </row>
    <row r="39" spans="1:12" s="1" customFormat="1">
      <c r="A39" s="89"/>
      <c r="B39" s="12" t="s">
        <v>1984</v>
      </c>
      <c r="C39" s="12" t="s">
        <v>98</v>
      </c>
      <c r="D39" s="9" t="s">
        <v>2090</v>
      </c>
      <c r="E39" s="21"/>
      <c r="F39" s="19"/>
      <c r="G39" s="19" t="s">
        <v>2195</v>
      </c>
      <c r="H39" s="71"/>
      <c r="I39" s="19"/>
      <c r="J39" s="25" t="s">
        <v>306</v>
      </c>
      <c r="K39" s="25" t="s">
        <v>1934</v>
      </c>
      <c r="L39" s="25" t="s">
        <v>100</v>
      </c>
    </row>
    <row r="40" spans="1:12" s="1" customFormat="1">
      <c r="A40" s="89"/>
      <c r="B40" s="12" t="s">
        <v>1937</v>
      </c>
      <c r="C40" s="12" t="s">
        <v>98</v>
      </c>
      <c r="D40" s="9" t="s">
        <v>1938</v>
      </c>
      <c r="E40" s="21"/>
      <c r="F40" s="19"/>
      <c r="G40" s="19" t="s">
        <v>2196</v>
      </c>
      <c r="H40" s="71"/>
      <c r="I40" s="19"/>
      <c r="J40" s="25" t="s">
        <v>306</v>
      </c>
      <c r="K40" s="25" t="s">
        <v>74</v>
      </c>
      <c r="L40" s="25" t="s">
        <v>100</v>
      </c>
    </row>
    <row r="41" spans="1:12" s="1" customFormat="1">
      <c r="A41" s="89"/>
      <c r="B41" s="12" t="s">
        <v>1940</v>
      </c>
      <c r="C41" s="12" t="s">
        <v>98</v>
      </c>
      <c r="D41" s="9" t="s">
        <v>1941</v>
      </c>
      <c r="E41" s="21"/>
      <c r="F41" s="19"/>
      <c r="G41" s="19" t="s">
        <v>2197</v>
      </c>
      <c r="H41" s="71"/>
      <c r="I41" s="19"/>
      <c r="J41" s="25" t="s">
        <v>306</v>
      </c>
      <c r="K41" s="25" t="s">
        <v>74</v>
      </c>
      <c r="L41" s="25" t="s">
        <v>100</v>
      </c>
    </row>
    <row r="42" spans="1:12" s="1" customFormat="1">
      <c r="A42" s="89"/>
      <c r="B42" s="12" t="s">
        <v>1986</v>
      </c>
      <c r="C42" s="12" t="s">
        <v>98</v>
      </c>
      <c r="D42" s="9" t="s">
        <v>2091</v>
      </c>
      <c r="E42" s="21"/>
      <c r="F42" s="19"/>
      <c r="G42" s="19" t="s">
        <v>2198</v>
      </c>
      <c r="H42" s="71"/>
      <c r="I42" s="19"/>
      <c r="J42" s="25" t="s">
        <v>306</v>
      </c>
      <c r="K42" s="25" t="s">
        <v>1934</v>
      </c>
      <c r="L42" s="25" t="s">
        <v>100</v>
      </c>
    </row>
    <row r="43" spans="1:12" s="1" customFormat="1">
      <c r="A43" s="89"/>
      <c r="B43" s="12" t="s">
        <v>1943</v>
      </c>
      <c r="C43" s="12" t="s">
        <v>98</v>
      </c>
      <c r="D43" s="9" t="s">
        <v>1944</v>
      </c>
      <c r="E43" s="21"/>
      <c r="F43" s="19"/>
      <c r="G43" s="19" t="s">
        <v>2199</v>
      </c>
      <c r="H43" s="71"/>
      <c r="I43" s="19"/>
      <c r="J43" s="25" t="s">
        <v>306</v>
      </c>
      <c r="K43" s="25" t="s">
        <v>74</v>
      </c>
      <c r="L43" s="25" t="s">
        <v>100</v>
      </c>
    </row>
    <row r="44" spans="1:12" s="1" customFormat="1">
      <c r="A44" s="89"/>
      <c r="B44" s="12" t="s">
        <v>1946</v>
      </c>
      <c r="C44" s="12" t="s">
        <v>98</v>
      </c>
      <c r="D44" s="9" t="s">
        <v>1947</v>
      </c>
      <c r="E44" s="21"/>
      <c r="F44" s="19"/>
      <c r="G44" s="19" t="s">
        <v>2200</v>
      </c>
      <c r="H44" s="71"/>
      <c r="I44" s="19"/>
      <c r="J44" s="25" t="s">
        <v>306</v>
      </c>
      <c r="K44" s="25" t="s">
        <v>74</v>
      </c>
      <c r="L44" s="25" t="s">
        <v>100</v>
      </c>
    </row>
    <row r="45" spans="1:12" s="1" customFormat="1">
      <c r="A45" s="89"/>
      <c r="B45" s="12" t="s">
        <v>2094</v>
      </c>
      <c r="C45" s="12" t="s">
        <v>1991</v>
      </c>
      <c r="D45" s="9" t="s">
        <v>2096</v>
      </c>
      <c r="E45" s="21"/>
      <c r="F45" s="19"/>
      <c r="G45" s="19" t="s">
        <v>2201</v>
      </c>
      <c r="H45" s="71"/>
      <c r="I45" s="19"/>
      <c r="J45" s="25" t="s">
        <v>306</v>
      </c>
      <c r="K45" s="25" t="s">
        <v>2317</v>
      </c>
      <c r="L45" s="25" t="s">
        <v>1498</v>
      </c>
    </row>
    <row r="46" spans="1:12" s="1" customFormat="1">
      <c r="A46" s="89"/>
      <c r="B46" s="12" t="s">
        <v>2095</v>
      </c>
      <c r="C46" s="12" t="s">
        <v>1991</v>
      </c>
      <c r="D46" s="9" t="s">
        <v>2472</v>
      </c>
      <c r="E46" s="21"/>
      <c r="F46" s="19"/>
      <c r="G46" s="19" t="s">
        <v>2202</v>
      </c>
      <c r="H46" s="71"/>
      <c r="I46" s="19"/>
      <c r="J46" s="25" t="s">
        <v>306</v>
      </c>
      <c r="K46" s="25" t="s">
        <v>2318</v>
      </c>
      <c r="L46" s="25" t="s">
        <v>1498</v>
      </c>
    </row>
    <row r="47" spans="1:12" s="1" customFormat="1">
      <c r="A47" s="89"/>
      <c r="B47" s="12" t="s">
        <v>2099</v>
      </c>
      <c r="C47" s="12" t="s">
        <v>1991</v>
      </c>
      <c r="D47" s="9" t="s">
        <v>2101</v>
      </c>
      <c r="E47" s="21"/>
      <c r="F47" s="19"/>
      <c r="G47" s="19" t="s">
        <v>2203</v>
      </c>
      <c r="H47" s="71"/>
      <c r="I47" s="19"/>
      <c r="J47" s="25" t="s">
        <v>306</v>
      </c>
      <c r="K47" s="25" t="s">
        <v>2317</v>
      </c>
      <c r="L47" s="25" t="s">
        <v>1498</v>
      </c>
    </row>
    <row r="48" spans="1:12" s="1" customFormat="1">
      <c r="A48" s="89"/>
      <c r="B48" s="12" t="s">
        <v>2100</v>
      </c>
      <c r="C48" s="12" t="s">
        <v>1991</v>
      </c>
      <c r="D48" s="9" t="s">
        <v>2473</v>
      </c>
      <c r="E48" s="21"/>
      <c r="F48" s="19"/>
      <c r="G48" s="19" t="s">
        <v>2204</v>
      </c>
      <c r="H48" s="71"/>
      <c r="I48" s="19"/>
      <c r="J48" s="25" t="s">
        <v>306</v>
      </c>
      <c r="K48" s="25" t="s">
        <v>2318</v>
      </c>
      <c r="L48" s="25" t="s">
        <v>1498</v>
      </c>
    </row>
    <row r="49" spans="1:12" s="1" customFormat="1">
      <c r="A49" s="89"/>
      <c r="B49" s="12" t="s">
        <v>2104</v>
      </c>
      <c r="C49" s="12" t="s">
        <v>1991</v>
      </c>
      <c r="D49" s="9" t="s">
        <v>2108</v>
      </c>
      <c r="E49" s="21"/>
      <c r="F49" s="19"/>
      <c r="G49" s="19" t="s">
        <v>2205</v>
      </c>
      <c r="H49" s="71"/>
      <c r="I49" s="19"/>
      <c r="J49" s="25" t="s">
        <v>306</v>
      </c>
      <c r="K49" s="25" t="s">
        <v>2317</v>
      </c>
      <c r="L49" s="25" t="s">
        <v>1498</v>
      </c>
    </row>
    <row r="50" spans="1:12" s="1" customFormat="1">
      <c r="A50" s="89"/>
      <c r="B50" s="12" t="s">
        <v>2105</v>
      </c>
      <c r="C50" s="12" t="s">
        <v>1991</v>
      </c>
      <c r="D50" s="9" t="s">
        <v>2474</v>
      </c>
      <c r="E50" s="21"/>
      <c r="F50" s="19"/>
      <c r="G50" s="19" t="s">
        <v>2206</v>
      </c>
      <c r="H50" s="71"/>
      <c r="I50" s="19"/>
      <c r="J50" s="25" t="s">
        <v>306</v>
      </c>
      <c r="K50" s="25" t="s">
        <v>2318</v>
      </c>
      <c r="L50" s="25" t="s">
        <v>1498</v>
      </c>
    </row>
    <row r="51" spans="1:12" s="1" customFormat="1">
      <c r="A51" s="89"/>
      <c r="B51" s="12" t="s">
        <v>2106</v>
      </c>
      <c r="C51" s="12" t="s">
        <v>1991</v>
      </c>
      <c r="D51" s="9" t="s">
        <v>2109</v>
      </c>
      <c r="E51" s="21"/>
      <c r="F51" s="19"/>
      <c r="G51" s="19" t="s">
        <v>2207</v>
      </c>
      <c r="H51" s="71"/>
      <c r="I51" s="19"/>
      <c r="J51" s="25" t="s">
        <v>306</v>
      </c>
      <c r="K51" s="25" t="s">
        <v>2317</v>
      </c>
      <c r="L51" s="25" t="s">
        <v>1498</v>
      </c>
    </row>
    <row r="52" spans="1:12" s="1" customFormat="1">
      <c r="A52" s="89"/>
      <c r="B52" s="12" t="s">
        <v>2107</v>
      </c>
      <c r="C52" s="12" t="s">
        <v>1991</v>
      </c>
      <c r="D52" s="9" t="s">
        <v>2475</v>
      </c>
      <c r="E52" s="21"/>
      <c r="F52" s="19"/>
      <c r="G52" s="19" t="s">
        <v>2208</v>
      </c>
      <c r="H52" s="71"/>
      <c r="I52" s="19"/>
      <c r="J52" s="25" t="s">
        <v>306</v>
      </c>
      <c r="K52" s="25" t="s">
        <v>2318</v>
      </c>
      <c r="L52" s="25" t="s">
        <v>1498</v>
      </c>
    </row>
    <row r="53" spans="1:12" s="1" customFormat="1">
      <c r="A53" s="89"/>
      <c r="B53" s="12" t="s">
        <v>1949</v>
      </c>
      <c r="C53" s="12" t="s">
        <v>98</v>
      </c>
      <c r="D53" s="9" t="s">
        <v>1950</v>
      </c>
      <c r="E53" s="21"/>
      <c r="F53" s="19"/>
      <c r="G53" s="19" t="s">
        <v>1951</v>
      </c>
      <c r="H53" s="71"/>
      <c r="I53" s="19"/>
      <c r="J53" s="25" t="s">
        <v>306</v>
      </c>
      <c r="K53" s="25" t="s">
        <v>74</v>
      </c>
      <c r="L53" s="25" t="s">
        <v>100</v>
      </c>
    </row>
    <row r="54" spans="1:12" s="1" customFormat="1">
      <c r="A54" s="89"/>
      <c r="B54" s="12" t="s">
        <v>1952</v>
      </c>
      <c r="C54" s="12" t="s">
        <v>98</v>
      </c>
      <c r="D54" s="9" t="s">
        <v>1953</v>
      </c>
      <c r="E54" s="21"/>
      <c r="F54" s="19"/>
      <c r="G54" s="19" t="s">
        <v>1954</v>
      </c>
      <c r="H54" s="71"/>
      <c r="I54" s="19"/>
      <c r="J54" s="25" t="s">
        <v>306</v>
      </c>
      <c r="K54" s="25" t="s">
        <v>74</v>
      </c>
      <c r="L54" s="25" t="s">
        <v>100</v>
      </c>
    </row>
    <row r="55" spans="1:12" s="1" customFormat="1">
      <c r="A55" s="89"/>
      <c r="B55" s="12" t="s">
        <v>1955</v>
      </c>
      <c r="C55" s="12" t="s">
        <v>98</v>
      </c>
      <c r="D55" s="9" t="s">
        <v>2183</v>
      </c>
      <c r="E55" s="21"/>
      <c r="F55" s="19"/>
      <c r="G55" s="19" t="s">
        <v>1957</v>
      </c>
      <c r="H55" s="71"/>
      <c r="I55" s="19"/>
      <c r="J55" s="25" t="s">
        <v>306</v>
      </c>
      <c r="K55" s="25" t="s">
        <v>74</v>
      </c>
      <c r="L55" s="25" t="s">
        <v>100</v>
      </c>
    </row>
    <row r="56" spans="1:12" s="1" customFormat="1">
      <c r="A56" s="89"/>
      <c r="B56" s="12" t="s">
        <v>1958</v>
      </c>
      <c r="C56" s="12" t="s">
        <v>98</v>
      </c>
      <c r="D56" s="9" t="s">
        <v>1959</v>
      </c>
      <c r="E56" s="21"/>
      <c r="F56" s="19"/>
      <c r="G56" s="19" t="s">
        <v>1960</v>
      </c>
      <c r="H56" s="71"/>
      <c r="I56" s="19"/>
      <c r="J56" s="25" t="s">
        <v>306</v>
      </c>
      <c r="K56" s="25" t="s">
        <v>74</v>
      </c>
      <c r="L56" s="25" t="s">
        <v>100</v>
      </c>
    </row>
    <row r="57" spans="1:12" s="1" customFormat="1">
      <c r="A57" s="89"/>
      <c r="B57" s="12" t="s">
        <v>1961</v>
      </c>
      <c r="C57" s="12" t="s">
        <v>98</v>
      </c>
      <c r="D57" s="9" t="s">
        <v>1962</v>
      </c>
      <c r="E57" s="21"/>
      <c r="F57" s="19"/>
      <c r="G57" s="19" t="s">
        <v>2209</v>
      </c>
      <c r="H57" s="71"/>
      <c r="I57" s="19"/>
      <c r="J57" s="25" t="s">
        <v>306</v>
      </c>
      <c r="K57" s="25" t="s">
        <v>74</v>
      </c>
      <c r="L57" s="25" t="s">
        <v>100</v>
      </c>
    </row>
    <row r="58" spans="1:12" s="1" customFormat="1">
      <c r="A58" s="89"/>
      <c r="B58" s="12" t="s">
        <v>1964</v>
      </c>
      <c r="C58" s="12" t="s">
        <v>98</v>
      </c>
      <c r="D58" s="9" t="s">
        <v>1965</v>
      </c>
      <c r="E58" s="21"/>
      <c r="F58" s="19"/>
      <c r="G58" s="19" t="s">
        <v>2210</v>
      </c>
      <c r="H58" s="71"/>
      <c r="I58" s="19"/>
      <c r="J58" s="25" t="s">
        <v>306</v>
      </c>
      <c r="K58" s="25" t="s">
        <v>74</v>
      </c>
      <c r="L58" s="25" t="s">
        <v>100</v>
      </c>
    </row>
    <row r="59" spans="1:12" s="1" customFormat="1">
      <c r="A59" s="89"/>
      <c r="B59" s="12" t="s">
        <v>2136</v>
      </c>
      <c r="C59" s="12" t="s">
        <v>98</v>
      </c>
      <c r="D59" s="9" t="s">
        <v>2133</v>
      </c>
      <c r="E59" s="21"/>
      <c r="F59" s="19"/>
      <c r="G59" s="19" t="s">
        <v>2140</v>
      </c>
      <c r="H59" s="71"/>
      <c r="I59" s="19"/>
      <c r="J59" s="25" t="s">
        <v>306</v>
      </c>
      <c r="K59" s="25" t="s">
        <v>74</v>
      </c>
      <c r="L59" s="25" t="s">
        <v>100</v>
      </c>
    </row>
    <row r="60" spans="1:12" s="1" customFormat="1">
      <c r="A60" s="89"/>
      <c r="B60" s="12" t="s">
        <v>2139</v>
      </c>
      <c r="C60" s="12" t="s">
        <v>98</v>
      </c>
      <c r="D60" s="9" t="s">
        <v>2135</v>
      </c>
      <c r="E60" s="21"/>
      <c r="F60" s="19"/>
      <c r="G60" s="19" t="s">
        <v>2211</v>
      </c>
      <c r="H60" s="71"/>
      <c r="I60" s="19"/>
      <c r="J60" s="25" t="s">
        <v>306</v>
      </c>
      <c r="K60" s="25" t="s">
        <v>74</v>
      </c>
      <c r="L60" s="25" t="s">
        <v>100</v>
      </c>
    </row>
    <row r="61" spans="1:12" s="1" customFormat="1">
      <c r="A61" s="89"/>
      <c r="B61" s="12" t="s">
        <v>2132</v>
      </c>
      <c r="C61" s="12" t="s">
        <v>98</v>
      </c>
      <c r="D61" s="9" t="s">
        <v>1967</v>
      </c>
      <c r="E61" s="21"/>
      <c r="F61" s="19"/>
      <c r="G61" s="19" t="s">
        <v>2212</v>
      </c>
      <c r="H61" s="71"/>
      <c r="I61" s="19"/>
      <c r="J61" s="25" t="s">
        <v>306</v>
      </c>
      <c r="K61" s="25" t="s">
        <v>74</v>
      </c>
      <c r="L61" s="25" t="s">
        <v>100</v>
      </c>
    </row>
    <row r="62" spans="1:12" s="1" customFormat="1">
      <c r="A62" s="89"/>
      <c r="B62" s="12" t="s">
        <v>1969</v>
      </c>
      <c r="C62" s="12" t="s">
        <v>98</v>
      </c>
      <c r="D62" s="9" t="s">
        <v>1970</v>
      </c>
      <c r="E62" s="21"/>
      <c r="F62" s="19"/>
      <c r="G62" s="19" t="s">
        <v>2213</v>
      </c>
      <c r="H62" s="71"/>
      <c r="I62" s="19"/>
      <c r="J62" s="25" t="s">
        <v>306</v>
      </c>
      <c r="K62" s="25" t="s">
        <v>74</v>
      </c>
      <c r="L62" s="25" t="s">
        <v>100</v>
      </c>
    </row>
    <row r="63" spans="1:12" s="1" customFormat="1">
      <c r="A63" s="89"/>
      <c r="B63" s="12" t="s">
        <v>1972</v>
      </c>
      <c r="C63" s="12" t="s">
        <v>98</v>
      </c>
      <c r="D63" s="9" t="s">
        <v>1973</v>
      </c>
      <c r="E63" s="21"/>
      <c r="F63" s="19"/>
      <c r="G63" s="19" t="s">
        <v>2214</v>
      </c>
      <c r="H63" s="71"/>
      <c r="I63" s="19"/>
      <c r="J63" s="25" t="s">
        <v>306</v>
      </c>
      <c r="K63" s="25" t="s">
        <v>74</v>
      </c>
      <c r="L63" s="25" t="s">
        <v>100</v>
      </c>
    </row>
    <row r="64" spans="1:12" s="1" customFormat="1">
      <c r="A64" s="89"/>
      <c r="B64" s="12" t="s">
        <v>1975</v>
      </c>
      <c r="C64" s="12" t="s">
        <v>98</v>
      </c>
      <c r="D64" s="9" t="s">
        <v>1976</v>
      </c>
      <c r="E64" s="21"/>
      <c r="F64" s="19"/>
      <c r="G64" s="19" t="s">
        <v>2215</v>
      </c>
      <c r="H64" s="71"/>
      <c r="I64" s="19"/>
      <c r="J64" s="25" t="s">
        <v>306</v>
      </c>
      <c r="K64" s="25" t="s">
        <v>74</v>
      </c>
      <c r="L64" s="25" t="s">
        <v>100</v>
      </c>
    </row>
    <row r="65" spans="1:12" s="1" customFormat="1">
      <c r="A65" s="89"/>
      <c r="B65" s="12" t="s">
        <v>1978</v>
      </c>
      <c r="C65" s="12" t="s">
        <v>98</v>
      </c>
      <c r="D65" s="9" t="s">
        <v>1979</v>
      </c>
      <c r="E65" s="21"/>
      <c r="F65" s="19"/>
      <c r="G65" s="19" t="s">
        <v>1980</v>
      </c>
      <c r="H65" s="71"/>
      <c r="I65" s="19"/>
      <c r="J65" s="25" t="s">
        <v>306</v>
      </c>
      <c r="K65" s="25" t="s">
        <v>74</v>
      </c>
      <c r="L65" s="25" t="s">
        <v>100</v>
      </c>
    </row>
    <row r="66" spans="1:12" s="1" customFormat="1">
      <c r="A66" s="89"/>
      <c r="B66" s="12" t="s">
        <v>1981</v>
      </c>
      <c r="C66" s="12" t="s">
        <v>98</v>
      </c>
      <c r="D66" s="9" t="s">
        <v>1982</v>
      </c>
      <c r="E66" s="21"/>
      <c r="F66" s="19"/>
      <c r="G66" s="19" t="s">
        <v>1983</v>
      </c>
      <c r="H66" s="71"/>
      <c r="I66" s="19"/>
      <c r="J66" s="25" t="s">
        <v>306</v>
      </c>
      <c r="K66" s="25" t="s">
        <v>74</v>
      </c>
      <c r="L66" s="25" t="s">
        <v>100</v>
      </c>
    </row>
    <row r="67" spans="1:12" s="1" customFormat="1">
      <c r="A67" s="89"/>
      <c r="B67" s="12" t="s">
        <v>1988</v>
      </c>
      <c r="C67" s="12" t="s">
        <v>98</v>
      </c>
      <c r="D67" s="9" t="s">
        <v>1989</v>
      </c>
      <c r="E67" s="21"/>
      <c r="F67" s="19"/>
      <c r="G67" s="19" t="s">
        <v>2216</v>
      </c>
      <c r="H67" s="71"/>
      <c r="I67" s="19"/>
      <c r="J67" s="25" t="s">
        <v>306</v>
      </c>
      <c r="K67" s="25" t="s">
        <v>74</v>
      </c>
      <c r="L67" s="25" t="s">
        <v>100</v>
      </c>
    </row>
    <row r="68" spans="1:12" s="1" customFormat="1">
      <c r="A68" s="89"/>
      <c r="B68" s="12" t="s">
        <v>1990</v>
      </c>
      <c r="C68" s="12" t="s">
        <v>1991</v>
      </c>
      <c r="D68" s="9" t="s">
        <v>1992</v>
      </c>
      <c r="E68" s="21"/>
      <c r="F68" s="19"/>
      <c r="G68" s="19" t="s">
        <v>2184</v>
      </c>
      <c r="H68" s="71"/>
      <c r="I68" s="19"/>
      <c r="J68" s="25" t="s">
        <v>306</v>
      </c>
      <c r="K68" s="25" t="s">
        <v>115</v>
      </c>
      <c r="L68" s="25" t="s">
        <v>100</v>
      </c>
    </row>
    <row r="69" spans="1:12" s="1" customFormat="1">
      <c r="A69" s="89"/>
      <c r="B69" s="12" t="s">
        <v>1994</v>
      </c>
      <c r="C69" s="12" t="s">
        <v>98</v>
      </c>
      <c r="D69" s="9" t="s">
        <v>1995</v>
      </c>
      <c r="E69" s="21"/>
      <c r="F69" s="19"/>
      <c r="G69" s="19" t="s">
        <v>2217</v>
      </c>
      <c r="H69" s="71"/>
      <c r="I69" s="19"/>
      <c r="J69" s="25" t="s">
        <v>306</v>
      </c>
      <c r="K69" s="25" t="s">
        <v>74</v>
      </c>
      <c r="L69" s="25" t="s">
        <v>100</v>
      </c>
    </row>
    <row r="70" spans="1:12" s="1" customFormat="1">
      <c r="A70" s="89"/>
      <c r="B70" s="12" t="s">
        <v>1996</v>
      </c>
      <c r="C70" s="12" t="s">
        <v>98</v>
      </c>
      <c r="D70" s="9" t="s">
        <v>1997</v>
      </c>
      <c r="E70" s="21"/>
      <c r="F70" s="19"/>
      <c r="G70" s="19" t="s">
        <v>2218</v>
      </c>
      <c r="H70" s="71"/>
      <c r="I70" s="19"/>
      <c r="J70" s="25" t="s">
        <v>306</v>
      </c>
      <c r="K70" s="25" t="s">
        <v>74</v>
      </c>
      <c r="L70" s="25" t="s">
        <v>100</v>
      </c>
    </row>
    <row r="71" spans="1:12" s="1" customFormat="1">
      <c r="A71" s="89"/>
      <c r="B71" s="12" t="s">
        <v>1998</v>
      </c>
      <c r="C71" s="12" t="s">
        <v>98</v>
      </c>
      <c r="D71" s="9" t="s">
        <v>1999</v>
      </c>
      <c r="E71" s="21"/>
      <c r="F71" s="19"/>
      <c r="G71" s="19" t="s">
        <v>2219</v>
      </c>
      <c r="H71" s="71"/>
      <c r="I71" s="19"/>
      <c r="J71" s="25" t="s">
        <v>306</v>
      </c>
      <c r="K71" s="25" t="s">
        <v>74</v>
      </c>
      <c r="L71" s="25" t="s">
        <v>100</v>
      </c>
    </row>
    <row r="72" spans="1:12" s="1" customFormat="1">
      <c r="A72" s="89"/>
      <c r="B72" s="12" t="s">
        <v>2000</v>
      </c>
      <c r="C72" s="12" t="s">
        <v>98</v>
      </c>
      <c r="D72" s="9" t="s">
        <v>2001</v>
      </c>
      <c r="E72" s="21"/>
      <c r="F72" s="19"/>
      <c r="G72" s="19" t="s">
        <v>2220</v>
      </c>
      <c r="H72" s="71"/>
      <c r="I72" s="19"/>
      <c r="J72" s="25" t="s">
        <v>306</v>
      </c>
      <c r="K72" s="25" t="s">
        <v>74</v>
      </c>
      <c r="L72" s="25" t="s">
        <v>100</v>
      </c>
    </row>
    <row r="73" spans="1:12" s="1" customFormat="1">
      <c r="A73" s="89"/>
      <c r="B73" s="12" t="s">
        <v>2002</v>
      </c>
      <c r="C73" s="12" t="s">
        <v>98</v>
      </c>
      <c r="D73" s="9" t="s">
        <v>2003</v>
      </c>
      <c r="E73" s="21"/>
      <c r="F73" s="19"/>
      <c r="G73" s="19" t="s">
        <v>2221</v>
      </c>
      <c r="H73" s="71"/>
      <c r="I73" s="19"/>
      <c r="J73" s="25" t="s">
        <v>306</v>
      </c>
      <c r="K73" s="25" t="s">
        <v>74</v>
      </c>
      <c r="L73" s="25" t="s">
        <v>100</v>
      </c>
    </row>
    <row r="74" spans="1:12" s="1" customFormat="1">
      <c r="A74" s="89"/>
      <c r="B74" s="12" t="s">
        <v>2004</v>
      </c>
      <c r="C74" s="12" t="s">
        <v>98</v>
      </c>
      <c r="D74" s="9" t="s">
        <v>2005</v>
      </c>
      <c r="E74" s="21"/>
      <c r="F74" s="19"/>
      <c r="G74" s="19" t="s">
        <v>2222</v>
      </c>
      <c r="H74" s="71"/>
      <c r="I74" s="19"/>
      <c r="J74" s="25" t="s">
        <v>306</v>
      </c>
      <c r="K74" s="25" t="s">
        <v>74</v>
      </c>
      <c r="L74" s="25" t="s">
        <v>100</v>
      </c>
    </row>
    <row r="75" spans="1:12" s="1" customFormat="1">
      <c r="A75" s="89"/>
      <c r="B75" s="12" t="s">
        <v>2007</v>
      </c>
      <c r="C75" s="12" t="s">
        <v>1991</v>
      </c>
      <c r="D75" s="9" t="s">
        <v>2008</v>
      </c>
      <c r="E75" s="21"/>
      <c r="F75" s="19"/>
      <c r="G75" s="19" t="s">
        <v>2186</v>
      </c>
      <c r="H75" s="71"/>
      <c r="I75" s="19"/>
      <c r="J75" s="25" t="s">
        <v>306</v>
      </c>
      <c r="K75" s="25" t="s">
        <v>115</v>
      </c>
      <c r="L75" s="25" t="s">
        <v>100</v>
      </c>
    </row>
    <row r="76" spans="1:12" s="1" customFormat="1">
      <c r="A76" s="89"/>
      <c r="B76" s="12" t="s">
        <v>2010</v>
      </c>
      <c r="C76" s="12" t="s">
        <v>98</v>
      </c>
      <c r="D76" s="9" t="s">
        <v>2011</v>
      </c>
      <c r="E76" s="21"/>
      <c r="F76" s="19"/>
      <c r="G76" s="19" t="s">
        <v>2223</v>
      </c>
      <c r="H76" s="71"/>
      <c r="I76" s="19"/>
      <c r="J76" s="25" t="s">
        <v>306</v>
      </c>
      <c r="K76" s="25" t="s">
        <v>74</v>
      </c>
      <c r="L76" s="25" t="s">
        <v>100</v>
      </c>
    </row>
    <row r="77" spans="1:12" s="1" customFormat="1">
      <c r="A77" s="89"/>
      <c r="B77" s="12" t="s">
        <v>2012</v>
      </c>
      <c r="C77" s="12" t="s">
        <v>98</v>
      </c>
      <c r="D77" s="9" t="s">
        <v>2013</v>
      </c>
      <c r="E77" s="21"/>
      <c r="F77" s="19"/>
      <c r="G77" s="19" t="s">
        <v>2224</v>
      </c>
      <c r="H77" s="71"/>
      <c r="I77" s="19"/>
      <c r="J77" s="25" t="s">
        <v>306</v>
      </c>
      <c r="K77" s="25" t="s">
        <v>74</v>
      </c>
      <c r="L77" s="25" t="s">
        <v>100</v>
      </c>
    </row>
    <row r="78" spans="1:12" s="1" customFormat="1">
      <c r="A78" s="89"/>
      <c r="B78" s="12" t="s">
        <v>2014</v>
      </c>
      <c r="C78" s="12" t="s">
        <v>98</v>
      </c>
      <c r="D78" s="9" t="s">
        <v>2015</v>
      </c>
      <c r="E78" s="21"/>
      <c r="F78" s="19"/>
      <c r="G78" s="19" t="s">
        <v>2225</v>
      </c>
      <c r="H78" s="71"/>
      <c r="I78" s="19"/>
      <c r="J78" s="25" t="s">
        <v>306</v>
      </c>
      <c r="K78" s="25" t="s">
        <v>74</v>
      </c>
      <c r="L78" s="25" t="s">
        <v>100</v>
      </c>
    </row>
    <row r="79" spans="1:12" s="1" customFormat="1">
      <c r="A79" s="89"/>
      <c r="B79" s="12" t="s">
        <v>2016</v>
      </c>
      <c r="C79" s="12" t="s">
        <v>98</v>
      </c>
      <c r="D79" s="9" t="s">
        <v>2017</v>
      </c>
      <c r="E79" s="21"/>
      <c r="F79" s="19"/>
      <c r="G79" s="19" t="s">
        <v>2226</v>
      </c>
      <c r="H79" s="71"/>
      <c r="I79" s="19"/>
      <c r="J79" s="25" t="s">
        <v>306</v>
      </c>
      <c r="K79" s="25" t="s">
        <v>74</v>
      </c>
      <c r="L79" s="25" t="s">
        <v>100</v>
      </c>
    </row>
    <row r="80" spans="1:12" s="1" customFormat="1">
      <c r="A80" s="89"/>
      <c r="B80" s="12" t="s">
        <v>2018</v>
      </c>
      <c r="C80" s="12" t="s">
        <v>98</v>
      </c>
      <c r="D80" s="9" t="s">
        <v>2019</v>
      </c>
      <c r="E80" s="21"/>
      <c r="F80" s="19"/>
      <c r="G80" s="19" t="s">
        <v>2227</v>
      </c>
      <c r="H80" s="71"/>
      <c r="I80" s="19"/>
      <c r="J80" s="25" t="s">
        <v>306</v>
      </c>
      <c r="K80" s="25" t="s">
        <v>74</v>
      </c>
      <c r="L80" s="25" t="s">
        <v>100</v>
      </c>
    </row>
    <row r="81" spans="1:12" s="1" customFormat="1">
      <c r="A81" s="89"/>
      <c r="B81" s="12" t="s">
        <v>2020</v>
      </c>
      <c r="C81" s="12" t="s">
        <v>1991</v>
      </c>
      <c r="D81" s="9" t="s">
        <v>2021</v>
      </c>
      <c r="E81" s="21"/>
      <c r="F81" s="19"/>
      <c r="G81" s="19" t="s">
        <v>2228</v>
      </c>
      <c r="H81" s="71"/>
      <c r="I81" s="19"/>
      <c r="J81" s="25" t="s">
        <v>306</v>
      </c>
      <c r="K81" s="25" t="s">
        <v>115</v>
      </c>
      <c r="L81" s="25" t="s">
        <v>100</v>
      </c>
    </row>
    <row r="82" spans="1:12" s="1" customFormat="1">
      <c r="A82" s="89"/>
      <c r="B82" s="12" t="s">
        <v>2023</v>
      </c>
      <c r="C82" s="12" t="s">
        <v>1991</v>
      </c>
      <c r="D82" s="9" t="s">
        <v>2024</v>
      </c>
      <c r="E82" s="21"/>
      <c r="F82" s="19"/>
      <c r="G82" s="19" t="s">
        <v>2187</v>
      </c>
      <c r="H82" s="71"/>
      <c r="I82" s="19"/>
      <c r="J82" s="25" t="s">
        <v>306</v>
      </c>
      <c r="K82" s="25" t="s">
        <v>115</v>
      </c>
      <c r="L82" s="25" t="s">
        <v>100</v>
      </c>
    </row>
    <row r="83" spans="1:12" s="1" customFormat="1">
      <c r="A83" s="89"/>
      <c r="B83" s="12" t="s">
        <v>2026</v>
      </c>
      <c r="C83" s="12" t="s">
        <v>98</v>
      </c>
      <c r="D83" s="9" t="s">
        <v>2027</v>
      </c>
      <c r="E83" s="21"/>
      <c r="F83" s="19"/>
      <c r="G83" s="19" t="s">
        <v>2229</v>
      </c>
      <c r="H83" s="71"/>
      <c r="I83" s="19"/>
      <c r="J83" s="25" t="s">
        <v>306</v>
      </c>
      <c r="K83" s="25" t="s">
        <v>74</v>
      </c>
      <c r="L83" s="25" t="s">
        <v>100</v>
      </c>
    </row>
    <row r="84" spans="1:12" s="1" customFormat="1">
      <c r="A84" s="89"/>
      <c r="B84" s="12" t="s">
        <v>2028</v>
      </c>
      <c r="C84" s="12" t="s">
        <v>98</v>
      </c>
      <c r="D84" s="9" t="s">
        <v>2029</v>
      </c>
      <c r="E84" s="21"/>
      <c r="F84" s="19"/>
      <c r="G84" s="19" t="s">
        <v>2230</v>
      </c>
      <c r="H84" s="71"/>
      <c r="I84" s="19"/>
      <c r="J84" s="25" t="s">
        <v>306</v>
      </c>
      <c r="K84" s="25" t="s">
        <v>74</v>
      </c>
      <c r="L84" s="25" t="s">
        <v>100</v>
      </c>
    </row>
    <row r="85" spans="1:12" s="1" customFormat="1">
      <c r="A85" s="89"/>
      <c r="B85" s="12" t="s">
        <v>2030</v>
      </c>
      <c r="C85" s="12" t="s">
        <v>98</v>
      </c>
      <c r="D85" s="9" t="s">
        <v>2031</v>
      </c>
      <c r="E85" s="21"/>
      <c r="F85" s="19"/>
      <c r="G85" s="19" t="s">
        <v>2231</v>
      </c>
      <c r="H85" s="71"/>
      <c r="I85" s="19"/>
      <c r="J85" s="25" t="s">
        <v>306</v>
      </c>
      <c r="K85" s="25" t="s">
        <v>74</v>
      </c>
      <c r="L85" s="25" t="s">
        <v>100</v>
      </c>
    </row>
    <row r="86" spans="1:12" s="1" customFormat="1">
      <c r="A86" s="89"/>
      <c r="B86" s="12" t="s">
        <v>2032</v>
      </c>
      <c r="C86" s="12" t="s">
        <v>98</v>
      </c>
      <c r="D86" s="9" t="s">
        <v>2033</v>
      </c>
      <c r="E86" s="21"/>
      <c r="F86" s="19"/>
      <c r="G86" s="19" t="s">
        <v>2232</v>
      </c>
      <c r="H86" s="71"/>
      <c r="I86" s="19"/>
      <c r="J86" s="25" t="s">
        <v>306</v>
      </c>
      <c r="K86" s="25" t="s">
        <v>74</v>
      </c>
      <c r="L86" s="25" t="s">
        <v>100</v>
      </c>
    </row>
    <row r="87" spans="1:12" s="1" customFormat="1">
      <c r="A87" s="89"/>
      <c r="B87" s="12" t="s">
        <v>2034</v>
      </c>
      <c r="C87" s="12" t="s">
        <v>98</v>
      </c>
      <c r="D87" s="9" t="s">
        <v>2035</v>
      </c>
      <c r="E87" s="21"/>
      <c r="F87" s="19"/>
      <c r="G87" s="19" t="s">
        <v>2233</v>
      </c>
      <c r="H87" s="71"/>
      <c r="I87" s="19"/>
      <c r="J87" s="25" t="s">
        <v>306</v>
      </c>
      <c r="K87" s="25" t="s">
        <v>74</v>
      </c>
      <c r="L87" s="25" t="s">
        <v>100</v>
      </c>
    </row>
    <row r="88" spans="1:12" s="1" customFormat="1">
      <c r="A88" s="89"/>
      <c r="B88" s="12" t="s">
        <v>2036</v>
      </c>
      <c r="C88" s="12" t="s">
        <v>1991</v>
      </c>
      <c r="D88" s="9" t="s">
        <v>2037</v>
      </c>
      <c r="E88" s="21"/>
      <c r="F88" s="19"/>
      <c r="G88" s="19" t="s">
        <v>2191</v>
      </c>
      <c r="H88" s="71"/>
      <c r="I88" s="19"/>
      <c r="J88" s="25" t="s">
        <v>306</v>
      </c>
      <c r="K88" s="25" t="s">
        <v>115</v>
      </c>
      <c r="L88" s="25" t="s">
        <v>100</v>
      </c>
    </row>
    <row r="89" spans="1:12" s="1" customFormat="1">
      <c r="A89" s="89"/>
      <c r="B89" s="12" t="s">
        <v>2039</v>
      </c>
      <c r="C89" s="12" t="s">
        <v>98</v>
      </c>
      <c r="D89" s="9" t="s">
        <v>2040</v>
      </c>
      <c r="E89" s="21"/>
      <c r="F89" s="19"/>
      <c r="G89" s="19" t="s">
        <v>2234</v>
      </c>
      <c r="H89" s="71"/>
      <c r="I89" s="19"/>
      <c r="J89" s="25" t="s">
        <v>306</v>
      </c>
      <c r="K89" s="25" t="s">
        <v>74</v>
      </c>
      <c r="L89" s="25" t="s">
        <v>100</v>
      </c>
    </row>
    <row r="90" spans="1:12" s="1" customFormat="1">
      <c r="A90" s="89"/>
      <c r="B90" s="12" t="s">
        <v>2042</v>
      </c>
      <c r="C90" s="12" t="s">
        <v>1991</v>
      </c>
      <c r="D90" s="9" t="s">
        <v>2043</v>
      </c>
      <c r="E90" s="21"/>
      <c r="F90" s="19"/>
      <c r="G90" s="19" t="s">
        <v>2193</v>
      </c>
      <c r="H90" s="71"/>
      <c r="I90" s="19"/>
      <c r="J90" s="25" t="s">
        <v>306</v>
      </c>
      <c r="K90" s="25" t="s">
        <v>115</v>
      </c>
      <c r="L90" s="25" t="s">
        <v>100</v>
      </c>
    </row>
    <row r="91" spans="1:12" s="1" customFormat="1">
      <c r="A91" s="89"/>
      <c r="B91" s="12" t="s">
        <v>2045</v>
      </c>
      <c r="C91" s="12" t="s">
        <v>98</v>
      </c>
      <c r="D91" s="9" t="s">
        <v>2046</v>
      </c>
      <c r="E91" s="21"/>
      <c r="F91" s="19"/>
      <c r="G91" s="19" t="s">
        <v>2235</v>
      </c>
      <c r="H91" s="71"/>
      <c r="I91" s="19"/>
      <c r="J91" s="25" t="s">
        <v>306</v>
      </c>
      <c r="K91" s="25" t="s">
        <v>74</v>
      </c>
      <c r="L91" s="25" t="s">
        <v>100</v>
      </c>
    </row>
    <row r="92" spans="1:12" s="1" customFormat="1">
      <c r="A92" s="89"/>
      <c r="B92" s="12" t="s">
        <v>2048</v>
      </c>
      <c r="C92" s="12" t="s">
        <v>771</v>
      </c>
      <c r="D92" s="9" t="s">
        <v>2049</v>
      </c>
      <c r="E92" s="21"/>
      <c r="F92" s="19"/>
      <c r="G92" s="19" t="s">
        <v>2236</v>
      </c>
      <c r="H92" s="71"/>
      <c r="I92" s="19"/>
      <c r="J92" s="25" t="s">
        <v>306</v>
      </c>
      <c r="K92" s="25" t="s">
        <v>1208</v>
      </c>
      <c r="L92" s="25" t="s">
        <v>1209</v>
      </c>
    </row>
    <row r="93" spans="1:12" s="1" customFormat="1">
      <c r="A93" s="89"/>
      <c r="B93" s="12" t="s">
        <v>2051</v>
      </c>
      <c r="C93" s="12" t="s">
        <v>1991</v>
      </c>
      <c r="D93" s="9" t="s">
        <v>1827</v>
      </c>
      <c r="E93" s="21"/>
      <c r="F93" s="19"/>
      <c r="G93" s="19" t="s">
        <v>2243</v>
      </c>
      <c r="H93" s="71"/>
      <c r="I93" s="19"/>
      <c r="J93" s="25" t="s">
        <v>306</v>
      </c>
      <c r="K93" s="25" t="s">
        <v>800</v>
      </c>
      <c r="L93" s="25" t="s">
        <v>100</v>
      </c>
    </row>
    <row r="94" spans="1:12" s="1" customFormat="1">
      <c r="A94" s="89"/>
      <c r="B94" s="12" t="s">
        <v>2053</v>
      </c>
      <c r="C94" s="12" t="s">
        <v>771</v>
      </c>
      <c r="D94" s="9" t="s">
        <v>2054</v>
      </c>
      <c r="E94" s="21"/>
      <c r="F94" s="19"/>
      <c r="G94" s="19" t="s">
        <v>2237</v>
      </c>
      <c r="H94" s="71"/>
      <c r="I94" s="19"/>
      <c r="J94" s="25" t="s">
        <v>306</v>
      </c>
      <c r="K94" s="25" t="s">
        <v>1208</v>
      </c>
      <c r="L94" s="25" t="s">
        <v>1209</v>
      </c>
    </row>
    <row r="95" spans="1:12" s="1" customFormat="1">
      <c r="A95" s="89"/>
      <c r="B95" s="12" t="s">
        <v>1828</v>
      </c>
      <c r="C95" s="12" t="s">
        <v>1991</v>
      </c>
      <c r="D95" s="9" t="s">
        <v>2056</v>
      </c>
      <c r="E95" s="21"/>
      <c r="F95" s="19"/>
      <c r="G95" s="19" t="s">
        <v>2244</v>
      </c>
      <c r="H95" s="71"/>
      <c r="I95" s="19"/>
      <c r="J95" s="25" t="s">
        <v>306</v>
      </c>
      <c r="K95" s="25" t="s">
        <v>800</v>
      </c>
      <c r="L95" s="25" t="s">
        <v>100</v>
      </c>
    </row>
    <row r="96" spans="1:12" s="1" customFormat="1">
      <c r="A96" s="89"/>
      <c r="B96" s="12" t="s">
        <v>2058</v>
      </c>
      <c r="C96" s="12" t="s">
        <v>98</v>
      </c>
      <c r="D96" s="9" t="s">
        <v>2059</v>
      </c>
      <c r="E96" s="21"/>
      <c r="F96" s="19"/>
      <c r="G96" s="19" t="s">
        <v>2238</v>
      </c>
      <c r="H96" s="71"/>
      <c r="I96" s="19"/>
      <c r="J96" s="25" t="s">
        <v>306</v>
      </c>
      <c r="K96" s="25" t="s">
        <v>74</v>
      </c>
      <c r="L96" s="25" t="s">
        <v>100</v>
      </c>
    </row>
    <row r="97" spans="1:17" s="1" customFormat="1">
      <c r="A97" s="89"/>
      <c r="B97" s="12" t="s">
        <v>1830</v>
      </c>
      <c r="C97" s="12" t="s">
        <v>1991</v>
      </c>
      <c r="D97" s="9" t="s">
        <v>2061</v>
      </c>
      <c r="E97" s="21"/>
      <c r="F97" s="19"/>
      <c r="G97" s="19" t="s">
        <v>2246</v>
      </c>
      <c r="H97" s="71"/>
      <c r="I97" s="19"/>
      <c r="J97" s="25" t="s">
        <v>306</v>
      </c>
      <c r="K97" s="25" t="s">
        <v>115</v>
      </c>
      <c r="L97" s="25" t="s">
        <v>100</v>
      </c>
    </row>
    <row r="98" spans="1:17" s="1" customFormat="1">
      <c r="A98" s="89"/>
      <c r="B98" s="12" t="s">
        <v>2063</v>
      </c>
      <c r="C98" s="12" t="s">
        <v>98</v>
      </c>
      <c r="D98" s="9" t="s">
        <v>2064</v>
      </c>
      <c r="E98" s="21"/>
      <c r="F98" s="19"/>
      <c r="G98" s="19" t="s">
        <v>2239</v>
      </c>
      <c r="H98" s="71"/>
      <c r="I98" s="19"/>
      <c r="J98" s="25" t="s">
        <v>306</v>
      </c>
      <c r="K98" s="25" t="s">
        <v>1208</v>
      </c>
      <c r="L98" s="25" t="s">
        <v>100</v>
      </c>
    </row>
    <row r="99" spans="1:17" s="1" customFormat="1">
      <c r="A99" s="89"/>
      <c r="B99" s="12" t="s">
        <v>2066</v>
      </c>
      <c r="C99" s="12" t="s">
        <v>1991</v>
      </c>
      <c r="D99" s="9" t="s">
        <v>2067</v>
      </c>
      <c r="E99" s="21"/>
      <c r="F99" s="19"/>
      <c r="G99" s="19" t="s">
        <v>2247</v>
      </c>
      <c r="H99" s="71"/>
      <c r="I99" s="19"/>
      <c r="J99" s="25" t="s">
        <v>306</v>
      </c>
      <c r="K99" s="25" t="s">
        <v>115</v>
      </c>
      <c r="L99" s="25" t="s">
        <v>100</v>
      </c>
    </row>
    <row r="100" spans="1:17" s="1" customFormat="1">
      <c r="A100" s="89"/>
      <c r="B100" s="12" t="s">
        <v>1819</v>
      </c>
      <c r="C100" s="12" t="s">
        <v>1991</v>
      </c>
      <c r="D100" s="9" t="s">
        <v>1820</v>
      </c>
      <c r="E100" s="21"/>
      <c r="F100" s="19"/>
      <c r="G100" s="19" t="s">
        <v>2249</v>
      </c>
      <c r="H100" s="71"/>
      <c r="I100" s="19"/>
      <c r="J100" s="25" t="s">
        <v>306</v>
      </c>
      <c r="K100" s="25" t="s">
        <v>115</v>
      </c>
      <c r="L100" s="25" t="s">
        <v>100</v>
      </c>
    </row>
    <row r="101" spans="1:17" s="1" customFormat="1">
      <c r="A101" s="89"/>
      <c r="B101" s="12" t="s">
        <v>2070</v>
      </c>
      <c r="C101" s="12" t="s">
        <v>98</v>
      </c>
      <c r="D101" s="9" t="s">
        <v>2071</v>
      </c>
      <c r="E101" s="21"/>
      <c r="F101" s="19"/>
      <c r="G101" s="19" t="s">
        <v>2240</v>
      </c>
      <c r="H101" s="71"/>
      <c r="I101" s="19"/>
      <c r="J101" s="25" t="s">
        <v>306</v>
      </c>
      <c r="K101" s="25" t="s">
        <v>1208</v>
      </c>
      <c r="L101" s="25" t="s">
        <v>100</v>
      </c>
    </row>
    <row r="102" spans="1:17" s="1" customFormat="1">
      <c r="A102" s="89"/>
      <c r="B102" s="12" t="s">
        <v>2073</v>
      </c>
      <c r="C102" s="12" t="s">
        <v>98</v>
      </c>
      <c r="D102" s="9" t="s">
        <v>2074</v>
      </c>
      <c r="E102" s="21"/>
      <c r="F102" s="19"/>
      <c r="G102" s="19" t="s">
        <v>2241</v>
      </c>
      <c r="H102" s="71"/>
      <c r="I102" s="19"/>
      <c r="J102" s="25" t="s">
        <v>306</v>
      </c>
      <c r="K102" s="25" t="s">
        <v>1208</v>
      </c>
      <c r="L102" s="25" t="s">
        <v>100</v>
      </c>
    </row>
    <row r="103" spans="1:17" s="1" customFormat="1">
      <c r="A103" s="89"/>
      <c r="B103" s="12" t="s">
        <v>1822</v>
      </c>
      <c r="C103" s="12" t="s">
        <v>1991</v>
      </c>
      <c r="D103" s="9" t="s">
        <v>2076</v>
      </c>
      <c r="E103" s="21"/>
      <c r="F103" s="19"/>
      <c r="G103" s="19" t="s">
        <v>2250</v>
      </c>
      <c r="H103" s="71"/>
      <c r="I103" s="19"/>
      <c r="J103" s="25" t="s">
        <v>306</v>
      </c>
      <c r="K103" s="25" t="s">
        <v>115</v>
      </c>
      <c r="L103" s="25" t="s">
        <v>100</v>
      </c>
    </row>
    <row r="104" spans="1:17" s="1" customFormat="1">
      <c r="A104" s="89"/>
      <c r="B104" s="12" t="s">
        <v>2078</v>
      </c>
      <c r="C104" s="12" t="s">
        <v>98</v>
      </c>
      <c r="D104" s="9" t="s">
        <v>2079</v>
      </c>
      <c r="E104" s="21"/>
      <c r="F104" s="19"/>
      <c r="G104" s="19" t="s">
        <v>2242</v>
      </c>
      <c r="H104" s="71"/>
      <c r="I104" s="19"/>
      <c r="J104" s="25" t="s">
        <v>306</v>
      </c>
      <c r="K104" s="25" t="s">
        <v>1208</v>
      </c>
      <c r="L104" s="25" t="s">
        <v>100</v>
      </c>
    </row>
    <row r="105" spans="1:17" s="1" customFormat="1">
      <c r="A105" s="89"/>
      <c r="B105" s="12" t="s">
        <v>2081</v>
      </c>
      <c r="C105" s="12" t="s">
        <v>98</v>
      </c>
      <c r="D105" s="9" t="s">
        <v>1614</v>
      </c>
      <c r="E105" s="21"/>
      <c r="F105" s="19"/>
      <c r="G105" s="19" t="s">
        <v>2316</v>
      </c>
      <c r="H105" s="71"/>
      <c r="I105" s="19"/>
      <c r="J105" s="25" t="s">
        <v>306</v>
      </c>
      <c r="K105" s="25" t="s">
        <v>74</v>
      </c>
      <c r="L105" s="25" t="s">
        <v>100</v>
      </c>
    </row>
    <row r="106" spans="1:17" s="1" customFormat="1">
      <c r="A106" s="89"/>
      <c r="B106" s="12" t="s">
        <v>2175</v>
      </c>
      <c r="C106" s="12" t="s">
        <v>71</v>
      </c>
      <c r="D106" s="9" t="s">
        <v>2082</v>
      </c>
      <c r="E106" s="21"/>
      <c r="F106" s="19"/>
      <c r="G106" s="27" t="s">
        <v>2176</v>
      </c>
      <c r="H106" s="71"/>
      <c r="I106" s="103">
        <v>20250415101139</v>
      </c>
      <c r="J106" s="25" t="s">
        <v>306</v>
      </c>
      <c r="K106" s="25" t="s">
        <v>74</v>
      </c>
      <c r="L106" s="25" t="s">
        <v>1498</v>
      </c>
    </row>
    <row r="107" spans="1:17" s="1" customFormat="1">
      <c r="A107" s="89"/>
      <c r="B107" s="12" t="s">
        <v>2177</v>
      </c>
      <c r="C107" s="12" t="s">
        <v>71</v>
      </c>
      <c r="D107" s="9" t="s">
        <v>2084</v>
      </c>
      <c r="E107" s="21"/>
      <c r="F107" s="19"/>
      <c r="G107" s="27" t="s">
        <v>2178</v>
      </c>
      <c r="H107" s="71"/>
      <c r="I107" s="103">
        <v>20250415101024</v>
      </c>
      <c r="J107" s="25" t="s">
        <v>306</v>
      </c>
      <c r="K107" s="25" t="s">
        <v>74</v>
      </c>
      <c r="L107" s="25" t="s">
        <v>1498</v>
      </c>
    </row>
    <row r="108" spans="1:17" s="2" customFormat="1">
      <c r="B108" s="14" t="s">
        <v>80</v>
      </c>
      <c r="C108" s="15" t="s">
        <v>75</v>
      </c>
      <c r="D108" s="16" t="s">
        <v>103</v>
      </c>
      <c r="E108" s="24"/>
      <c r="F108" s="24"/>
      <c r="G108" s="24" t="s">
        <v>293</v>
      </c>
      <c r="H108" s="24" t="s">
        <v>293</v>
      </c>
      <c r="I108" s="14"/>
      <c r="J108" s="14"/>
      <c r="K108" s="14"/>
      <c r="L108" s="14"/>
      <c r="M108" s="14"/>
      <c r="N108" s="14"/>
      <c r="O108" s="14"/>
      <c r="P108" s="14"/>
      <c r="Q108" s="14"/>
    </row>
    <row r="109" spans="1:17" s="2" customFormat="1">
      <c r="B109" s="14" t="s">
        <v>0</v>
      </c>
      <c r="C109" s="15" t="s">
        <v>71</v>
      </c>
      <c r="D109" s="16" t="s">
        <v>104</v>
      </c>
      <c r="E109" s="24"/>
      <c r="F109" s="24"/>
      <c r="G109" s="24" t="s">
        <v>293</v>
      </c>
      <c r="H109" s="24" t="s">
        <v>293</v>
      </c>
      <c r="I109" s="14"/>
      <c r="J109" s="14"/>
      <c r="K109" s="14"/>
      <c r="L109" s="14"/>
      <c r="M109" s="14"/>
      <c r="N109" s="14"/>
      <c r="O109" s="14"/>
      <c r="P109" s="14"/>
      <c r="Q109" s="14"/>
    </row>
    <row r="110" spans="1:17" s="2" customFormat="1">
      <c r="B110" s="14" t="s">
        <v>1</v>
      </c>
      <c r="C110" s="15" t="s">
        <v>75</v>
      </c>
      <c r="D110" s="16" t="s">
        <v>105</v>
      </c>
      <c r="E110" s="24"/>
      <c r="F110" s="24"/>
      <c r="G110" s="24" t="s">
        <v>293</v>
      </c>
      <c r="H110" s="24" t="s">
        <v>293</v>
      </c>
      <c r="I110" s="14"/>
      <c r="J110" s="14"/>
      <c r="K110" s="14"/>
      <c r="L110" s="14"/>
      <c r="M110" s="14"/>
      <c r="N110" s="14"/>
      <c r="O110" s="14"/>
      <c r="P110" s="14"/>
      <c r="Q110" s="14"/>
    </row>
  </sheetData>
  <autoFilter ref="A13:Q110" xr:uid="{E16EFA29-E820-4A10-98BC-CF6E577605DD}"/>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D48D5-A021-4839-A58B-218ED261F1E1}">
  <dimension ref="A1:Q107"/>
  <sheetViews>
    <sheetView zoomScale="85" zoomScaleNormal="85" workbookViewId="0">
      <pane ySplit="5" topLeftCell="A6" activePane="bottomLeft" state="frozen"/>
      <selection pane="bottomLeft" activeCell="B14" sqref="B14:B107"/>
    </sheetView>
  </sheetViews>
  <sheetFormatPr defaultColWidth="9" defaultRowHeight="13.2"/>
  <cols>
    <col min="1" max="1" width="1.33203125" style="3" customWidth="1"/>
    <col min="2" max="2" width="36.109375" style="3" bestFit="1" customWidth="1"/>
    <col min="3" max="3" width="30.664062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bestFit="1"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21"/>
      <c r="C2" s="121"/>
      <c r="D2" s="121"/>
      <c r="E2" s="121"/>
      <c r="F2" s="121"/>
      <c r="G2" s="121"/>
      <c r="H2" s="121"/>
    </row>
    <row r="3" spans="1:14">
      <c r="B3" s="122" t="s">
        <v>45</v>
      </c>
      <c r="C3" s="122"/>
      <c r="D3" s="122"/>
      <c r="E3" s="122"/>
      <c r="F3" s="122"/>
      <c r="G3" s="122"/>
      <c r="H3" s="122"/>
    </row>
    <row r="4" spans="1:14">
      <c r="B4" s="7" t="s">
        <v>11</v>
      </c>
      <c r="C4" s="7" t="s">
        <v>46</v>
      </c>
      <c r="D4" s="7" t="s">
        <v>47</v>
      </c>
      <c r="E4" s="7" t="s">
        <v>48</v>
      </c>
      <c r="F4" s="11" t="s">
        <v>49</v>
      </c>
      <c r="G4" s="11" t="s">
        <v>14</v>
      </c>
      <c r="H4" s="11" t="s">
        <v>50</v>
      </c>
    </row>
    <row r="5" spans="1:14">
      <c r="B5" s="8" t="s">
        <v>1910</v>
      </c>
      <c r="C5" s="68" t="s">
        <v>2325</v>
      </c>
      <c r="D5" s="9" t="s">
        <v>2326</v>
      </c>
      <c r="E5" s="12" t="s">
        <v>1159</v>
      </c>
      <c r="F5" s="17"/>
      <c r="G5" s="12"/>
      <c r="H5" s="12"/>
      <c r="N5" s="3"/>
    </row>
    <row r="6" spans="1:14">
      <c r="B6" s="6"/>
      <c r="C6" s="6"/>
      <c r="D6" s="6"/>
      <c r="E6" s="6"/>
      <c r="F6" s="18"/>
      <c r="G6" s="18"/>
      <c r="H6" s="18"/>
    </row>
    <row r="7" spans="1:14">
      <c r="B7" s="122" t="s">
        <v>51</v>
      </c>
      <c r="C7" s="122"/>
      <c r="D7" s="122"/>
      <c r="E7" s="122"/>
      <c r="F7" s="122"/>
      <c r="G7" s="122"/>
      <c r="H7" s="122"/>
    </row>
    <row r="8" spans="1:14">
      <c r="B8" s="11" t="s">
        <v>52</v>
      </c>
      <c r="C8" s="11" t="s">
        <v>53</v>
      </c>
      <c r="D8" s="11" t="s">
        <v>54</v>
      </c>
      <c r="E8" s="11" t="s">
        <v>55</v>
      </c>
      <c r="F8" s="11" t="s">
        <v>56</v>
      </c>
      <c r="G8" s="11" t="s">
        <v>24</v>
      </c>
      <c r="H8" s="11" t="s">
        <v>57</v>
      </c>
    </row>
    <row r="9" spans="1:14">
      <c r="B9" s="12"/>
      <c r="C9" s="68" t="s">
        <v>2319</v>
      </c>
      <c r="D9" s="9" t="s">
        <v>2320</v>
      </c>
      <c r="E9" s="12" t="s">
        <v>58</v>
      </c>
      <c r="F9" s="19"/>
      <c r="G9" s="19"/>
      <c r="H9" s="20" t="s">
        <v>30</v>
      </c>
    </row>
    <row r="11" spans="1:14">
      <c r="B11" s="3" t="s">
        <v>59</v>
      </c>
    </row>
    <row r="12" spans="1:14">
      <c r="B12" s="122" t="s">
        <v>59</v>
      </c>
      <c r="C12" s="122"/>
      <c r="D12" s="122"/>
      <c r="E12" s="122"/>
      <c r="F12" s="122"/>
      <c r="G12" s="122"/>
      <c r="H12" s="122"/>
      <c r="I12" s="122"/>
      <c r="J12" s="122"/>
      <c r="K12" s="122"/>
      <c r="L12" s="122"/>
    </row>
    <row r="13" spans="1:14">
      <c r="B13" s="7" t="s">
        <v>60</v>
      </c>
      <c r="C13" s="7" t="s">
        <v>61</v>
      </c>
      <c r="D13" s="7" t="s">
        <v>62</v>
      </c>
      <c r="E13" s="7" t="s">
        <v>63</v>
      </c>
      <c r="F13" s="11" t="s">
        <v>64</v>
      </c>
      <c r="G13" s="11" t="s">
        <v>65</v>
      </c>
      <c r="H13" s="11" t="s">
        <v>66</v>
      </c>
      <c r="I13" s="7" t="s">
        <v>24</v>
      </c>
      <c r="J13" s="7" t="s">
        <v>67</v>
      </c>
      <c r="K13" s="7" t="s">
        <v>68</v>
      </c>
      <c r="L13" s="7" t="s">
        <v>69</v>
      </c>
    </row>
    <row r="14" spans="1:14" s="1" customFormat="1">
      <c r="B14" s="13" t="s">
        <v>1259</v>
      </c>
      <c r="C14" s="13" t="s">
        <v>1914</v>
      </c>
      <c r="D14" s="9" t="s">
        <v>1469</v>
      </c>
      <c r="E14" s="21" t="s">
        <v>587</v>
      </c>
      <c r="F14" s="19" t="s">
        <v>303</v>
      </c>
      <c r="G14" s="19" t="s">
        <v>302</v>
      </c>
      <c r="H14" s="71"/>
      <c r="I14" s="25"/>
      <c r="J14" s="25" t="s">
        <v>304</v>
      </c>
      <c r="K14" s="25" t="s">
        <v>305</v>
      </c>
      <c r="L14" s="25" t="s">
        <v>1576</v>
      </c>
    </row>
    <row r="15" spans="1:14" s="1" customFormat="1">
      <c r="B15" s="13" t="s">
        <v>1159</v>
      </c>
      <c r="C15" s="13" t="s">
        <v>504</v>
      </c>
      <c r="D15" s="9" t="s">
        <v>1701</v>
      </c>
      <c r="E15" s="21" t="s">
        <v>587</v>
      </c>
      <c r="F15" s="19" t="s">
        <v>1052</v>
      </c>
      <c r="G15" s="19" t="s">
        <v>302</v>
      </c>
      <c r="H15" s="71"/>
      <c r="I15" s="25"/>
      <c r="J15" s="25" t="s">
        <v>304</v>
      </c>
      <c r="K15" s="25" t="s">
        <v>305</v>
      </c>
      <c r="L15" s="25" t="s">
        <v>1577</v>
      </c>
    </row>
    <row r="16" spans="1:14" s="1" customFormat="1">
      <c r="A16" s="89"/>
      <c r="B16" s="13" t="s">
        <v>76</v>
      </c>
      <c r="C16" s="13" t="s">
        <v>504</v>
      </c>
      <c r="D16" s="9" t="s">
        <v>1915</v>
      </c>
      <c r="E16" s="21" t="s">
        <v>587</v>
      </c>
      <c r="F16" s="19" t="s">
        <v>76</v>
      </c>
      <c r="G16" s="19" t="s">
        <v>302</v>
      </c>
      <c r="H16" s="71"/>
      <c r="I16" s="90"/>
      <c r="J16" s="25" t="s">
        <v>304</v>
      </c>
      <c r="K16" s="25" t="s">
        <v>305</v>
      </c>
      <c r="L16" s="25" t="s">
        <v>1579</v>
      </c>
    </row>
    <row r="17" spans="1:13" s="1" customFormat="1">
      <c r="A17" s="89"/>
      <c r="B17" s="13" t="s">
        <v>1580</v>
      </c>
      <c r="C17" s="13" t="s">
        <v>504</v>
      </c>
      <c r="D17" s="9" t="s">
        <v>1581</v>
      </c>
      <c r="E17" s="21" t="s">
        <v>587</v>
      </c>
      <c r="F17" s="19" t="s">
        <v>1580</v>
      </c>
      <c r="G17" s="19" t="s">
        <v>302</v>
      </c>
      <c r="H17" s="71"/>
      <c r="I17" s="90"/>
      <c r="J17" s="25" t="s">
        <v>304</v>
      </c>
      <c r="K17" s="25" t="s">
        <v>305</v>
      </c>
      <c r="L17" s="25" t="s">
        <v>1582</v>
      </c>
    </row>
    <row r="18" spans="1:13" s="1" customFormat="1">
      <c r="A18" s="89"/>
      <c r="B18" s="13" t="s">
        <v>1916</v>
      </c>
      <c r="C18" s="13" t="s">
        <v>504</v>
      </c>
      <c r="D18" s="9" t="s">
        <v>1509</v>
      </c>
      <c r="E18" s="21" t="s">
        <v>587</v>
      </c>
      <c r="F18" s="19" t="s">
        <v>301</v>
      </c>
      <c r="G18" s="19" t="s">
        <v>302</v>
      </c>
      <c r="H18" s="71"/>
      <c r="I18" s="90"/>
      <c r="J18" s="25" t="s">
        <v>304</v>
      </c>
      <c r="K18" s="25" t="s">
        <v>305</v>
      </c>
      <c r="L18" s="25" t="s">
        <v>1583</v>
      </c>
    </row>
    <row r="19" spans="1:13" s="1" customFormat="1">
      <c r="A19" s="89"/>
      <c r="B19" s="13" t="s">
        <v>81</v>
      </c>
      <c r="C19" s="13" t="s">
        <v>504</v>
      </c>
      <c r="D19" s="9" t="s">
        <v>1584</v>
      </c>
      <c r="E19" s="21" t="s">
        <v>587</v>
      </c>
      <c r="F19" s="9" t="s">
        <v>1813</v>
      </c>
      <c r="G19" s="19" t="s">
        <v>302</v>
      </c>
      <c r="H19" s="71"/>
      <c r="I19" s="90"/>
      <c r="J19" s="25" t="s">
        <v>304</v>
      </c>
      <c r="K19" s="25" t="s">
        <v>305</v>
      </c>
      <c r="L19" s="25" t="s">
        <v>1583</v>
      </c>
    </row>
    <row r="20" spans="1:13" s="1" customFormat="1">
      <c r="A20" s="89"/>
      <c r="B20" s="12" t="s">
        <v>82</v>
      </c>
      <c r="C20" s="13" t="s">
        <v>504</v>
      </c>
      <c r="D20" s="9" t="s">
        <v>1586</v>
      </c>
      <c r="E20" s="21" t="s">
        <v>587</v>
      </c>
      <c r="F20" s="9" t="s">
        <v>1816</v>
      </c>
      <c r="G20" s="19" t="s">
        <v>302</v>
      </c>
      <c r="H20" s="71"/>
      <c r="I20" s="90"/>
      <c r="J20" s="25" t="s">
        <v>304</v>
      </c>
      <c r="K20" s="25" t="s">
        <v>305</v>
      </c>
      <c r="L20" s="25" t="s">
        <v>1583</v>
      </c>
    </row>
    <row r="21" spans="1:13" s="1" customFormat="1">
      <c r="A21" s="89"/>
      <c r="B21" s="12" t="s">
        <v>83</v>
      </c>
      <c r="C21" s="13" t="s">
        <v>1914</v>
      </c>
      <c r="D21" s="9" t="s">
        <v>84</v>
      </c>
      <c r="E21" s="21" t="s">
        <v>587</v>
      </c>
      <c r="F21" s="9" t="s">
        <v>654</v>
      </c>
      <c r="G21" s="19" t="s">
        <v>302</v>
      </c>
      <c r="H21" s="71"/>
      <c r="I21" s="90"/>
      <c r="J21" s="25" t="s">
        <v>304</v>
      </c>
      <c r="K21" s="25" t="s">
        <v>305</v>
      </c>
      <c r="L21" s="25" t="s">
        <v>74</v>
      </c>
    </row>
    <row r="22" spans="1:13" s="1" customFormat="1">
      <c r="A22" s="89"/>
      <c r="B22" s="12" t="s">
        <v>85</v>
      </c>
      <c r="C22" s="13" t="s">
        <v>1914</v>
      </c>
      <c r="D22" s="9" t="s">
        <v>86</v>
      </c>
      <c r="E22" s="21" t="s">
        <v>587</v>
      </c>
      <c r="F22" s="9" t="s">
        <v>1643</v>
      </c>
      <c r="G22" s="19" t="s">
        <v>302</v>
      </c>
      <c r="H22" s="71"/>
      <c r="I22" s="90"/>
      <c r="J22" s="25" t="s">
        <v>304</v>
      </c>
      <c r="K22" s="25" t="s">
        <v>305</v>
      </c>
      <c r="L22" s="25" t="s">
        <v>74</v>
      </c>
    </row>
    <row r="23" spans="1:13" s="1" customFormat="1">
      <c r="A23" s="89"/>
      <c r="B23" s="12" t="s">
        <v>87</v>
      </c>
      <c r="C23" s="13" t="s">
        <v>1914</v>
      </c>
      <c r="D23" s="9" t="s">
        <v>88</v>
      </c>
      <c r="E23" s="21" t="s">
        <v>587</v>
      </c>
      <c r="F23" s="9" t="s">
        <v>1644</v>
      </c>
      <c r="G23" s="19" t="s">
        <v>302</v>
      </c>
      <c r="H23" s="71"/>
      <c r="I23" s="90"/>
      <c r="J23" s="25" t="s">
        <v>304</v>
      </c>
      <c r="K23" s="25" t="s">
        <v>305</v>
      </c>
      <c r="L23" s="25" t="s">
        <v>74</v>
      </c>
    </row>
    <row r="24" spans="1:13" s="1" customFormat="1">
      <c r="A24" s="89"/>
      <c r="B24" s="12" t="s">
        <v>307</v>
      </c>
      <c r="C24" s="12" t="s">
        <v>1914</v>
      </c>
      <c r="D24" s="9" t="s">
        <v>648</v>
      </c>
      <c r="E24" s="21" t="s">
        <v>587</v>
      </c>
      <c r="F24" s="9" t="s">
        <v>307</v>
      </c>
      <c r="G24" s="19" t="s">
        <v>302</v>
      </c>
      <c r="H24" s="71"/>
      <c r="I24" s="102"/>
      <c r="J24" s="25" t="s">
        <v>304</v>
      </c>
      <c r="K24" s="25" t="s">
        <v>305</v>
      </c>
      <c r="L24" s="25" t="s">
        <v>74</v>
      </c>
    </row>
    <row r="25" spans="1:13" s="1" customFormat="1">
      <c r="A25" s="89"/>
      <c r="B25" s="12" t="s">
        <v>308</v>
      </c>
      <c r="C25" s="12" t="s">
        <v>71</v>
      </c>
      <c r="D25" s="9" t="s">
        <v>93</v>
      </c>
      <c r="E25" s="21" t="s">
        <v>587</v>
      </c>
      <c r="F25" s="9" t="s">
        <v>308</v>
      </c>
      <c r="G25" s="19" t="s">
        <v>302</v>
      </c>
      <c r="H25" s="71"/>
      <c r="I25" s="90"/>
      <c r="J25" s="25" t="s">
        <v>304</v>
      </c>
      <c r="K25" s="25" t="s">
        <v>305</v>
      </c>
      <c r="L25" s="25" t="s">
        <v>74</v>
      </c>
    </row>
    <row r="26" spans="1:13" s="1" customFormat="1">
      <c r="A26" s="89"/>
      <c r="B26" s="12" t="s">
        <v>94</v>
      </c>
      <c r="C26" s="12" t="s">
        <v>71</v>
      </c>
      <c r="D26" s="9" t="s">
        <v>95</v>
      </c>
      <c r="E26" s="21" t="s">
        <v>587</v>
      </c>
      <c r="F26" s="9" t="s">
        <v>94</v>
      </c>
      <c r="G26" s="19" t="s">
        <v>302</v>
      </c>
      <c r="H26" s="71"/>
      <c r="I26" s="90"/>
      <c r="J26" s="25" t="s">
        <v>304</v>
      </c>
      <c r="K26" s="25" t="s">
        <v>305</v>
      </c>
      <c r="L26" s="25" t="s">
        <v>74</v>
      </c>
    </row>
    <row r="27" spans="1:13" s="1" customFormat="1">
      <c r="A27" s="89"/>
      <c r="B27" s="12" t="s">
        <v>616</v>
      </c>
      <c r="C27" s="12" t="s">
        <v>71</v>
      </c>
      <c r="D27" s="9" t="s">
        <v>1587</v>
      </c>
      <c r="E27" s="21" t="s">
        <v>587</v>
      </c>
      <c r="F27" s="9" t="s">
        <v>616</v>
      </c>
      <c r="G27" s="19" t="s">
        <v>302</v>
      </c>
      <c r="H27" s="71"/>
      <c r="I27" s="90"/>
      <c r="J27" s="25" t="s">
        <v>304</v>
      </c>
      <c r="K27" s="25" t="s">
        <v>305</v>
      </c>
      <c r="L27" s="25" t="s">
        <v>74</v>
      </c>
    </row>
    <row r="28" spans="1:13" s="1" customFormat="1">
      <c r="B28" s="13" t="s">
        <v>2409</v>
      </c>
      <c r="C28" s="26" t="s">
        <v>71</v>
      </c>
      <c r="D28" s="9" t="s">
        <v>1840</v>
      </c>
      <c r="E28" s="21" t="s">
        <v>587</v>
      </c>
      <c r="F28" s="9" t="s">
        <v>1918</v>
      </c>
      <c r="G28" s="19" t="s">
        <v>302</v>
      </c>
      <c r="H28" s="71"/>
      <c r="I28" s="25"/>
      <c r="J28" s="25" t="s">
        <v>304</v>
      </c>
      <c r="K28" s="25" t="s">
        <v>305</v>
      </c>
      <c r="L28" s="25" t="s">
        <v>1842</v>
      </c>
    </row>
    <row r="29" spans="1:13" s="89" customFormat="1">
      <c r="B29" s="13" t="s">
        <v>96</v>
      </c>
      <c r="C29" s="12" t="s">
        <v>71</v>
      </c>
      <c r="D29" s="9" t="s">
        <v>1592</v>
      </c>
      <c r="E29" s="21" t="s">
        <v>587</v>
      </c>
      <c r="F29" s="19" t="s">
        <v>96</v>
      </c>
      <c r="G29" s="19" t="s">
        <v>302</v>
      </c>
      <c r="H29" s="71"/>
      <c r="I29" s="90"/>
      <c r="J29" s="25" t="s">
        <v>304</v>
      </c>
      <c r="K29" s="25" t="s">
        <v>305</v>
      </c>
      <c r="L29" s="25" t="s">
        <v>1583</v>
      </c>
      <c r="M29" s="1"/>
    </row>
    <row r="30" spans="1:13" s="1" customFormat="1">
      <c r="A30" s="89"/>
      <c r="B30" s="12" t="s">
        <v>1845</v>
      </c>
      <c r="C30" s="12" t="s">
        <v>504</v>
      </c>
      <c r="D30" s="9" t="s">
        <v>1920</v>
      </c>
      <c r="E30" s="21" t="s">
        <v>587</v>
      </c>
      <c r="F30" s="19" t="s">
        <v>1845</v>
      </c>
      <c r="G30" s="19" t="s">
        <v>302</v>
      </c>
      <c r="H30" s="71"/>
      <c r="I30" s="19"/>
      <c r="J30" s="25" t="s">
        <v>304</v>
      </c>
      <c r="K30" s="25" t="s">
        <v>305</v>
      </c>
      <c r="L30" s="25" t="s">
        <v>1921</v>
      </c>
    </row>
    <row r="31" spans="1:13" s="1" customFormat="1">
      <c r="A31" s="89"/>
      <c r="B31" s="12" t="s">
        <v>1922</v>
      </c>
      <c r="C31" s="12" t="s">
        <v>504</v>
      </c>
      <c r="D31" s="9" t="s">
        <v>1923</v>
      </c>
      <c r="E31" s="21" t="s">
        <v>587</v>
      </c>
      <c r="F31" s="19" t="s">
        <v>1922</v>
      </c>
      <c r="G31" s="19" t="s">
        <v>302</v>
      </c>
      <c r="H31" s="71"/>
      <c r="I31" s="19"/>
      <c r="J31" s="25" t="s">
        <v>304</v>
      </c>
      <c r="K31" s="25" t="s">
        <v>305</v>
      </c>
      <c r="L31" s="25" t="s">
        <v>1921</v>
      </c>
    </row>
    <row r="32" spans="1:13" s="1" customFormat="1">
      <c r="A32" s="89"/>
      <c r="B32" s="12" t="s">
        <v>1924</v>
      </c>
      <c r="C32" s="12" t="s">
        <v>98</v>
      </c>
      <c r="D32" s="9" t="s">
        <v>1617</v>
      </c>
      <c r="E32" s="21"/>
      <c r="F32" s="19"/>
      <c r="G32" s="19" t="s">
        <v>1688</v>
      </c>
      <c r="H32" s="71"/>
      <c r="I32" s="19"/>
      <c r="J32" s="25" t="s">
        <v>306</v>
      </c>
      <c r="K32" s="25" t="s">
        <v>305</v>
      </c>
      <c r="L32" s="25" t="s">
        <v>1209</v>
      </c>
    </row>
    <row r="33" spans="1:12" s="1" customFormat="1">
      <c r="A33" s="89"/>
      <c r="B33" s="12" t="s">
        <v>300</v>
      </c>
      <c r="C33" s="12" t="s">
        <v>98</v>
      </c>
      <c r="D33" s="9" t="s">
        <v>1926</v>
      </c>
      <c r="E33" s="21"/>
      <c r="F33" s="19"/>
      <c r="G33" s="19" t="s">
        <v>120</v>
      </c>
      <c r="H33" s="19"/>
      <c r="I33" s="19"/>
      <c r="J33" s="25" t="s">
        <v>306</v>
      </c>
      <c r="K33" s="25" t="s">
        <v>305</v>
      </c>
      <c r="L33" s="25" t="s">
        <v>1209</v>
      </c>
    </row>
    <row r="34" spans="1:12" s="1" customFormat="1">
      <c r="A34" s="89"/>
      <c r="B34" s="12" t="s">
        <v>1928</v>
      </c>
      <c r="C34" s="12" t="s">
        <v>98</v>
      </c>
      <c r="D34" s="9" t="s">
        <v>1929</v>
      </c>
      <c r="E34" s="21"/>
      <c r="F34" s="19"/>
      <c r="G34" s="19" t="s">
        <v>2194</v>
      </c>
      <c r="H34" s="19"/>
      <c r="I34" s="19"/>
      <c r="J34" s="25" t="s">
        <v>306</v>
      </c>
      <c r="K34" s="25" t="s">
        <v>305</v>
      </c>
      <c r="L34" s="25" t="s">
        <v>1209</v>
      </c>
    </row>
    <row r="35" spans="1:12" s="1" customFormat="1">
      <c r="A35" s="89"/>
      <c r="B35" s="13" t="s">
        <v>1930</v>
      </c>
      <c r="C35" s="13" t="s">
        <v>98</v>
      </c>
      <c r="D35" s="9" t="s">
        <v>1931</v>
      </c>
      <c r="E35" s="21"/>
      <c r="F35" s="19"/>
      <c r="G35" s="19" t="s">
        <v>2179</v>
      </c>
      <c r="H35" s="19"/>
      <c r="I35" s="19"/>
      <c r="J35" s="25" t="s">
        <v>306</v>
      </c>
      <c r="K35" s="25" t="s">
        <v>800</v>
      </c>
      <c r="L35" s="25" t="s">
        <v>1209</v>
      </c>
    </row>
    <row r="36" spans="1:12" s="1" customFormat="1">
      <c r="A36" s="89"/>
      <c r="B36" s="12" t="s">
        <v>1932</v>
      </c>
      <c r="C36" s="12" t="s">
        <v>98</v>
      </c>
      <c r="D36" s="9" t="s">
        <v>1933</v>
      </c>
      <c r="E36" s="21"/>
      <c r="F36" s="19"/>
      <c r="G36" s="19" t="s">
        <v>2180</v>
      </c>
      <c r="H36" s="71"/>
      <c r="I36" s="19"/>
      <c r="J36" s="25" t="s">
        <v>306</v>
      </c>
      <c r="K36" s="25" t="s">
        <v>1934</v>
      </c>
      <c r="L36" s="25" t="s">
        <v>1209</v>
      </c>
    </row>
    <row r="37" spans="1:12" s="1" customFormat="1">
      <c r="A37" s="89"/>
      <c r="B37" s="12" t="s">
        <v>1935</v>
      </c>
      <c r="C37" s="12" t="s">
        <v>98</v>
      </c>
      <c r="D37" s="9" t="s">
        <v>1936</v>
      </c>
      <c r="E37" s="21"/>
      <c r="F37" s="19"/>
      <c r="G37" s="19" t="s">
        <v>2181</v>
      </c>
      <c r="H37" s="71"/>
      <c r="I37" s="19"/>
      <c r="J37" s="25" t="s">
        <v>306</v>
      </c>
      <c r="K37" s="25" t="s">
        <v>1934</v>
      </c>
      <c r="L37" s="25" t="s">
        <v>1209</v>
      </c>
    </row>
    <row r="38" spans="1:12" s="1" customFormat="1">
      <c r="A38" s="89"/>
      <c r="B38" s="12" t="s">
        <v>1984</v>
      </c>
      <c r="C38" s="12" t="s">
        <v>98</v>
      </c>
      <c r="D38" s="9" t="s">
        <v>2090</v>
      </c>
      <c r="E38" s="21"/>
      <c r="F38" s="19"/>
      <c r="G38" s="19" t="s">
        <v>2195</v>
      </c>
      <c r="H38" s="71"/>
      <c r="I38" s="19"/>
      <c r="J38" s="25" t="s">
        <v>306</v>
      </c>
      <c r="K38" s="25" t="s">
        <v>1934</v>
      </c>
      <c r="L38" s="25" t="s">
        <v>100</v>
      </c>
    </row>
    <row r="39" spans="1:12" s="1" customFormat="1">
      <c r="A39" s="89"/>
      <c r="B39" s="12" t="s">
        <v>1937</v>
      </c>
      <c r="C39" s="12" t="s">
        <v>98</v>
      </c>
      <c r="D39" s="9" t="s">
        <v>1938</v>
      </c>
      <c r="E39" s="21"/>
      <c r="F39" s="19"/>
      <c r="G39" s="19" t="s">
        <v>2196</v>
      </c>
      <c r="H39" s="71"/>
      <c r="I39" s="19"/>
      <c r="J39" s="25" t="s">
        <v>306</v>
      </c>
      <c r="K39" s="25" t="s">
        <v>74</v>
      </c>
      <c r="L39" s="25" t="s">
        <v>100</v>
      </c>
    </row>
    <row r="40" spans="1:12" s="1" customFormat="1">
      <c r="A40" s="89"/>
      <c r="B40" s="12" t="s">
        <v>1940</v>
      </c>
      <c r="C40" s="12" t="s">
        <v>98</v>
      </c>
      <c r="D40" s="9" t="s">
        <v>1941</v>
      </c>
      <c r="E40" s="21"/>
      <c r="F40" s="19"/>
      <c r="G40" s="19" t="s">
        <v>2197</v>
      </c>
      <c r="H40" s="71"/>
      <c r="I40" s="19"/>
      <c r="J40" s="25" t="s">
        <v>306</v>
      </c>
      <c r="K40" s="25" t="s">
        <v>74</v>
      </c>
      <c r="L40" s="25" t="s">
        <v>100</v>
      </c>
    </row>
    <row r="41" spans="1:12" s="1" customFormat="1">
      <c r="A41" s="89"/>
      <c r="B41" s="12" t="s">
        <v>1986</v>
      </c>
      <c r="C41" s="12" t="s">
        <v>98</v>
      </c>
      <c r="D41" s="9" t="s">
        <v>2091</v>
      </c>
      <c r="E41" s="21"/>
      <c r="F41" s="19"/>
      <c r="G41" s="19" t="s">
        <v>2198</v>
      </c>
      <c r="H41" s="71"/>
      <c r="I41" s="19"/>
      <c r="J41" s="25" t="s">
        <v>306</v>
      </c>
      <c r="K41" s="25" t="s">
        <v>1934</v>
      </c>
      <c r="L41" s="25" t="s">
        <v>100</v>
      </c>
    </row>
    <row r="42" spans="1:12" s="1" customFormat="1">
      <c r="A42" s="89"/>
      <c r="B42" s="12" t="s">
        <v>1943</v>
      </c>
      <c r="C42" s="12" t="s">
        <v>98</v>
      </c>
      <c r="D42" s="9" t="s">
        <v>1944</v>
      </c>
      <c r="E42" s="21"/>
      <c r="F42" s="19"/>
      <c r="G42" s="19" t="s">
        <v>2199</v>
      </c>
      <c r="H42" s="71"/>
      <c r="I42" s="19"/>
      <c r="J42" s="25" t="s">
        <v>306</v>
      </c>
      <c r="K42" s="25" t="s">
        <v>74</v>
      </c>
      <c r="L42" s="25" t="s">
        <v>100</v>
      </c>
    </row>
    <row r="43" spans="1:12" s="1" customFormat="1">
      <c r="A43" s="89"/>
      <c r="B43" s="12" t="s">
        <v>1946</v>
      </c>
      <c r="C43" s="12" t="s">
        <v>98</v>
      </c>
      <c r="D43" s="9" t="s">
        <v>1947</v>
      </c>
      <c r="E43" s="21"/>
      <c r="F43" s="19"/>
      <c r="G43" s="19" t="s">
        <v>2200</v>
      </c>
      <c r="H43" s="71"/>
      <c r="I43" s="19"/>
      <c r="J43" s="25" t="s">
        <v>306</v>
      </c>
      <c r="K43" s="25" t="s">
        <v>74</v>
      </c>
      <c r="L43" s="25" t="s">
        <v>100</v>
      </c>
    </row>
    <row r="44" spans="1:12" s="1" customFormat="1">
      <c r="A44" s="89"/>
      <c r="B44" s="12" t="s">
        <v>2094</v>
      </c>
      <c r="C44" s="12" t="s">
        <v>1991</v>
      </c>
      <c r="D44" s="9" t="s">
        <v>2096</v>
      </c>
      <c r="E44" s="21"/>
      <c r="F44" s="19"/>
      <c r="G44" s="19" t="s">
        <v>2201</v>
      </c>
      <c r="H44" s="71"/>
      <c r="I44" s="19"/>
      <c r="J44" s="25" t="s">
        <v>306</v>
      </c>
      <c r="K44" s="25" t="s">
        <v>2317</v>
      </c>
      <c r="L44" s="25" t="s">
        <v>1498</v>
      </c>
    </row>
    <row r="45" spans="1:12" s="1" customFormat="1">
      <c r="A45" s="89"/>
      <c r="B45" s="12" t="s">
        <v>2095</v>
      </c>
      <c r="C45" s="12" t="s">
        <v>1991</v>
      </c>
      <c r="D45" s="9" t="s">
        <v>2472</v>
      </c>
      <c r="E45" s="21"/>
      <c r="F45" s="19"/>
      <c r="G45" s="19" t="s">
        <v>2202</v>
      </c>
      <c r="H45" s="71"/>
      <c r="I45" s="19"/>
      <c r="J45" s="25" t="s">
        <v>306</v>
      </c>
      <c r="K45" s="25" t="s">
        <v>2318</v>
      </c>
      <c r="L45" s="25" t="s">
        <v>1498</v>
      </c>
    </row>
    <row r="46" spans="1:12" s="1" customFormat="1">
      <c r="A46" s="89"/>
      <c r="B46" s="12" t="s">
        <v>2099</v>
      </c>
      <c r="C46" s="12" t="s">
        <v>1991</v>
      </c>
      <c r="D46" s="9" t="s">
        <v>2101</v>
      </c>
      <c r="E46" s="21"/>
      <c r="F46" s="19"/>
      <c r="G46" s="19" t="s">
        <v>2203</v>
      </c>
      <c r="H46" s="71"/>
      <c r="I46" s="19"/>
      <c r="J46" s="25" t="s">
        <v>306</v>
      </c>
      <c r="K46" s="25" t="s">
        <v>2317</v>
      </c>
      <c r="L46" s="25" t="s">
        <v>1498</v>
      </c>
    </row>
    <row r="47" spans="1:12" s="1" customFormat="1">
      <c r="A47" s="89"/>
      <c r="B47" s="12" t="s">
        <v>2100</v>
      </c>
      <c r="C47" s="12" t="s">
        <v>1991</v>
      </c>
      <c r="D47" s="9" t="s">
        <v>2473</v>
      </c>
      <c r="E47" s="21"/>
      <c r="F47" s="19"/>
      <c r="G47" s="19" t="s">
        <v>2204</v>
      </c>
      <c r="H47" s="71"/>
      <c r="I47" s="19"/>
      <c r="J47" s="25" t="s">
        <v>306</v>
      </c>
      <c r="K47" s="25" t="s">
        <v>2318</v>
      </c>
      <c r="L47" s="25" t="s">
        <v>1498</v>
      </c>
    </row>
    <row r="48" spans="1:12" s="1" customFormat="1">
      <c r="A48" s="89"/>
      <c r="B48" s="12" t="s">
        <v>2104</v>
      </c>
      <c r="C48" s="12" t="s">
        <v>1991</v>
      </c>
      <c r="D48" s="9" t="s">
        <v>2108</v>
      </c>
      <c r="E48" s="21"/>
      <c r="F48" s="19"/>
      <c r="G48" s="19" t="s">
        <v>2205</v>
      </c>
      <c r="H48" s="71"/>
      <c r="I48" s="19"/>
      <c r="J48" s="25" t="s">
        <v>306</v>
      </c>
      <c r="K48" s="25" t="s">
        <v>2317</v>
      </c>
      <c r="L48" s="25" t="s">
        <v>1498</v>
      </c>
    </row>
    <row r="49" spans="1:12" s="1" customFormat="1">
      <c r="A49" s="89"/>
      <c r="B49" s="12" t="s">
        <v>2105</v>
      </c>
      <c r="C49" s="12" t="s">
        <v>1991</v>
      </c>
      <c r="D49" s="9" t="s">
        <v>2474</v>
      </c>
      <c r="E49" s="21"/>
      <c r="F49" s="19"/>
      <c r="G49" s="19" t="s">
        <v>2206</v>
      </c>
      <c r="H49" s="71"/>
      <c r="I49" s="19"/>
      <c r="J49" s="25" t="s">
        <v>306</v>
      </c>
      <c r="K49" s="25" t="s">
        <v>2318</v>
      </c>
      <c r="L49" s="25" t="s">
        <v>1498</v>
      </c>
    </row>
    <row r="50" spans="1:12" s="1" customFormat="1">
      <c r="A50" s="89"/>
      <c r="B50" s="12" t="s">
        <v>2106</v>
      </c>
      <c r="C50" s="12" t="s">
        <v>1991</v>
      </c>
      <c r="D50" s="9" t="s">
        <v>2109</v>
      </c>
      <c r="E50" s="21"/>
      <c r="F50" s="19"/>
      <c r="G50" s="19" t="s">
        <v>2207</v>
      </c>
      <c r="H50" s="71"/>
      <c r="I50" s="19"/>
      <c r="J50" s="25" t="s">
        <v>306</v>
      </c>
      <c r="K50" s="25" t="s">
        <v>2317</v>
      </c>
      <c r="L50" s="25" t="s">
        <v>1498</v>
      </c>
    </row>
    <row r="51" spans="1:12" s="1" customFormat="1">
      <c r="A51" s="89"/>
      <c r="B51" s="12" t="s">
        <v>2107</v>
      </c>
      <c r="C51" s="12" t="s">
        <v>1991</v>
      </c>
      <c r="D51" s="9" t="s">
        <v>2475</v>
      </c>
      <c r="E51" s="21"/>
      <c r="F51" s="19"/>
      <c r="G51" s="19" t="s">
        <v>2208</v>
      </c>
      <c r="H51" s="71"/>
      <c r="I51" s="19"/>
      <c r="J51" s="25" t="s">
        <v>306</v>
      </c>
      <c r="K51" s="25" t="s">
        <v>2318</v>
      </c>
      <c r="L51" s="25" t="s">
        <v>1498</v>
      </c>
    </row>
    <row r="52" spans="1:12" s="1" customFormat="1">
      <c r="A52" s="89"/>
      <c r="B52" s="12" t="s">
        <v>1949</v>
      </c>
      <c r="C52" s="12" t="s">
        <v>98</v>
      </c>
      <c r="D52" s="9" t="s">
        <v>1950</v>
      </c>
      <c r="E52" s="21"/>
      <c r="F52" s="19"/>
      <c r="G52" s="19" t="s">
        <v>1951</v>
      </c>
      <c r="H52" s="71"/>
      <c r="I52" s="19"/>
      <c r="J52" s="25" t="s">
        <v>306</v>
      </c>
      <c r="K52" s="25" t="s">
        <v>74</v>
      </c>
      <c r="L52" s="25" t="s">
        <v>100</v>
      </c>
    </row>
    <row r="53" spans="1:12" s="1" customFormat="1">
      <c r="A53" s="89"/>
      <c r="B53" s="12" t="s">
        <v>1952</v>
      </c>
      <c r="C53" s="12" t="s">
        <v>98</v>
      </c>
      <c r="D53" s="9" t="s">
        <v>1953</v>
      </c>
      <c r="E53" s="21"/>
      <c r="F53" s="19"/>
      <c r="G53" s="19" t="s">
        <v>1954</v>
      </c>
      <c r="H53" s="71"/>
      <c r="I53" s="19"/>
      <c r="J53" s="25" t="s">
        <v>306</v>
      </c>
      <c r="K53" s="25" t="s">
        <v>74</v>
      </c>
      <c r="L53" s="25" t="s">
        <v>100</v>
      </c>
    </row>
    <row r="54" spans="1:12" s="1" customFormat="1">
      <c r="A54" s="89"/>
      <c r="B54" s="12" t="s">
        <v>1955</v>
      </c>
      <c r="C54" s="12" t="s">
        <v>98</v>
      </c>
      <c r="D54" s="9" t="s">
        <v>2183</v>
      </c>
      <c r="E54" s="21"/>
      <c r="F54" s="19"/>
      <c r="G54" s="19" t="s">
        <v>1957</v>
      </c>
      <c r="H54" s="71"/>
      <c r="I54" s="19"/>
      <c r="J54" s="25" t="s">
        <v>306</v>
      </c>
      <c r="K54" s="25" t="s">
        <v>74</v>
      </c>
      <c r="L54" s="25" t="s">
        <v>100</v>
      </c>
    </row>
    <row r="55" spans="1:12" s="1" customFormat="1">
      <c r="A55" s="89"/>
      <c r="B55" s="12" t="s">
        <v>1958</v>
      </c>
      <c r="C55" s="12" t="s">
        <v>98</v>
      </c>
      <c r="D55" s="9" t="s">
        <v>1959</v>
      </c>
      <c r="E55" s="21"/>
      <c r="F55" s="19"/>
      <c r="G55" s="19" t="s">
        <v>1960</v>
      </c>
      <c r="H55" s="71"/>
      <c r="I55" s="19"/>
      <c r="J55" s="25" t="s">
        <v>306</v>
      </c>
      <c r="K55" s="25" t="s">
        <v>74</v>
      </c>
      <c r="L55" s="25" t="s">
        <v>100</v>
      </c>
    </row>
    <row r="56" spans="1:12" s="1" customFormat="1">
      <c r="A56" s="89"/>
      <c r="B56" s="12" t="s">
        <v>1961</v>
      </c>
      <c r="C56" s="12" t="s">
        <v>98</v>
      </c>
      <c r="D56" s="9" t="s">
        <v>1962</v>
      </c>
      <c r="E56" s="21"/>
      <c r="F56" s="19"/>
      <c r="G56" s="19" t="s">
        <v>2209</v>
      </c>
      <c r="H56" s="71"/>
      <c r="I56" s="19"/>
      <c r="J56" s="25" t="s">
        <v>306</v>
      </c>
      <c r="K56" s="25" t="s">
        <v>74</v>
      </c>
      <c r="L56" s="25" t="s">
        <v>100</v>
      </c>
    </row>
    <row r="57" spans="1:12" s="1" customFormat="1">
      <c r="A57" s="89"/>
      <c r="B57" s="12" t="s">
        <v>1964</v>
      </c>
      <c r="C57" s="12" t="s">
        <v>98</v>
      </c>
      <c r="D57" s="9" t="s">
        <v>1965</v>
      </c>
      <c r="E57" s="21"/>
      <c r="F57" s="19"/>
      <c r="G57" s="19" t="s">
        <v>2210</v>
      </c>
      <c r="H57" s="71"/>
      <c r="I57" s="19"/>
      <c r="J57" s="25" t="s">
        <v>306</v>
      </c>
      <c r="K57" s="25" t="s">
        <v>74</v>
      </c>
      <c r="L57" s="25" t="s">
        <v>100</v>
      </c>
    </row>
    <row r="58" spans="1:12" s="1" customFormat="1">
      <c r="A58" s="89"/>
      <c r="B58" s="12" t="s">
        <v>2136</v>
      </c>
      <c r="C58" s="12" t="s">
        <v>98</v>
      </c>
      <c r="D58" s="9" t="s">
        <v>2133</v>
      </c>
      <c r="E58" s="21"/>
      <c r="F58" s="19"/>
      <c r="G58" s="19" t="s">
        <v>2140</v>
      </c>
      <c r="H58" s="71"/>
      <c r="I58" s="19"/>
      <c r="J58" s="25" t="s">
        <v>306</v>
      </c>
      <c r="K58" s="25" t="s">
        <v>74</v>
      </c>
      <c r="L58" s="25" t="s">
        <v>100</v>
      </c>
    </row>
    <row r="59" spans="1:12" s="1" customFormat="1">
      <c r="A59" s="89"/>
      <c r="B59" s="12" t="s">
        <v>2139</v>
      </c>
      <c r="C59" s="12" t="s">
        <v>98</v>
      </c>
      <c r="D59" s="9" t="s">
        <v>2135</v>
      </c>
      <c r="E59" s="21"/>
      <c r="F59" s="19"/>
      <c r="G59" s="19" t="s">
        <v>2211</v>
      </c>
      <c r="H59" s="71"/>
      <c r="I59" s="19"/>
      <c r="J59" s="25" t="s">
        <v>306</v>
      </c>
      <c r="K59" s="25" t="s">
        <v>74</v>
      </c>
      <c r="L59" s="25" t="s">
        <v>100</v>
      </c>
    </row>
    <row r="60" spans="1:12" s="1" customFormat="1">
      <c r="A60" s="89"/>
      <c r="B60" s="12" t="s">
        <v>2132</v>
      </c>
      <c r="C60" s="12" t="s">
        <v>98</v>
      </c>
      <c r="D60" s="9" t="s">
        <v>1967</v>
      </c>
      <c r="E60" s="21"/>
      <c r="F60" s="19"/>
      <c r="G60" s="19" t="s">
        <v>2212</v>
      </c>
      <c r="H60" s="71"/>
      <c r="I60" s="19"/>
      <c r="J60" s="25" t="s">
        <v>306</v>
      </c>
      <c r="K60" s="25" t="s">
        <v>74</v>
      </c>
      <c r="L60" s="25" t="s">
        <v>100</v>
      </c>
    </row>
    <row r="61" spans="1:12" s="1" customFormat="1">
      <c r="A61" s="89"/>
      <c r="B61" s="12" t="s">
        <v>1969</v>
      </c>
      <c r="C61" s="12" t="s">
        <v>98</v>
      </c>
      <c r="D61" s="9" t="s">
        <v>1970</v>
      </c>
      <c r="E61" s="21"/>
      <c r="F61" s="19"/>
      <c r="G61" s="19" t="s">
        <v>2213</v>
      </c>
      <c r="H61" s="71"/>
      <c r="I61" s="19"/>
      <c r="J61" s="25" t="s">
        <v>306</v>
      </c>
      <c r="K61" s="25" t="s">
        <v>74</v>
      </c>
      <c r="L61" s="25" t="s">
        <v>100</v>
      </c>
    </row>
    <row r="62" spans="1:12" s="1" customFormat="1">
      <c r="A62" s="89"/>
      <c r="B62" s="12" t="s">
        <v>1972</v>
      </c>
      <c r="C62" s="12" t="s">
        <v>98</v>
      </c>
      <c r="D62" s="9" t="s">
        <v>1973</v>
      </c>
      <c r="E62" s="21"/>
      <c r="F62" s="19"/>
      <c r="G62" s="19" t="s">
        <v>2214</v>
      </c>
      <c r="H62" s="71"/>
      <c r="I62" s="19"/>
      <c r="J62" s="25" t="s">
        <v>306</v>
      </c>
      <c r="K62" s="25" t="s">
        <v>74</v>
      </c>
      <c r="L62" s="25" t="s">
        <v>100</v>
      </c>
    </row>
    <row r="63" spans="1:12" s="1" customFormat="1">
      <c r="A63" s="89"/>
      <c r="B63" s="12" t="s">
        <v>1975</v>
      </c>
      <c r="C63" s="12" t="s">
        <v>98</v>
      </c>
      <c r="D63" s="9" t="s">
        <v>1976</v>
      </c>
      <c r="E63" s="21"/>
      <c r="F63" s="19"/>
      <c r="G63" s="19" t="s">
        <v>2215</v>
      </c>
      <c r="H63" s="71"/>
      <c r="I63" s="19"/>
      <c r="J63" s="25" t="s">
        <v>306</v>
      </c>
      <c r="K63" s="25" t="s">
        <v>74</v>
      </c>
      <c r="L63" s="25" t="s">
        <v>100</v>
      </c>
    </row>
    <row r="64" spans="1:12" s="1" customFormat="1">
      <c r="A64" s="89"/>
      <c r="B64" s="12" t="s">
        <v>1978</v>
      </c>
      <c r="C64" s="12" t="s">
        <v>98</v>
      </c>
      <c r="D64" s="9" t="s">
        <v>1979</v>
      </c>
      <c r="E64" s="21"/>
      <c r="F64" s="19"/>
      <c r="G64" s="19" t="s">
        <v>1980</v>
      </c>
      <c r="H64" s="71"/>
      <c r="I64" s="19"/>
      <c r="J64" s="25" t="s">
        <v>306</v>
      </c>
      <c r="K64" s="25" t="s">
        <v>74</v>
      </c>
      <c r="L64" s="25" t="s">
        <v>100</v>
      </c>
    </row>
    <row r="65" spans="1:12" s="1" customFormat="1">
      <c r="A65" s="89"/>
      <c r="B65" s="12" t="s">
        <v>1981</v>
      </c>
      <c r="C65" s="12" t="s">
        <v>98</v>
      </c>
      <c r="D65" s="9" t="s">
        <v>1982</v>
      </c>
      <c r="E65" s="21"/>
      <c r="F65" s="19"/>
      <c r="G65" s="19" t="s">
        <v>1983</v>
      </c>
      <c r="H65" s="71"/>
      <c r="I65" s="19"/>
      <c r="J65" s="25" t="s">
        <v>306</v>
      </c>
      <c r="K65" s="25" t="s">
        <v>74</v>
      </c>
      <c r="L65" s="25" t="s">
        <v>100</v>
      </c>
    </row>
    <row r="66" spans="1:12" s="1" customFormat="1">
      <c r="A66" s="89"/>
      <c r="B66" s="12" t="s">
        <v>1988</v>
      </c>
      <c r="C66" s="12" t="s">
        <v>98</v>
      </c>
      <c r="D66" s="9" t="s">
        <v>1989</v>
      </c>
      <c r="E66" s="21"/>
      <c r="F66" s="19"/>
      <c r="G66" s="19" t="s">
        <v>2216</v>
      </c>
      <c r="H66" s="71"/>
      <c r="I66" s="19"/>
      <c r="J66" s="25" t="s">
        <v>306</v>
      </c>
      <c r="K66" s="25" t="s">
        <v>74</v>
      </c>
      <c r="L66" s="25" t="s">
        <v>100</v>
      </c>
    </row>
    <row r="67" spans="1:12" s="1" customFormat="1">
      <c r="A67" s="89"/>
      <c r="B67" s="12" t="s">
        <v>1990</v>
      </c>
      <c r="C67" s="12" t="s">
        <v>1991</v>
      </c>
      <c r="D67" s="9" t="s">
        <v>1992</v>
      </c>
      <c r="E67" s="21"/>
      <c r="F67" s="19"/>
      <c r="G67" s="19" t="s">
        <v>2184</v>
      </c>
      <c r="H67" s="71"/>
      <c r="I67" s="19"/>
      <c r="J67" s="25" t="s">
        <v>306</v>
      </c>
      <c r="K67" s="25" t="s">
        <v>115</v>
      </c>
      <c r="L67" s="25" t="s">
        <v>100</v>
      </c>
    </row>
    <row r="68" spans="1:12" s="1" customFormat="1">
      <c r="A68" s="89"/>
      <c r="B68" s="12" t="s">
        <v>1994</v>
      </c>
      <c r="C68" s="12" t="s">
        <v>98</v>
      </c>
      <c r="D68" s="9" t="s">
        <v>1995</v>
      </c>
      <c r="E68" s="21"/>
      <c r="F68" s="19"/>
      <c r="G68" s="19" t="s">
        <v>2217</v>
      </c>
      <c r="H68" s="71"/>
      <c r="I68" s="19"/>
      <c r="J68" s="25" t="s">
        <v>306</v>
      </c>
      <c r="K68" s="25" t="s">
        <v>74</v>
      </c>
      <c r="L68" s="25" t="s">
        <v>100</v>
      </c>
    </row>
    <row r="69" spans="1:12" s="1" customFormat="1">
      <c r="A69" s="89"/>
      <c r="B69" s="12" t="s">
        <v>1996</v>
      </c>
      <c r="C69" s="12" t="s">
        <v>98</v>
      </c>
      <c r="D69" s="9" t="s">
        <v>1997</v>
      </c>
      <c r="E69" s="21"/>
      <c r="F69" s="19"/>
      <c r="G69" s="19" t="s">
        <v>2218</v>
      </c>
      <c r="H69" s="71"/>
      <c r="I69" s="19"/>
      <c r="J69" s="25" t="s">
        <v>306</v>
      </c>
      <c r="K69" s="25" t="s">
        <v>74</v>
      </c>
      <c r="L69" s="25" t="s">
        <v>100</v>
      </c>
    </row>
    <row r="70" spans="1:12" s="1" customFormat="1">
      <c r="A70" s="89"/>
      <c r="B70" s="12" t="s">
        <v>1998</v>
      </c>
      <c r="C70" s="12" t="s">
        <v>98</v>
      </c>
      <c r="D70" s="9" t="s">
        <v>1999</v>
      </c>
      <c r="E70" s="21"/>
      <c r="F70" s="19"/>
      <c r="G70" s="19" t="s">
        <v>2219</v>
      </c>
      <c r="H70" s="71"/>
      <c r="I70" s="19"/>
      <c r="J70" s="25" t="s">
        <v>306</v>
      </c>
      <c r="K70" s="25" t="s">
        <v>74</v>
      </c>
      <c r="L70" s="25" t="s">
        <v>100</v>
      </c>
    </row>
    <row r="71" spans="1:12" s="1" customFormat="1">
      <c r="A71" s="89"/>
      <c r="B71" s="12" t="s">
        <v>2000</v>
      </c>
      <c r="C71" s="12" t="s">
        <v>98</v>
      </c>
      <c r="D71" s="9" t="s">
        <v>2001</v>
      </c>
      <c r="E71" s="21"/>
      <c r="F71" s="19"/>
      <c r="G71" s="19" t="s">
        <v>2220</v>
      </c>
      <c r="H71" s="71"/>
      <c r="I71" s="19"/>
      <c r="J71" s="25" t="s">
        <v>306</v>
      </c>
      <c r="K71" s="25" t="s">
        <v>74</v>
      </c>
      <c r="L71" s="25" t="s">
        <v>100</v>
      </c>
    </row>
    <row r="72" spans="1:12" s="1" customFormat="1">
      <c r="A72" s="89"/>
      <c r="B72" s="12" t="s">
        <v>2002</v>
      </c>
      <c r="C72" s="12" t="s">
        <v>98</v>
      </c>
      <c r="D72" s="9" t="s">
        <v>2003</v>
      </c>
      <c r="E72" s="21"/>
      <c r="F72" s="19"/>
      <c r="G72" s="19" t="s">
        <v>2221</v>
      </c>
      <c r="H72" s="71"/>
      <c r="I72" s="19"/>
      <c r="J72" s="25" t="s">
        <v>306</v>
      </c>
      <c r="K72" s="25" t="s">
        <v>74</v>
      </c>
      <c r="L72" s="25" t="s">
        <v>100</v>
      </c>
    </row>
    <row r="73" spans="1:12" s="1" customFormat="1">
      <c r="A73" s="89"/>
      <c r="B73" s="12" t="s">
        <v>2004</v>
      </c>
      <c r="C73" s="12" t="s">
        <v>98</v>
      </c>
      <c r="D73" s="9" t="s">
        <v>2005</v>
      </c>
      <c r="E73" s="21"/>
      <c r="F73" s="19"/>
      <c r="G73" s="19" t="s">
        <v>2222</v>
      </c>
      <c r="H73" s="71"/>
      <c r="I73" s="19"/>
      <c r="J73" s="25" t="s">
        <v>306</v>
      </c>
      <c r="K73" s="25" t="s">
        <v>74</v>
      </c>
      <c r="L73" s="25" t="s">
        <v>100</v>
      </c>
    </row>
    <row r="74" spans="1:12" s="1" customFormat="1">
      <c r="A74" s="89"/>
      <c r="B74" s="12" t="s">
        <v>2007</v>
      </c>
      <c r="C74" s="12" t="s">
        <v>1991</v>
      </c>
      <c r="D74" s="9" t="s">
        <v>2008</v>
      </c>
      <c r="E74" s="21"/>
      <c r="F74" s="19"/>
      <c r="G74" s="19" t="s">
        <v>2186</v>
      </c>
      <c r="H74" s="71"/>
      <c r="I74" s="19"/>
      <c r="J74" s="25" t="s">
        <v>306</v>
      </c>
      <c r="K74" s="25" t="s">
        <v>115</v>
      </c>
      <c r="L74" s="25" t="s">
        <v>100</v>
      </c>
    </row>
    <row r="75" spans="1:12" s="1" customFormat="1">
      <c r="A75" s="89"/>
      <c r="B75" s="12" t="s">
        <v>2010</v>
      </c>
      <c r="C75" s="12" t="s">
        <v>98</v>
      </c>
      <c r="D75" s="9" t="s">
        <v>2011</v>
      </c>
      <c r="E75" s="21"/>
      <c r="F75" s="19"/>
      <c r="G75" s="19" t="s">
        <v>2223</v>
      </c>
      <c r="H75" s="71"/>
      <c r="I75" s="19"/>
      <c r="J75" s="25" t="s">
        <v>306</v>
      </c>
      <c r="K75" s="25" t="s">
        <v>74</v>
      </c>
      <c r="L75" s="25" t="s">
        <v>100</v>
      </c>
    </row>
    <row r="76" spans="1:12" s="1" customFormat="1">
      <c r="A76" s="89"/>
      <c r="B76" s="12" t="s">
        <v>2012</v>
      </c>
      <c r="C76" s="12" t="s">
        <v>98</v>
      </c>
      <c r="D76" s="9" t="s">
        <v>2013</v>
      </c>
      <c r="E76" s="21"/>
      <c r="F76" s="19"/>
      <c r="G76" s="19" t="s">
        <v>2224</v>
      </c>
      <c r="H76" s="71"/>
      <c r="I76" s="19"/>
      <c r="J76" s="25" t="s">
        <v>306</v>
      </c>
      <c r="K76" s="25" t="s">
        <v>74</v>
      </c>
      <c r="L76" s="25" t="s">
        <v>100</v>
      </c>
    </row>
    <row r="77" spans="1:12" s="1" customFormat="1">
      <c r="A77" s="89"/>
      <c r="B77" s="12" t="s">
        <v>2014</v>
      </c>
      <c r="C77" s="12" t="s">
        <v>98</v>
      </c>
      <c r="D77" s="9" t="s">
        <v>2015</v>
      </c>
      <c r="E77" s="21"/>
      <c r="F77" s="19"/>
      <c r="G77" s="19" t="s">
        <v>2225</v>
      </c>
      <c r="H77" s="71"/>
      <c r="I77" s="19"/>
      <c r="J77" s="25" t="s">
        <v>306</v>
      </c>
      <c r="K77" s="25" t="s">
        <v>74</v>
      </c>
      <c r="L77" s="25" t="s">
        <v>100</v>
      </c>
    </row>
    <row r="78" spans="1:12" s="1" customFormat="1">
      <c r="A78" s="89"/>
      <c r="B78" s="12" t="s">
        <v>2016</v>
      </c>
      <c r="C78" s="12" t="s">
        <v>98</v>
      </c>
      <c r="D78" s="9" t="s">
        <v>2017</v>
      </c>
      <c r="E78" s="21"/>
      <c r="F78" s="19"/>
      <c r="G78" s="19" t="s">
        <v>2226</v>
      </c>
      <c r="H78" s="71"/>
      <c r="I78" s="19"/>
      <c r="J78" s="25" t="s">
        <v>306</v>
      </c>
      <c r="K78" s="25" t="s">
        <v>74</v>
      </c>
      <c r="L78" s="25" t="s">
        <v>100</v>
      </c>
    </row>
    <row r="79" spans="1:12" s="1" customFormat="1">
      <c r="A79" s="89"/>
      <c r="B79" s="12" t="s">
        <v>2018</v>
      </c>
      <c r="C79" s="12" t="s">
        <v>98</v>
      </c>
      <c r="D79" s="9" t="s">
        <v>2019</v>
      </c>
      <c r="E79" s="21"/>
      <c r="F79" s="19"/>
      <c r="G79" s="19" t="s">
        <v>2227</v>
      </c>
      <c r="H79" s="71"/>
      <c r="I79" s="19"/>
      <c r="J79" s="25" t="s">
        <v>306</v>
      </c>
      <c r="K79" s="25" t="s">
        <v>74</v>
      </c>
      <c r="L79" s="25" t="s">
        <v>100</v>
      </c>
    </row>
    <row r="80" spans="1:12" s="1" customFormat="1">
      <c r="A80" s="89"/>
      <c r="B80" s="12" t="s">
        <v>2020</v>
      </c>
      <c r="C80" s="12" t="s">
        <v>1991</v>
      </c>
      <c r="D80" s="9" t="s">
        <v>2021</v>
      </c>
      <c r="E80" s="21"/>
      <c r="F80" s="19"/>
      <c r="G80" s="19" t="s">
        <v>2228</v>
      </c>
      <c r="H80" s="71"/>
      <c r="I80" s="19"/>
      <c r="J80" s="25" t="s">
        <v>306</v>
      </c>
      <c r="K80" s="25" t="s">
        <v>115</v>
      </c>
      <c r="L80" s="25" t="s">
        <v>100</v>
      </c>
    </row>
    <row r="81" spans="1:12" s="1" customFormat="1">
      <c r="A81" s="89"/>
      <c r="B81" s="12" t="s">
        <v>2023</v>
      </c>
      <c r="C81" s="12" t="s">
        <v>1991</v>
      </c>
      <c r="D81" s="9" t="s">
        <v>2024</v>
      </c>
      <c r="E81" s="21"/>
      <c r="F81" s="19"/>
      <c r="G81" s="19" t="s">
        <v>2187</v>
      </c>
      <c r="H81" s="71"/>
      <c r="I81" s="19"/>
      <c r="J81" s="25" t="s">
        <v>306</v>
      </c>
      <c r="K81" s="25" t="s">
        <v>115</v>
      </c>
      <c r="L81" s="25" t="s">
        <v>100</v>
      </c>
    </row>
    <row r="82" spans="1:12" s="1" customFormat="1">
      <c r="A82" s="89"/>
      <c r="B82" s="12" t="s">
        <v>2026</v>
      </c>
      <c r="C82" s="12" t="s">
        <v>98</v>
      </c>
      <c r="D82" s="9" t="s">
        <v>2027</v>
      </c>
      <c r="E82" s="21"/>
      <c r="F82" s="19"/>
      <c r="G82" s="19" t="s">
        <v>2229</v>
      </c>
      <c r="H82" s="71"/>
      <c r="I82" s="19"/>
      <c r="J82" s="25" t="s">
        <v>306</v>
      </c>
      <c r="K82" s="25" t="s">
        <v>74</v>
      </c>
      <c r="L82" s="25" t="s">
        <v>100</v>
      </c>
    </row>
    <row r="83" spans="1:12" s="1" customFormat="1">
      <c r="A83" s="89"/>
      <c r="B83" s="12" t="s">
        <v>2028</v>
      </c>
      <c r="C83" s="12" t="s">
        <v>98</v>
      </c>
      <c r="D83" s="9" t="s">
        <v>2029</v>
      </c>
      <c r="E83" s="21"/>
      <c r="F83" s="19"/>
      <c r="G83" s="19" t="s">
        <v>2230</v>
      </c>
      <c r="H83" s="71"/>
      <c r="I83" s="19"/>
      <c r="J83" s="25" t="s">
        <v>306</v>
      </c>
      <c r="K83" s="25" t="s">
        <v>74</v>
      </c>
      <c r="L83" s="25" t="s">
        <v>100</v>
      </c>
    </row>
    <row r="84" spans="1:12" s="1" customFormat="1">
      <c r="A84" s="89"/>
      <c r="B84" s="12" t="s">
        <v>2030</v>
      </c>
      <c r="C84" s="12" t="s">
        <v>98</v>
      </c>
      <c r="D84" s="9" t="s">
        <v>2031</v>
      </c>
      <c r="E84" s="21"/>
      <c r="F84" s="19"/>
      <c r="G84" s="19" t="s">
        <v>2231</v>
      </c>
      <c r="H84" s="71"/>
      <c r="I84" s="19"/>
      <c r="J84" s="25" t="s">
        <v>306</v>
      </c>
      <c r="K84" s="25" t="s">
        <v>74</v>
      </c>
      <c r="L84" s="25" t="s">
        <v>100</v>
      </c>
    </row>
    <row r="85" spans="1:12" s="1" customFormat="1">
      <c r="A85" s="89"/>
      <c r="B85" s="12" t="s">
        <v>2032</v>
      </c>
      <c r="C85" s="12" t="s">
        <v>98</v>
      </c>
      <c r="D85" s="9" t="s">
        <v>2033</v>
      </c>
      <c r="E85" s="21"/>
      <c r="F85" s="19"/>
      <c r="G85" s="19" t="s">
        <v>2232</v>
      </c>
      <c r="H85" s="71"/>
      <c r="I85" s="19"/>
      <c r="J85" s="25" t="s">
        <v>306</v>
      </c>
      <c r="K85" s="25" t="s">
        <v>74</v>
      </c>
      <c r="L85" s="25" t="s">
        <v>100</v>
      </c>
    </row>
    <row r="86" spans="1:12" s="1" customFormat="1">
      <c r="A86" s="89"/>
      <c r="B86" s="12" t="s">
        <v>2034</v>
      </c>
      <c r="C86" s="12" t="s">
        <v>98</v>
      </c>
      <c r="D86" s="9" t="s">
        <v>2035</v>
      </c>
      <c r="E86" s="21"/>
      <c r="F86" s="19"/>
      <c r="G86" s="19" t="s">
        <v>2233</v>
      </c>
      <c r="H86" s="71"/>
      <c r="I86" s="19"/>
      <c r="J86" s="25" t="s">
        <v>306</v>
      </c>
      <c r="K86" s="25" t="s">
        <v>74</v>
      </c>
      <c r="L86" s="25" t="s">
        <v>100</v>
      </c>
    </row>
    <row r="87" spans="1:12" s="1" customFormat="1">
      <c r="A87" s="89"/>
      <c r="B87" s="12" t="s">
        <v>2036</v>
      </c>
      <c r="C87" s="12" t="s">
        <v>1991</v>
      </c>
      <c r="D87" s="9" t="s">
        <v>2037</v>
      </c>
      <c r="E87" s="21"/>
      <c r="F87" s="19"/>
      <c r="G87" s="19" t="s">
        <v>2191</v>
      </c>
      <c r="H87" s="71"/>
      <c r="I87" s="19"/>
      <c r="J87" s="25" t="s">
        <v>306</v>
      </c>
      <c r="K87" s="25" t="s">
        <v>115</v>
      </c>
      <c r="L87" s="25" t="s">
        <v>100</v>
      </c>
    </row>
    <row r="88" spans="1:12" s="1" customFormat="1">
      <c r="A88" s="89"/>
      <c r="B88" s="12" t="s">
        <v>2039</v>
      </c>
      <c r="C88" s="12" t="s">
        <v>98</v>
      </c>
      <c r="D88" s="9" t="s">
        <v>2040</v>
      </c>
      <c r="E88" s="21"/>
      <c r="F88" s="19"/>
      <c r="G88" s="19" t="s">
        <v>2234</v>
      </c>
      <c r="H88" s="71"/>
      <c r="I88" s="19"/>
      <c r="J88" s="25" t="s">
        <v>306</v>
      </c>
      <c r="K88" s="25" t="s">
        <v>74</v>
      </c>
      <c r="L88" s="25" t="s">
        <v>100</v>
      </c>
    </row>
    <row r="89" spans="1:12" s="1" customFormat="1">
      <c r="A89" s="89"/>
      <c r="B89" s="12" t="s">
        <v>2042</v>
      </c>
      <c r="C89" s="12" t="s">
        <v>1991</v>
      </c>
      <c r="D89" s="9" t="s">
        <v>2043</v>
      </c>
      <c r="E89" s="21"/>
      <c r="F89" s="19"/>
      <c r="G89" s="19" t="s">
        <v>2193</v>
      </c>
      <c r="H89" s="71"/>
      <c r="I89" s="19"/>
      <c r="J89" s="25" t="s">
        <v>306</v>
      </c>
      <c r="K89" s="25" t="s">
        <v>115</v>
      </c>
      <c r="L89" s="25" t="s">
        <v>100</v>
      </c>
    </row>
    <row r="90" spans="1:12" s="1" customFormat="1">
      <c r="A90" s="89"/>
      <c r="B90" s="12" t="s">
        <v>2045</v>
      </c>
      <c r="C90" s="12" t="s">
        <v>98</v>
      </c>
      <c r="D90" s="9" t="s">
        <v>2046</v>
      </c>
      <c r="E90" s="21"/>
      <c r="F90" s="19"/>
      <c r="G90" s="19" t="s">
        <v>2235</v>
      </c>
      <c r="H90" s="71"/>
      <c r="I90" s="19"/>
      <c r="J90" s="25" t="s">
        <v>306</v>
      </c>
      <c r="K90" s="25" t="s">
        <v>74</v>
      </c>
      <c r="L90" s="25" t="s">
        <v>100</v>
      </c>
    </row>
    <row r="91" spans="1:12" s="1" customFormat="1">
      <c r="A91" s="89"/>
      <c r="B91" s="12" t="s">
        <v>2048</v>
      </c>
      <c r="C91" s="12" t="s">
        <v>771</v>
      </c>
      <c r="D91" s="9" t="s">
        <v>2049</v>
      </c>
      <c r="E91" s="21"/>
      <c r="F91" s="19"/>
      <c r="G91" s="19" t="s">
        <v>2236</v>
      </c>
      <c r="H91" s="71"/>
      <c r="I91" s="19"/>
      <c r="J91" s="25" t="s">
        <v>306</v>
      </c>
      <c r="K91" s="25" t="s">
        <v>1208</v>
      </c>
      <c r="L91" s="25" t="s">
        <v>1209</v>
      </c>
    </row>
    <row r="92" spans="1:12" s="1" customFormat="1">
      <c r="A92" s="89"/>
      <c r="B92" s="12" t="s">
        <v>2051</v>
      </c>
      <c r="C92" s="12" t="s">
        <v>1991</v>
      </c>
      <c r="D92" s="9" t="s">
        <v>1827</v>
      </c>
      <c r="E92" s="21"/>
      <c r="F92" s="19"/>
      <c r="G92" s="19" t="s">
        <v>2243</v>
      </c>
      <c r="H92" s="71"/>
      <c r="I92" s="19"/>
      <c r="J92" s="25" t="s">
        <v>306</v>
      </c>
      <c r="K92" s="25" t="s">
        <v>800</v>
      </c>
      <c r="L92" s="25" t="s">
        <v>100</v>
      </c>
    </row>
    <row r="93" spans="1:12" s="1" customFormat="1">
      <c r="A93" s="89"/>
      <c r="B93" s="12" t="s">
        <v>2053</v>
      </c>
      <c r="C93" s="12" t="s">
        <v>771</v>
      </c>
      <c r="D93" s="9" t="s">
        <v>2054</v>
      </c>
      <c r="E93" s="21"/>
      <c r="F93" s="19"/>
      <c r="G93" s="19" t="s">
        <v>2237</v>
      </c>
      <c r="H93" s="71"/>
      <c r="I93" s="19"/>
      <c r="J93" s="25" t="s">
        <v>306</v>
      </c>
      <c r="K93" s="25" t="s">
        <v>1208</v>
      </c>
      <c r="L93" s="25" t="s">
        <v>1209</v>
      </c>
    </row>
    <row r="94" spans="1:12" s="1" customFormat="1">
      <c r="A94" s="89"/>
      <c r="B94" s="12" t="s">
        <v>1828</v>
      </c>
      <c r="C94" s="12" t="s">
        <v>1991</v>
      </c>
      <c r="D94" s="9" t="s">
        <v>2056</v>
      </c>
      <c r="E94" s="21"/>
      <c r="F94" s="19"/>
      <c r="G94" s="19" t="s">
        <v>2244</v>
      </c>
      <c r="H94" s="71"/>
      <c r="I94" s="19"/>
      <c r="J94" s="25" t="s">
        <v>306</v>
      </c>
      <c r="K94" s="25" t="s">
        <v>800</v>
      </c>
      <c r="L94" s="25" t="s">
        <v>100</v>
      </c>
    </row>
    <row r="95" spans="1:12" s="1" customFormat="1">
      <c r="A95" s="89"/>
      <c r="B95" s="12" t="s">
        <v>2058</v>
      </c>
      <c r="C95" s="12" t="s">
        <v>98</v>
      </c>
      <c r="D95" s="9" t="s">
        <v>2059</v>
      </c>
      <c r="E95" s="21"/>
      <c r="F95" s="19"/>
      <c r="G95" s="19" t="s">
        <v>2238</v>
      </c>
      <c r="H95" s="71"/>
      <c r="I95" s="19"/>
      <c r="J95" s="25" t="s">
        <v>306</v>
      </c>
      <c r="K95" s="25" t="s">
        <v>74</v>
      </c>
      <c r="L95" s="25" t="s">
        <v>100</v>
      </c>
    </row>
    <row r="96" spans="1:12" s="1" customFormat="1">
      <c r="A96" s="89"/>
      <c r="B96" s="12" t="s">
        <v>1830</v>
      </c>
      <c r="C96" s="12" t="s">
        <v>1991</v>
      </c>
      <c r="D96" s="9" t="s">
        <v>2061</v>
      </c>
      <c r="E96" s="21"/>
      <c r="F96" s="19"/>
      <c r="G96" s="19" t="s">
        <v>2246</v>
      </c>
      <c r="H96" s="71"/>
      <c r="I96" s="19"/>
      <c r="J96" s="25" t="s">
        <v>306</v>
      </c>
      <c r="K96" s="25" t="s">
        <v>115</v>
      </c>
      <c r="L96" s="25" t="s">
        <v>100</v>
      </c>
    </row>
    <row r="97" spans="1:17" s="1" customFormat="1">
      <c r="A97" s="89"/>
      <c r="B97" s="12" t="s">
        <v>2063</v>
      </c>
      <c r="C97" s="12" t="s">
        <v>98</v>
      </c>
      <c r="D97" s="9" t="s">
        <v>2064</v>
      </c>
      <c r="E97" s="21"/>
      <c r="F97" s="19"/>
      <c r="G97" s="19" t="s">
        <v>2239</v>
      </c>
      <c r="H97" s="71"/>
      <c r="I97" s="19"/>
      <c r="J97" s="25" t="s">
        <v>306</v>
      </c>
      <c r="K97" s="25" t="s">
        <v>1208</v>
      </c>
      <c r="L97" s="25" t="s">
        <v>100</v>
      </c>
    </row>
    <row r="98" spans="1:17" s="1" customFormat="1">
      <c r="A98" s="89"/>
      <c r="B98" s="12" t="s">
        <v>2066</v>
      </c>
      <c r="C98" s="12" t="s">
        <v>1991</v>
      </c>
      <c r="D98" s="9" t="s">
        <v>2067</v>
      </c>
      <c r="E98" s="21"/>
      <c r="F98" s="19"/>
      <c r="G98" s="19" t="s">
        <v>2247</v>
      </c>
      <c r="H98" s="71"/>
      <c r="I98" s="19"/>
      <c r="J98" s="25" t="s">
        <v>306</v>
      </c>
      <c r="K98" s="25" t="s">
        <v>115</v>
      </c>
      <c r="L98" s="25" t="s">
        <v>100</v>
      </c>
    </row>
    <row r="99" spans="1:17" s="1" customFormat="1">
      <c r="A99" s="89"/>
      <c r="B99" s="12" t="s">
        <v>1819</v>
      </c>
      <c r="C99" s="12" t="s">
        <v>1991</v>
      </c>
      <c r="D99" s="9" t="s">
        <v>1820</v>
      </c>
      <c r="E99" s="21"/>
      <c r="F99" s="19"/>
      <c r="G99" s="19" t="s">
        <v>2249</v>
      </c>
      <c r="H99" s="71"/>
      <c r="I99" s="19"/>
      <c r="J99" s="25" t="s">
        <v>306</v>
      </c>
      <c r="K99" s="25" t="s">
        <v>115</v>
      </c>
      <c r="L99" s="25" t="s">
        <v>100</v>
      </c>
    </row>
    <row r="100" spans="1:17" s="1" customFormat="1">
      <c r="A100" s="89"/>
      <c r="B100" s="12" t="s">
        <v>2070</v>
      </c>
      <c r="C100" s="12" t="s">
        <v>98</v>
      </c>
      <c r="D100" s="9" t="s">
        <v>2071</v>
      </c>
      <c r="E100" s="21"/>
      <c r="F100" s="19"/>
      <c r="G100" s="19" t="s">
        <v>2240</v>
      </c>
      <c r="H100" s="71"/>
      <c r="I100" s="19"/>
      <c r="J100" s="25" t="s">
        <v>306</v>
      </c>
      <c r="K100" s="25" t="s">
        <v>1208</v>
      </c>
      <c r="L100" s="25" t="s">
        <v>100</v>
      </c>
    </row>
    <row r="101" spans="1:17" s="1" customFormat="1">
      <c r="A101" s="89"/>
      <c r="B101" s="12" t="s">
        <v>2073</v>
      </c>
      <c r="C101" s="12" t="s">
        <v>98</v>
      </c>
      <c r="D101" s="9" t="s">
        <v>2074</v>
      </c>
      <c r="E101" s="21"/>
      <c r="F101" s="19"/>
      <c r="G101" s="19" t="s">
        <v>2241</v>
      </c>
      <c r="H101" s="71"/>
      <c r="I101" s="19"/>
      <c r="J101" s="25" t="s">
        <v>306</v>
      </c>
      <c r="K101" s="25" t="s">
        <v>1208</v>
      </c>
      <c r="L101" s="25" t="s">
        <v>100</v>
      </c>
    </row>
    <row r="102" spans="1:17" s="1" customFormat="1">
      <c r="A102" s="89"/>
      <c r="B102" s="12" t="s">
        <v>1822</v>
      </c>
      <c r="C102" s="12" t="s">
        <v>1991</v>
      </c>
      <c r="D102" s="9" t="s">
        <v>2076</v>
      </c>
      <c r="E102" s="21"/>
      <c r="F102" s="19"/>
      <c r="G102" s="19" t="s">
        <v>2250</v>
      </c>
      <c r="H102" s="71"/>
      <c r="I102" s="19"/>
      <c r="J102" s="25" t="s">
        <v>306</v>
      </c>
      <c r="K102" s="25" t="s">
        <v>115</v>
      </c>
      <c r="L102" s="25" t="s">
        <v>100</v>
      </c>
    </row>
    <row r="103" spans="1:17" s="1" customFormat="1">
      <c r="A103" s="89"/>
      <c r="B103" s="12" t="s">
        <v>2078</v>
      </c>
      <c r="C103" s="12" t="s">
        <v>98</v>
      </c>
      <c r="D103" s="9" t="s">
        <v>2079</v>
      </c>
      <c r="E103" s="21"/>
      <c r="F103" s="19"/>
      <c r="G103" s="19" t="s">
        <v>2242</v>
      </c>
      <c r="H103" s="71"/>
      <c r="I103" s="19"/>
      <c r="J103" s="25" t="s">
        <v>306</v>
      </c>
      <c r="K103" s="25" t="s">
        <v>1208</v>
      </c>
      <c r="L103" s="25" t="s">
        <v>100</v>
      </c>
    </row>
    <row r="104" spans="1:17" s="1" customFormat="1">
      <c r="A104" s="89"/>
      <c r="B104" s="12" t="s">
        <v>2081</v>
      </c>
      <c r="C104" s="12" t="s">
        <v>98</v>
      </c>
      <c r="D104" s="9" t="s">
        <v>1614</v>
      </c>
      <c r="E104" s="21"/>
      <c r="F104" s="19"/>
      <c r="G104" s="19" t="s">
        <v>2316</v>
      </c>
      <c r="H104" s="71"/>
      <c r="I104" s="19"/>
      <c r="J104" s="25" t="s">
        <v>306</v>
      </c>
      <c r="K104" s="25" t="s">
        <v>74</v>
      </c>
      <c r="L104" s="25" t="s">
        <v>100</v>
      </c>
    </row>
    <row r="105" spans="1:17" s="2" customFormat="1">
      <c r="B105" s="14" t="s">
        <v>80</v>
      </c>
      <c r="C105" s="15" t="s">
        <v>75</v>
      </c>
      <c r="D105" s="16" t="s">
        <v>103</v>
      </c>
      <c r="E105" s="24"/>
      <c r="F105" s="24"/>
      <c r="G105" s="24" t="s">
        <v>293</v>
      </c>
      <c r="H105" s="24" t="s">
        <v>293</v>
      </c>
      <c r="I105" s="14"/>
      <c r="J105" s="14"/>
      <c r="K105" s="14"/>
      <c r="L105" s="14"/>
      <c r="M105" s="14"/>
      <c r="N105" s="14"/>
      <c r="O105" s="14"/>
      <c r="P105" s="14"/>
      <c r="Q105" s="14"/>
    </row>
    <row r="106" spans="1:17" s="2" customFormat="1">
      <c r="B106" s="14" t="s">
        <v>0</v>
      </c>
      <c r="C106" s="15" t="s">
        <v>71</v>
      </c>
      <c r="D106" s="16" t="s">
        <v>104</v>
      </c>
      <c r="E106" s="24"/>
      <c r="F106" s="24"/>
      <c r="G106" s="24" t="s">
        <v>293</v>
      </c>
      <c r="H106" s="24" t="s">
        <v>293</v>
      </c>
      <c r="I106" s="14"/>
      <c r="J106" s="14"/>
      <c r="K106" s="14"/>
      <c r="L106" s="14"/>
      <c r="M106" s="14"/>
      <c r="N106" s="14"/>
      <c r="O106" s="14"/>
      <c r="P106" s="14"/>
      <c r="Q106" s="14"/>
    </row>
    <row r="107" spans="1:17" s="2" customFormat="1">
      <c r="B107" s="14" t="s">
        <v>1</v>
      </c>
      <c r="C107" s="15" t="s">
        <v>75</v>
      </c>
      <c r="D107" s="16" t="s">
        <v>105</v>
      </c>
      <c r="E107" s="24"/>
      <c r="F107" s="24"/>
      <c r="G107" s="24" t="s">
        <v>293</v>
      </c>
      <c r="H107" s="24" t="s">
        <v>293</v>
      </c>
      <c r="I107" s="14"/>
      <c r="J107" s="14"/>
      <c r="K107" s="14"/>
      <c r="L107" s="14"/>
      <c r="M107" s="14"/>
      <c r="N107" s="14"/>
      <c r="O107" s="14"/>
      <c r="P107" s="14"/>
      <c r="Q107" s="14"/>
    </row>
  </sheetData>
  <autoFilter ref="A13:Q107" xr:uid="{E16EFA29-E820-4A10-98BC-CF6E577605DD}"/>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91176-41E1-4230-8FE9-EA3308BD88EB}">
  <dimension ref="A1:Q105"/>
  <sheetViews>
    <sheetView zoomScale="85" zoomScaleNormal="85" workbookViewId="0">
      <pane ySplit="5" topLeftCell="A6" activePane="bottomLeft" state="frozen"/>
      <selection pane="bottomLeft" activeCell="C9" sqref="C9"/>
    </sheetView>
  </sheetViews>
  <sheetFormatPr defaultColWidth="9" defaultRowHeight="13.2"/>
  <cols>
    <col min="1" max="1" width="1.33203125" style="3" customWidth="1"/>
    <col min="2" max="2" width="36.109375" style="3" bestFit="1" customWidth="1"/>
    <col min="3" max="3" width="30.664062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bestFit="1" customWidth="1"/>
    <col min="10" max="10" width="8.109375" style="3" customWidth="1"/>
    <col min="11" max="11" width="8.44140625" style="3" customWidth="1"/>
    <col min="12" max="12" width="13.5546875" style="4" customWidth="1"/>
    <col min="13" max="16384" width="9" style="4"/>
  </cols>
  <sheetData>
    <row r="1" spans="1:14">
      <c r="B1" s="5" t="str">
        <f>HYPERLINK("#导航!a2","返回")</f>
        <v>返回</v>
      </c>
    </row>
    <row r="2" spans="1:14">
      <c r="B2" s="121"/>
      <c r="C2" s="121"/>
      <c r="D2" s="121"/>
      <c r="E2" s="121"/>
      <c r="F2" s="121"/>
      <c r="G2" s="121"/>
      <c r="H2" s="121"/>
    </row>
    <row r="3" spans="1:14">
      <c r="B3" s="122" t="s">
        <v>45</v>
      </c>
      <c r="C3" s="122"/>
      <c r="D3" s="122"/>
      <c r="E3" s="122"/>
      <c r="F3" s="122"/>
      <c r="G3" s="122"/>
      <c r="H3" s="122"/>
    </row>
    <row r="4" spans="1:14">
      <c r="B4" s="7" t="s">
        <v>11</v>
      </c>
      <c r="C4" s="7" t="s">
        <v>46</v>
      </c>
      <c r="D4" s="7" t="s">
        <v>47</v>
      </c>
      <c r="E4" s="7" t="s">
        <v>48</v>
      </c>
      <c r="F4" s="11" t="s">
        <v>49</v>
      </c>
      <c r="G4" s="11" t="s">
        <v>14</v>
      </c>
      <c r="H4" s="11" t="s">
        <v>50</v>
      </c>
    </row>
    <row r="5" spans="1:14">
      <c r="B5" s="8" t="s">
        <v>1910</v>
      </c>
      <c r="C5" s="68" t="s">
        <v>2327</v>
      </c>
      <c r="D5" s="9" t="s">
        <v>2328</v>
      </c>
      <c r="E5" s="12" t="s">
        <v>1259</v>
      </c>
      <c r="F5" s="17"/>
      <c r="G5" s="12"/>
      <c r="H5" s="12"/>
      <c r="N5" s="3"/>
    </row>
    <row r="6" spans="1:14">
      <c r="B6" s="6"/>
      <c r="C6" s="6"/>
      <c r="D6" s="6"/>
      <c r="E6" s="6"/>
      <c r="F6" s="18"/>
      <c r="G6" s="18"/>
      <c r="H6" s="18"/>
    </row>
    <row r="7" spans="1:14">
      <c r="B7" s="122" t="s">
        <v>51</v>
      </c>
      <c r="C7" s="122"/>
      <c r="D7" s="122"/>
      <c r="E7" s="122"/>
      <c r="F7" s="122"/>
      <c r="G7" s="122"/>
      <c r="H7" s="122"/>
    </row>
    <row r="8" spans="1:14">
      <c r="B8" s="11" t="s">
        <v>52</v>
      </c>
      <c r="C8" s="11" t="s">
        <v>53</v>
      </c>
      <c r="D8" s="11" t="s">
        <v>54</v>
      </c>
      <c r="E8" s="11" t="s">
        <v>55</v>
      </c>
      <c r="F8" s="11" t="s">
        <v>56</v>
      </c>
      <c r="G8" s="11" t="s">
        <v>24</v>
      </c>
      <c r="H8" s="11" t="s">
        <v>57</v>
      </c>
    </row>
    <row r="9" spans="1:14">
      <c r="B9" s="12"/>
      <c r="C9" s="68" t="s">
        <v>2325</v>
      </c>
      <c r="D9" s="9" t="s">
        <v>2326</v>
      </c>
      <c r="E9" s="12" t="s">
        <v>58</v>
      </c>
      <c r="F9" s="19"/>
      <c r="G9" s="19"/>
      <c r="H9" s="20" t="s">
        <v>30</v>
      </c>
    </row>
    <row r="11" spans="1:14">
      <c r="B11" s="3" t="s">
        <v>59</v>
      </c>
    </row>
    <row r="12" spans="1:14">
      <c r="B12" s="122" t="s">
        <v>59</v>
      </c>
      <c r="C12" s="122"/>
      <c r="D12" s="122"/>
      <c r="E12" s="122"/>
      <c r="F12" s="122"/>
      <c r="G12" s="122"/>
      <c r="H12" s="122"/>
      <c r="I12" s="122"/>
      <c r="J12" s="122"/>
      <c r="K12" s="122"/>
      <c r="L12" s="122"/>
    </row>
    <row r="13" spans="1:14">
      <c r="B13" s="7" t="s">
        <v>60</v>
      </c>
      <c r="C13" s="7" t="s">
        <v>61</v>
      </c>
      <c r="D13" s="7" t="s">
        <v>62</v>
      </c>
      <c r="E13" s="7" t="s">
        <v>63</v>
      </c>
      <c r="F13" s="11" t="s">
        <v>64</v>
      </c>
      <c r="G13" s="11" t="s">
        <v>65</v>
      </c>
      <c r="H13" s="11" t="s">
        <v>66</v>
      </c>
      <c r="I13" s="7" t="s">
        <v>24</v>
      </c>
      <c r="J13" s="7" t="s">
        <v>67</v>
      </c>
      <c r="K13" s="7" t="s">
        <v>68</v>
      </c>
      <c r="L13" s="7" t="s">
        <v>69</v>
      </c>
    </row>
    <row r="14" spans="1:14" s="1" customFormat="1">
      <c r="B14" s="13" t="s">
        <v>1259</v>
      </c>
      <c r="C14" s="13" t="s">
        <v>1914</v>
      </c>
      <c r="D14" s="9" t="s">
        <v>1469</v>
      </c>
      <c r="E14" s="21" t="s">
        <v>587</v>
      </c>
      <c r="F14" s="19" t="s">
        <v>303</v>
      </c>
      <c r="G14" s="19" t="s">
        <v>302</v>
      </c>
      <c r="H14" s="71"/>
      <c r="I14" s="25"/>
      <c r="J14" s="25" t="s">
        <v>304</v>
      </c>
      <c r="K14" s="25" t="s">
        <v>305</v>
      </c>
      <c r="L14" s="25" t="s">
        <v>1576</v>
      </c>
    </row>
    <row r="15" spans="1:14" s="1" customFormat="1">
      <c r="A15" s="89"/>
      <c r="B15" s="13" t="s">
        <v>76</v>
      </c>
      <c r="C15" s="13" t="s">
        <v>504</v>
      </c>
      <c r="D15" s="9" t="s">
        <v>1915</v>
      </c>
      <c r="E15" s="21" t="s">
        <v>587</v>
      </c>
      <c r="F15" s="19" t="s">
        <v>76</v>
      </c>
      <c r="G15" s="19" t="s">
        <v>302</v>
      </c>
      <c r="H15" s="71"/>
      <c r="I15" s="90"/>
      <c r="J15" s="25" t="s">
        <v>304</v>
      </c>
      <c r="K15" s="25" t="s">
        <v>305</v>
      </c>
      <c r="L15" s="25" t="s">
        <v>1579</v>
      </c>
    </row>
    <row r="16" spans="1:14" s="1" customFormat="1">
      <c r="A16" s="89"/>
      <c r="B16" s="13" t="s">
        <v>1580</v>
      </c>
      <c r="C16" s="13" t="s">
        <v>504</v>
      </c>
      <c r="D16" s="9" t="s">
        <v>1581</v>
      </c>
      <c r="E16" s="21" t="s">
        <v>587</v>
      </c>
      <c r="F16" s="19" t="s">
        <v>1580</v>
      </c>
      <c r="G16" s="19" t="s">
        <v>302</v>
      </c>
      <c r="H16" s="71"/>
      <c r="I16" s="90"/>
      <c r="J16" s="25" t="s">
        <v>304</v>
      </c>
      <c r="K16" s="25" t="s">
        <v>305</v>
      </c>
      <c r="L16" s="25" t="s">
        <v>1582</v>
      </c>
    </row>
    <row r="17" spans="1:13" s="1" customFormat="1">
      <c r="A17" s="89"/>
      <c r="B17" s="13" t="s">
        <v>1916</v>
      </c>
      <c r="C17" s="13" t="s">
        <v>504</v>
      </c>
      <c r="D17" s="9" t="s">
        <v>1509</v>
      </c>
      <c r="E17" s="21" t="s">
        <v>587</v>
      </c>
      <c r="F17" s="19" t="s">
        <v>301</v>
      </c>
      <c r="G17" s="19" t="s">
        <v>302</v>
      </c>
      <c r="H17" s="71"/>
      <c r="I17" s="90"/>
      <c r="J17" s="25" t="s">
        <v>304</v>
      </c>
      <c r="K17" s="25" t="s">
        <v>305</v>
      </c>
      <c r="L17" s="25" t="s">
        <v>1583</v>
      </c>
    </row>
    <row r="18" spans="1:13" s="1" customFormat="1">
      <c r="A18" s="89"/>
      <c r="B18" s="13" t="s">
        <v>81</v>
      </c>
      <c r="C18" s="13" t="s">
        <v>504</v>
      </c>
      <c r="D18" s="9" t="s">
        <v>1584</v>
      </c>
      <c r="E18" s="21" t="s">
        <v>587</v>
      </c>
      <c r="F18" s="9" t="s">
        <v>1813</v>
      </c>
      <c r="G18" s="19" t="s">
        <v>302</v>
      </c>
      <c r="H18" s="71"/>
      <c r="I18" s="90"/>
      <c r="J18" s="25" t="s">
        <v>304</v>
      </c>
      <c r="K18" s="25" t="s">
        <v>305</v>
      </c>
      <c r="L18" s="25" t="s">
        <v>1583</v>
      </c>
    </row>
    <row r="19" spans="1:13" s="1" customFormat="1">
      <c r="A19" s="89"/>
      <c r="B19" s="12" t="s">
        <v>82</v>
      </c>
      <c r="C19" s="13" t="s">
        <v>504</v>
      </c>
      <c r="D19" s="9" t="s">
        <v>1586</v>
      </c>
      <c r="E19" s="21" t="s">
        <v>587</v>
      </c>
      <c r="F19" s="9" t="s">
        <v>1816</v>
      </c>
      <c r="G19" s="19" t="s">
        <v>302</v>
      </c>
      <c r="H19" s="71"/>
      <c r="I19" s="90"/>
      <c r="J19" s="25" t="s">
        <v>304</v>
      </c>
      <c r="K19" s="25" t="s">
        <v>305</v>
      </c>
      <c r="L19" s="25" t="s">
        <v>1583</v>
      </c>
    </row>
    <row r="20" spans="1:13" s="1" customFormat="1">
      <c r="A20" s="89"/>
      <c r="B20" s="12" t="s">
        <v>83</v>
      </c>
      <c r="C20" s="13" t="s">
        <v>1914</v>
      </c>
      <c r="D20" s="9" t="s">
        <v>84</v>
      </c>
      <c r="E20" s="21" t="s">
        <v>587</v>
      </c>
      <c r="F20" s="9" t="s">
        <v>654</v>
      </c>
      <c r="G20" s="19" t="s">
        <v>302</v>
      </c>
      <c r="H20" s="71"/>
      <c r="I20" s="90"/>
      <c r="J20" s="25" t="s">
        <v>304</v>
      </c>
      <c r="K20" s="25" t="s">
        <v>305</v>
      </c>
      <c r="L20" s="25" t="s">
        <v>74</v>
      </c>
    </row>
    <row r="21" spans="1:13" s="1" customFormat="1">
      <c r="A21" s="89"/>
      <c r="B21" s="12" t="s">
        <v>85</v>
      </c>
      <c r="C21" s="13" t="s">
        <v>1914</v>
      </c>
      <c r="D21" s="9" t="s">
        <v>86</v>
      </c>
      <c r="E21" s="21" t="s">
        <v>587</v>
      </c>
      <c r="F21" s="9" t="s">
        <v>1643</v>
      </c>
      <c r="G21" s="19" t="s">
        <v>302</v>
      </c>
      <c r="H21" s="71"/>
      <c r="I21" s="90"/>
      <c r="J21" s="25" t="s">
        <v>304</v>
      </c>
      <c r="K21" s="25" t="s">
        <v>305</v>
      </c>
      <c r="L21" s="25" t="s">
        <v>74</v>
      </c>
    </row>
    <row r="22" spans="1:13" s="1" customFormat="1">
      <c r="A22" s="89"/>
      <c r="B22" s="12" t="s">
        <v>87</v>
      </c>
      <c r="C22" s="13" t="s">
        <v>1914</v>
      </c>
      <c r="D22" s="9" t="s">
        <v>88</v>
      </c>
      <c r="E22" s="21" t="s">
        <v>587</v>
      </c>
      <c r="F22" s="9" t="s">
        <v>1644</v>
      </c>
      <c r="G22" s="19" t="s">
        <v>302</v>
      </c>
      <c r="H22" s="71"/>
      <c r="I22" s="90"/>
      <c r="J22" s="25" t="s">
        <v>304</v>
      </c>
      <c r="K22" s="25" t="s">
        <v>305</v>
      </c>
      <c r="L22" s="25" t="s">
        <v>74</v>
      </c>
    </row>
    <row r="23" spans="1:13" s="1" customFormat="1">
      <c r="A23" s="89"/>
      <c r="B23" s="12" t="s">
        <v>307</v>
      </c>
      <c r="C23" s="12" t="s">
        <v>1914</v>
      </c>
      <c r="D23" s="9" t="s">
        <v>648</v>
      </c>
      <c r="E23" s="21" t="s">
        <v>587</v>
      </c>
      <c r="F23" s="9" t="s">
        <v>307</v>
      </c>
      <c r="G23" s="19" t="s">
        <v>302</v>
      </c>
      <c r="H23" s="71"/>
      <c r="I23" s="102"/>
      <c r="J23" s="25" t="s">
        <v>304</v>
      </c>
      <c r="K23" s="25" t="s">
        <v>305</v>
      </c>
      <c r="L23" s="25" t="s">
        <v>74</v>
      </c>
    </row>
    <row r="24" spans="1:13" s="1" customFormat="1">
      <c r="A24" s="89"/>
      <c r="B24" s="12" t="s">
        <v>308</v>
      </c>
      <c r="C24" s="12" t="s">
        <v>71</v>
      </c>
      <c r="D24" s="9" t="s">
        <v>93</v>
      </c>
      <c r="E24" s="21" t="s">
        <v>587</v>
      </c>
      <c r="F24" s="9" t="s">
        <v>308</v>
      </c>
      <c r="G24" s="19" t="s">
        <v>302</v>
      </c>
      <c r="H24" s="71"/>
      <c r="I24" s="90"/>
      <c r="J24" s="25" t="s">
        <v>304</v>
      </c>
      <c r="K24" s="25" t="s">
        <v>305</v>
      </c>
      <c r="L24" s="25" t="s">
        <v>74</v>
      </c>
    </row>
    <row r="25" spans="1:13" s="1" customFormat="1">
      <c r="A25" s="89"/>
      <c r="B25" s="12" t="s">
        <v>94</v>
      </c>
      <c r="C25" s="12" t="s">
        <v>71</v>
      </c>
      <c r="D25" s="9" t="s">
        <v>95</v>
      </c>
      <c r="E25" s="21" t="s">
        <v>587</v>
      </c>
      <c r="F25" s="9" t="s">
        <v>94</v>
      </c>
      <c r="G25" s="19" t="s">
        <v>302</v>
      </c>
      <c r="H25" s="71"/>
      <c r="I25" s="90"/>
      <c r="J25" s="25" t="s">
        <v>304</v>
      </c>
      <c r="K25" s="25" t="s">
        <v>305</v>
      </c>
      <c r="L25" s="25" t="s">
        <v>74</v>
      </c>
    </row>
    <row r="26" spans="1:13" s="1" customFormat="1">
      <c r="A26" s="89"/>
      <c r="B26" s="12" t="s">
        <v>616</v>
      </c>
      <c r="C26" s="12" t="s">
        <v>71</v>
      </c>
      <c r="D26" s="9" t="s">
        <v>1587</v>
      </c>
      <c r="E26" s="21" t="s">
        <v>587</v>
      </c>
      <c r="F26" s="9" t="s">
        <v>616</v>
      </c>
      <c r="G26" s="19" t="s">
        <v>302</v>
      </c>
      <c r="H26" s="71"/>
      <c r="I26" s="90"/>
      <c r="J26" s="25" t="s">
        <v>304</v>
      </c>
      <c r="K26" s="25" t="s">
        <v>305</v>
      </c>
      <c r="L26" s="25" t="s">
        <v>74</v>
      </c>
    </row>
    <row r="27" spans="1:13" s="1" customFormat="1">
      <c r="B27" s="13" t="s">
        <v>1918</v>
      </c>
      <c r="C27" s="26" t="s">
        <v>71</v>
      </c>
      <c r="D27" s="9" t="s">
        <v>1840</v>
      </c>
      <c r="E27" s="21" t="s">
        <v>587</v>
      </c>
      <c r="F27" s="9" t="s">
        <v>1918</v>
      </c>
      <c r="G27" s="19" t="s">
        <v>302</v>
      </c>
      <c r="H27" s="71"/>
      <c r="I27" s="25"/>
      <c r="J27" s="25" t="s">
        <v>304</v>
      </c>
      <c r="K27" s="25" t="s">
        <v>305</v>
      </c>
      <c r="L27" s="25" t="s">
        <v>1842</v>
      </c>
    </row>
    <row r="28" spans="1:13" s="89" customFormat="1">
      <c r="B28" s="13" t="s">
        <v>96</v>
      </c>
      <c r="C28" s="12" t="s">
        <v>71</v>
      </c>
      <c r="D28" s="9" t="s">
        <v>1592</v>
      </c>
      <c r="E28" s="21" t="s">
        <v>587</v>
      </c>
      <c r="F28" s="19" t="s">
        <v>96</v>
      </c>
      <c r="G28" s="19" t="s">
        <v>302</v>
      </c>
      <c r="H28" s="71"/>
      <c r="I28" s="90"/>
      <c r="J28" s="25" t="s">
        <v>304</v>
      </c>
      <c r="K28" s="25" t="s">
        <v>305</v>
      </c>
      <c r="L28" s="25" t="s">
        <v>1583</v>
      </c>
      <c r="M28" s="1"/>
    </row>
    <row r="29" spans="1:13" s="1" customFormat="1">
      <c r="A29" s="89"/>
      <c r="B29" s="12" t="s">
        <v>1845</v>
      </c>
      <c r="C29" s="12" t="s">
        <v>504</v>
      </c>
      <c r="D29" s="9" t="s">
        <v>1920</v>
      </c>
      <c r="E29" s="21" t="s">
        <v>587</v>
      </c>
      <c r="F29" s="19" t="s">
        <v>1845</v>
      </c>
      <c r="G29" s="19" t="s">
        <v>302</v>
      </c>
      <c r="H29" s="71"/>
      <c r="I29" s="19"/>
      <c r="J29" s="25" t="s">
        <v>304</v>
      </c>
      <c r="K29" s="25" t="s">
        <v>305</v>
      </c>
      <c r="L29" s="25" t="s">
        <v>1921</v>
      </c>
    </row>
    <row r="30" spans="1:13" s="1" customFormat="1">
      <c r="A30" s="89"/>
      <c r="B30" s="12" t="s">
        <v>1922</v>
      </c>
      <c r="C30" s="12" t="s">
        <v>504</v>
      </c>
      <c r="D30" s="9" t="s">
        <v>1923</v>
      </c>
      <c r="E30" s="21" t="s">
        <v>587</v>
      </c>
      <c r="F30" s="19" t="s">
        <v>1922</v>
      </c>
      <c r="G30" s="19" t="s">
        <v>302</v>
      </c>
      <c r="H30" s="71"/>
      <c r="I30" s="19"/>
      <c r="J30" s="25" t="s">
        <v>304</v>
      </c>
      <c r="K30" s="25" t="s">
        <v>305</v>
      </c>
      <c r="L30" s="25" t="s">
        <v>1921</v>
      </c>
    </row>
    <row r="31" spans="1:13" s="1" customFormat="1">
      <c r="A31" s="89"/>
      <c r="B31" s="12" t="s">
        <v>1924</v>
      </c>
      <c r="C31" s="12" t="s">
        <v>98</v>
      </c>
      <c r="D31" s="9" t="s">
        <v>1617</v>
      </c>
      <c r="E31" s="21"/>
      <c r="F31" s="19"/>
      <c r="G31" s="19" t="s">
        <v>1688</v>
      </c>
      <c r="H31" s="71"/>
      <c r="I31" s="19"/>
      <c r="J31" s="25" t="s">
        <v>306</v>
      </c>
      <c r="K31" s="25" t="s">
        <v>305</v>
      </c>
      <c r="L31" s="25" t="s">
        <v>1209</v>
      </c>
    </row>
    <row r="32" spans="1:13" s="1" customFormat="1">
      <c r="A32" s="89"/>
      <c r="B32" s="12" t="s">
        <v>300</v>
      </c>
      <c r="C32" s="12" t="s">
        <v>98</v>
      </c>
      <c r="D32" s="9" t="s">
        <v>1926</v>
      </c>
      <c r="E32" s="21"/>
      <c r="F32" s="19"/>
      <c r="G32" s="19" t="s">
        <v>120</v>
      </c>
      <c r="H32" s="19"/>
      <c r="I32" s="19"/>
      <c r="J32" s="25" t="s">
        <v>306</v>
      </c>
      <c r="K32" s="25" t="s">
        <v>305</v>
      </c>
      <c r="L32" s="25" t="s">
        <v>1209</v>
      </c>
    </row>
    <row r="33" spans="1:12" s="1" customFormat="1">
      <c r="A33" s="89"/>
      <c r="B33" s="12" t="s">
        <v>1928</v>
      </c>
      <c r="C33" s="12" t="s">
        <v>98</v>
      </c>
      <c r="D33" s="9" t="s">
        <v>1929</v>
      </c>
      <c r="E33" s="21"/>
      <c r="F33" s="19"/>
      <c r="G33" s="19" t="s">
        <v>2194</v>
      </c>
      <c r="H33" s="19"/>
      <c r="I33" s="19"/>
      <c r="J33" s="25" t="s">
        <v>306</v>
      </c>
      <c r="K33" s="25" t="s">
        <v>305</v>
      </c>
      <c r="L33" s="25" t="s">
        <v>1209</v>
      </c>
    </row>
    <row r="34" spans="1:12" s="1" customFormat="1">
      <c r="A34" s="89"/>
      <c r="B34" s="13" t="s">
        <v>1930</v>
      </c>
      <c r="C34" s="13" t="s">
        <v>98</v>
      </c>
      <c r="D34" s="9" t="s">
        <v>1931</v>
      </c>
      <c r="E34" s="21"/>
      <c r="F34" s="19"/>
      <c r="G34" s="19" t="s">
        <v>2179</v>
      </c>
      <c r="H34" s="19"/>
      <c r="I34" s="19"/>
      <c r="J34" s="25" t="s">
        <v>306</v>
      </c>
      <c r="K34" s="25" t="s">
        <v>800</v>
      </c>
      <c r="L34" s="25" t="s">
        <v>1209</v>
      </c>
    </row>
    <row r="35" spans="1:12" s="1" customFormat="1">
      <c r="A35" s="89"/>
      <c r="B35" s="12" t="s">
        <v>1932</v>
      </c>
      <c r="C35" s="12" t="s">
        <v>98</v>
      </c>
      <c r="D35" s="9" t="s">
        <v>1933</v>
      </c>
      <c r="E35" s="21"/>
      <c r="F35" s="19"/>
      <c r="G35" s="19" t="s">
        <v>2180</v>
      </c>
      <c r="H35" s="71"/>
      <c r="I35" s="19"/>
      <c r="J35" s="25" t="s">
        <v>306</v>
      </c>
      <c r="K35" s="25" t="s">
        <v>1934</v>
      </c>
      <c r="L35" s="25" t="s">
        <v>1209</v>
      </c>
    </row>
    <row r="36" spans="1:12" s="1" customFormat="1">
      <c r="A36" s="89"/>
      <c r="B36" s="12" t="s">
        <v>1935</v>
      </c>
      <c r="C36" s="12" t="s">
        <v>98</v>
      </c>
      <c r="D36" s="9" t="s">
        <v>1936</v>
      </c>
      <c r="E36" s="21"/>
      <c r="F36" s="19"/>
      <c r="G36" s="19" t="s">
        <v>2181</v>
      </c>
      <c r="H36" s="71"/>
      <c r="I36" s="19"/>
      <c r="J36" s="25" t="s">
        <v>306</v>
      </c>
      <c r="K36" s="25" t="s">
        <v>1934</v>
      </c>
      <c r="L36" s="25" t="s">
        <v>1209</v>
      </c>
    </row>
    <row r="37" spans="1:12" s="1" customFormat="1">
      <c r="A37" s="89"/>
      <c r="B37" s="12" t="s">
        <v>1984</v>
      </c>
      <c r="C37" s="12" t="s">
        <v>98</v>
      </c>
      <c r="D37" s="9" t="s">
        <v>2090</v>
      </c>
      <c r="E37" s="21"/>
      <c r="F37" s="19"/>
      <c r="G37" s="19" t="s">
        <v>2195</v>
      </c>
      <c r="H37" s="71"/>
      <c r="I37" s="19"/>
      <c r="J37" s="25" t="s">
        <v>306</v>
      </c>
      <c r="K37" s="25" t="s">
        <v>1934</v>
      </c>
      <c r="L37" s="25" t="s">
        <v>100</v>
      </c>
    </row>
    <row r="38" spans="1:12" s="1" customFormat="1">
      <c r="A38" s="89"/>
      <c r="B38" s="12" t="s">
        <v>1937</v>
      </c>
      <c r="C38" s="12" t="s">
        <v>98</v>
      </c>
      <c r="D38" s="9" t="s">
        <v>1938</v>
      </c>
      <c r="E38" s="21"/>
      <c r="F38" s="19"/>
      <c r="G38" s="19" t="s">
        <v>2196</v>
      </c>
      <c r="H38" s="71"/>
      <c r="I38" s="19"/>
      <c r="J38" s="25" t="s">
        <v>306</v>
      </c>
      <c r="K38" s="25" t="s">
        <v>74</v>
      </c>
      <c r="L38" s="25" t="s">
        <v>100</v>
      </c>
    </row>
    <row r="39" spans="1:12" s="1" customFormat="1">
      <c r="A39" s="89"/>
      <c r="B39" s="12" t="s">
        <v>1940</v>
      </c>
      <c r="C39" s="12" t="s">
        <v>98</v>
      </c>
      <c r="D39" s="9" t="s">
        <v>1941</v>
      </c>
      <c r="E39" s="21"/>
      <c r="F39" s="19"/>
      <c r="G39" s="19" t="s">
        <v>2197</v>
      </c>
      <c r="H39" s="71"/>
      <c r="I39" s="19"/>
      <c r="J39" s="25" t="s">
        <v>306</v>
      </c>
      <c r="K39" s="25" t="s">
        <v>74</v>
      </c>
      <c r="L39" s="25" t="s">
        <v>100</v>
      </c>
    </row>
    <row r="40" spans="1:12" s="1" customFormat="1">
      <c r="A40" s="89"/>
      <c r="B40" s="12" t="s">
        <v>1986</v>
      </c>
      <c r="C40" s="12" t="s">
        <v>98</v>
      </c>
      <c r="D40" s="9" t="s">
        <v>2091</v>
      </c>
      <c r="E40" s="21"/>
      <c r="F40" s="19"/>
      <c r="G40" s="19" t="s">
        <v>2198</v>
      </c>
      <c r="H40" s="71"/>
      <c r="I40" s="19"/>
      <c r="J40" s="25" t="s">
        <v>306</v>
      </c>
      <c r="K40" s="25" t="s">
        <v>1934</v>
      </c>
      <c r="L40" s="25" t="s">
        <v>100</v>
      </c>
    </row>
    <row r="41" spans="1:12" s="1" customFormat="1">
      <c r="A41" s="89"/>
      <c r="B41" s="12" t="s">
        <v>1943</v>
      </c>
      <c r="C41" s="12" t="s">
        <v>98</v>
      </c>
      <c r="D41" s="9" t="s">
        <v>1944</v>
      </c>
      <c r="E41" s="21"/>
      <c r="F41" s="19"/>
      <c r="G41" s="19" t="s">
        <v>2199</v>
      </c>
      <c r="H41" s="71"/>
      <c r="I41" s="19"/>
      <c r="J41" s="25" t="s">
        <v>306</v>
      </c>
      <c r="K41" s="25" t="s">
        <v>74</v>
      </c>
      <c r="L41" s="25" t="s">
        <v>100</v>
      </c>
    </row>
    <row r="42" spans="1:12" s="1" customFormat="1">
      <c r="A42" s="89"/>
      <c r="B42" s="12" t="s">
        <v>1946</v>
      </c>
      <c r="C42" s="12" t="s">
        <v>98</v>
      </c>
      <c r="D42" s="9" t="s">
        <v>1947</v>
      </c>
      <c r="E42" s="21"/>
      <c r="F42" s="19"/>
      <c r="G42" s="19" t="s">
        <v>2200</v>
      </c>
      <c r="H42" s="71"/>
      <c r="I42" s="19"/>
      <c r="J42" s="25" t="s">
        <v>306</v>
      </c>
      <c r="K42" s="25" t="s">
        <v>74</v>
      </c>
      <c r="L42" s="25" t="s">
        <v>100</v>
      </c>
    </row>
    <row r="43" spans="1:12" s="1" customFormat="1">
      <c r="A43" s="89"/>
      <c r="B43" s="12" t="s">
        <v>2094</v>
      </c>
      <c r="C43" s="12" t="s">
        <v>1991</v>
      </c>
      <c r="D43" s="9" t="s">
        <v>2096</v>
      </c>
      <c r="E43" s="21"/>
      <c r="F43" s="19"/>
      <c r="G43" s="19" t="s">
        <v>2201</v>
      </c>
      <c r="H43" s="71"/>
      <c r="I43" s="19"/>
      <c r="J43" s="25" t="s">
        <v>306</v>
      </c>
      <c r="K43" s="25" t="s">
        <v>2317</v>
      </c>
      <c r="L43" s="25" t="s">
        <v>1498</v>
      </c>
    </row>
    <row r="44" spans="1:12" s="1" customFormat="1">
      <c r="A44" s="89"/>
      <c r="B44" s="12" t="s">
        <v>2095</v>
      </c>
      <c r="C44" s="12" t="s">
        <v>1991</v>
      </c>
      <c r="D44" s="9" t="s">
        <v>2472</v>
      </c>
      <c r="E44" s="21"/>
      <c r="F44" s="19"/>
      <c r="G44" s="19" t="s">
        <v>2202</v>
      </c>
      <c r="H44" s="71"/>
      <c r="I44" s="19"/>
      <c r="J44" s="25" t="s">
        <v>306</v>
      </c>
      <c r="K44" s="25" t="s">
        <v>2318</v>
      </c>
      <c r="L44" s="25" t="s">
        <v>1498</v>
      </c>
    </row>
    <row r="45" spans="1:12" s="1" customFormat="1">
      <c r="A45" s="89"/>
      <c r="B45" s="12" t="s">
        <v>2099</v>
      </c>
      <c r="C45" s="12" t="s">
        <v>1991</v>
      </c>
      <c r="D45" s="9" t="s">
        <v>2101</v>
      </c>
      <c r="E45" s="21"/>
      <c r="F45" s="19"/>
      <c r="G45" s="19" t="s">
        <v>2203</v>
      </c>
      <c r="H45" s="71"/>
      <c r="I45" s="19"/>
      <c r="J45" s="25" t="s">
        <v>306</v>
      </c>
      <c r="K45" s="25" t="s">
        <v>2317</v>
      </c>
      <c r="L45" s="25" t="s">
        <v>1498</v>
      </c>
    </row>
    <row r="46" spans="1:12" s="1" customFormat="1">
      <c r="A46" s="89"/>
      <c r="B46" s="12" t="s">
        <v>2100</v>
      </c>
      <c r="C46" s="12" t="s">
        <v>1991</v>
      </c>
      <c r="D46" s="9" t="s">
        <v>2473</v>
      </c>
      <c r="E46" s="21"/>
      <c r="F46" s="19"/>
      <c r="G46" s="19" t="s">
        <v>2204</v>
      </c>
      <c r="H46" s="71"/>
      <c r="I46" s="19"/>
      <c r="J46" s="25" t="s">
        <v>306</v>
      </c>
      <c r="K46" s="25" t="s">
        <v>2318</v>
      </c>
      <c r="L46" s="25" t="s">
        <v>1498</v>
      </c>
    </row>
    <row r="47" spans="1:12" s="1" customFormat="1">
      <c r="A47" s="89"/>
      <c r="B47" s="12" t="s">
        <v>2104</v>
      </c>
      <c r="C47" s="12" t="s">
        <v>1991</v>
      </c>
      <c r="D47" s="9" t="s">
        <v>2108</v>
      </c>
      <c r="E47" s="21"/>
      <c r="F47" s="19"/>
      <c r="G47" s="19" t="s">
        <v>2205</v>
      </c>
      <c r="H47" s="71"/>
      <c r="I47" s="19"/>
      <c r="J47" s="25" t="s">
        <v>306</v>
      </c>
      <c r="K47" s="25" t="s">
        <v>2317</v>
      </c>
      <c r="L47" s="25" t="s">
        <v>1498</v>
      </c>
    </row>
    <row r="48" spans="1:12" s="1" customFormat="1">
      <c r="A48" s="89"/>
      <c r="B48" s="12" t="s">
        <v>2105</v>
      </c>
      <c r="C48" s="12" t="s">
        <v>1991</v>
      </c>
      <c r="D48" s="9" t="s">
        <v>2474</v>
      </c>
      <c r="E48" s="21"/>
      <c r="F48" s="19"/>
      <c r="G48" s="19" t="s">
        <v>2206</v>
      </c>
      <c r="H48" s="71"/>
      <c r="I48" s="19"/>
      <c r="J48" s="25" t="s">
        <v>306</v>
      </c>
      <c r="K48" s="25" t="s">
        <v>2318</v>
      </c>
      <c r="L48" s="25" t="s">
        <v>1498</v>
      </c>
    </row>
    <row r="49" spans="1:12" s="1" customFormat="1">
      <c r="A49" s="89"/>
      <c r="B49" s="12" t="s">
        <v>2106</v>
      </c>
      <c r="C49" s="12" t="s">
        <v>1991</v>
      </c>
      <c r="D49" s="9" t="s">
        <v>2109</v>
      </c>
      <c r="E49" s="21"/>
      <c r="F49" s="19"/>
      <c r="G49" s="19" t="s">
        <v>2207</v>
      </c>
      <c r="H49" s="71"/>
      <c r="I49" s="19"/>
      <c r="J49" s="25" t="s">
        <v>306</v>
      </c>
      <c r="K49" s="25" t="s">
        <v>2317</v>
      </c>
      <c r="L49" s="25" t="s">
        <v>1498</v>
      </c>
    </row>
    <row r="50" spans="1:12" s="1" customFormat="1">
      <c r="A50" s="89"/>
      <c r="B50" s="12" t="s">
        <v>2107</v>
      </c>
      <c r="C50" s="12" t="s">
        <v>1991</v>
      </c>
      <c r="D50" s="9" t="s">
        <v>2475</v>
      </c>
      <c r="E50" s="21"/>
      <c r="F50" s="19"/>
      <c r="G50" s="19" t="s">
        <v>2208</v>
      </c>
      <c r="H50" s="71"/>
      <c r="I50" s="19"/>
      <c r="J50" s="25" t="s">
        <v>306</v>
      </c>
      <c r="K50" s="25" t="s">
        <v>2318</v>
      </c>
      <c r="L50" s="25" t="s">
        <v>1498</v>
      </c>
    </row>
    <row r="51" spans="1:12" s="1" customFormat="1">
      <c r="A51" s="89"/>
      <c r="B51" s="12" t="s">
        <v>1949</v>
      </c>
      <c r="C51" s="12" t="s">
        <v>98</v>
      </c>
      <c r="D51" s="9" t="s">
        <v>1950</v>
      </c>
      <c r="E51" s="21"/>
      <c r="F51" s="19"/>
      <c r="G51" s="19" t="s">
        <v>1951</v>
      </c>
      <c r="H51" s="71"/>
      <c r="I51" s="19"/>
      <c r="J51" s="25" t="s">
        <v>306</v>
      </c>
      <c r="K51" s="25" t="s">
        <v>74</v>
      </c>
      <c r="L51" s="25" t="s">
        <v>100</v>
      </c>
    </row>
    <row r="52" spans="1:12" s="1" customFormat="1">
      <c r="A52" s="89"/>
      <c r="B52" s="12" t="s">
        <v>1952</v>
      </c>
      <c r="C52" s="12" t="s">
        <v>98</v>
      </c>
      <c r="D52" s="9" t="s">
        <v>1953</v>
      </c>
      <c r="E52" s="21"/>
      <c r="F52" s="19"/>
      <c r="G52" s="19" t="s">
        <v>1954</v>
      </c>
      <c r="H52" s="71"/>
      <c r="I52" s="19"/>
      <c r="J52" s="25" t="s">
        <v>306</v>
      </c>
      <c r="K52" s="25" t="s">
        <v>74</v>
      </c>
      <c r="L52" s="25" t="s">
        <v>100</v>
      </c>
    </row>
    <row r="53" spans="1:12" s="1" customFormat="1">
      <c r="A53" s="89"/>
      <c r="B53" s="12" t="s">
        <v>1955</v>
      </c>
      <c r="C53" s="12" t="s">
        <v>98</v>
      </c>
      <c r="D53" s="9" t="s">
        <v>2183</v>
      </c>
      <c r="E53" s="21"/>
      <c r="F53" s="19"/>
      <c r="G53" s="19" t="s">
        <v>1957</v>
      </c>
      <c r="H53" s="71"/>
      <c r="I53" s="19"/>
      <c r="J53" s="25" t="s">
        <v>306</v>
      </c>
      <c r="K53" s="25" t="s">
        <v>74</v>
      </c>
      <c r="L53" s="25" t="s">
        <v>100</v>
      </c>
    </row>
    <row r="54" spans="1:12" s="1" customFormat="1">
      <c r="A54" s="89"/>
      <c r="B54" s="12" t="s">
        <v>1958</v>
      </c>
      <c r="C54" s="12" t="s">
        <v>98</v>
      </c>
      <c r="D54" s="9" t="s">
        <v>1959</v>
      </c>
      <c r="E54" s="21"/>
      <c r="F54" s="19"/>
      <c r="G54" s="19" t="s">
        <v>1960</v>
      </c>
      <c r="H54" s="71"/>
      <c r="I54" s="19"/>
      <c r="J54" s="25" t="s">
        <v>306</v>
      </c>
      <c r="K54" s="25" t="s">
        <v>74</v>
      </c>
      <c r="L54" s="25" t="s">
        <v>100</v>
      </c>
    </row>
    <row r="55" spans="1:12" s="1" customFormat="1">
      <c r="A55" s="89"/>
      <c r="B55" s="12" t="s">
        <v>1961</v>
      </c>
      <c r="C55" s="12" t="s">
        <v>98</v>
      </c>
      <c r="D55" s="9" t="s">
        <v>1962</v>
      </c>
      <c r="E55" s="21"/>
      <c r="F55" s="19"/>
      <c r="G55" s="19" t="s">
        <v>2209</v>
      </c>
      <c r="H55" s="71"/>
      <c r="I55" s="19"/>
      <c r="J55" s="25" t="s">
        <v>306</v>
      </c>
      <c r="K55" s="25" t="s">
        <v>74</v>
      </c>
      <c r="L55" s="25" t="s">
        <v>100</v>
      </c>
    </row>
    <row r="56" spans="1:12" s="1" customFormat="1">
      <c r="A56" s="89"/>
      <c r="B56" s="12" t="s">
        <v>1964</v>
      </c>
      <c r="C56" s="12" t="s">
        <v>98</v>
      </c>
      <c r="D56" s="9" t="s">
        <v>1965</v>
      </c>
      <c r="E56" s="21"/>
      <c r="F56" s="19"/>
      <c r="G56" s="19" t="s">
        <v>2210</v>
      </c>
      <c r="H56" s="71"/>
      <c r="I56" s="19"/>
      <c r="J56" s="25" t="s">
        <v>306</v>
      </c>
      <c r="K56" s="25" t="s">
        <v>74</v>
      </c>
      <c r="L56" s="25" t="s">
        <v>100</v>
      </c>
    </row>
    <row r="57" spans="1:12" s="1" customFormat="1">
      <c r="A57" s="89"/>
      <c r="B57" s="12" t="s">
        <v>2136</v>
      </c>
      <c r="C57" s="12" t="s">
        <v>98</v>
      </c>
      <c r="D57" s="9" t="s">
        <v>2133</v>
      </c>
      <c r="E57" s="21"/>
      <c r="F57" s="19"/>
      <c r="G57" s="19" t="s">
        <v>2140</v>
      </c>
      <c r="H57" s="71"/>
      <c r="I57" s="19"/>
      <c r="J57" s="25" t="s">
        <v>306</v>
      </c>
      <c r="K57" s="25" t="s">
        <v>74</v>
      </c>
      <c r="L57" s="25" t="s">
        <v>100</v>
      </c>
    </row>
    <row r="58" spans="1:12" s="1" customFormat="1">
      <c r="A58" s="89"/>
      <c r="B58" s="12" t="s">
        <v>2139</v>
      </c>
      <c r="C58" s="12" t="s">
        <v>98</v>
      </c>
      <c r="D58" s="9" t="s">
        <v>2135</v>
      </c>
      <c r="E58" s="21"/>
      <c r="F58" s="19"/>
      <c r="G58" s="19" t="s">
        <v>2211</v>
      </c>
      <c r="H58" s="71"/>
      <c r="I58" s="19"/>
      <c r="J58" s="25" t="s">
        <v>306</v>
      </c>
      <c r="K58" s="25" t="s">
        <v>74</v>
      </c>
      <c r="L58" s="25" t="s">
        <v>100</v>
      </c>
    </row>
    <row r="59" spans="1:12" s="1" customFormat="1">
      <c r="A59" s="89"/>
      <c r="B59" s="12" t="s">
        <v>2132</v>
      </c>
      <c r="C59" s="12" t="s">
        <v>98</v>
      </c>
      <c r="D59" s="9" t="s">
        <v>1967</v>
      </c>
      <c r="E59" s="21"/>
      <c r="F59" s="19"/>
      <c r="G59" s="19" t="s">
        <v>2212</v>
      </c>
      <c r="H59" s="71"/>
      <c r="I59" s="19"/>
      <c r="J59" s="25" t="s">
        <v>306</v>
      </c>
      <c r="K59" s="25" t="s">
        <v>74</v>
      </c>
      <c r="L59" s="25" t="s">
        <v>100</v>
      </c>
    </row>
    <row r="60" spans="1:12" s="1" customFormat="1">
      <c r="A60" s="89"/>
      <c r="B60" s="12" t="s">
        <v>1969</v>
      </c>
      <c r="C60" s="12" t="s">
        <v>98</v>
      </c>
      <c r="D60" s="9" t="s">
        <v>1970</v>
      </c>
      <c r="E60" s="21"/>
      <c r="F60" s="19"/>
      <c r="G60" s="19" t="s">
        <v>2213</v>
      </c>
      <c r="H60" s="71"/>
      <c r="I60" s="19"/>
      <c r="J60" s="25" t="s">
        <v>306</v>
      </c>
      <c r="K60" s="25" t="s">
        <v>74</v>
      </c>
      <c r="L60" s="25" t="s">
        <v>100</v>
      </c>
    </row>
    <row r="61" spans="1:12" s="1" customFormat="1">
      <c r="A61" s="89"/>
      <c r="B61" s="12" t="s">
        <v>1972</v>
      </c>
      <c r="C61" s="12" t="s">
        <v>98</v>
      </c>
      <c r="D61" s="9" t="s">
        <v>1973</v>
      </c>
      <c r="E61" s="21"/>
      <c r="F61" s="19"/>
      <c r="G61" s="19" t="s">
        <v>2214</v>
      </c>
      <c r="H61" s="71"/>
      <c r="I61" s="19"/>
      <c r="J61" s="25" t="s">
        <v>306</v>
      </c>
      <c r="K61" s="25" t="s">
        <v>74</v>
      </c>
      <c r="L61" s="25" t="s">
        <v>100</v>
      </c>
    </row>
    <row r="62" spans="1:12" s="1" customFormat="1">
      <c r="A62" s="89"/>
      <c r="B62" s="12" t="s">
        <v>1975</v>
      </c>
      <c r="C62" s="12" t="s">
        <v>98</v>
      </c>
      <c r="D62" s="9" t="s">
        <v>1976</v>
      </c>
      <c r="E62" s="21"/>
      <c r="F62" s="19"/>
      <c r="G62" s="19" t="s">
        <v>2215</v>
      </c>
      <c r="H62" s="71"/>
      <c r="I62" s="19"/>
      <c r="J62" s="25" t="s">
        <v>306</v>
      </c>
      <c r="K62" s="25" t="s">
        <v>74</v>
      </c>
      <c r="L62" s="25" t="s">
        <v>100</v>
      </c>
    </row>
    <row r="63" spans="1:12" s="1" customFormat="1">
      <c r="A63" s="89"/>
      <c r="B63" s="12" t="s">
        <v>1978</v>
      </c>
      <c r="C63" s="12" t="s">
        <v>98</v>
      </c>
      <c r="D63" s="9" t="s">
        <v>1979</v>
      </c>
      <c r="E63" s="21"/>
      <c r="F63" s="19"/>
      <c r="G63" s="19" t="s">
        <v>1980</v>
      </c>
      <c r="H63" s="71"/>
      <c r="I63" s="19"/>
      <c r="J63" s="25" t="s">
        <v>306</v>
      </c>
      <c r="K63" s="25" t="s">
        <v>74</v>
      </c>
      <c r="L63" s="25" t="s">
        <v>100</v>
      </c>
    </row>
    <row r="64" spans="1:12" s="1" customFormat="1">
      <c r="A64" s="89"/>
      <c r="B64" s="12" t="s">
        <v>1981</v>
      </c>
      <c r="C64" s="12" t="s">
        <v>98</v>
      </c>
      <c r="D64" s="9" t="s">
        <v>1982</v>
      </c>
      <c r="E64" s="21"/>
      <c r="F64" s="19"/>
      <c r="G64" s="19" t="s">
        <v>1983</v>
      </c>
      <c r="H64" s="71"/>
      <c r="I64" s="19"/>
      <c r="J64" s="25" t="s">
        <v>306</v>
      </c>
      <c r="K64" s="25" t="s">
        <v>74</v>
      </c>
      <c r="L64" s="25" t="s">
        <v>100</v>
      </c>
    </row>
    <row r="65" spans="1:12" s="1" customFormat="1">
      <c r="A65" s="89"/>
      <c r="B65" s="12" t="s">
        <v>1988</v>
      </c>
      <c r="C65" s="12" t="s">
        <v>98</v>
      </c>
      <c r="D65" s="9" t="s">
        <v>1989</v>
      </c>
      <c r="E65" s="21"/>
      <c r="F65" s="19"/>
      <c r="G65" s="19" t="s">
        <v>2216</v>
      </c>
      <c r="H65" s="71"/>
      <c r="I65" s="19"/>
      <c r="J65" s="25" t="s">
        <v>306</v>
      </c>
      <c r="K65" s="25" t="s">
        <v>74</v>
      </c>
      <c r="L65" s="25" t="s">
        <v>100</v>
      </c>
    </row>
    <row r="66" spans="1:12" s="1" customFormat="1">
      <c r="A66" s="89"/>
      <c r="B66" s="12" t="s">
        <v>1990</v>
      </c>
      <c r="C66" s="12" t="s">
        <v>1991</v>
      </c>
      <c r="D66" s="9" t="s">
        <v>1992</v>
      </c>
      <c r="E66" s="21"/>
      <c r="F66" s="19"/>
      <c r="G66" s="19" t="s">
        <v>2184</v>
      </c>
      <c r="H66" s="71"/>
      <c r="I66" s="19"/>
      <c r="J66" s="25" t="s">
        <v>306</v>
      </c>
      <c r="K66" s="25" t="s">
        <v>115</v>
      </c>
      <c r="L66" s="25" t="s">
        <v>100</v>
      </c>
    </row>
    <row r="67" spans="1:12" s="1" customFormat="1">
      <c r="A67" s="89"/>
      <c r="B67" s="12" t="s">
        <v>1994</v>
      </c>
      <c r="C67" s="12" t="s">
        <v>98</v>
      </c>
      <c r="D67" s="9" t="s">
        <v>1995</v>
      </c>
      <c r="E67" s="21"/>
      <c r="F67" s="19"/>
      <c r="G67" s="19" t="s">
        <v>2217</v>
      </c>
      <c r="H67" s="71"/>
      <c r="I67" s="19"/>
      <c r="J67" s="25" t="s">
        <v>306</v>
      </c>
      <c r="K67" s="25" t="s">
        <v>74</v>
      </c>
      <c r="L67" s="25" t="s">
        <v>100</v>
      </c>
    </row>
    <row r="68" spans="1:12" s="1" customFormat="1">
      <c r="A68" s="89"/>
      <c r="B68" s="12" t="s">
        <v>1996</v>
      </c>
      <c r="C68" s="12" t="s">
        <v>98</v>
      </c>
      <c r="D68" s="9" t="s">
        <v>1997</v>
      </c>
      <c r="E68" s="21"/>
      <c r="F68" s="19"/>
      <c r="G68" s="19" t="s">
        <v>2218</v>
      </c>
      <c r="H68" s="71"/>
      <c r="I68" s="19"/>
      <c r="J68" s="25" t="s">
        <v>306</v>
      </c>
      <c r="K68" s="25" t="s">
        <v>74</v>
      </c>
      <c r="L68" s="25" t="s">
        <v>100</v>
      </c>
    </row>
    <row r="69" spans="1:12" s="1" customFormat="1">
      <c r="A69" s="89"/>
      <c r="B69" s="12" t="s">
        <v>1998</v>
      </c>
      <c r="C69" s="12" t="s">
        <v>98</v>
      </c>
      <c r="D69" s="9" t="s">
        <v>1999</v>
      </c>
      <c r="E69" s="21"/>
      <c r="F69" s="19"/>
      <c r="G69" s="19" t="s">
        <v>2219</v>
      </c>
      <c r="H69" s="71"/>
      <c r="I69" s="19"/>
      <c r="J69" s="25" t="s">
        <v>306</v>
      </c>
      <c r="K69" s="25" t="s">
        <v>74</v>
      </c>
      <c r="L69" s="25" t="s">
        <v>100</v>
      </c>
    </row>
    <row r="70" spans="1:12" s="1" customFormat="1">
      <c r="A70" s="89"/>
      <c r="B70" s="12" t="s">
        <v>2000</v>
      </c>
      <c r="C70" s="12" t="s">
        <v>98</v>
      </c>
      <c r="D70" s="9" t="s">
        <v>2001</v>
      </c>
      <c r="E70" s="21"/>
      <c r="F70" s="19"/>
      <c r="G70" s="19" t="s">
        <v>2220</v>
      </c>
      <c r="H70" s="71"/>
      <c r="I70" s="19"/>
      <c r="J70" s="25" t="s">
        <v>306</v>
      </c>
      <c r="K70" s="25" t="s">
        <v>74</v>
      </c>
      <c r="L70" s="25" t="s">
        <v>100</v>
      </c>
    </row>
    <row r="71" spans="1:12" s="1" customFormat="1">
      <c r="A71" s="89"/>
      <c r="B71" s="12" t="s">
        <v>2002</v>
      </c>
      <c r="C71" s="12" t="s">
        <v>98</v>
      </c>
      <c r="D71" s="9" t="s">
        <v>2003</v>
      </c>
      <c r="E71" s="21"/>
      <c r="F71" s="19"/>
      <c r="G71" s="19" t="s">
        <v>2221</v>
      </c>
      <c r="H71" s="71"/>
      <c r="I71" s="19"/>
      <c r="J71" s="25" t="s">
        <v>306</v>
      </c>
      <c r="K71" s="25" t="s">
        <v>74</v>
      </c>
      <c r="L71" s="25" t="s">
        <v>100</v>
      </c>
    </row>
    <row r="72" spans="1:12" s="1" customFormat="1">
      <c r="A72" s="89"/>
      <c r="B72" s="12" t="s">
        <v>2004</v>
      </c>
      <c r="C72" s="12" t="s">
        <v>98</v>
      </c>
      <c r="D72" s="9" t="s">
        <v>2005</v>
      </c>
      <c r="E72" s="21"/>
      <c r="F72" s="19"/>
      <c r="G72" s="19" t="s">
        <v>2222</v>
      </c>
      <c r="H72" s="71"/>
      <c r="I72" s="19"/>
      <c r="J72" s="25" t="s">
        <v>306</v>
      </c>
      <c r="K72" s="25" t="s">
        <v>74</v>
      </c>
      <c r="L72" s="25" t="s">
        <v>100</v>
      </c>
    </row>
    <row r="73" spans="1:12" s="1" customFormat="1">
      <c r="A73" s="89"/>
      <c r="B73" s="12" t="s">
        <v>2007</v>
      </c>
      <c r="C73" s="12" t="s">
        <v>1991</v>
      </c>
      <c r="D73" s="9" t="s">
        <v>2008</v>
      </c>
      <c r="E73" s="21"/>
      <c r="F73" s="19"/>
      <c r="G73" s="19" t="s">
        <v>2186</v>
      </c>
      <c r="H73" s="71"/>
      <c r="I73" s="19"/>
      <c r="J73" s="25" t="s">
        <v>306</v>
      </c>
      <c r="K73" s="25" t="s">
        <v>115</v>
      </c>
      <c r="L73" s="25" t="s">
        <v>100</v>
      </c>
    </row>
    <row r="74" spans="1:12" s="1" customFormat="1">
      <c r="A74" s="89"/>
      <c r="B74" s="12" t="s">
        <v>2010</v>
      </c>
      <c r="C74" s="12" t="s">
        <v>98</v>
      </c>
      <c r="D74" s="9" t="s">
        <v>2011</v>
      </c>
      <c r="E74" s="21"/>
      <c r="F74" s="19"/>
      <c r="G74" s="19" t="s">
        <v>2223</v>
      </c>
      <c r="H74" s="71"/>
      <c r="I74" s="19"/>
      <c r="J74" s="25" t="s">
        <v>306</v>
      </c>
      <c r="K74" s="25" t="s">
        <v>74</v>
      </c>
      <c r="L74" s="25" t="s">
        <v>100</v>
      </c>
    </row>
    <row r="75" spans="1:12" s="1" customFormat="1">
      <c r="A75" s="89"/>
      <c r="B75" s="12" t="s">
        <v>2012</v>
      </c>
      <c r="C75" s="12" t="s">
        <v>98</v>
      </c>
      <c r="D75" s="9" t="s">
        <v>2013</v>
      </c>
      <c r="E75" s="21"/>
      <c r="F75" s="19"/>
      <c r="G75" s="19" t="s">
        <v>2224</v>
      </c>
      <c r="H75" s="71"/>
      <c r="I75" s="19"/>
      <c r="J75" s="25" t="s">
        <v>306</v>
      </c>
      <c r="K75" s="25" t="s">
        <v>74</v>
      </c>
      <c r="L75" s="25" t="s">
        <v>100</v>
      </c>
    </row>
    <row r="76" spans="1:12" s="1" customFormat="1">
      <c r="A76" s="89"/>
      <c r="B76" s="12" t="s">
        <v>2014</v>
      </c>
      <c r="C76" s="12" t="s">
        <v>98</v>
      </c>
      <c r="D76" s="9" t="s">
        <v>2015</v>
      </c>
      <c r="E76" s="21"/>
      <c r="F76" s="19"/>
      <c r="G76" s="19" t="s">
        <v>2225</v>
      </c>
      <c r="H76" s="71"/>
      <c r="I76" s="19"/>
      <c r="J76" s="25" t="s">
        <v>306</v>
      </c>
      <c r="K76" s="25" t="s">
        <v>74</v>
      </c>
      <c r="L76" s="25" t="s">
        <v>100</v>
      </c>
    </row>
    <row r="77" spans="1:12" s="1" customFormat="1">
      <c r="A77" s="89"/>
      <c r="B77" s="12" t="s">
        <v>2016</v>
      </c>
      <c r="C77" s="12" t="s">
        <v>98</v>
      </c>
      <c r="D77" s="9" t="s">
        <v>2017</v>
      </c>
      <c r="E77" s="21"/>
      <c r="F77" s="19"/>
      <c r="G77" s="19" t="s">
        <v>2226</v>
      </c>
      <c r="H77" s="71"/>
      <c r="I77" s="19"/>
      <c r="J77" s="25" t="s">
        <v>306</v>
      </c>
      <c r="K77" s="25" t="s">
        <v>74</v>
      </c>
      <c r="L77" s="25" t="s">
        <v>100</v>
      </c>
    </row>
    <row r="78" spans="1:12" s="1" customFormat="1">
      <c r="A78" s="89"/>
      <c r="B78" s="12" t="s">
        <v>2018</v>
      </c>
      <c r="C78" s="12" t="s">
        <v>98</v>
      </c>
      <c r="D78" s="9" t="s">
        <v>2019</v>
      </c>
      <c r="E78" s="21"/>
      <c r="F78" s="19"/>
      <c r="G78" s="19" t="s">
        <v>2227</v>
      </c>
      <c r="H78" s="71"/>
      <c r="I78" s="19"/>
      <c r="J78" s="25" t="s">
        <v>306</v>
      </c>
      <c r="K78" s="25" t="s">
        <v>74</v>
      </c>
      <c r="L78" s="25" t="s">
        <v>100</v>
      </c>
    </row>
    <row r="79" spans="1:12" s="1" customFormat="1">
      <c r="A79" s="89"/>
      <c r="B79" s="12" t="s">
        <v>2020</v>
      </c>
      <c r="C79" s="12" t="s">
        <v>1991</v>
      </c>
      <c r="D79" s="9" t="s">
        <v>2021</v>
      </c>
      <c r="E79" s="21"/>
      <c r="F79" s="19"/>
      <c r="G79" s="19" t="s">
        <v>2228</v>
      </c>
      <c r="H79" s="71"/>
      <c r="I79" s="19"/>
      <c r="J79" s="25" t="s">
        <v>306</v>
      </c>
      <c r="K79" s="25" t="s">
        <v>115</v>
      </c>
      <c r="L79" s="25" t="s">
        <v>100</v>
      </c>
    </row>
    <row r="80" spans="1:12" s="1" customFormat="1">
      <c r="A80" s="89"/>
      <c r="B80" s="12" t="s">
        <v>2023</v>
      </c>
      <c r="C80" s="12" t="s">
        <v>1991</v>
      </c>
      <c r="D80" s="9" t="s">
        <v>2024</v>
      </c>
      <c r="E80" s="21"/>
      <c r="F80" s="19"/>
      <c r="G80" s="19" t="s">
        <v>2187</v>
      </c>
      <c r="H80" s="71"/>
      <c r="I80" s="19"/>
      <c r="J80" s="25" t="s">
        <v>306</v>
      </c>
      <c r="K80" s="25" t="s">
        <v>115</v>
      </c>
      <c r="L80" s="25" t="s">
        <v>100</v>
      </c>
    </row>
    <row r="81" spans="1:12" s="1" customFormat="1">
      <c r="A81" s="89"/>
      <c r="B81" s="12" t="s">
        <v>2026</v>
      </c>
      <c r="C81" s="12" t="s">
        <v>98</v>
      </c>
      <c r="D81" s="9" t="s">
        <v>2027</v>
      </c>
      <c r="E81" s="21"/>
      <c r="F81" s="19"/>
      <c r="G81" s="19" t="s">
        <v>2229</v>
      </c>
      <c r="H81" s="71"/>
      <c r="I81" s="19"/>
      <c r="J81" s="25" t="s">
        <v>306</v>
      </c>
      <c r="K81" s="25" t="s">
        <v>74</v>
      </c>
      <c r="L81" s="25" t="s">
        <v>100</v>
      </c>
    </row>
    <row r="82" spans="1:12" s="1" customFormat="1">
      <c r="A82" s="89"/>
      <c r="B82" s="12" t="s">
        <v>2028</v>
      </c>
      <c r="C82" s="12" t="s">
        <v>98</v>
      </c>
      <c r="D82" s="9" t="s">
        <v>2029</v>
      </c>
      <c r="E82" s="21"/>
      <c r="F82" s="19"/>
      <c r="G82" s="19" t="s">
        <v>2230</v>
      </c>
      <c r="H82" s="71"/>
      <c r="I82" s="19"/>
      <c r="J82" s="25" t="s">
        <v>306</v>
      </c>
      <c r="K82" s="25" t="s">
        <v>74</v>
      </c>
      <c r="L82" s="25" t="s">
        <v>100</v>
      </c>
    </row>
    <row r="83" spans="1:12" s="1" customFormat="1">
      <c r="A83" s="89"/>
      <c r="B83" s="12" t="s">
        <v>2030</v>
      </c>
      <c r="C83" s="12" t="s">
        <v>98</v>
      </c>
      <c r="D83" s="9" t="s">
        <v>2031</v>
      </c>
      <c r="E83" s="21"/>
      <c r="F83" s="19"/>
      <c r="G83" s="19" t="s">
        <v>2231</v>
      </c>
      <c r="H83" s="71"/>
      <c r="I83" s="19"/>
      <c r="J83" s="25" t="s">
        <v>306</v>
      </c>
      <c r="K83" s="25" t="s">
        <v>74</v>
      </c>
      <c r="L83" s="25" t="s">
        <v>100</v>
      </c>
    </row>
    <row r="84" spans="1:12" s="1" customFormat="1">
      <c r="A84" s="89"/>
      <c r="B84" s="12" t="s">
        <v>2032</v>
      </c>
      <c r="C84" s="12" t="s">
        <v>98</v>
      </c>
      <c r="D84" s="9" t="s">
        <v>2033</v>
      </c>
      <c r="E84" s="21"/>
      <c r="F84" s="19"/>
      <c r="G84" s="19" t="s">
        <v>2232</v>
      </c>
      <c r="H84" s="71"/>
      <c r="I84" s="19"/>
      <c r="J84" s="25" t="s">
        <v>306</v>
      </c>
      <c r="K84" s="25" t="s">
        <v>74</v>
      </c>
      <c r="L84" s="25" t="s">
        <v>100</v>
      </c>
    </row>
    <row r="85" spans="1:12" s="1" customFormat="1">
      <c r="A85" s="89"/>
      <c r="B85" s="12" t="s">
        <v>2034</v>
      </c>
      <c r="C85" s="12" t="s">
        <v>98</v>
      </c>
      <c r="D85" s="9" t="s">
        <v>2035</v>
      </c>
      <c r="E85" s="21"/>
      <c r="F85" s="19"/>
      <c r="G85" s="19" t="s">
        <v>2233</v>
      </c>
      <c r="H85" s="71"/>
      <c r="I85" s="19"/>
      <c r="J85" s="25" t="s">
        <v>306</v>
      </c>
      <c r="K85" s="25" t="s">
        <v>74</v>
      </c>
      <c r="L85" s="25" t="s">
        <v>100</v>
      </c>
    </row>
    <row r="86" spans="1:12" s="1" customFormat="1">
      <c r="A86" s="89"/>
      <c r="B86" s="12" t="s">
        <v>2036</v>
      </c>
      <c r="C86" s="12" t="s">
        <v>1991</v>
      </c>
      <c r="D86" s="9" t="s">
        <v>2037</v>
      </c>
      <c r="E86" s="21"/>
      <c r="F86" s="19"/>
      <c r="G86" s="19" t="s">
        <v>2191</v>
      </c>
      <c r="H86" s="71"/>
      <c r="I86" s="19"/>
      <c r="J86" s="25" t="s">
        <v>306</v>
      </c>
      <c r="K86" s="25" t="s">
        <v>115</v>
      </c>
      <c r="L86" s="25" t="s">
        <v>100</v>
      </c>
    </row>
    <row r="87" spans="1:12" s="1" customFormat="1">
      <c r="A87" s="89"/>
      <c r="B87" s="12" t="s">
        <v>2039</v>
      </c>
      <c r="C87" s="12" t="s">
        <v>98</v>
      </c>
      <c r="D87" s="9" t="s">
        <v>2040</v>
      </c>
      <c r="E87" s="21"/>
      <c r="F87" s="19"/>
      <c r="G87" s="19" t="s">
        <v>2234</v>
      </c>
      <c r="H87" s="71"/>
      <c r="I87" s="19"/>
      <c r="J87" s="25" t="s">
        <v>306</v>
      </c>
      <c r="K87" s="25" t="s">
        <v>74</v>
      </c>
      <c r="L87" s="25" t="s">
        <v>100</v>
      </c>
    </row>
    <row r="88" spans="1:12" s="1" customFormat="1">
      <c r="A88" s="89"/>
      <c r="B88" s="12" t="s">
        <v>2042</v>
      </c>
      <c r="C88" s="12" t="s">
        <v>1991</v>
      </c>
      <c r="D88" s="9" t="s">
        <v>2043</v>
      </c>
      <c r="E88" s="21"/>
      <c r="F88" s="19"/>
      <c r="G88" s="19" t="s">
        <v>2193</v>
      </c>
      <c r="H88" s="71"/>
      <c r="I88" s="19"/>
      <c r="J88" s="25" t="s">
        <v>306</v>
      </c>
      <c r="K88" s="25" t="s">
        <v>115</v>
      </c>
      <c r="L88" s="25" t="s">
        <v>100</v>
      </c>
    </row>
    <row r="89" spans="1:12" s="1" customFormat="1">
      <c r="A89" s="89"/>
      <c r="B89" s="12" t="s">
        <v>2045</v>
      </c>
      <c r="C89" s="12" t="s">
        <v>98</v>
      </c>
      <c r="D89" s="9" t="s">
        <v>2046</v>
      </c>
      <c r="E89" s="21"/>
      <c r="F89" s="19"/>
      <c r="G89" s="19" t="s">
        <v>2235</v>
      </c>
      <c r="H89" s="71"/>
      <c r="I89" s="19"/>
      <c r="J89" s="25" t="s">
        <v>306</v>
      </c>
      <c r="K89" s="25" t="s">
        <v>74</v>
      </c>
      <c r="L89" s="25" t="s">
        <v>100</v>
      </c>
    </row>
    <row r="90" spans="1:12" s="1" customFormat="1">
      <c r="A90" s="89"/>
      <c r="B90" s="12" t="s">
        <v>2048</v>
      </c>
      <c r="C90" s="12" t="s">
        <v>771</v>
      </c>
      <c r="D90" s="9" t="s">
        <v>2049</v>
      </c>
      <c r="E90" s="21"/>
      <c r="F90" s="19"/>
      <c r="G90" s="19" t="s">
        <v>2236</v>
      </c>
      <c r="H90" s="71"/>
      <c r="I90" s="19"/>
      <c r="J90" s="25" t="s">
        <v>306</v>
      </c>
      <c r="K90" s="25" t="s">
        <v>1208</v>
      </c>
      <c r="L90" s="25" t="s">
        <v>1209</v>
      </c>
    </row>
    <row r="91" spans="1:12" s="1" customFormat="1">
      <c r="A91" s="89"/>
      <c r="B91" s="12" t="s">
        <v>2051</v>
      </c>
      <c r="C91" s="12" t="s">
        <v>1991</v>
      </c>
      <c r="D91" s="9" t="s">
        <v>1827</v>
      </c>
      <c r="E91" s="21"/>
      <c r="F91" s="19"/>
      <c r="G91" s="19" t="s">
        <v>2243</v>
      </c>
      <c r="H91" s="71"/>
      <c r="I91" s="19"/>
      <c r="J91" s="25" t="s">
        <v>306</v>
      </c>
      <c r="K91" s="25" t="s">
        <v>800</v>
      </c>
      <c r="L91" s="25" t="s">
        <v>100</v>
      </c>
    </row>
    <row r="92" spans="1:12" s="1" customFormat="1">
      <c r="A92" s="89"/>
      <c r="B92" s="12" t="s">
        <v>2053</v>
      </c>
      <c r="C92" s="12" t="s">
        <v>771</v>
      </c>
      <c r="D92" s="9" t="s">
        <v>2054</v>
      </c>
      <c r="E92" s="21"/>
      <c r="F92" s="19"/>
      <c r="G92" s="19" t="s">
        <v>2237</v>
      </c>
      <c r="H92" s="71"/>
      <c r="I92" s="19"/>
      <c r="J92" s="25" t="s">
        <v>306</v>
      </c>
      <c r="K92" s="25" t="s">
        <v>1208</v>
      </c>
      <c r="L92" s="25" t="s">
        <v>1209</v>
      </c>
    </row>
    <row r="93" spans="1:12" s="1" customFormat="1">
      <c r="A93" s="89"/>
      <c r="B93" s="12" t="s">
        <v>1828</v>
      </c>
      <c r="C93" s="12" t="s">
        <v>1991</v>
      </c>
      <c r="D93" s="9" t="s">
        <v>2056</v>
      </c>
      <c r="E93" s="21"/>
      <c r="F93" s="19"/>
      <c r="G93" s="19" t="s">
        <v>2244</v>
      </c>
      <c r="H93" s="71"/>
      <c r="I93" s="19"/>
      <c r="J93" s="25" t="s">
        <v>306</v>
      </c>
      <c r="K93" s="25" t="s">
        <v>800</v>
      </c>
      <c r="L93" s="25" t="s">
        <v>100</v>
      </c>
    </row>
    <row r="94" spans="1:12" s="1" customFormat="1">
      <c r="A94" s="89"/>
      <c r="B94" s="12" t="s">
        <v>2058</v>
      </c>
      <c r="C94" s="12" t="s">
        <v>98</v>
      </c>
      <c r="D94" s="9" t="s">
        <v>2059</v>
      </c>
      <c r="E94" s="21"/>
      <c r="F94" s="19"/>
      <c r="G94" s="19" t="s">
        <v>2238</v>
      </c>
      <c r="H94" s="71"/>
      <c r="I94" s="19"/>
      <c r="J94" s="25" t="s">
        <v>306</v>
      </c>
      <c r="K94" s="25" t="s">
        <v>74</v>
      </c>
      <c r="L94" s="25" t="s">
        <v>100</v>
      </c>
    </row>
    <row r="95" spans="1:12" s="1" customFormat="1">
      <c r="A95" s="89"/>
      <c r="B95" s="12" t="s">
        <v>1830</v>
      </c>
      <c r="C95" s="12" t="s">
        <v>1991</v>
      </c>
      <c r="D95" s="9" t="s">
        <v>2061</v>
      </c>
      <c r="E95" s="21"/>
      <c r="F95" s="19"/>
      <c r="G95" s="19" t="s">
        <v>2246</v>
      </c>
      <c r="H95" s="71"/>
      <c r="I95" s="19"/>
      <c r="J95" s="25" t="s">
        <v>306</v>
      </c>
      <c r="K95" s="25" t="s">
        <v>115</v>
      </c>
      <c r="L95" s="25" t="s">
        <v>100</v>
      </c>
    </row>
    <row r="96" spans="1:12" s="1" customFormat="1">
      <c r="A96" s="89"/>
      <c r="B96" s="12" t="s">
        <v>2063</v>
      </c>
      <c r="C96" s="12" t="s">
        <v>98</v>
      </c>
      <c r="D96" s="9" t="s">
        <v>2064</v>
      </c>
      <c r="E96" s="21"/>
      <c r="F96" s="19"/>
      <c r="G96" s="19" t="s">
        <v>2239</v>
      </c>
      <c r="H96" s="71"/>
      <c r="I96" s="19"/>
      <c r="J96" s="25" t="s">
        <v>306</v>
      </c>
      <c r="K96" s="25" t="s">
        <v>1208</v>
      </c>
      <c r="L96" s="25" t="s">
        <v>100</v>
      </c>
    </row>
    <row r="97" spans="1:17" s="1" customFormat="1">
      <c r="A97" s="89"/>
      <c r="B97" s="12" t="s">
        <v>2066</v>
      </c>
      <c r="C97" s="12" t="s">
        <v>1991</v>
      </c>
      <c r="D97" s="9" t="s">
        <v>2067</v>
      </c>
      <c r="E97" s="21"/>
      <c r="F97" s="19"/>
      <c r="G97" s="19" t="s">
        <v>2247</v>
      </c>
      <c r="H97" s="71"/>
      <c r="I97" s="19"/>
      <c r="J97" s="25" t="s">
        <v>306</v>
      </c>
      <c r="K97" s="25" t="s">
        <v>115</v>
      </c>
      <c r="L97" s="25" t="s">
        <v>100</v>
      </c>
    </row>
    <row r="98" spans="1:17" s="1" customFormat="1">
      <c r="A98" s="89"/>
      <c r="B98" s="12" t="s">
        <v>1819</v>
      </c>
      <c r="C98" s="12" t="s">
        <v>1991</v>
      </c>
      <c r="D98" s="9" t="s">
        <v>1820</v>
      </c>
      <c r="E98" s="21"/>
      <c r="F98" s="19"/>
      <c r="G98" s="19" t="s">
        <v>2249</v>
      </c>
      <c r="H98" s="71"/>
      <c r="I98" s="19"/>
      <c r="J98" s="25" t="s">
        <v>306</v>
      </c>
      <c r="K98" s="25" t="s">
        <v>115</v>
      </c>
      <c r="L98" s="25" t="s">
        <v>100</v>
      </c>
    </row>
    <row r="99" spans="1:17" s="1" customFormat="1">
      <c r="A99" s="89"/>
      <c r="B99" s="12" t="s">
        <v>2070</v>
      </c>
      <c r="C99" s="12" t="s">
        <v>98</v>
      </c>
      <c r="D99" s="9" t="s">
        <v>2071</v>
      </c>
      <c r="E99" s="21"/>
      <c r="F99" s="19"/>
      <c r="G99" s="19" t="s">
        <v>2240</v>
      </c>
      <c r="H99" s="71"/>
      <c r="I99" s="19"/>
      <c r="J99" s="25" t="s">
        <v>306</v>
      </c>
      <c r="K99" s="25" t="s">
        <v>1208</v>
      </c>
      <c r="L99" s="25" t="s">
        <v>100</v>
      </c>
    </row>
    <row r="100" spans="1:17" s="1" customFormat="1">
      <c r="A100" s="89"/>
      <c r="B100" s="12" t="s">
        <v>2073</v>
      </c>
      <c r="C100" s="12" t="s">
        <v>98</v>
      </c>
      <c r="D100" s="9" t="s">
        <v>2074</v>
      </c>
      <c r="E100" s="21"/>
      <c r="F100" s="19"/>
      <c r="G100" s="19" t="s">
        <v>2241</v>
      </c>
      <c r="H100" s="71"/>
      <c r="I100" s="19"/>
      <c r="J100" s="25" t="s">
        <v>306</v>
      </c>
      <c r="K100" s="25" t="s">
        <v>1208</v>
      </c>
      <c r="L100" s="25" t="s">
        <v>100</v>
      </c>
    </row>
    <row r="101" spans="1:17" s="1" customFormat="1">
      <c r="A101" s="89"/>
      <c r="B101" s="12" t="s">
        <v>1822</v>
      </c>
      <c r="C101" s="12" t="s">
        <v>1991</v>
      </c>
      <c r="D101" s="9" t="s">
        <v>2076</v>
      </c>
      <c r="E101" s="21"/>
      <c r="F101" s="19"/>
      <c r="G101" s="19" t="s">
        <v>2250</v>
      </c>
      <c r="H101" s="71"/>
      <c r="I101" s="19"/>
      <c r="J101" s="25" t="s">
        <v>306</v>
      </c>
      <c r="K101" s="25" t="s">
        <v>115</v>
      </c>
      <c r="L101" s="25" t="s">
        <v>100</v>
      </c>
    </row>
    <row r="102" spans="1:17" s="1" customFormat="1">
      <c r="A102" s="89"/>
      <c r="B102" s="12" t="s">
        <v>2078</v>
      </c>
      <c r="C102" s="12" t="s">
        <v>98</v>
      </c>
      <c r="D102" s="9" t="s">
        <v>2079</v>
      </c>
      <c r="E102" s="21"/>
      <c r="F102" s="19"/>
      <c r="G102" s="19" t="s">
        <v>2242</v>
      </c>
      <c r="H102" s="71"/>
      <c r="I102" s="19"/>
      <c r="J102" s="25" t="s">
        <v>306</v>
      </c>
      <c r="K102" s="25" t="s">
        <v>1208</v>
      </c>
      <c r="L102" s="25" t="s">
        <v>100</v>
      </c>
    </row>
    <row r="103" spans="1:17" s="1" customFormat="1">
      <c r="A103" s="89"/>
      <c r="B103" s="12" t="s">
        <v>2081</v>
      </c>
      <c r="C103" s="12" t="s">
        <v>98</v>
      </c>
      <c r="D103" s="9" t="s">
        <v>1614</v>
      </c>
      <c r="E103" s="21"/>
      <c r="F103" s="19"/>
      <c r="G103" s="19" t="s">
        <v>2316</v>
      </c>
      <c r="H103" s="71"/>
      <c r="I103" s="19"/>
      <c r="J103" s="25" t="s">
        <v>306</v>
      </c>
      <c r="K103" s="25" t="s">
        <v>74</v>
      </c>
      <c r="L103" s="25" t="s">
        <v>100</v>
      </c>
    </row>
    <row r="104" spans="1:17" s="2" customFormat="1">
      <c r="B104" s="14" t="s">
        <v>80</v>
      </c>
      <c r="C104" s="15" t="s">
        <v>75</v>
      </c>
      <c r="D104" s="16" t="s">
        <v>103</v>
      </c>
      <c r="E104" s="24"/>
      <c r="F104" s="24"/>
      <c r="G104" s="24" t="s">
        <v>293</v>
      </c>
      <c r="H104" s="24" t="s">
        <v>293</v>
      </c>
      <c r="I104" s="14"/>
      <c r="J104" s="14"/>
      <c r="K104" s="14"/>
      <c r="L104" s="14"/>
      <c r="M104" s="14"/>
      <c r="N104" s="14"/>
      <c r="O104" s="14"/>
      <c r="P104" s="14"/>
      <c r="Q104" s="14"/>
    </row>
    <row r="105" spans="1:17" s="2" customFormat="1">
      <c r="B105" s="14" t="s">
        <v>0</v>
      </c>
      <c r="C105" s="15" t="s">
        <v>71</v>
      </c>
      <c r="D105" s="16" t="s">
        <v>104</v>
      </c>
      <c r="E105" s="24"/>
      <c r="F105" s="24"/>
      <c r="G105" s="24" t="s">
        <v>293</v>
      </c>
      <c r="H105" s="24" t="s">
        <v>293</v>
      </c>
      <c r="I105" s="14"/>
      <c r="J105" s="14"/>
      <c r="K105" s="14"/>
      <c r="L105" s="14"/>
      <c r="M105" s="14"/>
      <c r="N105" s="14"/>
      <c r="O105" s="14"/>
      <c r="P105" s="14"/>
      <c r="Q105" s="14"/>
    </row>
  </sheetData>
  <autoFilter ref="A13:Q105" xr:uid="{E16EFA29-E820-4A10-98BC-CF6E577605DD}"/>
  <mergeCells count="4">
    <mergeCell ref="B2:H2"/>
    <mergeCell ref="B3:H3"/>
    <mergeCell ref="B7:H7"/>
    <mergeCell ref="B12:L12"/>
  </mergeCells>
  <phoneticPr fontId="23"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79859-DA98-4DF1-94C2-92214653D040}">
  <dimension ref="A1:Q37"/>
  <sheetViews>
    <sheetView zoomScale="85" zoomScaleNormal="85" workbookViewId="0">
      <pane ySplit="5" topLeftCell="A6" activePane="bottomLeft" state="frozen"/>
      <selection activeCell="G45" sqref="G45"/>
      <selection pane="bottomLeft" activeCell="B1" sqref="B1"/>
    </sheetView>
  </sheetViews>
  <sheetFormatPr defaultColWidth="9" defaultRowHeight="13.2"/>
  <cols>
    <col min="1" max="1" width="1.33203125" style="3" customWidth="1"/>
    <col min="2" max="2" width="36.109375" style="3" bestFit="1" customWidth="1"/>
    <col min="3" max="3" width="23.77734375" style="3" customWidth="1"/>
    <col min="4" max="4" width="32.21875" style="3" customWidth="1"/>
    <col min="5" max="5" width="10.109375" style="3" customWidth="1"/>
    <col min="6" max="6" width="15.44140625" style="3" customWidth="1"/>
    <col min="7" max="7" width="50.77734375" style="3" customWidth="1"/>
    <col min="8" max="8" width="14.44140625" style="3" customWidth="1"/>
    <col min="9" max="9" width="19.6640625" style="3" bestFit="1" customWidth="1"/>
    <col min="10" max="10" width="8.109375" style="3" customWidth="1"/>
    <col min="11" max="11" width="8.44140625" style="3" customWidth="1"/>
    <col min="12" max="12" width="13.5546875" style="4" customWidth="1"/>
    <col min="13" max="16384" width="9" style="4"/>
  </cols>
  <sheetData>
    <row r="1" spans="2:14">
      <c r="B1" s="5" t="str">
        <f>HYPERLINK("#导航!a2","返回")</f>
        <v>返回</v>
      </c>
    </row>
    <row r="2" spans="2:14">
      <c r="B2" s="121"/>
      <c r="C2" s="121"/>
      <c r="D2" s="121"/>
      <c r="E2" s="121"/>
      <c r="F2" s="121"/>
      <c r="G2" s="121"/>
      <c r="H2" s="121"/>
    </row>
    <row r="3" spans="2:14">
      <c r="B3" s="122" t="s">
        <v>45</v>
      </c>
      <c r="C3" s="122"/>
      <c r="D3" s="122"/>
      <c r="E3" s="122"/>
      <c r="F3" s="122"/>
      <c r="G3" s="122"/>
      <c r="H3" s="122"/>
    </row>
    <row r="4" spans="2:14">
      <c r="B4" s="7" t="s">
        <v>11</v>
      </c>
      <c r="C4" s="7" t="s">
        <v>46</v>
      </c>
      <c r="D4" s="7" t="s">
        <v>47</v>
      </c>
      <c r="E4" s="7" t="s">
        <v>48</v>
      </c>
      <c r="F4" s="11" t="s">
        <v>49</v>
      </c>
      <c r="G4" s="11" t="s">
        <v>14</v>
      </c>
      <c r="H4" s="7" t="s">
        <v>50</v>
      </c>
    </row>
    <row r="5" spans="2:14">
      <c r="B5" s="8" t="s">
        <v>1910</v>
      </c>
      <c r="C5" s="9" t="s">
        <v>2323</v>
      </c>
      <c r="D5" s="10" t="s">
        <v>2321</v>
      </c>
      <c r="E5" s="12" t="s">
        <v>1159</v>
      </c>
      <c r="F5" s="17"/>
      <c r="G5" s="12"/>
      <c r="H5" s="12"/>
      <c r="N5" s="3"/>
    </row>
    <row r="6" spans="2:14">
      <c r="B6" s="6"/>
      <c r="C6" s="6"/>
      <c r="D6" s="6"/>
      <c r="E6" s="6"/>
      <c r="F6" s="18"/>
      <c r="G6" s="18"/>
      <c r="H6" s="6"/>
    </row>
    <row r="7" spans="2:14">
      <c r="B7" s="122" t="s">
        <v>51</v>
      </c>
      <c r="C7" s="122"/>
      <c r="D7" s="122"/>
      <c r="E7" s="122"/>
      <c r="F7" s="122"/>
      <c r="G7" s="122"/>
      <c r="H7" s="122"/>
    </row>
    <row r="8" spans="2:14">
      <c r="B8" s="11" t="s">
        <v>52</v>
      </c>
      <c r="C8" s="11" t="s">
        <v>53</v>
      </c>
      <c r="D8" s="11" t="s">
        <v>54</v>
      </c>
      <c r="E8" s="11" t="s">
        <v>55</v>
      </c>
      <c r="F8" s="11" t="s">
        <v>56</v>
      </c>
      <c r="G8" s="11" t="s">
        <v>24</v>
      </c>
      <c r="H8" s="11" t="s">
        <v>57</v>
      </c>
    </row>
    <row r="9" spans="2:14">
      <c r="B9" s="12"/>
      <c r="C9" s="9" t="s">
        <v>2403</v>
      </c>
      <c r="D9" s="10" t="s">
        <v>2330</v>
      </c>
      <c r="E9" s="12" t="s">
        <v>58</v>
      </c>
      <c r="F9" s="19"/>
      <c r="G9" s="19"/>
      <c r="H9" s="20" t="s">
        <v>30</v>
      </c>
    </row>
    <row r="10" spans="2:14">
      <c r="B10" s="12"/>
      <c r="C10" s="9" t="s">
        <v>2331</v>
      </c>
      <c r="D10" s="9" t="s">
        <v>2332</v>
      </c>
      <c r="E10" s="12" t="s">
        <v>107</v>
      </c>
      <c r="F10" s="19"/>
      <c r="G10" s="19" t="s">
        <v>2333</v>
      </c>
      <c r="H10" s="20"/>
    </row>
    <row r="11" spans="2:14">
      <c r="B11" s="12"/>
      <c r="C11" s="9" t="s">
        <v>2334</v>
      </c>
      <c r="D11" s="9" t="s">
        <v>1214</v>
      </c>
      <c r="E11" s="12" t="s">
        <v>122</v>
      </c>
      <c r="F11" s="92" t="s">
        <v>2355</v>
      </c>
      <c r="G11" s="19" t="s">
        <v>2354</v>
      </c>
      <c r="H11" s="12"/>
    </row>
    <row r="13" spans="2:14">
      <c r="B13" s="3" t="s">
        <v>59</v>
      </c>
    </row>
    <row r="14" spans="2:14">
      <c r="B14" s="122" t="s">
        <v>59</v>
      </c>
      <c r="C14" s="122"/>
      <c r="D14" s="122"/>
      <c r="E14" s="122"/>
      <c r="F14" s="122"/>
      <c r="G14" s="122"/>
      <c r="H14" s="122"/>
      <c r="I14" s="122"/>
      <c r="J14" s="122"/>
      <c r="K14" s="122"/>
      <c r="L14" s="122"/>
    </row>
    <row r="15" spans="2:14">
      <c r="B15" s="7" t="s">
        <v>60</v>
      </c>
      <c r="C15" s="7" t="s">
        <v>61</v>
      </c>
      <c r="D15" s="7" t="s">
        <v>62</v>
      </c>
      <c r="E15" s="7" t="s">
        <v>63</v>
      </c>
      <c r="F15" s="11" t="s">
        <v>64</v>
      </c>
      <c r="G15" s="11" t="s">
        <v>65</v>
      </c>
      <c r="H15" s="7" t="s">
        <v>66</v>
      </c>
      <c r="I15" s="7" t="s">
        <v>24</v>
      </c>
      <c r="J15" s="7" t="s">
        <v>67</v>
      </c>
      <c r="K15" s="7" t="s">
        <v>68</v>
      </c>
      <c r="L15" s="7" t="s">
        <v>69</v>
      </c>
    </row>
    <row r="16" spans="2:14" s="1" customFormat="1">
      <c r="B16" s="27" t="s">
        <v>70</v>
      </c>
      <c r="C16" s="27" t="s">
        <v>71</v>
      </c>
      <c r="D16" s="9" t="s">
        <v>72</v>
      </c>
      <c r="E16" s="86" t="s">
        <v>58</v>
      </c>
      <c r="F16" s="27" t="s">
        <v>0</v>
      </c>
      <c r="G16" s="27" t="s">
        <v>73</v>
      </c>
      <c r="H16" s="86"/>
      <c r="I16" s="87"/>
      <c r="J16" s="87" t="s">
        <v>3</v>
      </c>
      <c r="K16" s="87" t="s">
        <v>74</v>
      </c>
      <c r="L16" s="87" t="s">
        <v>74</v>
      </c>
    </row>
    <row r="17" spans="1:12" s="1" customFormat="1">
      <c r="B17" s="27" t="s">
        <v>6</v>
      </c>
      <c r="C17" s="27" t="s">
        <v>75</v>
      </c>
      <c r="D17" s="9" t="s">
        <v>34</v>
      </c>
      <c r="E17" s="86" t="s">
        <v>58</v>
      </c>
      <c r="F17" s="27" t="s">
        <v>1</v>
      </c>
      <c r="G17" s="27" t="s">
        <v>73</v>
      </c>
      <c r="H17" s="86"/>
      <c r="I17" s="87"/>
      <c r="J17" s="87" t="s">
        <v>3</v>
      </c>
      <c r="K17" s="87" t="s">
        <v>74</v>
      </c>
      <c r="L17" s="87" t="s">
        <v>74</v>
      </c>
    </row>
    <row r="18" spans="1:12" s="1" customFormat="1">
      <c r="A18" s="89"/>
      <c r="B18" s="27" t="s">
        <v>78</v>
      </c>
      <c r="C18" s="27" t="s">
        <v>75</v>
      </c>
      <c r="D18" s="9" t="s">
        <v>79</v>
      </c>
      <c r="E18" s="86" t="s">
        <v>58</v>
      </c>
      <c r="F18" s="27" t="s">
        <v>80</v>
      </c>
      <c r="G18" s="27" t="s">
        <v>73</v>
      </c>
      <c r="H18" s="86"/>
      <c r="I18" s="87"/>
      <c r="J18" s="87" t="s">
        <v>3</v>
      </c>
      <c r="K18" s="87" t="s">
        <v>74</v>
      </c>
      <c r="L18" s="87" t="s">
        <v>74</v>
      </c>
    </row>
    <row r="19" spans="1:12" s="1" customFormat="1">
      <c r="A19" s="89"/>
      <c r="B19" s="27" t="s">
        <v>81</v>
      </c>
      <c r="C19" s="27" t="s">
        <v>75</v>
      </c>
      <c r="D19" s="9" t="s">
        <v>1584</v>
      </c>
      <c r="E19" s="86" t="s">
        <v>58</v>
      </c>
      <c r="F19" s="27" t="s">
        <v>85</v>
      </c>
      <c r="G19" s="27" t="s">
        <v>73</v>
      </c>
      <c r="H19" s="86"/>
      <c r="I19" s="87"/>
      <c r="J19" s="87" t="s">
        <v>3</v>
      </c>
      <c r="K19" s="87" t="s">
        <v>74</v>
      </c>
      <c r="L19" s="87" t="s">
        <v>74</v>
      </c>
    </row>
    <row r="20" spans="1:12" s="1" customFormat="1">
      <c r="A20" s="89"/>
      <c r="B20" s="27" t="s">
        <v>82</v>
      </c>
      <c r="C20" s="27" t="s">
        <v>75</v>
      </c>
      <c r="D20" s="9" t="s">
        <v>110</v>
      </c>
      <c r="E20" s="86" t="s">
        <v>58</v>
      </c>
      <c r="F20" s="27" t="s">
        <v>82</v>
      </c>
      <c r="G20" s="27" t="s">
        <v>73</v>
      </c>
      <c r="H20" s="86"/>
      <c r="I20" s="87"/>
      <c r="J20" s="87" t="s">
        <v>3</v>
      </c>
      <c r="K20" s="87" t="s">
        <v>74</v>
      </c>
      <c r="L20" s="87" t="s">
        <v>74</v>
      </c>
    </row>
    <row r="21" spans="1:12" s="1" customFormat="1">
      <c r="A21" s="89"/>
      <c r="B21" s="27" t="s">
        <v>90</v>
      </c>
      <c r="C21" s="27" t="s">
        <v>71</v>
      </c>
      <c r="D21" s="9" t="s">
        <v>2335</v>
      </c>
      <c r="E21" s="86" t="s">
        <v>58</v>
      </c>
      <c r="F21" s="27" t="s">
        <v>90</v>
      </c>
      <c r="G21" s="27" t="s">
        <v>73</v>
      </c>
      <c r="H21" s="86"/>
      <c r="I21" s="87"/>
      <c r="J21" s="87" t="s">
        <v>3</v>
      </c>
      <c r="K21" s="87" t="s">
        <v>74</v>
      </c>
      <c r="L21" s="87" t="s">
        <v>74</v>
      </c>
    </row>
    <row r="22" spans="1:12" s="1" customFormat="1">
      <c r="A22" s="89"/>
      <c r="B22" s="27" t="s">
        <v>108</v>
      </c>
      <c r="C22" s="27" t="s">
        <v>71</v>
      </c>
      <c r="D22" s="9" t="s">
        <v>2336</v>
      </c>
      <c r="E22" s="86" t="s">
        <v>58</v>
      </c>
      <c r="F22" s="27" t="s">
        <v>108</v>
      </c>
      <c r="G22" s="27" t="s">
        <v>73</v>
      </c>
      <c r="H22" s="86"/>
      <c r="I22" s="87"/>
      <c r="J22" s="87" t="s">
        <v>3</v>
      </c>
      <c r="K22" s="87" t="s">
        <v>74</v>
      </c>
      <c r="L22" s="87" t="s">
        <v>74</v>
      </c>
    </row>
    <row r="23" spans="1:12" s="1" customFormat="1">
      <c r="A23" s="89"/>
      <c r="B23" s="27" t="s">
        <v>94</v>
      </c>
      <c r="C23" s="27" t="s">
        <v>71</v>
      </c>
      <c r="D23" s="9" t="s">
        <v>95</v>
      </c>
      <c r="E23" s="86" t="s">
        <v>58</v>
      </c>
      <c r="F23" s="27" t="s">
        <v>94</v>
      </c>
      <c r="G23" s="27" t="s">
        <v>73</v>
      </c>
      <c r="H23" s="86"/>
      <c r="I23" s="87"/>
      <c r="J23" s="87" t="s">
        <v>3</v>
      </c>
      <c r="K23" s="87" t="s">
        <v>74</v>
      </c>
      <c r="L23" s="87" t="s">
        <v>74</v>
      </c>
    </row>
    <row r="24" spans="1:12" s="1" customFormat="1">
      <c r="A24" s="89"/>
      <c r="B24" s="27" t="s">
        <v>123</v>
      </c>
      <c r="C24" s="27" t="s">
        <v>71</v>
      </c>
      <c r="D24" s="9" t="s">
        <v>2337</v>
      </c>
      <c r="E24" s="86" t="s">
        <v>58</v>
      </c>
      <c r="F24" s="27" t="s">
        <v>123</v>
      </c>
      <c r="G24" s="27" t="s">
        <v>73</v>
      </c>
      <c r="H24" s="86"/>
      <c r="I24" s="87"/>
      <c r="J24" s="87" t="s">
        <v>3</v>
      </c>
      <c r="K24" s="87" t="s">
        <v>74</v>
      </c>
      <c r="L24" s="87" t="s">
        <v>74</v>
      </c>
    </row>
    <row r="25" spans="1:12" s="1" customFormat="1">
      <c r="A25" s="89"/>
      <c r="B25" s="27" t="s">
        <v>1590</v>
      </c>
      <c r="C25" s="27" t="s">
        <v>71</v>
      </c>
      <c r="D25" s="9" t="s">
        <v>2338</v>
      </c>
      <c r="E25" s="86" t="s">
        <v>58</v>
      </c>
      <c r="F25" s="27" t="s">
        <v>1590</v>
      </c>
      <c r="G25" s="27" t="s">
        <v>73</v>
      </c>
      <c r="H25" s="86"/>
      <c r="I25" s="87"/>
      <c r="J25" s="87" t="s">
        <v>3</v>
      </c>
      <c r="K25" s="87" t="s">
        <v>74</v>
      </c>
      <c r="L25" s="87" t="s">
        <v>74</v>
      </c>
    </row>
    <row r="26" spans="1:12" s="1" customFormat="1">
      <c r="A26" s="89"/>
      <c r="B26" s="27" t="s">
        <v>2339</v>
      </c>
      <c r="C26" s="27" t="s">
        <v>71</v>
      </c>
      <c r="D26" s="9" t="s">
        <v>2340</v>
      </c>
      <c r="E26" s="86" t="s">
        <v>58</v>
      </c>
      <c r="F26" s="27"/>
      <c r="G26" s="27" t="s">
        <v>2341</v>
      </c>
      <c r="H26" s="86"/>
      <c r="I26" s="87"/>
      <c r="J26" s="87" t="s">
        <v>3</v>
      </c>
      <c r="K26" s="87" t="s">
        <v>74</v>
      </c>
      <c r="L26" s="87" t="s">
        <v>74</v>
      </c>
    </row>
    <row r="27" spans="1:12" s="1" customFormat="1">
      <c r="A27" s="89"/>
      <c r="B27" s="27" t="s">
        <v>2342</v>
      </c>
      <c r="C27" s="27" t="s">
        <v>71</v>
      </c>
      <c r="D27" s="9" t="s">
        <v>2343</v>
      </c>
      <c r="E27" s="86" t="s">
        <v>107</v>
      </c>
      <c r="F27" s="27" t="s">
        <v>2344</v>
      </c>
      <c r="G27" s="27" t="s">
        <v>73</v>
      </c>
      <c r="H27" s="86"/>
      <c r="I27" s="87"/>
      <c r="J27" s="87" t="s">
        <v>3</v>
      </c>
      <c r="K27" s="87" t="s">
        <v>74</v>
      </c>
      <c r="L27" s="87" t="s">
        <v>74</v>
      </c>
    </row>
    <row r="28" spans="1:12" s="1" customFormat="1">
      <c r="A28" s="89"/>
      <c r="B28" s="27" t="s">
        <v>118</v>
      </c>
      <c r="C28" s="27" t="s">
        <v>71</v>
      </c>
      <c r="D28" s="9" t="s">
        <v>2082</v>
      </c>
      <c r="E28" s="86" t="s">
        <v>58</v>
      </c>
      <c r="F28" s="27"/>
      <c r="G28" s="27" t="s">
        <v>124</v>
      </c>
      <c r="H28" s="86"/>
      <c r="I28" s="87"/>
      <c r="J28" s="87" t="s">
        <v>99</v>
      </c>
      <c r="K28" s="87" t="s">
        <v>74</v>
      </c>
      <c r="L28" s="87" t="s">
        <v>74</v>
      </c>
    </row>
    <row r="29" spans="1:12" s="1" customFormat="1">
      <c r="A29" s="89"/>
      <c r="B29" s="27" t="s">
        <v>119</v>
      </c>
      <c r="C29" s="27" t="s">
        <v>71</v>
      </c>
      <c r="D29" s="9" t="s">
        <v>2084</v>
      </c>
      <c r="E29" s="86" t="s">
        <v>58</v>
      </c>
      <c r="F29" s="27"/>
      <c r="G29" s="27" t="s">
        <v>125</v>
      </c>
      <c r="H29" s="86"/>
      <c r="I29" s="87"/>
      <c r="J29" s="87" t="s">
        <v>99</v>
      </c>
      <c r="K29" s="87" t="s">
        <v>74</v>
      </c>
      <c r="L29" s="87" t="s">
        <v>74</v>
      </c>
    </row>
    <row r="30" spans="1:12" s="1" customFormat="1">
      <c r="A30" s="89"/>
      <c r="B30" s="27" t="s">
        <v>1552</v>
      </c>
      <c r="C30" s="27" t="s">
        <v>98</v>
      </c>
      <c r="D30" s="9" t="s">
        <v>2345</v>
      </c>
      <c r="E30" s="86" t="s">
        <v>58</v>
      </c>
      <c r="F30" s="27"/>
      <c r="G30" s="27" t="s">
        <v>1327</v>
      </c>
      <c r="H30" s="86"/>
      <c r="I30" s="87"/>
      <c r="J30" s="87" t="s">
        <v>99</v>
      </c>
      <c r="K30" s="87" t="s">
        <v>74</v>
      </c>
      <c r="L30" s="87" t="s">
        <v>100</v>
      </c>
    </row>
    <row r="31" spans="1:12" s="1" customFormat="1">
      <c r="A31" s="89"/>
      <c r="B31" s="27" t="s">
        <v>1924</v>
      </c>
      <c r="C31" s="27" t="s">
        <v>98</v>
      </c>
      <c r="D31" s="9" t="s">
        <v>2346</v>
      </c>
      <c r="E31" s="86" t="s">
        <v>58</v>
      </c>
      <c r="F31" s="27"/>
      <c r="G31" s="27" t="s">
        <v>1688</v>
      </c>
      <c r="H31" s="86"/>
      <c r="I31" s="87"/>
      <c r="J31" s="87" t="s">
        <v>99</v>
      </c>
      <c r="K31" s="87" t="s">
        <v>74</v>
      </c>
      <c r="L31" s="87" t="s">
        <v>100</v>
      </c>
    </row>
    <row r="32" spans="1:12" s="1" customFormat="1">
      <c r="A32" s="89"/>
      <c r="B32" s="27" t="s">
        <v>2347</v>
      </c>
      <c r="C32" s="27" t="s">
        <v>102</v>
      </c>
      <c r="D32" s="9" t="s">
        <v>2348</v>
      </c>
      <c r="E32" s="86" t="s">
        <v>58</v>
      </c>
      <c r="F32" s="27"/>
      <c r="G32" s="27" t="s">
        <v>2349</v>
      </c>
      <c r="H32" s="86"/>
      <c r="I32" s="87"/>
      <c r="J32" s="87" t="s">
        <v>99</v>
      </c>
      <c r="K32" s="87" t="s">
        <v>74</v>
      </c>
      <c r="L32" s="87" t="s">
        <v>1215</v>
      </c>
    </row>
    <row r="33" spans="1:17" s="1" customFormat="1">
      <c r="A33" s="89"/>
      <c r="B33" s="27" t="s">
        <v>1771</v>
      </c>
      <c r="C33" s="27" t="s">
        <v>98</v>
      </c>
      <c r="D33" s="9" t="s">
        <v>2350</v>
      </c>
      <c r="E33" s="86" t="s">
        <v>58</v>
      </c>
      <c r="F33" s="27"/>
      <c r="G33" s="27" t="s">
        <v>1754</v>
      </c>
      <c r="H33" s="86"/>
      <c r="I33" s="87"/>
      <c r="J33" s="87" t="s">
        <v>99</v>
      </c>
      <c r="K33" s="87" t="s">
        <v>115</v>
      </c>
      <c r="L33" s="87" t="s">
        <v>100</v>
      </c>
    </row>
    <row r="34" spans="1:17" s="1" customFormat="1">
      <c r="A34" s="89"/>
      <c r="B34" s="27" t="s">
        <v>2351</v>
      </c>
      <c r="C34" s="27" t="s">
        <v>98</v>
      </c>
      <c r="D34" s="9" t="s">
        <v>2352</v>
      </c>
      <c r="E34" s="86" t="s">
        <v>58</v>
      </c>
      <c r="F34" s="27"/>
      <c r="G34" s="27" t="s">
        <v>2353</v>
      </c>
      <c r="H34" s="86"/>
      <c r="I34" s="87"/>
      <c r="J34" s="87" t="s">
        <v>99</v>
      </c>
      <c r="K34" s="87" t="s">
        <v>1934</v>
      </c>
      <c r="L34" s="87" t="s">
        <v>100</v>
      </c>
    </row>
    <row r="35" spans="1:17" s="2" customFormat="1">
      <c r="B35" s="14" t="s">
        <v>80</v>
      </c>
      <c r="C35" s="15" t="s">
        <v>75</v>
      </c>
      <c r="D35" s="16" t="s">
        <v>103</v>
      </c>
      <c r="E35" s="24"/>
      <c r="F35" s="24"/>
      <c r="G35" s="24" t="s">
        <v>293</v>
      </c>
      <c r="H35" s="14" t="s">
        <v>293</v>
      </c>
      <c r="I35" s="14"/>
      <c r="J35" s="14"/>
      <c r="K35" s="14"/>
      <c r="L35" s="14"/>
      <c r="M35" s="14"/>
      <c r="N35" s="14"/>
      <c r="O35" s="14"/>
      <c r="P35" s="14"/>
      <c r="Q35" s="14"/>
    </row>
    <row r="36" spans="1:17" s="2" customFormat="1">
      <c r="B36" s="14" t="s">
        <v>0</v>
      </c>
      <c r="C36" s="15" t="s">
        <v>71</v>
      </c>
      <c r="D36" s="16" t="s">
        <v>104</v>
      </c>
      <c r="E36" s="24"/>
      <c r="F36" s="24"/>
      <c r="G36" s="24" t="s">
        <v>293</v>
      </c>
      <c r="H36" s="14" t="s">
        <v>293</v>
      </c>
      <c r="I36" s="14"/>
      <c r="J36" s="14"/>
      <c r="K36" s="14"/>
      <c r="L36" s="14"/>
      <c r="M36" s="14"/>
      <c r="N36" s="14"/>
      <c r="O36" s="14"/>
      <c r="P36" s="14"/>
      <c r="Q36" s="14"/>
    </row>
    <row r="37" spans="1:17" s="2" customFormat="1">
      <c r="B37" s="14" t="s">
        <v>1</v>
      </c>
      <c r="C37" s="15" t="s">
        <v>75</v>
      </c>
      <c r="D37" s="16" t="s">
        <v>105</v>
      </c>
      <c r="E37" s="24"/>
      <c r="F37" s="24"/>
      <c r="G37" s="24" t="s">
        <v>293</v>
      </c>
      <c r="H37" s="14" t="s">
        <v>293</v>
      </c>
      <c r="I37" s="14"/>
      <c r="J37" s="14"/>
      <c r="K37" s="14"/>
      <c r="L37" s="14"/>
      <c r="M37" s="14"/>
      <c r="N37" s="14"/>
      <c r="O37" s="14"/>
      <c r="P37" s="14"/>
      <c r="Q37" s="14"/>
    </row>
  </sheetData>
  <autoFilter ref="A15:Q37" xr:uid="{00000000-0009-0000-0000-00000B000000}"/>
  <mergeCells count="4">
    <mergeCell ref="B2:H2"/>
    <mergeCell ref="B3:H3"/>
    <mergeCell ref="B7:H7"/>
    <mergeCell ref="B14:L14"/>
  </mergeCells>
  <phoneticPr fontId="2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42</vt:i4>
      </vt:variant>
      <vt:variant>
        <vt:lpstr>命名范围</vt:lpstr>
      </vt:variant>
      <vt:variant>
        <vt:i4>2</vt:i4>
      </vt:variant>
    </vt:vector>
  </HeadingPairs>
  <TitlesOfParts>
    <vt:vector size="44" baseType="lpstr">
      <vt:lpstr>导航</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'3'!OLE_LINK1</vt:lpstr>
      <vt:lpstr>'7'!OLE_LINK1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LRH</dc:creator>
  <cp:lastModifiedBy>ranhua li</cp:lastModifiedBy>
  <dcterms:created xsi:type="dcterms:W3CDTF">2015-06-05T18:19:00Z</dcterms:created>
  <dcterms:modified xsi:type="dcterms:W3CDTF">2025-09-14T12:26:42Z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819565F349EA4A4C9C259F3C5D9DBBE7_12</vt:lpwstr>
  </property>
  <property fmtid="{D5CDD505-2E9C-101B-9397-08002B2CF9AE}" pid="3" name="KSOProductBuildVer">
    <vt:lpwstr>2052-12.1.0.20783</vt:lpwstr>
  </property>
  <property fmtid="{D5CDD505-2E9C-101B-9397-08002B2CF9AE}" pid="4" name="KSOReadingLayout">
    <vt:bool>true</vt:bool>
  </property>
</Properties>
</file>