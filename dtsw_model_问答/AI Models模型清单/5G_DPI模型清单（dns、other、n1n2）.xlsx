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never"/>
  <mc:AlternateContent xmlns:mc="http://schemas.openxmlformats.org/markup-compatibility/2006">
    <mc:Choice Requires="x15">
      <x15ac:absPath xmlns:x15ac="http://schemas.microsoft.com/office/spreadsheetml/2010/11/ac" url="D:\0000. 25年工作\2. 网络数据处理系统\51.AI Models数据整理\模型清单\AI Models模型清单\"/>
    </mc:Choice>
  </mc:AlternateContent>
  <xr:revisionPtr revIDLastSave="0" documentId="13_ncr:1_{732FB5EA-41D5-4F72-9860-1BAE70BC09C6}" xr6:coauthVersionLast="47" xr6:coauthVersionMax="47" xr10:uidLastSave="{00000000-0000-0000-0000-000000000000}"/>
  <bookViews>
    <workbookView xWindow="-108" yWindow="-108" windowWidth="23256" windowHeight="13896" tabRatio="938" firstSheet="2" activeTab="2" xr2:uid="{00000000-000D-0000-FFFF-FFFF00000000}"/>
  </bookViews>
  <sheets>
    <sheet name="0" sheetId="195" r:id="rId1"/>
    <sheet name="Sheet1" sheetId="233" r:id="rId2"/>
    <sheet name="导航" sheetId="3" r:id="rId3"/>
    <sheet name="1" sheetId="91" r:id="rId4"/>
    <sheet name="0.1" sheetId="234" r:id="rId5"/>
    <sheet name="0.2" sheetId="236" r:id="rId6"/>
    <sheet name="0.3" sheetId="237" r:id="rId7"/>
    <sheet name="0.4" sheetId="238" r:id="rId8"/>
    <sheet name="0.5" sheetId="239" r:id="rId9"/>
    <sheet name="0.6" sheetId="240" r:id="rId10"/>
    <sheet name="0.7" sheetId="241" r:id="rId11"/>
    <sheet name="0.8" sheetId="242" r:id="rId12"/>
    <sheet name="0.9" sheetId="243" r:id="rId13"/>
    <sheet name="1.2" sheetId="244" r:id="rId14"/>
    <sheet name="1.3" sheetId="245" r:id="rId15"/>
    <sheet name="1.4" sheetId="246" r:id="rId16"/>
    <sheet name="1.1" sheetId="224" r:id="rId17"/>
    <sheet name="2" sheetId="184" r:id="rId18"/>
    <sheet name="3" sheetId="188" r:id="rId19"/>
    <sheet name="4" sheetId="189" r:id="rId20"/>
    <sheet name="5" sheetId="190" r:id="rId21"/>
    <sheet name="6" sheetId="191" r:id="rId22"/>
    <sheet name="7" sheetId="193" r:id="rId23"/>
    <sheet name="8" sheetId="194" r:id="rId24"/>
    <sheet name="8.1" sheetId="222" r:id="rId25"/>
    <sheet name="9" sheetId="196" r:id="rId26"/>
    <sheet name="10" sheetId="198" r:id="rId27"/>
    <sheet name="11.1" sheetId="202" r:id="rId28"/>
    <sheet name="11.2" sheetId="203" r:id="rId29"/>
    <sheet name="11.3" sheetId="204" r:id="rId30"/>
    <sheet name="11" sheetId="199" r:id="rId31"/>
    <sheet name="12" sheetId="205" r:id="rId32"/>
    <sheet name="13" sheetId="206" r:id="rId33"/>
    <sheet name="14" sheetId="207" r:id="rId34"/>
    <sheet name="15" sheetId="208" r:id="rId35"/>
    <sheet name="16" sheetId="210" r:id="rId36"/>
    <sheet name="17" sheetId="212" r:id="rId37"/>
    <sheet name="18" sheetId="214" r:id="rId38"/>
    <sheet name="19" sheetId="215" r:id="rId39"/>
    <sheet name="20" sheetId="216" r:id="rId40"/>
    <sheet name="21" sheetId="217" r:id="rId41"/>
    <sheet name="22" sheetId="230" r:id="rId42"/>
    <sheet name="24" sheetId="220" r:id="rId43"/>
    <sheet name="25" sheetId="221" r:id="rId44"/>
    <sheet name="26" sheetId="223" r:id="rId45"/>
    <sheet name="27" sheetId="225" r:id="rId46"/>
    <sheet name="27.1" sheetId="227" r:id="rId47"/>
    <sheet name="27.2" sheetId="228" r:id="rId48"/>
    <sheet name="27.3" sheetId="229" r:id="rId49"/>
    <sheet name="28" sheetId="231" r:id="rId50"/>
    <sheet name="29" sheetId="232" r:id="rId51"/>
  </sheets>
  <definedNames>
    <definedName name="_xlnm._FilterDatabase" localSheetId="4" hidden="1">'0.1'!$A$13:$Q$38</definedName>
    <definedName name="_xlnm._FilterDatabase" localSheetId="5" hidden="1">'0.2'!$A$13:$Q$32</definedName>
    <definedName name="_xlnm._FilterDatabase" localSheetId="6" hidden="1">'0.3'!$A$13:$Q$69</definedName>
    <definedName name="_xlnm._FilterDatabase" localSheetId="7" hidden="1">'0.4'!$A$13:$Q$70</definedName>
    <definedName name="_xlnm._FilterDatabase" localSheetId="8" hidden="1">'0.5'!$A$13:$Q$61</definedName>
    <definedName name="_xlnm._FilterDatabase" localSheetId="9" hidden="1">'0.6'!$A$13:$Q$68</definedName>
    <definedName name="_xlnm._FilterDatabase" localSheetId="10" hidden="1">'0.7'!$A$13:$Q$67</definedName>
    <definedName name="_xlnm._FilterDatabase" localSheetId="11" hidden="1">'0.8'!$A$13:$Q$64</definedName>
    <definedName name="_xlnm._FilterDatabase" localSheetId="12" hidden="1">'0.9'!$A$13:$Q$65</definedName>
    <definedName name="_xlnm._FilterDatabase" localSheetId="3" hidden="1">'1'!$A$16:$Q$67</definedName>
    <definedName name="_xlnm._FilterDatabase" localSheetId="16" hidden="1">'1.1'!$A$13:$Q$42</definedName>
    <definedName name="_xlnm._FilterDatabase" localSheetId="13" hidden="1">'1.2'!$A$13:$Q$60</definedName>
    <definedName name="_xlnm._FilterDatabase" localSheetId="14" hidden="1">'1.3'!$A$13:$Q$75</definedName>
    <definedName name="_xlnm._FilterDatabase" localSheetId="15" hidden="1">'1.4'!$A$13:$Q$61</definedName>
    <definedName name="_xlnm._FilterDatabase" localSheetId="26" hidden="1">'10'!$A$15:$Q$38</definedName>
    <definedName name="_xlnm._FilterDatabase" localSheetId="30" hidden="1">'11'!$A$17:$Q$138</definedName>
    <definedName name="_xlnm._FilterDatabase" localSheetId="27" hidden="1">'11.1'!$A$28:$N$219</definedName>
    <definedName name="_xlnm._FilterDatabase" localSheetId="31" hidden="1">'12'!$A$13:$Q$55</definedName>
    <definedName name="_xlnm._FilterDatabase" localSheetId="32" hidden="1">'13'!$A$14:$Q$35</definedName>
    <definedName name="_xlnm._FilterDatabase" localSheetId="33" hidden="1">'14'!$A$13:$Q$39</definedName>
    <definedName name="_xlnm._FilterDatabase" localSheetId="34" hidden="1">'15'!$A$13:$Q$39</definedName>
    <definedName name="_xlnm._FilterDatabase" localSheetId="35" hidden="1">'16'!$A$13:$Q$50</definedName>
    <definedName name="_xlnm._FilterDatabase" localSheetId="36" hidden="1">'17'!$A$13:$L$38</definedName>
    <definedName name="_xlnm._FilterDatabase" localSheetId="37" hidden="1">'18'!$A$12:$L$154</definedName>
    <definedName name="_xlnm._FilterDatabase" localSheetId="38" hidden="1">'19'!$A$36:$R$138</definedName>
    <definedName name="_xlnm._FilterDatabase" localSheetId="17" hidden="1">'2'!$A$13:$Q$64</definedName>
    <definedName name="_xlnm._FilterDatabase" localSheetId="39" hidden="1">'20'!$A$29:$Y$138</definedName>
    <definedName name="_xlnm._FilterDatabase" localSheetId="40" hidden="1">'21'!$A$14:$N$31</definedName>
    <definedName name="_xlnm._FilterDatabase" localSheetId="41" hidden="1">'22'!$A$27:$Y$136</definedName>
    <definedName name="_xlnm._FilterDatabase" localSheetId="42" hidden="1">'24'!$A$21:$Y$129</definedName>
    <definedName name="_xlnm._FilterDatabase" localSheetId="43" hidden="1">'25'!$A$24:$Y$133</definedName>
    <definedName name="_xlnm._FilterDatabase" localSheetId="44" hidden="1">'26'!$A$14:$N$23</definedName>
    <definedName name="_xlnm._FilterDatabase" localSheetId="45" hidden="1">'27'!$A$29:$Y$39</definedName>
    <definedName name="_xlnm._FilterDatabase" localSheetId="46" hidden="1">'27.1'!#REF!</definedName>
    <definedName name="_xlnm._FilterDatabase" localSheetId="47" hidden="1">'27.2'!#REF!</definedName>
    <definedName name="_xlnm._FilterDatabase" localSheetId="48" hidden="1">'27.3'!#REF!</definedName>
    <definedName name="_xlnm._FilterDatabase" localSheetId="49" hidden="1">'28'!#REF!</definedName>
    <definedName name="_xlnm._FilterDatabase" localSheetId="50" hidden="1">'29'!#REF!</definedName>
    <definedName name="_xlnm._FilterDatabase" localSheetId="18" hidden="1">'3'!$A$14:$Q$36</definedName>
    <definedName name="_xlnm._FilterDatabase" localSheetId="19" hidden="1">'4'!$A$13:$Q$51</definedName>
    <definedName name="_xlnm._FilterDatabase" localSheetId="20" hidden="1">'5'!$A$13:$Q$46</definedName>
    <definedName name="_xlnm._FilterDatabase" localSheetId="21" hidden="1">'6'!$A$13:$Q$38</definedName>
    <definedName name="_xlnm._FilterDatabase" localSheetId="22" hidden="1">'7'!$A$16:$Q$112</definedName>
    <definedName name="_xlnm._FilterDatabase" localSheetId="23" hidden="1">'8'!$A$13:$Q$107</definedName>
    <definedName name="_xlnm._FilterDatabase" localSheetId="24" hidden="1">'8.1'!$A$13:$N$102</definedName>
    <definedName name="_xlnm._FilterDatabase" localSheetId="25" hidden="1">'9'!$A$13:$Q$89</definedName>
    <definedName name="_xlnm._FilterDatabase" localSheetId="2" hidden="1">导航!$A$1:$S$43</definedName>
    <definedName name="DT.10" comment="主小区MR详细信息AGPS">#REF!</definedName>
    <definedName name="DT.11" comment="主小区MR详细信息全量室内外">#REF!</definedName>
    <definedName name="vlookup">#REF!</definedName>
    <definedName name="主小区MR详细信息AGPS" comment="主小区MR详细信息AGPS">#REF!</definedName>
    <definedName name="主小区MR详细信息全量室内外" comment="主小区MR详细信息全量室内外">#REF!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6" i="246" l="1"/>
  <c r="F37" i="246"/>
  <c r="F38" i="246"/>
  <c r="F39" i="246"/>
  <c r="F40" i="246"/>
  <c r="F41" i="246"/>
  <c r="F42" i="246"/>
  <c r="F43" i="246"/>
  <c r="F44" i="246"/>
  <c r="F45" i="246"/>
  <c r="F46" i="246"/>
  <c r="F47" i="246"/>
  <c r="F48" i="246"/>
  <c r="F49" i="246"/>
  <c r="F50" i="246"/>
  <c r="F51" i="246"/>
  <c r="F52" i="246"/>
  <c r="F53" i="246"/>
  <c r="F54" i="246"/>
  <c r="F55" i="246"/>
  <c r="F56" i="246"/>
  <c r="F57" i="246"/>
  <c r="F58" i="246"/>
  <c r="F36" i="245"/>
  <c r="F37" i="245"/>
  <c r="F38" i="245"/>
  <c r="F39" i="245"/>
  <c r="F40" i="245"/>
  <c r="F41" i="245"/>
  <c r="F42" i="245"/>
  <c r="F43" i="245"/>
  <c r="F44" i="245"/>
  <c r="F45" i="245"/>
  <c r="F46" i="245"/>
  <c r="F47" i="245"/>
  <c r="F48" i="245"/>
  <c r="F49" i="245"/>
  <c r="F50" i="245"/>
  <c r="F51" i="245"/>
  <c r="F52" i="245"/>
  <c r="F53" i="245"/>
  <c r="F54" i="245"/>
  <c r="F55" i="245"/>
  <c r="F56" i="245"/>
  <c r="F57" i="245"/>
  <c r="F58" i="245"/>
  <c r="F59" i="245"/>
  <c r="F60" i="245"/>
  <c r="F61" i="245"/>
  <c r="F62" i="245"/>
  <c r="F63" i="245"/>
  <c r="F64" i="245"/>
  <c r="F65" i="245"/>
  <c r="F66" i="245"/>
  <c r="F67" i="245"/>
  <c r="F68" i="245"/>
  <c r="F69" i="245"/>
  <c r="F70" i="245"/>
  <c r="F71" i="245"/>
  <c r="F72" i="245"/>
  <c r="F36" i="244"/>
  <c r="F37" i="244"/>
  <c r="F38" i="244"/>
  <c r="F39" i="244"/>
  <c r="F40" i="244"/>
  <c r="F41" i="244"/>
  <c r="F42" i="244"/>
  <c r="F43" i="244"/>
  <c r="F44" i="244"/>
  <c r="F45" i="244"/>
  <c r="F46" i="244"/>
  <c r="F47" i="244"/>
  <c r="F48" i="244"/>
  <c r="F49" i="244"/>
  <c r="F50" i="244"/>
  <c r="F51" i="244"/>
  <c r="F52" i="244"/>
  <c r="F53" i="244"/>
  <c r="F54" i="244"/>
  <c r="F55" i="244"/>
  <c r="F56" i="244"/>
  <c r="F57" i="244"/>
  <c r="F36" i="243"/>
  <c r="F37" i="243"/>
  <c r="F38" i="243"/>
  <c r="F39" i="243"/>
  <c r="F40" i="243"/>
  <c r="F41" i="243"/>
  <c r="F42" i="243"/>
  <c r="F43" i="243"/>
  <c r="F44" i="243"/>
  <c r="F45" i="243"/>
  <c r="F46" i="243"/>
  <c r="F47" i="243"/>
  <c r="F48" i="243"/>
  <c r="F49" i="243"/>
  <c r="F50" i="243"/>
  <c r="F51" i="243"/>
  <c r="F52" i="243"/>
  <c r="F53" i="243"/>
  <c r="F54" i="243"/>
  <c r="F55" i="243"/>
  <c r="F56" i="243"/>
  <c r="F57" i="243"/>
  <c r="F58" i="243"/>
  <c r="F59" i="243"/>
  <c r="F60" i="243"/>
  <c r="F61" i="243"/>
  <c r="F62" i="243"/>
  <c r="F36" i="242"/>
  <c r="F37" i="242"/>
  <c r="F38" i="242"/>
  <c r="F39" i="242"/>
  <c r="F40" i="242"/>
  <c r="F41" i="242"/>
  <c r="F42" i="242"/>
  <c r="F43" i="242"/>
  <c r="F44" i="242"/>
  <c r="F45" i="242"/>
  <c r="F46" i="242"/>
  <c r="F47" i="242"/>
  <c r="F48" i="242"/>
  <c r="F49" i="242"/>
  <c r="F50" i="242"/>
  <c r="F51" i="242"/>
  <c r="F52" i="242"/>
  <c r="F53" i="242"/>
  <c r="F54" i="242"/>
  <c r="F55" i="242"/>
  <c r="F56" i="242"/>
  <c r="F57" i="242"/>
  <c r="F58" i="242"/>
  <c r="F59" i="242"/>
  <c r="F60" i="242"/>
  <c r="F61" i="242"/>
  <c r="F36" i="241"/>
  <c r="F37" i="241"/>
  <c r="F38" i="241"/>
  <c r="F39" i="241"/>
  <c r="F40" i="241"/>
  <c r="F41" i="241"/>
  <c r="F42" i="241"/>
  <c r="F43" i="241"/>
  <c r="F44" i="241"/>
  <c r="F45" i="241"/>
  <c r="F46" i="241"/>
  <c r="F47" i="241"/>
  <c r="F48" i="241"/>
  <c r="F49" i="241"/>
  <c r="F50" i="241"/>
  <c r="F51" i="241"/>
  <c r="F52" i="241"/>
  <c r="F53" i="241"/>
  <c r="F54" i="241"/>
  <c r="F55" i="241"/>
  <c r="F56" i="241"/>
  <c r="F57" i="241"/>
  <c r="F58" i="241"/>
  <c r="F59" i="241"/>
  <c r="F60" i="241"/>
  <c r="F61" i="241"/>
  <c r="F62" i="241"/>
  <c r="F63" i="241"/>
  <c r="F64" i="241"/>
  <c r="F36" i="240"/>
  <c r="F37" i="240"/>
  <c r="F38" i="240"/>
  <c r="F39" i="240"/>
  <c r="F40" i="240"/>
  <c r="F41" i="240"/>
  <c r="F42" i="240"/>
  <c r="F43" i="240"/>
  <c r="F44" i="240"/>
  <c r="F45" i="240"/>
  <c r="F46" i="240"/>
  <c r="F47" i="240"/>
  <c r="F48" i="240"/>
  <c r="F49" i="240"/>
  <c r="F50" i="240"/>
  <c r="F51" i="240"/>
  <c r="F52" i="240"/>
  <c r="F53" i="240"/>
  <c r="F54" i="240"/>
  <c r="F55" i="240"/>
  <c r="F56" i="240"/>
  <c r="F57" i="240"/>
  <c r="F58" i="240"/>
  <c r="F59" i="240"/>
  <c r="F60" i="240"/>
  <c r="F61" i="240"/>
  <c r="F62" i="240"/>
  <c r="F63" i="240"/>
  <c r="F64" i="240"/>
  <c r="F65" i="240"/>
  <c r="F36" i="239"/>
  <c r="F37" i="239"/>
  <c r="F38" i="239"/>
  <c r="F39" i="239"/>
  <c r="F40" i="239"/>
  <c r="F41" i="239"/>
  <c r="F42" i="239"/>
  <c r="F43" i="239"/>
  <c r="F44" i="239"/>
  <c r="F45" i="239"/>
  <c r="F46" i="239"/>
  <c r="F47" i="239"/>
  <c r="F48" i="239"/>
  <c r="F49" i="239"/>
  <c r="F50" i="239"/>
  <c r="F51" i="239"/>
  <c r="F52" i="239"/>
  <c r="F53" i="239"/>
  <c r="F54" i="239"/>
  <c r="F55" i="239"/>
  <c r="F56" i="239"/>
  <c r="F57" i="239"/>
  <c r="F58" i="239"/>
  <c r="F36" i="238"/>
  <c r="F37" i="238"/>
  <c r="F38" i="238"/>
  <c r="F39" i="238"/>
  <c r="F40" i="238"/>
  <c r="F41" i="238"/>
  <c r="F42" i="238"/>
  <c r="F43" i="238"/>
  <c r="F44" i="238"/>
  <c r="F45" i="238"/>
  <c r="F46" i="238"/>
  <c r="F47" i="238"/>
  <c r="F48" i="238"/>
  <c r="F49" i="238"/>
  <c r="F50" i="238"/>
  <c r="F51" i="238"/>
  <c r="F52" i="238"/>
  <c r="F53" i="238"/>
  <c r="F54" i="238"/>
  <c r="F55" i="238"/>
  <c r="F56" i="238"/>
  <c r="F57" i="238"/>
  <c r="F58" i="238"/>
  <c r="F59" i="238"/>
  <c r="F60" i="238"/>
  <c r="F61" i="238"/>
  <c r="F62" i="238"/>
  <c r="F63" i="238"/>
  <c r="F64" i="238"/>
  <c r="F65" i="238"/>
  <c r="F66" i="238"/>
  <c r="F67" i="238"/>
  <c r="F66" i="237"/>
  <c r="F36" i="237"/>
  <c r="F37" i="237"/>
  <c r="F38" i="237"/>
  <c r="F39" i="237"/>
  <c r="F40" i="237"/>
  <c r="F41" i="237"/>
  <c r="F42" i="237"/>
  <c r="F43" i="237"/>
  <c r="F44" i="237"/>
  <c r="F45" i="237"/>
  <c r="F46" i="237"/>
  <c r="F47" i="237"/>
  <c r="F48" i="237"/>
  <c r="F49" i="237"/>
  <c r="F50" i="237"/>
  <c r="F51" i="237"/>
  <c r="F52" i="237"/>
  <c r="F53" i="237"/>
  <c r="F54" i="237"/>
  <c r="F55" i="237"/>
  <c r="F56" i="237"/>
  <c r="F57" i="237"/>
  <c r="F58" i="237"/>
  <c r="F59" i="237"/>
  <c r="F60" i="237"/>
  <c r="F61" i="237"/>
  <c r="F62" i="237"/>
  <c r="F63" i="237"/>
  <c r="F64" i="237"/>
  <c r="F65" i="237"/>
  <c r="F35" i="246"/>
  <c r="F34" i="246"/>
  <c r="F33" i="246"/>
  <c r="F32" i="246"/>
  <c r="F31" i="246"/>
  <c r="F30" i="246"/>
  <c r="F29" i="246"/>
  <c r="F28" i="246"/>
  <c r="F27" i="246"/>
  <c r="F26" i="246"/>
  <c r="F25" i="246"/>
  <c r="F24" i="246"/>
  <c r="F23" i="246"/>
  <c r="F22" i="246"/>
  <c r="F21" i="246"/>
  <c r="F20" i="246"/>
  <c r="F19" i="246"/>
  <c r="F18" i="246"/>
  <c r="F17" i="246"/>
  <c r="F16" i="246"/>
  <c r="F15" i="246"/>
  <c r="F14" i="246"/>
  <c r="B1" i="246"/>
  <c r="F35" i="245"/>
  <c r="F34" i="245"/>
  <c r="F33" i="245"/>
  <c r="F32" i="245"/>
  <c r="F31" i="245"/>
  <c r="F30" i="245"/>
  <c r="F29" i="245"/>
  <c r="F28" i="245"/>
  <c r="F27" i="245"/>
  <c r="F26" i="245"/>
  <c r="F25" i="245"/>
  <c r="F24" i="245"/>
  <c r="F23" i="245"/>
  <c r="F22" i="245"/>
  <c r="F21" i="245"/>
  <c r="F20" i="245"/>
  <c r="F19" i="245"/>
  <c r="F18" i="245"/>
  <c r="F17" i="245"/>
  <c r="F16" i="245"/>
  <c r="F15" i="245"/>
  <c r="F14" i="245"/>
  <c r="B1" i="245"/>
  <c r="F35" i="244"/>
  <c r="F34" i="244"/>
  <c r="F33" i="244"/>
  <c r="F32" i="244"/>
  <c r="F31" i="244"/>
  <c r="F30" i="244"/>
  <c r="F29" i="244"/>
  <c r="F28" i="244"/>
  <c r="F27" i="244"/>
  <c r="F26" i="244"/>
  <c r="F25" i="244"/>
  <c r="F24" i="244"/>
  <c r="F23" i="244"/>
  <c r="F22" i="244"/>
  <c r="F21" i="244"/>
  <c r="F20" i="244"/>
  <c r="F19" i="244"/>
  <c r="F18" i="244"/>
  <c r="F17" i="244"/>
  <c r="F16" i="244"/>
  <c r="F15" i="244"/>
  <c r="F14" i="244"/>
  <c r="B1" i="244"/>
  <c r="F35" i="243"/>
  <c r="F34" i="243"/>
  <c r="F33" i="243"/>
  <c r="F32" i="243"/>
  <c r="F31" i="243"/>
  <c r="F30" i="243"/>
  <c r="F29" i="243"/>
  <c r="F28" i="243"/>
  <c r="F27" i="243"/>
  <c r="F26" i="243"/>
  <c r="F25" i="243"/>
  <c r="F24" i="243"/>
  <c r="F23" i="243"/>
  <c r="F22" i="243"/>
  <c r="F21" i="243"/>
  <c r="F20" i="243"/>
  <c r="F19" i="243"/>
  <c r="F18" i="243"/>
  <c r="F17" i="243"/>
  <c r="F16" i="243"/>
  <c r="F15" i="243"/>
  <c r="F14" i="243"/>
  <c r="B1" i="243"/>
  <c r="F35" i="242"/>
  <c r="F34" i="242"/>
  <c r="F33" i="242"/>
  <c r="F32" i="242"/>
  <c r="F31" i="242"/>
  <c r="F30" i="242"/>
  <c r="F29" i="242"/>
  <c r="F28" i="242"/>
  <c r="F27" i="242"/>
  <c r="F26" i="242"/>
  <c r="F25" i="242"/>
  <c r="F24" i="242"/>
  <c r="F23" i="242"/>
  <c r="F22" i="242"/>
  <c r="F21" i="242"/>
  <c r="F20" i="242"/>
  <c r="F19" i="242"/>
  <c r="F18" i="242"/>
  <c r="F17" i="242"/>
  <c r="F16" i="242"/>
  <c r="F15" i="242"/>
  <c r="F14" i="242"/>
  <c r="B1" i="242"/>
  <c r="F35" i="241"/>
  <c r="F34" i="241"/>
  <c r="F33" i="241"/>
  <c r="F32" i="241"/>
  <c r="F31" i="241"/>
  <c r="F30" i="241"/>
  <c r="F29" i="241"/>
  <c r="F28" i="241"/>
  <c r="F27" i="241"/>
  <c r="F26" i="241"/>
  <c r="F25" i="241"/>
  <c r="F24" i="241"/>
  <c r="F23" i="241"/>
  <c r="F22" i="241"/>
  <c r="F21" i="241"/>
  <c r="F20" i="241"/>
  <c r="F19" i="241"/>
  <c r="F18" i="241"/>
  <c r="F17" i="241"/>
  <c r="F16" i="241"/>
  <c r="F15" i="241"/>
  <c r="F14" i="241"/>
  <c r="B1" i="241"/>
  <c r="F35" i="240"/>
  <c r="F34" i="240"/>
  <c r="F33" i="240"/>
  <c r="F32" i="240"/>
  <c r="F31" i="240"/>
  <c r="F30" i="240"/>
  <c r="F29" i="240"/>
  <c r="F28" i="240"/>
  <c r="F27" i="240"/>
  <c r="F26" i="240"/>
  <c r="F25" i="240"/>
  <c r="F24" i="240"/>
  <c r="F23" i="240"/>
  <c r="F22" i="240"/>
  <c r="F21" i="240"/>
  <c r="F20" i="240"/>
  <c r="F19" i="240"/>
  <c r="F18" i="240"/>
  <c r="F17" i="240"/>
  <c r="F16" i="240"/>
  <c r="F15" i="240"/>
  <c r="F14" i="240"/>
  <c r="B1" i="240"/>
  <c r="F35" i="239"/>
  <c r="F34" i="239"/>
  <c r="F33" i="239"/>
  <c r="F32" i="239"/>
  <c r="F31" i="239"/>
  <c r="F30" i="239"/>
  <c r="F29" i="239"/>
  <c r="F28" i="239"/>
  <c r="F27" i="239"/>
  <c r="F26" i="239"/>
  <c r="F25" i="239"/>
  <c r="F24" i="239"/>
  <c r="F23" i="239"/>
  <c r="F22" i="239"/>
  <c r="F21" i="239"/>
  <c r="F20" i="239"/>
  <c r="F19" i="239"/>
  <c r="F18" i="239"/>
  <c r="F17" i="239"/>
  <c r="F16" i="239"/>
  <c r="F15" i="239"/>
  <c r="F14" i="239"/>
  <c r="B1" i="239"/>
  <c r="F35" i="238"/>
  <c r="F34" i="238"/>
  <c r="F33" i="238"/>
  <c r="F32" i="238"/>
  <c r="F31" i="238"/>
  <c r="F30" i="238"/>
  <c r="F29" i="238"/>
  <c r="F28" i="238"/>
  <c r="F27" i="238"/>
  <c r="F26" i="238"/>
  <c r="F25" i="238"/>
  <c r="F24" i="238"/>
  <c r="F23" i="238"/>
  <c r="F22" i="238"/>
  <c r="F21" i="238"/>
  <c r="F20" i="238"/>
  <c r="F19" i="238"/>
  <c r="F18" i="238"/>
  <c r="F17" i="238"/>
  <c r="F16" i="238"/>
  <c r="F15" i="238"/>
  <c r="F14" i="238"/>
  <c r="B1" i="238"/>
  <c r="F35" i="237"/>
  <c r="F34" i="237"/>
  <c r="F33" i="237"/>
  <c r="F32" i="237"/>
  <c r="F31" i="237"/>
  <c r="F30" i="237"/>
  <c r="F29" i="237"/>
  <c r="F28" i="237"/>
  <c r="F27" i="237"/>
  <c r="F26" i="237"/>
  <c r="F25" i="237"/>
  <c r="F24" i="237"/>
  <c r="F23" i="237"/>
  <c r="F22" i="237"/>
  <c r="F21" i="237"/>
  <c r="F20" i="237"/>
  <c r="F19" i="237"/>
  <c r="F18" i="237"/>
  <c r="F17" i="237"/>
  <c r="F16" i="237"/>
  <c r="F15" i="237"/>
  <c r="F14" i="237"/>
  <c r="B1" i="237"/>
  <c r="F29" i="236"/>
  <c r="F28" i="236"/>
  <c r="F27" i="236"/>
  <c r="F26" i="236"/>
  <c r="F25" i="236"/>
  <c r="F24" i="236"/>
  <c r="F23" i="236"/>
  <c r="F22" i="236"/>
  <c r="F21" i="236"/>
  <c r="F20" i="236"/>
  <c r="F19" i="236"/>
  <c r="F18" i="236"/>
  <c r="F17" i="236"/>
  <c r="F16" i="236"/>
  <c r="F15" i="236"/>
  <c r="F14" i="236"/>
  <c r="B1" i="236"/>
  <c r="F15" i="234"/>
  <c r="F16" i="234"/>
  <c r="F17" i="234"/>
  <c r="F18" i="234"/>
  <c r="F19" i="234"/>
  <c r="F20" i="234"/>
  <c r="F21" i="234"/>
  <c r="F22" i="234"/>
  <c r="F23" i="234"/>
  <c r="F24" i="234"/>
  <c r="F25" i="234"/>
  <c r="F26" i="234"/>
  <c r="F27" i="234"/>
  <c r="F28" i="234"/>
  <c r="F29" i="234"/>
  <c r="F30" i="234"/>
  <c r="F31" i="234"/>
  <c r="F32" i="234"/>
  <c r="F33" i="234"/>
  <c r="F34" i="234"/>
  <c r="F35" i="234"/>
  <c r="F14" i="234"/>
  <c r="H4" i="3"/>
  <c r="H5" i="3"/>
  <c r="H6" i="3"/>
  <c r="H7" i="3"/>
  <c r="H8" i="3"/>
  <c r="H9" i="3"/>
  <c r="H10" i="3"/>
  <c r="H11" i="3"/>
  <c r="H12" i="3"/>
  <c r="H13" i="3"/>
  <c r="H14" i="3"/>
  <c r="H3" i="3"/>
  <c r="B1" i="234"/>
  <c r="B3" i="3"/>
  <c r="B4" i="3"/>
  <c r="B5" i="3"/>
  <c r="B6" i="3"/>
  <c r="B7" i="3"/>
  <c r="B8" i="3"/>
  <c r="B9" i="3"/>
  <c r="B10" i="3"/>
  <c r="B11" i="3"/>
  <c r="B12" i="3"/>
  <c r="B13" i="3"/>
  <c r="B14" i="3"/>
  <c r="F20" i="216"/>
  <c r="H20" i="216"/>
  <c r="B1" i="232"/>
  <c r="B1" i="231"/>
  <c r="H23" i="229"/>
  <c r="H22" i="229"/>
  <c r="H21" i="229"/>
  <c r="H20" i="229"/>
  <c r="H19" i="229"/>
  <c r="H18" i="229"/>
  <c r="H17" i="229"/>
  <c r="H16" i="229"/>
  <c r="B1" i="229"/>
  <c r="H39" i="228"/>
  <c r="H38" i="228"/>
  <c r="H37" i="228"/>
  <c r="H36" i="228"/>
  <c r="H35" i="228"/>
  <c r="H34" i="228"/>
  <c r="H33" i="228"/>
  <c r="H32" i="228"/>
  <c r="H31" i="228"/>
  <c r="H30" i="228"/>
  <c r="H29" i="228"/>
  <c r="H28" i="228"/>
  <c r="H27" i="228"/>
  <c r="H26" i="228"/>
  <c r="H25" i="228"/>
  <c r="H24" i="228"/>
  <c r="H23" i="228"/>
  <c r="H22" i="228"/>
  <c r="H21" i="228"/>
  <c r="H20" i="228"/>
  <c r="H19" i="228"/>
  <c r="H18" i="228"/>
  <c r="H17" i="228"/>
  <c r="H16" i="228"/>
  <c r="B1" i="228"/>
  <c r="H23" i="227"/>
  <c r="H22" i="227"/>
  <c r="H21" i="227"/>
  <c r="H20" i="227"/>
  <c r="D19" i="227"/>
  <c r="H19" i="227"/>
  <c r="D18" i="227"/>
  <c r="H18" i="227"/>
  <c r="D17" i="227"/>
  <c r="H17" i="227"/>
  <c r="D16" i="227"/>
  <c r="H16" i="227"/>
  <c r="B1" i="227"/>
  <c r="H39" i="225"/>
  <c r="H38" i="225"/>
  <c r="H37" i="225"/>
  <c r="H36" i="225"/>
  <c r="H35" i="225"/>
  <c r="H34" i="225"/>
  <c r="H33" i="225"/>
  <c r="H32" i="225"/>
  <c r="H31" i="225"/>
  <c r="H30" i="225"/>
  <c r="H29" i="225"/>
  <c r="H28" i="225"/>
  <c r="H27" i="225"/>
  <c r="H26" i="225"/>
  <c r="H25" i="225"/>
  <c r="H24" i="225"/>
  <c r="H23" i="225"/>
  <c r="H22" i="225"/>
  <c r="H21" i="225"/>
  <c r="B1" i="225"/>
  <c r="H20" i="223"/>
  <c r="H19" i="223"/>
  <c r="H18" i="223"/>
  <c r="H17" i="223"/>
  <c r="H16" i="223"/>
  <c r="H15" i="223"/>
  <c r="B1" i="223"/>
  <c r="H137" i="221"/>
  <c r="H136" i="221"/>
  <c r="H135" i="221"/>
  <c r="H134" i="221"/>
  <c r="H133" i="221"/>
  <c r="H132" i="221"/>
  <c r="H131" i="221"/>
  <c r="H130" i="221"/>
  <c r="H128" i="221"/>
  <c r="H127" i="221"/>
  <c r="H126" i="221"/>
  <c r="H125" i="221"/>
  <c r="H124" i="221"/>
  <c r="H123" i="221"/>
  <c r="H122" i="221"/>
  <c r="H121" i="221"/>
  <c r="H120" i="221"/>
  <c r="H119" i="221"/>
  <c r="H118" i="221"/>
  <c r="H117" i="221"/>
  <c r="H116" i="221"/>
  <c r="H115" i="221"/>
  <c r="H114" i="221"/>
  <c r="H113" i="221"/>
  <c r="H112" i="221"/>
  <c r="H111" i="221"/>
  <c r="H110" i="221"/>
  <c r="H109" i="221"/>
  <c r="H108" i="221"/>
  <c r="H107" i="221"/>
  <c r="H106" i="221"/>
  <c r="H105" i="221"/>
  <c r="H104" i="221"/>
  <c r="H103" i="221"/>
  <c r="H102" i="221"/>
  <c r="H101" i="221"/>
  <c r="H100" i="221"/>
  <c r="H99" i="221"/>
  <c r="H98" i="221"/>
  <c r="H97" i="221"/>
  <c r="H96" i="221"/>
  <c r="H95" i="221"/>
  <c r="H94" i="221"/>
  <c r="H93" i="221"/>
  <c r="H92" i="221"/>
  <c r="H91" i="221"/>
  <c r="H90" i="221"/>
  <c r="H89" i="221"/>
  <c r="H88" i="221"/>
  <c r="H87" i="221"/>
  <c r="H86" i="221"/>
  <c r="H85" i="221"/>
  <c r="H84" i="221"/>
  <c r="H83" i="221"/>
  <c r="H82" i="221"/>
  <c r="H81" i="221"/>
  <c r="H80" i="221"/>
  <c r="H79" i="221"/>
  <c r="H78" i="221"/>
  <c r="H77" i="221"/>
  <c r="H76" i="221"/>
  <c r="H75" i="221"/>
  <c r="H74" i="221"/>
  <c r="H73" i="221"/>
  <c r="H72" i="221"/>
  <c r="H71" i="221"/>
  <c r="H70" i="221"/>
  <c r="H69" i="221"/>
  <c r="H68" i="221"/>
  <c r="H67" i="221"/>
  <c r="H66" i="221"/>
  <c r="H65" i="221"/>
  <c r="H64" i="221"/>
  <c r="H63" i="221"/>
  <c r="H62" i="221"/>
  <c r="H61" i="221"/>
  <c r="H60" i="221"/>
  <c r="H59" i="221"/>
  <c r="H58" i="221"/>
  <c r="A58" i="221"/>
  <c r="H57" i="221"/>
  <c r="A57" i="221"/>
  <c r="H56" i="221"/>
  <c r="A56" i="221"/>
  <c r="H55" i="221"/>
  <c r="A55" i="221"/>
  <c r="H54" i="221"/>
  <c r="A54" i="221"/>
  <c r="H53" i="221"/>
  <c r="H52" i="221"/>
  <c r="H51" i="221"/>
  <c r="H50" i="221"/>
  <c r="H49" i="221"/>
  <c r="H48" i="221"/>
  <c r="H47" i="221"/>
  <c r="H46" i="221"/>
  <c r="H45" i="221"/>
  <c r="H44" i="221"/>
  <c r="H43" i="221"/>
  <c r="H42" i="221"/>
  <c r="H41" i="221"/>
  <c r="H40" i="221"/>
  <c r="H39" i="221"/>
  <c r="H38" i="221"/>
  <c r="H37" i="221"/>
  <c r="H36" i="221"/>
  <c r="H35" i="221"/>
  <c r="H34" i="221"/>
  <c r="H33" i="221"/>
  <c r="H32" i="221"/>
  <c r="H31" i="221"/>
  <c r="H30" i="221"/>
  <c r="H29" i="221"/>
  <c r="H28" i="221"/>
  <c r="H27" i="221"/>
  <c r="H26" i="221"/>
  <c r="H25" i="221"/>
  <c r="H24" i="221"/>
  <c r="H23" i="221"/>
  <c r="H22" i="221"/>
  <c r="F21" i="221"/>
  <c r="H21" i="221"/>
  <c r="F20" i="221"/>
  <c r="H20" i="221"/>
  <c r="H19" i="221"/>
  <c r="F18" i="221"/>
  <c r="H18" i="221"/>
  <c r="F17" i="221"/>
  <c r="H17" i="221"/>
  <c r="F16" i="221"/>
  <c r="H16" i="221"/>
  <c r="F15" i="221"/>
  <c r="H15" i="221"/>
  <c r="H14" i="221"/>
  <c r="B1" i="221"/>
  <c r="H133" i="220"/>
  <c r="H132" i="220"/>
  <c r="H131" i="220"/>
  <c r="H130" i="220"/>
  <c r="H129" i="220"/>
  <c r="H128" i="220"/>
  <c r="H127" i="220"/>
  <c r="H126" i="220"/>
  <c r="H125" i="220"/>
  <c r="H124" i="220"/>
  <c r="H123" i="220"/>
  <c r="H122" i="220"/>
  <c r="H121" i="220"/>
  <c r="H120" i="220"/>
  <c r="H119" i="220"/>
  <c r="H118" i="220"/>
  <c r="H117" i="220"/>
  <c r="H116" i="220"/>
  <c r="H115" i="220"/>
  <c r="H114" i="220"/>
  <c r="H113" i="220"/>
  <c r="H112" i="220"/>
  <c r="H111" i="220"/>
  <c r="H110" i="220"/>
  <c r="H109" i="220"/>
  <c r="H108" i="220"/>
  <c r="H107" i="220"/>
  <c r="H106" i="220"/>
  <c r="H105" i="220"/>
  <c r="H104" i="220"/>
  <c r="H103" i="220"/>
  <c r="H102" i="220"/>
  <c r="H101" i="220"/>
  <c r="H100" i="220"/>
  <c r="H99" i="220"/>
  <c r="H98" i="220"/>
  <c r="H97" i="220"/>
  <c r="H96" i="220"/>
  <c r="H95" i="220"/>
  <c r="H94" i="220"/>
  <c r="H93" i="220"/>
  <c r="H92" i="220"/>
  <c r="H91" i="220"/>
  <c r="H90" i="220"/>
  <c r="H89" i="220"/>
  <c r="H88" i="220"/>
  <c r="H87" i="220"/>
  <c r="H86" i="220"/>
  <c r="H85" i="220"/>
  <c r="H84" i="220"/>
  <c r="H83" i="220"/>
  <c r="H82" i="220"/>
  <c r="H81" i="220"/>
  <c r="H80" i="220"/>
  <c r="H79" i="220"/>
  <c r="H78" i="220"/>
  <c r="H77" i="220"/>
  <c r="H76" i="220"/>
  <c r="H75" i="220"/>
  <c r="H74" i="220"/>
  <c r="H73" i="220"/>
  <c r="H72" i="220"/>
  <c r="H71" i="220"/>
  <c r="H70" i="220"/>
  <c r="H69" i="220"/>
  <c r="H68" i="220"/>
  <c r="H67" i="220"/>
  <c r="H66" i="220"/>
  <c r="H65" i="220"/>
  <c r="H64" i="220"/>
  <c r="H63" i="220"/>
  <c r="H62" i="220"/>
  <c r="H61" i="220"/>
  <c r="H60" i="220"/>
  <c r="H59" i="220"/>
  <c r="H58" i="220"/>
  <c r="H57" i="220"/>
  <c r="H56" i="220"/>
  <c r="H55" i="220"/>
  <c r="A55" i="220"/>
  <c r="H54" i="220"/>
  <c r="A54" i="220"/>
  <c r="H53" i="220"/>
  <c r="A53" i="220"/>
  <c r="H52" i="220"/>
  <c r="A52" i="220"/>
  <c r="H51" i="220"/>
  <c r="A51" i="220"/>
  <c r="H50" i="220"/>
  <c r="H49" i="220"/>
  <c r="H48" i="220"/>
  <c r="H47" i="220"/>
  <c r="H46" i="220"/>
  <c r="H45" i="220"/>
  <c r="H44" i="220"/>
  <c r="H43" i="220"/>
  <c r="H42" i="220"/>
  <c r="H41" i="220"/>
  <c r="H40" i="220"/>
  <c r="H39" i="220"/>
  <c r="H38" i="220"/>
  <c r="H37" i="220"/>
  <c r="H36" i="220"/>
  <c r="H35" i="220"/>
  <c r="H34" i="220"/>
  <c r="H33" i="220"/>
  <c r="H32" i="220"/>
  <c r="H31" i="220"/>
  <c r="H30" i="220"/>
  <c r="H29" i="220"/>
  <c r="H28" i="220"/>
  <c r="H27" i="220"/>
  <c r="H26" i="220"/>
  <c r="H25" i="220"/>
  <c r="H24" i="220"/>
  <c r="H23" i="220"/>
  <c r="H22" i="220"/>
  <c r="H21" i="220"/>
  <c r="H20" i="220"/>
  <c r="H19" i="220"/>
  <c r="H18" i="220"/>
  <c r="F17" i="220"/>
  <c r="H17" i="220"/>
  <c r="F16" i="220"/>
  <c r="H16" i="220"/>
  <c r="H15" i="220"/>
  <c r="H14" i="220"/>
  <c r="B1" i="220"/>
  <c r="H140" i="230"/>
  <c r="H139" i="230"/>
  <c r="H138" i="230"/>
  <c r="H137" i="230"/>
  <c r="H136" i="230"/>
  <c r="H135" i="230"/>
  <c r="H134" i="230"/>
  <c r="H133" i="230"/>
  <c r="H131" i="230"/>
  <c r="H130" i="230"/>
  <c r="H129" i="230"/>
  <c r="H128" i="230"/>
  <c r="H127" i="230"/>
  <c r="H126" i="230"/>
  <c r="H125" i="230"/>
  <c r="H124" i="230"/>
  <c r="H123" i="230"/>
  <c r="H122" i="230"/>
  <c r="H121" i="230"/>
  <c r="H120" i="230"/>
  <c r="H119" i="230"/>
  <c r="H118" i="230"/>
  <c r="H117" i="230"/>
  <c r="H116" i="230"/>
  <c r="H115" i="230"/>
  <c r="H114" i="230"/>
  <c r="H113" i="230"/>
  <c r="H112" i="230"/>
  <c r="H111" i="230"/>
  <c r="H110" i="230"/>
  <c r="H109" i="230"/>
  <c r="H108" i="230"/>
  <c r="H107" i="230"/>
  <c r="H106" i="230"/>
  <c r="H105" i="230"/>
  <c r="H104" i="230"/>
  <c r="H103" i="230"/>
  <c r="H102" i="230"/>
  <c r="H101" i="230"/>
  <c r="H100" i="230"/>
  <c r="H99" i="230"/>
  <c r="H98" i="230"/>
  <c r="H97" i="230"/>
  <c r="H96" i="230"/>
  <c r="H95" i="230"/>
  <c r="H94" i="230"/>
  <c r="H93" i="230"/>
  <c r="H92" i="230"/>
  <c r="H91" i="230"/>
  <c r="H90" i="230"/>
  <c r="H89" i="230"/>
  <c r="H88" i="230"/>
  <c r="H87" i="230"/>
  <c r="H86" i="230"/>
  <c r="H85" i="230"/>
  <c r="H84" i="230"/>
  <c r="H83" i="230"/>
  <c r="H82" i="230"/>
  <c r="H81" i="230"/>
  <c r="H80" i="230"/>
  <c r="H79" i="230"/>
  <c r="H78" i="230"/>
  <c r="H77" i="230"/>
  <c r="H76" i="230"/>
  <c r="H75" i="230"/>
  <c r="H74" i="230"/>
  <c r="H73" i="230"/>
  <c r="H72" i="230"/>
  <c r="H71" i="230"/>
  <c r="H70" i="230"/>
  <c r="H69" i="230"/>
  <c r="H68" i="230"/>
  <c r="H67" i="230"/>
  <c r="H66" i="230"/>
  <c r="H65" i="230"/>
  <c r="H64" i="230"/>
  <c r="H63" i="230"/>
  <c r="H62" i="230"/>
  <c r="H61" i="230"/>
  <c r="A61" i="230"/>
  <c r="H60" i="230"/>
  <c r="A60" i="230"/>
  <c r="H59" i="230"/>
  <c r="A59" i="230"/>
  <c r="H58" i="230"/>
  <c r="A58" i="230"/>
  <c r="H57" i="230"/>
  <c r="A57" i="230"/>
  <c r="H56" i="230"/>
  <c r="H55" i="230"/>
  <c r="H54" i="230"/>
  <c r="H53" i="230"/>
  <c r="H52" i="230"/>
  <c r="H51" i="230"/>
  <c r="H50" i="230"/>
  <c r="H49" i="230"/>
  <c r="H48" i="230"/>
  <c r="H47" i="230"/>
  <c r="H46" i="230"/>
  <c r="H45" i="230"/>
  <c r="H44" i="230"/>
  <c r="H43" i="230"/>
  <c r="H42" i="230"/>
  <c r="H41" i="230"/>
  <c r="H40" i="230"/>
  <c r="H39" i="230"/>
  <c r="H38" i="230"/>
  <c r="H37" i="230"/>
  <c r="H36" i="230"/>
  <c r="H35" i="230"/>
  <c r="H34" i="230"/>
  <c r="H33" i="230"/>
  <c r="H32" i="230"/>
  <c r="H31" i="230"/>
  <c r="H30" i="230"/>
  <c r="H29" i="230"/>
  <c r="H28" i="230"/>
  <c r="H27" i="230"/>
  <c r="H26" i="230"/>
  <c r="H25" i="230"/>
  <c r="H24" i="230"/>
  <c r="F23" i="230"/>
  <c r="H23" i="230"/>
  <c r="F22" i="230"/>
  <c r="H22" i="230"/>
  <c r="H21" i="230"/>
  <c r="H20" i="230"/>
  <c r="H19" i="230"/>
  <c r="F18" i="230"/>
  <c r="H18" i="230"/>
  <c r="F17" i="230"/>
  <c r="H17" i="230"/>
  <c r="F16" i="230"/>
  <c r="H16" i="230"/>
  <c r="F15" i="230"/>
  <c r="H15" i="230"/>
  <c r="H14" i="230"/>
  <c r="B1" i="230"/>
  <c r="H28" i="217"/>
  <c r="H27" i="217"/>
  <c r="H26" i="217"/>
  <c r="H25" i="217"/>
  <c r="H24" i="217"/>
  <c r="H23" i="217"/>
  <c r="H22" i="217"/>
  <c r="H21" i="217"/>
  <c r="H20" i="217"/>
  <c r="H19" i="217"/>
  <c r="H18" i="217"/>
  <c r="H17" i="217"/>
  <c r="H16" i="217"/>
  <c r="H15" i="217"/>
  <c r="B1" i="217"/>
  <c r="H142" i="216"/>
  <c r="H141" i="216"/>
  <c r="H140" i="216"/>
  <c r="H139" i="216"/>
  <c r="H138" i="216"/>
  <c r="H137" i="216"/>
  <c r="H136" i="216"/>
  <c r="H135" i="216"/>
  <c r="H133" i="216"/>
  <c r="H132" i="216"/>
  <c r="H131" i="216"/>
  <c r="H130" i="216"/>
  <c r="H129" i="216"/>
  <c r="H128" i="216"/>
  <c r="H127" i="216"/>
  <c r="H126" i="216"/>
  <c r="H125" i="216"/>
  <c r="H124" i="216"/>
  <c r="H123" i="216"/>
  <c r="H122" i="216"/>
  <c r="H121" i="216"/>
  <c r="H120" i="216"/>
  <c r="H119" i="216"/>
  <c r="H118" i="216"/>
  <c r="H117" i="216"/>
  <c r="H116" i="216"/>
  <c r="H115" i="216"/>
  <c r="H114" i="216"/>
  <c r="H113" i="216"/>
  <c r="H112" i="216"/>
  <c r="H111" i="216"/>
  <c r="H110" i="216"/>
  <c r="H109" i="216"/>
  <c r="H108" i="216"/>
  <c r="H107" i="216"/>
  <c r="H106" i="216"/>
  <c r="H105" i="216"/>
  <c r="H104" i="216"/>
  <c r="H103" i="216"/>
  <c r="H102" i="216"/>
  <c r="H101" i="216"/>
  <c r="H100" i="216"/>
  <c r="H99" i="216"/>
  <c r="H98" i="216"/>
  <c r="H97" i="216"/>
  <c r="H96" i="216"/>
  <c r="H95" i="216"/>
  <c r="H94" i="216"/>
  <c r="H93" i="216"/>
  <c r="H92" i="216"/>
  <c r="H91" i="216"/>
  <c r="H90" i="216"/>
  <c r="H89" i="216"/>
  <c r="H88" i="216"/>
  <c r="H87" i="216"/>
  <c r="H86" i="216"/>
  <c r="H85" i="216"/>
  <c r="H84" i="216"/>
  <c r="H83" i="216"/>
  <c r="H82" i="216"/>
  <c r="H81" i="216"/>
  <c r="H80" i="216"/>
  <c r="H79" i="216"/>
  <c r="H78" i="216"/>
  <c r="H77" i="216"/>
  <c r="H76" i="216"/>
  <c r="H75" i="216"/>
  <c r="H74" i="216"/>
  <c r="H73" i="216"/>
  <c r="H72" i="216"/>
  <c r="H71" i="216"/>
  <c r="H70" i="216"/>
  <c r="H69" i="216"/>
  <c r="H68" i="216"/>
  <c r="H67" i="216"/>
  <c r="H66" i="216"/>
  <c r="H65" i="216"/>
  <c r="H64" i="216"/>
  <c r="H63" i="216"/>
  <c r="A63" i="216"/>
  <c r="H62" i="216"/>
  <c r="A62" i="216"/>
  <c r="H61" i="216"/>
  <c r="A61" i="216"/>
  <c r="H60" i="216"/>
  <c r="A60" i="216"/>
  <c r="H59" i="216"/>
  <c r="A59" i="216"/>
  <c r="H58" i="216"/>
  <c r="H57" i="216"/>
  <c r="H56" i="216"/>
  <c r="H55" i="216"/>
  <c r="H54" i="216"/>
  <c r="H53" i="216"/>
  <c r="H52" i="216"/>
  <c r="H51" i="216"/>
  <c r="H50" i="216"/>
  <c r="H49" i="216"/>
  <c r="H48" i="216"/>
  <c r="H47" i="216"/>
  <c r="H46" i="216"/>
  <c r="H45" i="216"/>
  <c r="H44" i="216"/>
  <c r="H43" i="216"/>
  <c r="H42" i="216"/>
  <c r="H41" i="216"/>
  <c r="H40" i="216"/>
  <c r="H39" i="216"/>
  <c r="H38" i="216"/>
  <c r="H37" i="216"/>
  <c r="H36" i="216"/>
  <c r="H35" i="216"/>
  <c r="H34" i="216"/>
  <c r="H33" i="216"/>
  <c r="H32" i="216"/>
  <c r="H31" i="216"/>
  <c r="H30" i="216"/>
  <c r="H29" i="216"/>
  <c r="H28" i="216"/>
  <c r="H27" i="216"/>
  <c r="H26" i="216"/>
  <c r="F25" i="216"/>
  <c r="H25" i="216"/>
  <c r="F24" i="216"/>
  <c r="H24" i="216"/>
  <c r="H23" i="216"/>
  <c r="H22" i="216"/>
  <c r="H21" i="216"/>
  <c r="F19" i="216"/>
  <c r="H19" i="216"/>
  <c r="F18" i="216"/>
  <c r="H18" i="216"/>
  <c r="F17" i="216"/>
  <c r="H17" i="216"/>
  <c r="F16" i="216"/>
  <c r="H16" i="216"/>
  <c r="H15" i="216"/>
  <c r="H14" i="216"/>
  <c r="B1" i="216"/>
  <c r="H135" i="215"/>
  <c r="A135" i="215"/>
  <c r="H134" i="215"/>
  <c r="A134" i="215"/>
  <c r="H133" i="215"/>
  <c r="A133" i="215"/>
  <c r="H132" i="215"/>
  <c r="A132" i="215"/>
  <c r="H131" i="215"/>
  <c r="H130" i="215"/>
  <c r="H129" i="215"/>
  <c r="H128" i="215"/>
  <c r="H127" i="215"/>
  <c r="H126" i="215"/>
  <c r="H125" i="215"/>
  <c r="H124" i="215"/>
  <c r="H123" i="215"/>
  <c r="H122" i="215"/>
  <c r="H121" i="215"/>
  <c r="H120" i="215"/>
  <c r="H119" i="215"/>
  <c r="H118" i="215"/>
  <c r="H117" i="215"/>
  <c r="H116" i="215"/>
  <c r="H115" i="215"/>
  <c r="H114" i="215"/>
  <c r="H113" i="215"/>
  <c r="H112" i="215"/>
  <c r="H111" i="215"/>
  <c r="H110" i="215"/>
  <c r="H109" i="215"/>
  <c r="H108" i="215"/>
  <c r="H107" i="215"/>
  <c r="H106" i="215"/>
  <c r="H105" i="215"/>
  <c r="H104" i="215"/>
  <c r="H103" i="215"/>
  <c r="H102" i="215"/>
  <c r="H101" i="215"/>
  <c r="H100" i="215"/>
  <c r="H99" i="215"/>
  <c r="H98" i="215"/>
  <c r="H97" i="215"/>
  <c r="H96" i="215"/>
  <c r="H95" i="215"/>
  <c r="H94" i="215"/>
  <c r="H93" i="215"/>
  <c r="H92" i="215"/>
  <c r="H91" i="215"/>
  <c r="H90" i="215"/>
  <c r="H89" i="215"/>
  <c r="H88" i="215"/>
  <c r="H87" i="215"/>
  <c r="H86" i="215"/>
  <c r="H85" i="215"/>
  <c r="H84" i="215"/>
  <c r="H83" i="215"/>
  <c r="H82" i="215"/>
  <c r="H81" i="215"/>
  <c r="H80" i="215"/>
  <c r="H79" i="215"/>
  <c r="H78" i="215"/>
  <c r="H77" i="215"/>
  <c r="H76" i="215"/>
  <c r="H75" i="215"/>
  <c r="H74" i="215"/>
  <c r="H73" i="215"/>
  <c r="H72" i="215"/>
  <c r="H71" i="215"/>
  <c r="H70" i="215"/>
  <c r="H69" i="215"/>
  <c r="H68" i="215"/>
  <c r="H67" i="215"/>
  <c r="H66" i="215"/>
  <c r="H65" i="215"/>
  <c r="H64" i="215"/>
  <c r="H63" i="215"/>
  <c r="H62" i="215"/>
  <c r="H61" i="215"/>
  <c r="H60" i="215"/>
  <c r="H59" i="215"/>
  <c r="H58" i="215"/>
  <c r="H57" i="215"/>
  <c r="H56" i="215"/>
  <c r="H55" i="215"/>
  <c r="H54" i="215"/>
  <c r="H53" i="215"/>
  <c r="H52" i="215"/>
  <c r="H51" i="215"/>
  <c r="H50" i="215"/>
  <c r="H49" i="215"/>
  <c r="H48" i="215"/>
  <c r="H47" i="215"/>
  <c r="H46" i="215"/>
  <c r="H45" i="215"/>
  <c r="H44" i="215"/>
  <c r="H43" i="215"/>
  <c r="H42" i="215"/>
  <c r="H41" i="215"/>
  <c r="H40" i="215"/>
  <c r="H39" i="215"/>
  <c r="H38" i="215"/>
  <c r="H37" i="215"/>
  <c r="H36" i="215"/>
  <c r="H35" i="215"/>
  <c r="H34" i="215"/>
  <c r="H33" i="215"/>
  <c r="F32" i="215"/>
  <c r="H32" i="215"/>
  <c r="F31" i="215"/>
  <c r="H31" i="215"/>
  <c r="F30" i="215"/>
  <c r="H30" i="215"/>
  <c r="F29" i="215"/>
  <c r="H29" i="215"/>
  <c r="F28" i="215"/>
  <c r="H28" i="215"/>
  <c r="H27" i="215"/>
  <c r="F26" i="215"/>
  <c r="H26" i="215"/>
  <c r="F25" i="215"/>
  <c r="H25" i="215"/>
  <c r="F24" i="215"/>
  <c r="H24" i="215"/>
  <c r="F23" i="215"/>
  <c r="H23" i="215"/>
  <c r="F22" i="215"/>
  <c r="H22" i="215"/>
  <c r="F21" i="215"/>
  <c r="H21" i="215"/>
  <c r="F20" i="215"/>
  <c r="H20" i="215"/>
  <c r="F19" i="215"/>
  <c r="H19" i="215"/>
  <c r="F18" i="215"/>
  <c r="H18" i="215"/>
  <c r="F17" i="215"/>
  <c r="H17" i="215"/>
  <c r="F16" i="215"/>
  <c r="H16" i="215"/>
  <c r="H15" i="215"/>
  <c r="H14" i="215"/>
  <c r="B1" i="215"/>
  <c r="H151" i="214"/>
  <c r="H150" i="214"/>
  <c r="H149" i="214"/>
  <c r="H148" i="214"/>
  <c r="H147" i="214"/>
  <c r="H146" i="214"/>
  <c r="H145" i="214"/>
  <c r="H144" i="214"/>
  <c r="H142" i="214"/>
  <c r="H141" i="214"/>
  <c r="H140" i="214"/>
  <c r="H139" i="214"/>
  <c r="H138" i="214"/>
  <c r="H137" i="214"/>
  <c r="H136" i="214"/>
  <c r="H135" i="214"/>
  <c r="H134" i="214"/>
  <c r="H133" i="214"/>
  <c r="H132" i="214"/>
  <c r="H131" i="214"/>
  <c r="H130" i="214"/>
  <c r="H129" i="214"/>
  <c r="H128" i="214"/>
  <c r="H127" i="214"/>
  <c r="H126" i="214"/>
  <c r="H125" i="214"/>
  <c r="H124" i="214"/>
  <c r="H123" i="214"/>
  <c r="H122" i="214"/>
  <c r="H121" i="214"/>
  <c r="H120" i="214"/>
  <c r="H119" i="214"/>
  <c r="H118" i="214"/>
  <c r="H117" i="214"/>
  <c r="H116" i="214"/>
  <c r="H115" i="214"/>
  <c r="H114" i="214"/>
  <c r="H113" i="214"/>
  <c r="H112" i="214"/>
  <c r="H111" i="214"/>
  <c r="H110" i="214"/>
  <c r="H109" i="214"/>
  <c r="H108" i="214"/>
  <c r="H107" i="214"/>
  <c r="H106" i="214"/>
  <c r="H105" i="214"/>
  <c r="H104" i="214"/>
  <c r="H103" i="214"/>
  <c r="H102" i="214"/>
  <c r="H101" i="214"/>
  <c r="H100" i="214"/>
  <c r="H99" i="214"/>
  <c r="H98" i="214"/>
  <c r="H97" i="214"/>
  <c r="H96" i="214"/>
  <c r="H95" i="214"/>
  <c r="H94" i="214"/>
  <c r="H93" i="214"/>
  <c r="H92" i="214"/>
  <c r="H91" i="214"/>
  <c r="H90" i="214"/>
  <c r="H89" i="214"/>
  <c r="H88" i="214"/>
  <c r="H87" i="214"/>
  <c r="H86" i="214"/>
  <c r="H85" i="214"/>
  <c r="H84" i="214"/>
  <c r="H83" i="214"/>
  <c r="H82" i="214"/>
  <c r="H81" i="214"/>
  <c r="H80" i="214"/>
  <c r="H79" i="214"/>
  <c r="H78" i="214"/>
  <c r="H77" i="214"/>
  <c r="H76" i="214"/>
  <c r="H75" i="214"/>
  <c r="H74" i="214"/>
  <c r="H73" i="214"/>
  <c r="H72" i="214"/>
  <c r="A72" i="214"/>
  <c r="H71" i="214"/>
  <c r="A71" i="214"/>
  <c r="H70" i="214"/>
  <c r="A70" i="214"/>
  <c r="H69" i="214"/>
  <c r="A69" i="214"/>
  <c r="H68" i="214"/>
  <c r="A68" i="214"/>
  <c r="H67" i="214"/>
  <c r="H66" i="214"/>
  <c r="H65" i="214"/>
  <c r="H64" i="214"/>
  <c r="H63" i="214"/>
  <c r="H62" i="214"/>
  <c r="H61" i="214"/>
  <c r="H60" i="214"/>
  <c r="H59" i="214"/>
  <c r="H58" i="214"/>
  <c r="H57" i="214"/>
  <c r="H56" i="214"/>
  <c r="H55" i="214"/>
  <c r="H54" i="214"/>
  <c r="H53" i="214"/>
  <c r="H52" i="214"/>
  <c r="H51" i="214"/>
  <c r="H50" i="214"/>
  <c r="H49" i="214"/>
  <c r="H48" i="214"/>
  <c r="H47" i="214"/>
  <c r="H46" i="214"/>
  <c r="H45" i="214"/>
  <c r="H44" i="214"/>
  <c r="H43" i="214"/>
  <c r="H42" i="214"/>
  <c r="H41" i="214"/>
  <c r="H40" i="214"/>
  <c r="H39" i="214"/>
  <c r="H38" i="214"/>
  <c r="F37" i="214"/>
  <c r="H37" i="214"/>
  <c r="F36" i="214"/>
  <c r="H36" i="214"/>
  <c r="F35" i="214"/>
  <c r="H35" i="214"/>
  <c r="H34" i="214"/>
  <c r="H33" i="214"/>
  <c r="F32" i="214"/>
  <c r="H32" i="214"/>
  <c r="F31" i="214"/>
  <c r="H31" i="214"/>
  <c r="H30" i="214"/>
  <c r="H29" i="214"/>
  <c r="H28" i="214"/>
  <c r="F27" i="214"/>
  <c r="H27" i="214"/>
  <c r="F26" i="214"/>
  <c r="H26" i="214"/>
  <c r="F25" i="214"/>
  <c r="H25" i="214"/>
  <c r="F24" i="214"/>
  <c r="H24" i="214"/>
  <c r="F23" i="214"/>
  <c r="H23" i="214"/>
  <c r="F22" i="214"/>
  <c r="H22" i="214"/>
  <c r="F21" i="214"/>
  <c r="H21" i="214"/>
  <c r="F20" i="214"/>
  <c r="H20" i="214"/>
  <c r="F19" i="214"/>
  <c r="H19" i="214"/>
  <c r="F18" i="214"/>
  <c r="H18" i="214"/>
  <c r="F17" i="214"/>
  <c r="H17" i="214"/>
  <c r="H16" i="214"/>
  <c r="H15" i="214"/>
  <c r="B1" i="214"/>
  <c r="B1" i="212"/>
  <c r="B1" i="210"/>
  <c r="H37" i="208"/>
  <c r="H36" i="208"/>
  <c r="H35" i="208"/>
  <c r="H34" i="208"/>
  <c r="H33" i="208"/>
  <c r="H32" i="208"/>
  <c r="H31" i="208"/>
  <c r="H30" i="208"/>
  <c r="H29" i="208"/>
  <c r="H28" i="208"/>
  <c r="H27" i="208"/>
  <c r="H26" i="208"/>
  <c r="H25" i="208"/>
  <c r="H24" i="208"/>
  <c r="H23" i="208"/>
  <c r="H22" i="208"/>
  <c r="H21" i="208"/>
  <c r="H20" i="208"/>
  <c r="H19" i="208"/>
  <c r="H18" i="208"/>
  <c r="H17" i="208"/>
  <c r="H16" i="208"/>
  <c r="H15" i="208"/>
  <c r="H14" i="208"/>
  <c r="B1" i="208"/>
  <c r="H37" i="207"/>
  <c r="H36" i="207"/>
  <c r="H35" i="207"/>
  <c r="H34" i="207"/>
  <c r="H33" i="207"/>
  <c r="H32" i="207"/>
  <c r="H31" i="207"/>
  <c r="H30" i="207"/>
  <c r="H29" i="207"/>
  <c r="H28" i="207"/>
  <c r="H27" i="207"/>
  <c r="H26" i="207"/>
  <c r="H25" i="207"/>
  <c r="H24" i="207"/>
  <c r="H23" i="207"/>
  <c r="H22" i="207"/>
  <c r="H21" i="207"/>
  <c r="H20" i="207"/>
  <c r="H19" i="207"/>
  <c r="H18" i="207"/>
  <c r="H17" i="207"/>
  <c r="H16" i="207"/>
  <c r="H15" i="207"/>
  <c r="H14" i="207"/>
  <c r="B1" i="207"/>
  <c r="B1" i="206"/>
  <c r="H51" i="205"/>
  <c r="H50" i="205"/>
  <c r="H49" i="205"/>
  <c r="H48" i="205"/>
  <c r="H47" i="205"/>
  <c r="H46" i="205"/>
  <c r="H45" i="205"/>
  <c r="H44" i="205"/>
  <c r="H43" i="205"/>
  <c r="H42" i="205"/>
  <c r="H41" i="205"/>
  <c r="H40" i="205"/>
  <c r="H39" i="205"/>
  <c r="H38" i="205"/>
  <c r="H37" i="205"/>
  <c r="H36" i="205"/>
  <c r="H35" i="205"/>
  <c r="H34" i="205"/>
  <c r="H33" i="205"/>
  <c r="H32" i="205"/>
  <c r="H31" i="205"/>
  <c r="H30" i="205"/>
  <c r="H29" i="205"/>
  <c r="H28" i="205"/>
  <c r="H27" i="205"/>
  <c r="H26" i="205"/>
  <c r="H25" i="205"/>
  <c r="H24" i="205"/>
  <c r="H23" i="205"/>
  <c r="H22" i="205"/>
  <c r="H21" i="205"/>
  <c r="H20" i="205"/>
  <c r="H19" i="205"/>
  <c r="H18" i="205"/>
  <c r="H17" i="205"/>
  <c r="H16" i="205"/>
  <c r="H15" i="205"/>
  <c r="H14" i="205"/>
  <c r="B1" i="205"/>
  <c r="H134" i="199"/>
  <c r="H133" i="199"/>
  <c r="H132" i="199"/>
  <c r="H131" i="199"/>
  <c r="H130" i="199"/>
  <c r="H129" i="199"/>
  <c r="H128" i="199"/>
  <c r="H127" i="199"/>
  <c r="H126" i="199"/>
  <c r="H125" i="199"/>
  <c r="H124" i="199"/>
  <c r="H123" i="199"/>
  <c r="H122" i="199"/>
  <c r="H121" i="199"/>
  <c r="H120" i="199"/>
  <c r="H119" i="199"/>
  <c r="H118" i="199"/>
  <c r="H117" i="199"/>
  <c r="H116" i="199"/>
  <c r="H115" i="199"/>
  <c r="H114" i="199"/>
  <c r="H113" i="199"/>
  <c r="H112" i="199"/>
  <c r="H111" i="199"/>
  <c r="H110" i="199"/>
  <c r="H109" i="199"/>
  <c r="H108" i="199"/>
  <c r="H107" i="199"/>
  <c r="H106" i="199"/>
  <c r="H105" i="199"/>
  <c r="H104" i="199"/>
  <c r="H103" i="199"/>
  <c r="H102" i="199"/>
  <c r="H101" i="199"/>
  <c r="H100" i="199"/>
  <c r="H99" i="199"/>
  <c r="H98" i="199"/>
  <c r="H97" i="199"/>
  <c r="H96" i="199"/>
  <c r="H95" i="199"/>
  <c r="H94" i="199"/>
  <c r="H93" i="199"/>
  <c r="H92" i="199"/>
  <c r="H91" i="199"/>
  <c r="H90" i="199"/>
  <c r="H89" i="199"/>
  <c r="H88" i="199"/>
  <c r="H87" i="199"/>
  <c r="H86" i="199"/>
  <c r="H85" i="199"/>
  <c r="H84" i="199"/>
  <c r="H83" i="199"/>
  <c r="H82" i="199"/>
  <c r="H81" i="199"/>
  <c r="H80" i="199"/>
  <c r="H79" i="199"/>
  <c r="H78" i="199"/>
  <c r="H77" i="199"/>
  <c r="H76" i="199"/>
  <c r="H75" i="199"/>
  <c r="H74" i="199"/>
  <c r="H73" i="199"/>
  <c r="H72" i="199"/>
  <c r="H71" i="199"/>
  <c r="H70" i="199"/>
  <c r="H69" i="199"/>
  <c r="H68" i="199"/>
  <c r="H67" i="199"/>
  <c r="H66" i="199"/>
  <c r="H65" i="199"/>
  <c r="H64" i="199"/>
  <c r="H63" i="199"/>
  <c r="H62" i="199"/>
  <c r="H61" i="199"/>
  <c r="H60" i="199"/>
  <c r="H59" i="199"/>
  <c r="H58" i="199"/>
  <c r="H57" i="199"/>
  <c r="H56" i="199"/>
  <c r="H55" i="199"/>
  <c r="H54" i="199"/>
  <c r="H53" i="199"/>
  <c r="H52" i="199"/>
  <c r="H51" i="199"/>
  <c r="H50" i="199"/>
  <c r="H49" i="199"/>
  <c r="H48" i="199"/>
  <c r="H47" i="199"/>
  <c r="H46" i="199"/>
  <c r="H45" i="199"/>
  <c r="H44" i="199"/>
  <c r="H43" i="199"/>
  <c r="H42" i="199"/>
  <c r="H41" i="199"/>
  <c r="H40" i="199"/>
  <c r="H39" i="199"/>
  <c r="H38" i="199"/>
  <c r="H37" i="199"/>
  <c r="H36" i="199"/>
  <c r="H35" i="199"/>
  <c r="H34" i="199"/>
  <c r="H33" i="199"/>
  <c r="H32" i="199"/>
  <c r="H31" i="199"/>
  <c r="H30" i="199"/>
  <c r="H29" i="199"/>
  <c r="H28" i="199"/>
  <c r="H27" i="199"/>
  <c r="H26" i="199"/>
  <c r="H25" i="199"/>
  <c r="H24" i="199"/>
  <c r="H23" i="199"/>
  <c r="H22" i="199"/>
  <c r="H21" i="199"/>
  <c r="H20" i="199"/>
  <c r="H19" i="199"/>
  <c r="H18" i="199"/>
  <c r="B1" i="199"/>
  <c r="H18" i="204"/>
  <c r="H17" i="204"/>
  <c r="H16" i="204"/>
  <c r="H15" i="204"/>
  <c r="H14" i="204"/>
  <c r="H13" i="204"/>
  <c r="B1" i="204"/>
  <c r="H17" i="203"/>
  <c r="H16" i="203"/>
  <c r="H15" i="203"/>
  <c r="H14" i="203"/>
  <c r="H13" i="203"/>
  <c r="B1" i="203"/>
  <c r="B1" i="202"/>
  <c r="F20" i="198"/>
  <c r="F19" i="198"/>
  <c r="F18" i="198"/>
  <c r="B1" i="198"/>
  <c r="B1" i="196"/>
  <c r="F22" i="222"/>
  <c r="F21" i="222"/>
  <c r="F20" i="222"/>
  <c r="F19" i="222"/>
  <c r="F18" i="222"/>
  <c r="F17" i="222"/>
  <c r="B1" i="222"/>
  <c r="B1" i="194"/>
  <c r="B1" i="193"/>
  <c r="F22" i="191"/>
  <c r="F21" i="191"/>
  <c r="F20" i="191"/>
  <c r="F19" i="191"/>
  <c r="B1" i="191"/>
  <c r="B1" i="190"/>
  <c r="B1" i="189"/>
  <c r="B1" i="188"/>
  <c r="B1" i="184"/>
  <c r="B1" i="224"/>
  <c r="B1" i="91"/>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2" i="3"/>
  <c r="L20" i="195"/>
  <c r="J20" i="195"/>
  <c r="K9" i="195"/>
</calcChain>
</file>

<file path=xl/sharedStrings.xml><?xml version="1.0" encoding="utf-8"?>
<sst xmlns="http://schemas.openxmlformats.org/spreadsheetml/2006/main" count="23950" uniqueCount="2747">
  <si>
    <t>p_date</t>
  </si>
  <si>
    <t>p_hour</t>
  </si>
  <si>
    <t>p_quarter</t>
  </si>
  <si>
    <t>类型</t>
  </si>
  <si>
    <t>维度</t>
  </si>
  <si>
    <t>维度说明</t>
  </si>
  <si>
    <t>省份</t>
  </si>
  <si>
    <t>汇聚后记录数</t>
  </si>
  <si>
    <t>时间粒度</t>
  </si>
  <si>
    <t>增加质差定界维度后汇聚记录数</t>
  </si>
  <si>
    <t>dns</t>
  </si>
  <si>
    <t>详单数据</t>
  </si>
  <si>
    <t>quarter</t>
  </si>
  <si>
    <t>interface,supi,msisdn,pei,home_province,rattype,ncgi_ecgi,dnn_apn,upfip,servicetype,gnbip,l4protocol,5qi,nssai_sst,nssai_sd,sourceip_type</t>
  </si>
  <si>
    <t>基础全维度(含sourceip_type)</t>
  </si>
  <si>
    <t>interface,supi,msisdn,pei,home_province,rattype,ncgi_ecgi,dnn_apn,upfip,servicetype,gnbip,l4protocol,5qi,nssai_sst,nssai_sd</t>
  </si>
  <si>
    <t>基础全维度(不含sourceip_type)</t>
  </si>
  <si>
    <t>usr|app|cel</t>
  </si>
  <si>
    <t>用户小区app</t>
  </si>
  <si>
    <t>/</t>
  </si>
  <si>
    <t>hour</t>
  </si>
  <si>
    <t>other</t>
  </si>
  <si>
    <t>http</t>
  </si>
  <si>
    <t>https</t>
  </si>
  <si>
    <t>video</t>
  </si>
  <si>
    <t>interface,supi,msisdn,pei,home_province,rattype,ncgi_ecgi,dnn_apn,upfip,servicetype,gnbip,l4protocol,5qi,nssai_sst,nssai_sd,video_resolution,video_type,sourceip_type</t>
  </si>
  <si>
    <t>N1N2</t>
  </si>
  <si>
    <t>p_date,p_hour,p_provincecode,interface,supi,pei,msisdn,rat,home_province,amf_ip_add,gnb_ip_add,other_cell_id,s_nssai_sst,s_nssai_sd,ci,pdu_session_dnn,procedure_type,procedure_status,problem_demarcation,problem_position,failure_cause_type,failure_cause,keyword</t>
  </si>
  <si>
    <t>基础全维度(增加procedure_type,procedure_status,keyword,failure_cause_type,failure_cause,问题定界,问题定位维度)</t>
  </si>
  <si>
    <t>p_date,p_hour,p_provincecode,interface,supi,pei,msisdn,rat,home_province,amf_ip_add,gnb_ip_add,other_cell_id,s_nssai_sst,s_nssai_sd,ci,pdu_session_dnn,procedure_type,procedure_status,problem_demarcation,problem_position,failure_cause_type,failure_cause</t>
  </si>
  <si>
    <t>基础全维度(增加procedure_type,procedure_status,failure_cause_type,failure_cause,问题定界,问题定位维度)</t>
  </si>
  <si>
    <t>interface,supi,pei,msisdn,rat,home_province,amf_ip_add,gnb_ip_add,other_cell_id,s_nssai_sst,s_nssai_sd,ci,pdu_session_dnn</t>
  </si>
  <si>
    <t>基础全维度(增加procedure_type,procedure_status维度)</t>
  </si>
  <si>
    <t>基础全维度</t>
  </si>
  <si>
    <t>interface,supi,pei,msisdn,home_province,ci</t>
  </si>
  <si>
    <t>用户小区</t>
  </si>
  <si>
    <t>内部编号</t>
  </si>
  <si>
    <t>索引</t>
  </si>
  <si>
    <t>项目名称</t>
  </si>
  <si>
    <t>数据层级</t>
  </si>
  <si>
    <t>主题域</t>
  </si>
  <si>
    <t>表英文名</t>
  </si>
  <si>
    <t>表中文名</t>
  </si>
  <si>
    <t>数据描述</t>
  </si>
  <si>
    <t>汇聚维度</t>
  </si>
  <si>
    <t>数据时间粒度</t>
  </si>
  <si>
    <t>最小时间分区</t>
  </si>
  <si>
    <t>计算位置</t>
  </si>
  <si>
    <t>是否同步</t>
  </si>
  <si>
    <t>生命周期（存储周期单位：天）</t>
  </si>
  <si>
    <t>前向表</t>
  </si>
  <si>
    <t>支撑应用/系统</t>
  </si>
  <si>
    <t>新建/升级</t>
  </si>
  <si>
    <t>备注</t>
  </si>
  <si>
    <t>同步数据库</t>
  </si>
  <si>
    <t>网络数据处理系统</t>
  </si>
  <si>
    <t>中间层</t>
  </si>
  <si>
    <t>数据感知</t>
  </si>
  <si>
    <t>aggr_nr_dpi_dns_base_q</t>
  </si>
  <si>
    <t>5G_DPI_dns基础维度15分钟表</t>
  </si>
  <si>
    <t>用户|小区|app|dnn|切片|源IP类型</t>
  </si>
  <si>
    <t>15分钟</t>
  </si>
  <si>
    <t>前置</t>
  </si>
  <si>
    <t>是</t>
  </si>
  <si>
    <t>新建</t>
  </si>
  <si>
    <t>整合层</t>
  </si>
  <si>
    <t>无变更</t>
  </si>
  <si>
    <t>aggr_nr_dpi_dns_usrappcel_q</t>
  </si>
  <si>
    <t>5G_DPI_dns用户小区app维度15分钟表</t>
  </si>
  <si>
    <t>用户|小区|app</t>
  </si>
  <si>
    <t>核心</t>
  </si>
  <si>
    <t>aggr_nr_dpi_dns_base_h</t>
  </si>
  <si>
    <t>5G_DPI_dns基础维度小时表</t>
  </si>
  <si>
    <t>小时</t>
  </si>
  <si>
    <t>移动业务感知保障系统</t>
  </si>
  <si>
    <t>对应共享给移动业务感知保障系统aggr_5gdpi_dns_e2e_telecom_share_h</t>
  </si>
  <si>
    <t>用户级感知</t>
  </si>
  <si>
    <t>aggr_nr_usrarea_dns_cel_refactor_d</t>
  </si>
  <si>
    <t>5G_DPI_dns用户小区区域维度天表</t>
  </si>
  <si>
    <t>用户|小区|app|区域</t>
  </si>
  <si>
    <t>天</t>
  </si>
  <si>
    <t>建维优</t>
  </si>
  <si>
    <t>新建(升级)</t>
  </si>
  <si>
    <t>只上线用户级感知省份，对应现网aggr_nr_usrarea_dns_cel_d表，字段名称未修改，与现网表字段名称一致</t>
  </si>
  <si>
    <t>aggr_nr_dpi_dns_usrcel_h</t>
  </si>
  <si>
    <t>5G_DPI_dns用户小区维度小时表</t>
  </si>
  <si>
    <t>用户|小区</t>
  </si>
  <si>
    <t>aggr_nr_dpi_dns_cel_h</t>
  </si>
  <si>
    <t>5G_DPI_dns小区维度小时表</t>
  </si>
  <si>
    <t>小区</t>
  </si>
  <si>
    <t>aggr_nr_dpi_dns_cel_d</t>
  </si>
  <si>
    <t>5G_DPI_dns小区维度天表</t>
  </si>
  <si>
    <t>对应共享给5GR的表aggr_5gdpi_dns_e2e_telecom_share_d，字段名称与表结构已调整，字段与现网对应关系已标记</t>
  </si>
  <si>
    <t>aggr_nr_dpi_other_base_q</t>
  </si>
  <si>
    <t>5G_DPI_other基础维度15分钟表</t>
  </si>
  <si>
    <t>aggr_nr_dpi_other_base_h</t>
  </si>
  <si>
    <t>5G_DPI_other基础维度小时表</t>
  </si>
  <si>
    <t>用户|小区|app|dnn|切片|源IP类型|定界|切片</t>
  </si>
  <si>
    <t>5G_DPI_other基础维度共享小时表</t>
  </si>
  <si>
    <t>aggr_nr_other_usrappcel_h</t>
  </si>
  <si>
    <t>5G_DPI_other用户小区app维度小时表</t>
  </si>
  <si>
    <t>aggr_nr_iov_other_usrappcel_refactor_h</t>
  </si>
  <si>
    <t>车联网用户5G_DPI_other用户小区app维度小时表</t>
  </si>
  <si>
    <t>对应共享给车联网aggr_nr_iov_other_usrappcel_h，字段名称及表结构与现网一致</t>
  </si>
  <si>
    <t>维度层</t>
  </si>
  <si>
    <t>信令感知</t>
  </si>
  <si>
    <t>cfg_n1n2_cause_code_list</t>
  </si>
  <si>
    <t>n1n2定界定位编码表</t>
  </si>
  <si>
    <t>否</t>
  </si>
  <si>
    <t>升级</t>
  </si>
  <si>
    <t>现网表结构已存在，但数据有重复，需对数据删除重复项</t>
  </si>
  <si>
    <t>cfg_n1n2_keyword_type</t>
  </si>
  <si>
    <t>n1n2关键字编码</t>
  </si>
  <si>
    <t>cfg_45g_procedure_type</t>
  </si>
  <si>
    <t>45G流程码维表</t>
  </si>
  <si>
    <t>fact_nr_dpi_n1n2_q</t>
  </si>
  <si>
    <t>5G_DPI_N1N2整合层15分钟表</t>
  </si>
  <si>
    <t>详单</t>
  </si>
  <si>
    <t>aggr_nr_dpi_n1n2_base_q</t>
  </si>
  <si>
    <t>5G_DPI_N1N2基础维度15分钟汇聚表(含定界定位)</t>
  </si>
  <si>
    <t>用户|小区|DNN|切片|切换目标小区|流程编码|流程状态|失败原因|keyword|定界|定位</t>
  </si>
  <si>
    <t>用户常驻</t>
  </si>
  <si>
    <t>aggr_nr_resident_usrcel_h</t>
  </si>
  <si>
    <t>5G_DPI_N1N2用户驻留小区小时表</t>
  </si>
  <si>
    <t>对应现网aggr_5g_resident_celusr_h</t>
  </si>
  <si>
    <t>aggr_nr_resident_usrcel_d</t>
  </si>
  <si>
    <t>5G_DPI_N1N2用户驻留小区天表</t>
  </si>
  <si>
    <t>对应现网aggr_5g_resident_celusr_d</t>
  </si>
  <si>
    <t>aggr_nr_resident_usrcel_wd</t>
  </si>
  <si>
    <t>5G_DPI_N1N2用户常驻小区滚动周表</t>
  </si>
  <si>
    <t>对应现网共享核心系统的aggr_5g_resident_celusr_w，字段名称存在变更（字段顺序无变化，相同含义的字段依然占据相同位置），字段与现网对应关系已标记</t>
  </si>
  <si>
    <t>aggr_nr_dpi_n1n2_failcause_base_h</t>
  </si>
  <si>
    <t>N1N2接口失败原因基础小时表</t>
  </si>
  <si>
    <t>aggr_nr_n1n2_failcause_base_refactor_h</t>
  </si>
  <si>
    <t>N1N2接口失败原因基础共享小时表</t>
  </si>
  <si>
    <t>用户|小区|DNN|切片|流程编码|失败原因</t>
  </si>
  <si>
    <t>对应共享给移动业务感知保障系统aggr_nr_n1n2_failcause_base_h，字段名称及表结构无变化</t>
  </si>
  <si>
    <t>aggr_nr_dpi_n1n2_base_h</t>
  </si>
  <si>
    <t>5G_DPI_N1N2基础维度小时汇聚表(无定界定位)</t>
  </si>
  <si>
    <t>用户|小区|DNN|切片|切换目标小区</t>
  </si>
  <si>
    <t>aggr_nr_dpi_n1n2_index_reduce_base_h</t>
  </si>
  <si>
    <t>5G_DPI_N1N2基础维度指标裁剪共享小时表</t>
  </si>
  <si>
    <t>对应共享给移动业务感知保障系统aggr_5gdpi_n1n2_multi_reduce_h，字段名称及表结构无变化</t>
  </si>
  <si>
    <t>aggr_nr_dpi_n1n2_usrcel_h</t>
  </si>
  <si>
    <t>5G_DPI_N1N2用户小区维度小时表</t>
  </si>
  <si>
    <t>aggr_nr_iov_attach_usrcel_refactor_h</t>
  </si>
  <si>
    <t>车联网用户5G_DPI_N1N2用户小区维度附着指标小时表</t>
  </si>
  <si>
    <t>对应共享给车联网aggr_nr_iov_attach_usrcel_h，字段名称及表结构无变化</t>
  </si>
  <si>
    <t>aggr_nr_dpi_n1n2_usrcel_d</t>
  </si>
  <si>
    <t>5G_DPI_N1N2用户小区维度天表</t>
  </si>
  <si>
    <t>5G_DPI_N1N2小区维度小时表</t>
  </si>
  <si>
    <t>aggr_nr_dpi_n1n2_cel_d</t>
  </si>
  <si>
    <t>5G_DPI_N1N2小区维度天表</t>
  </si>
  <si>
    <t>aggr_nr_dpi_n1n2_usr_d</t>
  </si>
  <si>
    <t>5G_DPI_N1N2用户维度天表</t>
  </si>
  <si>
    <t>用户</t>
  </si>
  <si>
    <t>aggr_nr_copycard_usrgnb_refactor_h</t>
  </si>
  <si>
    <t>反诈复制卡用户接入基站清单</t>
  </si>
  <si>
    <t>用户|基站</t>
  </si>
  <si>
    <t>数据量很小，反诈要求保存时间长</t>
  </si>
  <si>
    <t>fact_5g_user_ci_list_refactor_h</t>
  </si>
  <si>
    <t>5G DPI主要接口用户小区小时表</t>
  </si>
  <si>
    <t>aggr_5g_user_flux_d</t>
  </si>
  <si>
    <t>5G用户流量天表</t>
  </si>
  <si>
    <t>dm_qulity_n1n2_cell_d</t>
  </si>
  <si>
    <t>5G N1N2小区上报率稽核天表</t>
  </si>
  <si>
    <t>dm_qulity_n1n2_no_cell_d</t>
  </si>
  <si>
    <t>5G N1N2未上报小区清单天表</t>
  </si>
  <si>
    <t>目标表基本信息描述</t>
  </si>
  <si>
    <t>目标表英文名</t>
  </si>
  <si>
    <t>目标表中文名</t>
  </si>
  <si>
    <t>数据频度</t>
  </si>
  <si>
    <t>模型主键</t>
  </si>
  <si>
    <t>推送数据库</t>
  </si>
  <si>
    <t>源表基本信息描述</t>
  </si>
  <si>
    <t>来源系统</t>
  </si>
  <si>
    <t>源表英文名</t>
  </si>
  <si>
    <t>源表中文名</t>
  </si>
  <si>
    <t>别名</t>
  </si>
  <si>
    <t>任务描述</t>
  </si>
  <si>
    <t>是否主表</t>
  </si>
  <si>
    <t>5G_DPI_dns贴源层详单表</t>
  </si>
  <si>
    <t>A</t>
  </si>
  <si>
    <t>fact_nr_cm_projdata</t>
  </si>
  <si>
    <t>5G电联工参</t>
  </si>
  <si>
    <t>B1</t>
  </si>
  <si>
    <t>按照cellkey去重后关联</t>
  </si>
  <si>
    <t>lte_cm_projdata</t>
  </si>
  <si>
    <t>4G电信工参</t>
  </si>
  <si>
    <t>B2</t>
  </si>
  <si>
    <t>按照reportcellkey去重后关联</t>
  </si>
  <si>
    <t>lte_cucc_cm_projdata</t>
  </si>
  <si>
    <t>4G联通工参</t>
  </si>
  <si>
    <t>B3</t>
  </si>
  <si>
    <t>详细字段信息</t>
  </si>
  <si>
    <t>PDM字段英文名</t>
  </si>
  <si>
    <t>PDM字段类型</t>
  </si>
  <si>
    <t>PDM字段中文名（说明）</t>
  </si>
  <si>
    <t>源表名</t>
  </si>
  <si>
    <t>源字段英文名</t>
  </si>
  <si>
    <t>算法加工逻辑</t>
  </si>
  <si>
    <t>关联与过滤条件</t>
  </si>
  <si>
    <t>字段属性</t>
  </si>
  <si>
    <t>单位</t>
  </si>
  <si>
    <t>取值范围</t>
  </si>
  <si>
    <t>day</t>
  </si>
  <si>
    <t>string</t>
  </si>
  <si>
    <t>日期</t>
  </si>
  <si>
    <t>直取</t>
  </si>
  <si>
    <t>无</t>
  </si>
  <si>
    <t>yyyy-mm-dd</t>
  </si>
  <si>
    <t>int</t>
  </si>
  <si>
    <t>0~23</t>
  </si>
  <si>
    <t>0~3</t>
  </si>
  <si>
    <t>interface</t>
  </si>
  <si>
    <t>接口类型</t>
  </si>
  <si>
    <t>&lt;=101</t>
  </si>
  <si>
    <t>rattype</t>
  </si>
  <si>
    <t>网络类型（4G：6；5G：10）</t>
  </si>
  <si>
    <t>6,10</t>
  </si>
  <si>
    <t>provincecode</t>
  </si>
  <si>
    <t>省编码</t>
  </si>
  <si>
    <t>p_provincecode</t>
  </si>
  <si>
    <t>6位数编码</t>
  </si>
  <si>
    <t>citycode</t>
  </si>
  <si>
    <t>市编码</t>
  </si>
  <si>
    <t>B1|B2|B3</t>
  </si>
  <si>
    <t>关联工参回填</t>
  </si>
  <si>
    <t>districtcode</t>
  </si>
  <si>
    <t>区编码</t>
  </si>
  <si>
    <t>province</t>
  </si>
  <si>
    <t>省名称</t>
  </si>
  <si>
    <t>B1/B2：province
B3：province_name</t>
  </si>
  <si>
    <t>city</t>
  </si>
  <si>
    <t>地市名称</t>
  </si>
  <si>
    <t>B1/B2：city
B3：city_name</t>
  </si>
  <si>
    <t>district</t>
  </si>
  <si>
    <t>区县名称</t>
  </si>
  <si>
    <t>B1/B2：district
B3：district_name</t>
  </si>
  <si>
    <t>cellname</t>
  </si>
  <si>
    <t>小区名称</t>
  </si>
  <si>
    <t>B1/B2：cellname
B3：cell_name</t>
  </si>
  <si>
    <t>cellkey</t>
  </si>
  <si>
    <t>小区cellkey</t>
  </si>
  <si>
    <t>case when interface=1 then int(substring(ncgi_ecgi,6)/256)  when (interface=100 or interface=101) then int(substring(ncgi_ecgi,6)/4096) else null end as  gnbid
case when interface=1 then int(substring(ncgi_ecgi,6)%256)  when (interface=100 or interface=101) then int(substring(ncgi_ecgi,6)%4096) else null end as cellid</t>
  </si>
  <si>
    <t>ncgi_ecgi：
4601131689682943</t>
  </si>
  <si>
    <t>tai</t>
  </si>
  <si>
    <t>跟踪区标识</t>
  </si>
  <si>
    <t>tai：460-11-8527873</t>
  </si>
  <si>
    <t>supi</t>
  </si>
  <si>
    <t>用户imsi</t>
  </si>
  <si>
    <t>msisdn</t>
  </si>
  <si>
    <t>用户号码</t>
  </si>
  <si>
    <t>regexp_replace(trim(msisdn),'^86','')</t>
  </si>
  <si>
    <t>pei</t>
  </si>
  <si>
    <t>用户终端</t>
  </si>
  <si>
    <t>dnn_apn</t>
  </si>
  <si>
    <t>网络接入技术</t>
  </si>
  <si>
    <t>upfip</t>
  </si>
  <si>
    <t>UPF的IPv4或IPv6地址</t>
  </si>
  <si>
    <t>servicetype</t>
  </si>
  <si>
    <t>业务应用</t>
  </si>
  <si>
    <t>gnbip</t>
  </si>
  <si>
    <t>gNB的IPv4或IPv6地址</t>
  </si>
  <si>
    <t>home_province</t>
  </si>
  <si>
    <t>归属省份</t>
  </si>
  <si>
    <t>nssai_sst</t>
  </si>
  <si>
    <t>Slice Service Type (SST)</t>
  </si>
  <si>
    <t>nssai_sd</t>
  </si>
  <si>
    <t>Slice Differentiator（SD）</t>
  </si>
  <si>
    <t>l4protocol</t>
  </si>
  <si>
    <t>L4协议类型： 0：TCP；1：UDP</t>
  </si>
  <si>
    <t>0,1</t>
  </si>
  <si>
    <t>five_qi</t>
  </si>
  <si>
    <t>服务质量等级标识</t>
  </si>
  <si>
    <t>5qi</t>
  </si>
  <si>
    <t>sourceip_type</t>
  </si>
  <si>
    <t>用户访问外部网络时使用的IP类型（IPv4/IPv6）</t>
  </si>
  <si>
    <t>根据sourceip字段结果识别</t>
  </si>
  <si>
    <t>case when sourceIP regexp '^((25[0-5]|2[0-4]\\d|[01]?\\d\\d?)\\.){3}(25[0-5]|2[0-4]\\d|[01]?\\d\\d?)$' then 'ipv4' when sourceIP regexp '^([\\da-fA-F]{1,4}:){7}[\\da-fA-F]{1,4}$' then 'ipv6' else '' end as sourceip_type</t>
  </si>
  <si>
    <t>dnssuctime_sum</t>
  </si>
  <si>
    <t>bigint</t>
  </si>
  <si>
    <t>DNS查询成功时延_求和</t>
  </si>
  <si>
    <t>sum(case when reply_code=0 and response_time- query_time&gt;0 and response_time- query_time&lt;30000 then response_time- query_time else null end)</t>
  </si>
  <si>
    <t>指标</t>
  </si>
  <si>
    <t>&gt;=0</t>
  </si>
  <si>
    <t>dnssuc_over2s_cnt</t>
  </si>
  <si>
    <t>DNS查询时延&gt;2s次数</t>
  </si>
  <si>
    <t>sum(case when reply_code=0 and response_time- query_time&gt;2000 then  1 else 0 end)</t>
  </si>
  <si>
    <t>replycode1_cnt</t>
  </si>
  <si>
    <t>DNS格式错误次数</t>
  </si>
  <si>
    <t>replycode2_cnt</t>
  </si>
  <si>
    <t>DNS服务器错误次数</t>
  </si>
  <si>
    <t>sum(case when reply_code=2  then 1 else 0 end)</t>
  </si>
  <si>
    <t>replycode3_cnt</t>
  </si>
  <si>
    <t>DNS域名错误次数</t>
  </si>
  <si>
    <t>sum(case when reply_code=3  then 1 else 0 end)</t>
  </si>
  <si>
    <t>replycode4_cnt</t>
  </si>
  <si>
    <t>DNS未实现次数</t>
  </si>
  <si>
    <t>sum(case when reply_code=4  then 1 else 0 end)</t>
  </si>
  <si>
    <t>replycode5_cnt</t>
  </si>
  <si>
    <t>DNS服务器拒绝次数</t>
  </si>
  <si>
    <t>sum(case when reply_code=5  then 1 else 0 end)</t>
  </si>
  <si>
    <t>replycode_null_cnt</t>
  </si>
  <si>
    <t>DNS无响应次数</t>
  </si>
  <si>
    <t>sum(case when reply_code is null  then 1 else 0 end)</t>
  </si>
  <si>
    <t>xdr_suc_cnt</t>
  </si>
  <si>
    <t>xdr成功条数</t>
  </si>
  <si>
    <t>sum(case when tcpconnectstate=0 or sessionstopflag=1 then 1 else 0 end)</t>
  </si>
  <si>
    <t>abnormal_cnt</t>
  </si>
  <si>
    <t>质差话单数量</t>
  </si>
  <si>
    <t>sum(case when tcpsetupresponsedelay&gt;= 110 or tcpsetupackdelay&gt;=110  or ultcp_retranspacket/outputpacket&gt;=0.15 or dltcp_retranspacket/inputpacket&gt;=0.15  then 1 else 0 end)</t>
  </si>
  <si>
    <t>dns_query_cnt</t>
  </si>
  <si>
    <t>DNS请求次数</t>
  </si>
  <si>
    <t>count(1)</t>
  </si>
  <si>
    <t>dns_suc_cnt</t>
  </si>
  <si>
    <t>DNS成功次数</t>
  </si>
  <si>
    <t>sum(case when reply_code=0  then 1 else 0 end)</t>
  </si>
  <si>
    <t>dns_suc_rate</t>
  </si>
  <si>
    <t>double</t>
  </si>
  <si>
    <t>DNS查询成功率</t>
  </si>
  <si>
    <t>sum(case when reply_code=0  then 1 else 0 end)/count(1)</t>
  </si>
  <si>
    <t>[0,1]</t>
  </si>
  <si>
    <t>dns_delay</t>
  </si>
  <si>
    <t>DNS时延</t>
  </si>
  <si>
    <t>dns_delay_custom</t>
  </si>
  <si>
    <t>DNS时延（自定义：剔除时延大于100ms的详单数据）</t>
  </si>
  <si>
    <t>avg(case when (response_time- query_time) &lt; 100 and (response_time- query_time) &gt; 0 then (response_time- query_time) else null end)</t>
  </si>
  <si>
    <t>[0,100]</t>
  </si>
  <si>
    <t>dns_delay_cnt_0_50</t>
  </si>
  <si>
    <t>DNS查询时延在(0,50]的次数</t>
  </si>
  <si>
    <t>sum(case when response_time-query_time&gt;0 and response_time-query_time&lt;=50 then 1 else 0 end)</t>
  </si>
  <si>
    <t>dns_delay_cnt_50_100</t>
  </si>
  <si>
    <t>DNS查询时延在(50,100]的次数</t>
  </si>
  <si>
    <t>sum(case when response_time-query_time&gt;50 and response_time-query_time&lt;=100 then 1 else 0 end)</t>
  </si>
  <si>
    <t>dns_delay_cnt_100_150</t>
  </si>
  <si>
    <t>DNS查询时延在(100,150]的次数</t>
  </si>
  <si>
    <t>sum(case when response_time-query_time&gt;100 and response_time-query_time&lt;=150 then 1 else 0 end)</t>
  </si>
  <si>
    <t>dns_delay_cnt_150_200</t>
  </si>
  <si>
    <t>DNS查询时延在(150,200]的次数</t>
  </si>
  <si>
    <t>sum(case when response_time-query_time&gt;150 and response_time-query_time&lt;=200 then 1 else 0 end)</t>
  </si>
  <si>
    <t>dns_delay_cnt_greater_200</t>
  </si>
  <si>
    <t>DNS查询时延在(200,200000]的次数</t>
  </si>
  <si>
    <t>sum(case when response_time-query_time&gt;200 and response_time-query_time&lt;=200000 then 1 else 0 end)</t>
  </si>
  <si>
    <t>省分区</t>
  </si>
  <si>
    <t>天分区</t>
  </si>
  <si>
    <t>小时分区</t>
  </si>
  <si>
    <t>15分钟分区</t>
  </si>
  <si>
    <t>对应字段：date</t>
  </si>
  <si>
    <t>对应字段：hour</t>
  </si>
  <si>
    <t>对应字段：interface</t>
  </si>
  <si>
    <t>对应字段：provincecode</t>
  </si>
  <si>
    <t>对应字段：citycode</t>
  </si>
  <si>
    <t>对应字段：districtcode</t>
  </si>
  <si>
    <t>对应字段：province</t>
  </si>
  <si>
    <t>对应字段：city</t>
  </si>
  <si>
    <t>对应字段：district</t>
  </si>
  <si>
    <t>对应字段：cell_key</t>
  </si>
  <si>
    <t>对应字段：supi</t>
  </si>
  <si>
    <t>对应字段：msisdn</t>
  </si>
  <si>
    <t>对应字段：pei</t>
  </si>
  <si>
    <t>对应字段：servicetype</t>
  </si>
  <si>
    <t>sum(abnormal_cnt)</t>
  </si>
  <si>
    <t>sum(dns_query_cnt)</t>
  </si>
  <si>
    <t>对应字段：query_dns_cnt</t>
  </si>
  <si>
    <t>sum(dns_suc_cnt)</t>
  </si>
  <si>
    <t>对应字段：query_dns_suc_cnt</t>
  </si>
  <si>
    <t>sum(dns_suc_cnt)/sum(dns_query_cnt)</t>
  </si>
  <si>
    <t>对应字段：query_dns_suc_rate</t>
  </si>
  <si>
    <t>sum(dns_delay*dns_query_cnt)/sum(dns_query_cnt)</t>
  </si>
  <si>
    <t>DNS时延（剔除时延大于100ms的详单数据）</t>
  </si>
  <si>
    <t>sum(dns_delay_custom*dns_query_cnt)/sum(dns_query_cnt)</t>
  </si>
  <si>
    <t>对应字段：dns_query_time_avg</t>
  </si>
  <si>
    <t>sum(dns_delay_cnt_0_50)</t>
  </si>
  <si>
    <t>sum(dns_delay_cnt_50_100)</t>
  </si>
  <si>
    <t>sum(dns_delay_cnt_100_150)</t>
  </si>
  <si>
    <t>sum(dns_delay_cnt_150_200)</t>
  </si>
  <si>
    <t>sum(dns_delay_cnt_greater_200)</t>
  </si>
  <si>
    <t>对应共享给移动业务感知保障系统aggr_5gdpi_dns_e2e_telecom_share_h，字段对应关系如备注，但原有共享表中有三个字段未提供：ncgi、gnbid、cellid</t>
  </si>
  <si>
    <t>对应字段：rattype</t>
  </si>
  <si>
    <t>对应字段：celname</t>
  </si>
  <si>
    <t>对应字段：tai</t>
  </si>
  <si>
    <t>visitedplmnid</t>
  </si>
  <si>
    <t>拜访网络标识</t>
  </si>
  <si>
    <t>直接赋值：'46011'</t>
  </si>
  <si>
    <t>对应字段：visitedplmnid</t>
  </si>
  <si>
    <t>ne_belong</t>
  </si>
  <si>
    <t>小区网元归属方</t>
  </si>
  <si>
    <t>直接赋值：'电信'</t>
  </si>
  <si>
    <t>对应字段：ne_belong</t>
  </si>
  <si>
    <t>对应字段：dnn_apn</t>
  </si>
  <si>
    <t>对应字段：upfip</t>
  </si>
  <si>
    <t>对应字段：gnbip</t>
  </si>
  <si>
    <t>对应字段：home_province</t>
  </si>
  <si>
    <t>对应字段：nssai_sst</t>
  </si>
  <si>
    <t>对应字段：nssai_sd</t>
  </si>
  <si>
    <t>对应字段：sourceip</t>
  </si>
  <si>
    <t>sum(dnssuctime_sum)</t>
  </si>
  <si>
    <t>对应字段：dnssuctime_sum</t>
  </si>
  <si>
    <t>sum(dnssuc_over2s_cnt)</t>
  </si>
  <si>
    <t>对应字段：dnssuc_over2s_cnt</t>
  </si>
  <si>
    <t>sum(replycode1_cnt)</t>
  </si>
  <si>
    <t>对应字段：replycode1_cnt</t>
  </si>
  <si>
    <t>sum(replycode2_cnt)</t>
  </si>
  <si>
    <t>对应字段：replycode2_cnt</t>
  </si>
  <si>
    <t>sum(replycode3_cnt)</t>
  </si>
  <si>
    <t>对应字段：replycode3_cnt</t>
  </si>
  <si>
    <t>sum(replycode4_cnt)</t>
  </si>
  <si>
    <t>对应字段：replycode4_cnt</t>
  </si>
  <si>
    <t>sum(replycode5_cnt)</t>
  </si>
  <si>
    <t>对应字段：replycode5_cnt</t>
  </si>
  <si>
    <t>sum(replycode_null_cnt)</t>
  </si>
  <si>
    <t>对应字段：replycode_null_cnt</t>
  </si>
  <si>
    <t>sum(xdr_suc_cnt)</t>
  </si>
  <si>
    <t>对应字段：xdr_suc_cnt</t>
  </si>
  <si>
    <t>只上线用户级感知省份，对应现网aggr_nr_usrarea_dns_cel_d表，字段名称及表结构未修改，与现网一致</t>
  </si>
  <si>
    <t>5G_MR用户聚区小区天表</t>
  </si>
  <si>
    <t>A left join B，关联条件：b.cellkey=a.cellkey and b.supi=a.imsi  and b.hour=a.hour and b.quarter=a.quarter</t>
  </si>
  <si>
    <t>B</t>
  </si>
  <si>
    <t>imsi</t>
  </si>
  <si>
    <t>imsi标识</t>
  </si>
  <si>
    <t>area_id</t>
  </si>
  <si>
    <t>区域ID</t>
  </si>
  <si>
    <t>area_regionid</t>
  </si>
  <si>
    <t>区域栅格ID</t>
  </si>
  <si>
    <t>area_x_offset_20</t>
  </si>
  <si>
    <t>区域栅格X偏移_20</t>
  </si>
  <si>
    <t>area_y_offset_20</t>
  </si>
  <si>
    <t>区域栅格Y偏移_20</t>
  </si>
  <si>
    <t>area_lon</t>
  </si>
  <si>
    <t>区域经度</t>
  </si>
  <si>
    <t>area_lat</t>
  </si>
  <si>
    <t>区域纬度</t>
  </si>
  <si>
    <t>业务小类编码</t>
  </si>
  <si>
    <t>DNS查询请求次数</t>
  </si>
  <si>
    <t>DNS查询成功次数</t>
  </si>
  <si>
    <t>dnsquerytime_avg</t>
  </si>
  <si>
    <t>DNS查询时延</t>
  </si>
  <si>
    <t>dnsquerytime_seg_1</t>
  </si>
  <si>
    <t>dnsquerytime_seg_2</t>
  </si>
  <si>
    <t>dnsquerytime_seg_3</t>
  </si>
  <si>
    <t>dnsquerytime_seg_4</t>
  </si>
  <si>
    <t>dnsquerytime_seg_5</t>
  </si>
  <si>
    <t>celname</t>
  </si>
  <si>
    <t>城市编码</t>
  </si>
  <si>
    <t>区县编码</t>
  </si>
  <si>
    <t>城市名称</t>
  </si>
  <si>
    <t>ncgi</t>
  </si>
  <si>
    <t>置空</t>
  </si>
  <si>
    <t>对应字段：ncgi</t>
  </si>
  <si>
    <t>gnbid</t>
  </si>
  <si>
    <t>基站ID</t>
  </si>
  <si>
    <t>split(cellkey,"-")[0]</t>
  </si>
  <si>
    <t>对应字段：gnbid</t>
  </si>
  <si>
    <t>cellid</t>
  </si>
  <si>
    <t>小区ID</t>
  </si>
  <si>
    <t>split(cellkey,"-")[1]</t>
  </si>
  <si>
    <t>对应字段：cellid</t>
  </si>
  <si>
    <t>dns_succ_rate</t>
  </si>
  <si>
    <t>ods_5gdpi_other_e2e_telecom_q</t>
  </si>
  <si>
    <t>5G_DPI_other贴源层详单表</t>
  </si>
  <si>
    <t>4601131689682943</t>
  </si>
  <si>
    <t>is_core_delimit</t>
  </si>
  <si>
    <t>是否核心网问题</t>
  </si>
  <si>
    <t>case when tcpsetupresponsedelay&gt;110  or ultcp_retranspacket/outputpacket&gt;0.15 then 1 else 0 end</t>
  </si>
  <si>
    <t>is_wireless_delimit</t>
  </si>
  <si>
    <t>是否无线网络问题</t>
  </si>
  <si>
    <t>case when tcpsetupackdelay&gt;110  or dltcp_retranspacket/inputpacket&gt;0.15 then 1 else 0 end</t>
  </si>
  <si>
    <t>duration</t>
  </si>
  <si>
    <t>持续时间，单位毫秒，根据业务流开始和结束统计得出的时间</t>
  </si>
  <si>
    <t xml:space="preserve">sum(duration) </t>
  </si>
  <si>
    <t>ms</t>
  </si>
  <si>
    <t xml:space="preserve">sum(case when tcpsetupresponsedelay&gt;= 110 or tcpsetupackdelay&gt;=110  or  ultcp_retranspacket/outputpacket&gt;=0.15 or dltcp_retranspacket/inputpacket&gt;=0.15  then 1 else 0 end) </t>
  </si>
  <si>
    <t>record_cnt</t>
  </si>
  <si>
    <t>记录数</t>
  </si>
  <si>
    <t xml:space="preserve">count(1) </t>
  </si>
  <si>
    <t>speedlimit_cnt</t>
  </si>
  <si>
    <t>限速记录数</t>
  </si>
  <si>
    <t>sum(case when (ul_session_ambr&gt;0 and ul_session_ambr&lt;5000) or (dl_session_ambr&gt;0 and dl_session_ambr&lt;5000) then 1 else 0 end)</t>
  </si>
  <si>
    <t>tcpsetupresponsedelay_cnt</t>
  </si>
  <si>
    <t>TCP建链响应次数</t>
  </si>
  <si>
    <t xml:space="preserve">sum(case when tcpsetupresponsedelay&gt;0 and tcpsetupresponsedelay&lt;50000  then 1 else 0  end) </t>
  </si>
  <si>
    <t>tcpsetupresponsedelay_sum</t>
  </si>
  <si>
    <t>TCP建链响应时延_sum</t>
  </si>
  <si>
    <t xml:space="preserve">sum(case when tcpsetupresponsedelay&gt;0 and tcpsetupresponsedelay&lt;50000  then tcpsetupresponsedelay else 0  end) </t>
  </si>
  <si>
    <t>&gt;0</t>
  </si>
  <si>
    <t>tcpsetupresponsedelay_avg</t>
  </si>
  <si>
    <t>TCP建链响应时延_avg</t>
  </si>
  <si>
    <t>tcpsetupresponsedelay_cnt_0_50</t>
  </si>
  <si>
    <t>TCP建链响应时延在(0,50]的次数</t>
  </si>
  <si>
    <t xml:space="preserve">count( case when tcpsetupresponsedelay&gt;0  and tcpsetupresponsedelay&lt;=50 then 1 else null end) </t>
  </si>
  <si>
    <t>tcpsetupresponsedelay_cnt_50_100</t>
  </si>
  <si>
    <t>TCP建链响应时延在(50,100]的次数</t>
  </si>
  <si>
    <t xml:space="preserve">count( case when tcpsetupresponsedelay&gt;50  and tcpsetupresponsedelay&lt;=100 then 1 else null end) </t>
  </si>
  <si>
    <t>tcpsetupresponsedelay_cnt_100_150</t>
  </si>
  <si>
    <t>TCP建链响应时延在(100,150]的次数</t>
  </si>
  <si>
    <t xml:space="preserve">count( case when tcpsetupresponsedelay&gt;100  and tcpsetupresponsedelay&lt;=150 then 1 else null end) </t>
  </si>
  <si>
    <t>tcpsetupresponsedelay_cnt_150_200</t>
  </si>
  <si>
    <t>TCP建链响应时延在(150,200]的次数</t>
  </si>
  <si>
    <t xml:space="preserve">count( case when tcpsetupresponsedelay&gt;150  and tcpsetupresponsedelay&lt;=200 then 1 else null end) </t>
  </si>
  <si>
    <t>tcpsetupresponsedelay_cnt_greater_200</t>
  </si>
  <si>
    <t>TCP建链响应时延在(200,200000]的次数</t>
  </si>
  <si>
    <t xml:space="preserve">count( case when tcpsetupresponsedelay&gt;200  and tcpsetupresponsedelay&lt;=200000 then 1 else null end) </t>
  </si>
  <si>
    <t>tcpsetupackdelay_cnt</t>
  </si>
  <si>
    <t>TCP建链确认次数</t>
  </si>
  <si>
    <t xml:space="preserve">sum(case when tcpsetupackdelay&gt;0 and tcpsetupackdelay&lt;50000 then 1 else 0  end) </t>
  </si>
  <si>
    <t>tcpsetupackdelay_sum</t>
  </si>
  <si>
    <t>TCP建链确认时延_sum</t>
  </si>
  <si>
    <t xml:space="preserve">sum(case when tcpsetupackdelay&gt;0 and tcpsetupackdelay&lt;50000 then tcpsetupackdelay else 0  end) </t>
  </si>
  <si>
    <t>tcpsetupackdelay_avg</t>
  </si>
  <si>
    <t>TCP建链确认时延_avg</t>
  </si>
  <si>
    <t xml:space="preserve">avg(case when tcpsetupackdelay&gt;0 and tcpsetupackdelay&lt;50000 then tcpsetupackdelay else null  end) </t>
  </si>
  <si>
    <t>tcpsetupackdelay_cnt_0_50</t>
  </si>
  <si>
    <t>TCP建链确认时延在(0,50]的次数</t>
  </si>
  <si>
    <t xml:space="preserve">count( case when tcpsetupackdelay&gt;0   and tcpsetupackdelay&lt;=50 then 1 else null end) </t>
  </si>
  <si>
    <t>tcpsetupackdelay_cnt_50_100</t>
  </si>
  <si>
    <t>TCP建链确认时延在(50,100]的次数</t>
  </si>
  <si>
    <t xml:space="preserve">count( case when tcpsetupackdelay&gt;50  and tcpsetupackdelay&lt;=100 then 1 else null end) </t>
  </si>
  <si>
    <t>tcpsetupackdelay_cnt_100_150</t>
  </si>
  <si>
    <t>TCP建链确认时延在(100,150]的次数</t>
  </si>
  <si>
    <t xml:space="preserve">count( case when tcpsetupackdelay&gt;100 and tcpsetupackdelay&lt;=150 then 1 else null end) </t>
  </si>
  <si>
    <t>tcpsetupackdelay_cnt_150_200</t>
  </si>
  <si>
    <t>TCP建链确认时延在(150,200]的次数</t>
  </si>
  <si>
    <t xml:space="preserve">count( case when tcpsetupackdelay&gt;150 and tcpsetupackdelay&lt;=200 then 1 else null end) </t>
  </si>
  <si>
    <t>tcpsetupackdelay_cnt_greater_200</t>
  </si>
  <si>
    <t>TCP建链确认时延在(200,200000]的次数</t>
  </si>
  <si>
    <t xml:space="preserve">count( case when tcpsetupackdelay&gt;200 and tcpsetupackdelay&lt;=200000 then 1 else null end) </t>
  </si>
  <si>
    <t>tcpsetupdelay_sum</t>
  </si>
  <si>
    <t>TCP建立时延(ms)_sum</t>
  </si>
  <si>
    <t>tcpsetupdelay_cnt</t>
  </si>
  <si>
    <t>TCP建立时延次数</t>
  </si>
  <si>
    <t xml:space="preserve">sum(case when tcpsetupresponsedelay&gt;0 and tcpsetupresponsedelay&lt;50000 and tcpsetupackdelay&gt;0 and tcpsetupackdelay&lt;50000 then 1 else 0 end) </t>
  </si>
  <si>
    <t>tcpsetupdelay_avg</t>
  </si>
  <si>
    <t>TCP建立时延(ms)_avg</t>
  </si>
  <si>
    <t xml:space="preserve">avg(case when tcpsetupresponsedelay&gt;0 and tcpsetupresponsedelay&lt;50000 and tcpsetupackdelay&gt;0 and tcpsetupackdelay&lt;50000 then tcpsetupresponsedelay+tcpsetupackdelay else null end) </t>
  </si>
  <si>
    <t>outputoctets</t>
  </si>
  <si>
    <t>上行流量(byte)</t>
  </si>
  <si>
    <t xml:space="preserve">sum(outputoctets) </t>
  </si>
  <si>
    <t>byte</t>
  </si>
  <si>
    <t>inputoctets</t>
  </si>
  <si>
    <t>下行流量(byte)</t>
  </si>
  <si>
    <t xml:space="preserve">sum(inputoctets) </t>
  </si>
  <si>
    <t>inputpacket</t>
  </si>
  <si>
    <t>发给用户的业务数据包数量</t>
  </si>
  <si>
    <t xml:space="preserve">sum(inputpacket) </t>
  </si>
  <si>
    <t>outputpacket</t>
  </si>
  <si>
    <t>用户发出的业务数据包数量</t>
  </si>
  <si>
    <t xml:space="preserve">sum(outputpacket) </t>
  </si>
  <si>
    <t>ultcpreorderingpacket</t>
  </si>
  <si>
    <t>上行TCP乱序报文数，L4协议，非TCP传输时，此字段填0</t>
  </si>
  <si>
    <t xml:space="preserve">sum(ultcpreorderingpacket) </t>
  </si>
  <si>
    <t>dltcpreorderingpacket</t>
  </si>
  <si>
    <t>下行TCP乱序报文数，非TCP传输时，此字段填0</t>
  </si>
  <si>
    <t xml:space="preserve">sum(dltcpreorderingpacket) </t>
  </si>
  <si>
    <t>ultcpretranspacket</t>
  </si>
  <si>
    <t>上行TCP重传报文数，非TCP传输时，此字段填0</t>
  </si>
  <si>
    <t xml:space="preserve">sum(ultcp_retranspacket) </t>
  </si>
  <si>
    <t>dltcpretranspacket</t>
  </si>
  <si>
    <t>下行TCP重传报文数，非TCP传输时，此字段填0</t>
  </si>
  <si>
    <t xml:space="preserve">sum(dltcp_retranspacket) </t>
  </si>
  <si>
    <t>ulipfragpacks</t>
  </si>
  <si>
    <t>UL_IP_FRAG_PACKETS</t>
  </si>
  <si>
    <t xml:space="preserve">sum(ulipfragpacks) </t>
  </si>
  <si>
    <t>dlipfragpacks</t>
  </si>
  <si>
    <t>DL_IP_FRAG_PACKETS</t>
  </si>
  <si>
    <t xml:space="preserve">sum(dlipfragpacks) </t>
  </si>
  <si>
    <t>ul_data_transduration</t>
  </si>
  <si>
    <t>TCP上行数传时长，单位为毫秒</t>
  </si>
  <si>
    <t xml:space="preserve">sum(ul_data_transduration) </t>
  </si>
  <si>
    <t>dl_data_transduration</t>
  </si>
  <si>
    <t>TCP下行数传时长，单位为毫秒</t>
  </si>
  <si>
    <t xml:space="preserve">sum(dl_datatransduration) </t>
  </si>
  <si>
    <t>delay_setup_firsttransaction_cnt</t>
  </si>
  <si>
    <t>TCP建链成功到第一条事务请求的次数</t>
  </si>
  <si>
    <t xml:space="preserve">sum(case when delay_setup_firsttransaction&gt;0 then 1 else 0 end) </t>
  </si>
  <si>
    <t>delay_setup_firsttransaction_sum</t>
  </si>
  <si>
    <t>TCP建链成功到第一条事务请求的时延_sum（ms）</t>
  </si>
  <si>
    <t xml:space="preserve">sum(delay_setup_firsttransaction) </t>
  </si>
  <si>
    <t>delay_setup_firsttransaction_avg</t>
  </si>
  <si>
    <t>TCP建链成功到第一条事务请求的时延_avg（ms）</t>
  </si>
  <si>
    <t xml:space="preserve">avg(delay_setup_firsttransaction) </t>
  </si>
  <si>
    <t>delay_firsttransaction_firstrespackt_cnt</t>
  </si>
  <si>
    <t>第一条事务请求到其第一个响应包次数</t>
  </si>
  <si>
    <t xml:space="preserve">sum(case when delay_firsttransaction_firstrespackt&gt;0 then 1 else 0 end) </t>
  </si>
  <si>
    <t>delay_firsttransaction_firstrespackt_sum</t>
  </si>
  <si>
    <t>第一条事务请求到其第一个响应包时延_sum（ms）</t>
  </si>
  <si>
    <t xml:space="preserve">sum(case when delay_firsttransaction_firstrespackt&gt;0 then delay_firsttransaction_firstrespackt else 0 end) </t>
  </si>
  <si>
    <t>delay_firsttransaction_firstrespackt_avg</t>
  </si>
  <si>
    <t>第一条事务请求到其第一个响应包时延_avg（ms）</t>
  </si>
  <si>
    <t xml:space="preserve">avg(delay_firsttransaction_firstrespackt) </t>
  </si>
  <si>
    <t>tcpsynnumber_cnt</t>
  </si>
  <si>
    <t>TCP建链尝试次数_sum</t>
  </si>
  <si>
    <t xml:space="preserve">sum(tcpsynnumber) </t>
  </si>
  <si>
    <t>tcpsynsuc_cnt</t>
  </si>
  <si>
    <t>TCP建链成功次数_sum</t>
  </si>
  <si>
    <t xml:space="preserve">sum(case when tcpconnectstate=0 then  tcpsynnumber else 0 end) </t>
  </si>
  <si>
    <t>tcpconnfail_cnt</t>
  </si>
  <si>
    <t>TCP连接失败次数</t>
  </si>
  <si>
    <t xml:space="preserve">sum(case when tcpconnectstate=1 then  1 else 0 end) </t>
  </si>
  <si>
    <t>tcpconnreq_cnt</t>
  </si>
  <si>
    <t>上行TCP建立请求次数</t>
  </si>
  <si>
    <t xml:space="preserve">sum(case when tcpsynnumber&gt;0 then 1  else 0 end) </t>
  </si>
  <si>
    <t>tcpconnulsuc_cnt</t>
  </si>
  <si>
    <t>上行TCP建立成功次数</t>
  </si>
  <si>
    <t xml:space="preserve">sum(case when tcpsetupresponsedelay&gt;0 then  1 else 0 end) </t>
  </si>
  <si>
    <t>tcpconndlsuc_cnt</t>
  </si>
  <si>
    <t>下行TCP建立成功次数</t>
  </si>
  <si>
    <t xml:space="preserve">sum(case when tcpsetupresponsedelay&gt;0 and tcpsetupackdelay&gt;0 then  1 else 0 end) </t>
  </si>
  <si>
    <t>ul_data_transduration_cnt</t>
  </si>
  <si>
    <t>TCP上行数传时长条数</t>
  </si>
  <si>
    <t xml:space="preserve">sum(case when ul_data_transduration&gt;0 then 1 else 0 end) </t>
  </si>
  <si>
    <t>dl_data_transduration_cnt</t>
  </si>
  <si>
    <t>TCP下行数传时长条数</t>
  </si>
  <si>
    <t xml:space="preserve">sum(case when dl_datatransduration&gt;0 then 1 else 0 end) </t>
  </si>
  <si>
    <t>outputoctets_above500</t>
  </si>
  <si>
    <t>大包业务上行流量(&gt;=500KB)</t>
  </si>
  <si>
    <t xml:space="preserve">sum(case when outputoctets&gt;=500*1024 and ul_data_transduration&gt;0 then outputoctets else 0 end) </t>
  </si>
  <si>
    <t>outputoctets_above500_duration</t>
  </si>
  <si>
    <t>大包上行时间持续总时长(&gt;=500KB)</t>
  </si>
  <si>
    <t xml:space="preserve">sum(case when ul_data_transduration&gt;0 and  outputoctets&gt;=500*1024 then ul_data_transduration else 0 end) </t>
  </si>
  <si>
    <t>inputoctets_above500</t>
  </si>
  <si>
    <t>大包业务下行流量(&gt;=500KB)</t>
  </si>
  <si>
    <t xml:space="preserve">sum(case when inputoctets&gt;=500*1024 and dl_datatransduration&gt;0 then inputoctets else 0 end) </t>
  </si>
  <si>
    <t>inputoctets_above500_duration</t>
  </si>
  <si>
    <t>大包下行时间持续总时长(&gt;=500KB)</t>
  </si>
  <si>
    <t xml:space="preserve">sum(case when dl_datatransduration&gt;0 and  inputoctets&gt;=500*1024 then dl_datatransduration else 0 end) </t>
  </si>
  <si>
    <t>outputoctets_above500_cnt</t>
  </si>
  <si>
    <t>上行大包条数(&gt;=500KB)</t>
  </si>
  <si>
    <t xml:space="preserve">sum(case when outputoctets&gt;=500*1024 then 1  else 0 end) </t>
  </si>
  <si>
    <t>ul_above500_throughput_low_cnt</t>
  </si>
  <si>
    <t>上行大包低速率条数(&lt;1M)</t>
  </si>
  <si>
    <t xml:space="preserve">sum(case when outputoctets&gt;=500*1024 and outputoctets/ul_data_transduration*8*1000/1024/1024&lt;1  then 1 else 0 end) </t>
  </si>
  <si>
    <t>ul_above500_highdelay_cnt</t>
  </si>
  <si>
    <t>上行大包高时延条数（&gt;100ms）</t>
  </si>
  <si>
    <t xml:space="preserve">sum(case when outputoctets&gt;=500*1024 and  tcpsetupresponsedelay&gt;100  then 1  else 0 end) </t>
  </si>
  <si>
    <t>inputoctets_above500_cnt</t>
  </si>
  <si>
    <t>下行大包条数(&gt;=500KB)</t>
  </si>
  <si>
    <t xml:space="preserve">sum(case when inputoctets&gt;=500*1024 then 1  else 0 end) </t>
  </si>
  <si>
    <t>dl_above500_throughput_low_cnt</t>
  </si>
  <si>
    <t>下行大包低速率条数(&lt;1M)</t>
  </si>
  <si>
    <t xml:space="preserve">sum(case when inputoctets&gt;=500*1024 and inputoctets/dl_datatransduration*8*1000/1024/1024&lt;1  then 1 else 0 end) </t>
  </si>
  <si>
    <t>dl_above500_highdelay_cnt</t>
  </si>
  <si>
    <t>下行大包高时延条数（&gt;100ms）</t>
  </si>
  <si>
    <t xml:space="preserve">sum(case when inputoctets&gt;=500*1024 and  tcpsetupackdelay&gt;100  then 1  else 0 end) </t>
  </si>
  <si>
    <t>dl_above500_throughput_inferior_cnt</t>
  </si>
  <si>
    <t>下行大包低速率条数(&lt;3M)</t>
  </si>
  <si>
    <t xml:space="preserve">sum(case when inputoctets&gt;=500*1024 and inputoctets/dl_datatransduration*8*1000/1024/1024&lt;3  then 1 else 0 end) </t>
  </si>
  <si>
    <t xml:space="preserve">sum(case when tcpconnectstate=0 or sessionstopflag=1 then 1 else 0 end) </t>
  </si>
  <si>
    <t>min_starttime</t>
  </si>
  <si>
    <t>最小开始时间</t>
  </si>
  <si>
    <t xml:space="preserve">min(starttime) </t>
  </si>
  <si>
    <t>20250320095337</t>
  </si>
  <si>
    <t>max_endtime</t>
  </si>
  <si>
    <t>最大结束时间</t>
  </si>
  <si>
    <t xml:space="preserve">max(endtime)   </t>
  </si>
  <si>
    <t>20250320100026</t>
  </si>
  <si>
    <t xml:space="preserve">sum(abnormal_cnt) </t>
  </si>
  <si>
    <t>sum(record_cnt)</t>
  </si>
  <si>
    <t>sum(speedlimit_cnt)</t>
  </si>
  <si>
    <t xml:space="preserve">sum(tcpsetupresponsedelay_cnt) </t>
  </si>
  <si>
    <t xml:space="preserve">sum(tcpsetupresponsedelay_sum) </t>
  </si>
  <si>
    <t xml:space="preserve">sum(tcpsetupresponsedelay_sum) /sum(tcpsetupresponsedelay_cnt) </t>
  </si>
  <si>
    <t>TCP建链响应时延_seg_1</t>
  </si>
  <si>
    <t>sum(tcpsetupresponsedelay_cnt_0_50)</t>
  </si>
  <si>
    <t>TCP建链响应时延_seg_2</t>
  </si>
  <si>
    <t>sum(tcpsetupresponsedelay_cnt_50_100)</t>
  </si>
  <si>
    <t>TCP建链响应时延_seg_3</t>
  </si>
  <si>
    <t>sum(tcpsetupresponsedelay_cnt_100_150)</t>
  </si>
  <si>
    <t>TCP建链响应时延_seg_4</t>
  </si>
  <si>
    <t>sum(tcpsetupresponsedelay_cnt_150_200)</t>
  </si>
  <si>
    <t>TCP建链响应时延_seg_5</t>
  </si>
  <si>
    <t>sum(tcpsetupresponsedelay_cnt_greater_200)</t>
  </si>
  <si>
    <t>sum(tcpsetupackdelay_cnt)</t>
  </si>
  <si>
    <t>sum(tcpsetupackdelay_sum)</t>
  </si>
  <si>
    <t>sum(tcpsetupackdelay_sum) / sum(tcpsetupackdelay_cnt)</t>
  </si>
  <si>
    <t>TCP建链确认时延_seg_1</t>
  </si>
  <si>
    <t>sum(tcpsetupackdelay_cnt_0_50)</t>
  </si>
  <si>
    <t>TCP建链确认时延_seg_2</t>
  </si>
  <si>
    <t>sum(tcpsetupackdelay_cnt_50_100)</t>
  </si>
  <si>
    <t>TCP建链确认时延_seg_3</t>
  </si>
  <si>
    <t>sum(tcpsetupackdelay_cnt_100_150)</t>
  </si>
  <si>
    <t>TCP建链确认时延_seg_4</t>
  </si>
  <si>
    <t>sum(tcpsetupackdelay_cnt_150_200)</t>
  </si>
  <si>
    <t>TCP建链确认时延_seg_5</t>
  </si>
  <si>
    <t>sum(tcpsetupackdelay_cnt_greater_200)</t>
  </si>
  <si>
    <t xml:space="preserve">sum(tcpsetupdelay_sum) </t>
  </si>
  <si>
    <t xml:space="preserve">sum(tcpsetupdelay_cnt) </t>
  </si>
  <si>
    <t xml:space="preserve">sum(tcpsetupdelay_sum) /sum(tcpsetupdelay_cnt) </t>
  </si>
  <si>
    <t>sum(outputoctets)</t>
  </si>
  <si>
    <t>sum(inputoctets)</t>
  </si>
  <si>
    <t>sum(inputpacket)</t>
  </si>
  <si>
    <t>sum(outputpacket)</t>
  </si>
  <si>
    <t>sum(ultcpreorderingpacket)</t>
  </si>
  <si>
    <t>sum(dltcpreorderingpacket)</t>
  </si>
  <si>
    <t>sum(ultcpretranspacket)</t>
  </si>
  <si>
    <t>sum(dltcpretranspacket)</t>
  </si>
  <si>
    <t>sum(ulipfragpacks)</t>
  </si>
  <si>
    <t>sum(dlipfragpacks)</t>
  </si>
  <si>
    <t>sum(ul_data_transduration)</t>
  </si>
  <si>
    <t>sum(dl_data_transduration)</t>
  </si>
  <si>
    <t>sum(delay_setup_firsttransaction_cnt)</t>
  </si>
  <si>
    <t>sum(delay_setup_firsttransaction_sum)</t>
  </si>
  <si>
    <t>sum(delay_setup_firsttransaction_sum)/sum(delay_setup_firsttransaction_cnt)</t>
  </si>
  <si>
    <t>sum(delay_firsttransaction_firstrespackt_cnt)</t>
  </si>
  <si>
    <t>sum(delay_firsttransaction_firstrespackt_sum)</t>
  </si>
  <si>
    <t>sum(delay_firsttransaction_firstrespackt_sum)/sum(delay_firsttransaction_firstrespackt_cnt)</t>
  </si>
  <si>
    <t>sum(tcpsynnumber_cnt)</t>
  </si>
  <si>
    <t>sum(tcpsynsuc_cnt)</t>
  </si>
  <si>
    <t>sum(tcpconnfail_cnt)</t>
  </si>
  <si>
    <t>sum(tcpconnreq_cnt)</t>
  </si>
  <si>
    <t>sum(tcpconnulsuc_cnt)</t>
  </si>
  <si>
    <t>sum(tcpconndlsuc_cnt)</t>
  </si>
  <si>
    <t>sum(ul_data_transduration_cnt)</t>
  </si>
  <si>
    <t>sum(dl_data_transduration_cnt)</t>
  </si>
  <si>
    <t>sum(outputoctets_above500)</t>
  </si>
  <si>
    <t>sum(outputoctets_above500_duration)</t>
  </si>
  <si>
    <t>sum(inputoctets_above500)</t>
  </si>
  <si>
    <t>sum(inputoctets_above500_duration)</t>
  </si>
  <si>
    <t>sum(outputoctets_above500_cnt)</t>
  </si>
  <si>
    <t>sum(ul_above500_throughput_low_cnt)</t>
  </si>
  <si>
    <t>sum(ul_above500_highdelay_cnt)</t>
  </si>
  <si>
    <t>sum(inputoctets_above500_cnt)</t>
  </si>
  <si>
    <t>sum(dl_above500_throughput_low_cnt)</t>
  </si>
  <si>
    <t>sum(dl_above500_highdelay_cnt)</t>
  </si>
  <si>
    <t>sum(dl_above500_throughput_inferior_cnt)</t>
  </si>
  <si>
    <t xml:space="preserve">min(min_starttime) </t>
  </si>
  <si>
    <t xml:space="preserve">max(max_endtime)   </t>
  </si>
  <si>
    <t>拜访地省份编码</t>
  </si>
  <si>
    <t>接口类型：1、S1-U，4、S11，6、S5/S8，100、N3</t>
  </si>
  <si>
    <t>无线接入类型</t>
  </si>
  <si>
    <t>网络切片选择辅助信息（切片/服务类型）。若有多个切片，以“,”分隔。</t>
  </si>
  <si>
    <t>网络切片选择辅助信息（切片差分器）。若有多个切片，以“,”分隔。</t>
  </si>
  <si>
    <t>nodebid</t>
  </si>
  <si>
    <t>4G eNodeBID/5G gNBID</t>
  </si>
  <si>
    <t>split(cellkey,"_")[0]</t>
  </si>
  <si>
    <t>split(cellkey,"_")[1]</t>
  </si>
  <si>
    <t>imsi_supi</t>
  </si>
  <si>
    <t>永久用户标识，永久用户标识。4G 填写用户IMSI。</t>
  </si>
  <si>
    <t>MS International PSTN/ISDN Number (ISDN)</t>
  </si>
  <si>
    <t>永久设备标识</t>
  </si>
  <si>
    <t>tacid</t>
  </si>
  <si>
    <t>终端类型标识</t>
  </si>
  <si>
    <t>substr(pei,1,8)</t>
  </si>
  <si>
    <t>网络接入标识</t>
  </si>
  <si>
    <t>用户IP类型</t>
  </si>
  <si>
    <t>L4 protocol</t>
  </si>
  <si>
    <t>duration_sum</t>
  </si>
  <si>
    <t>sum(duration)</t>
  </si>
  <si>
    <t>process_cnt</t>
  </si>
  <si>
    <t>业务发生次数</t>
  </si>
  <si>
    <t>次</t>
  </si>
  <si>
    <t>tcpsetupresponsedelay_seg_1</t>
  </si>
  <si>
    <t>tcpsetupresponsedelay_seg_2</t>
  </si>
  <si>
    <t>tcpsetupresponsedelay_seg_3</t>
  </si>
  <si>
    <t>tcpsetupresponsedelay_seg_4</t>
  </si>
  <si>
    <t>tcpsetupresponsedelay_seg_5</t>
  </si>
  <si>
    <t>tcpsetupackdelay_seg_1</t>
  </si>
  <si>
    <t>tcpsetupackdelay_seg_2</t>
  </si>
  <si>
    <t>tcpsetupackdelay_seg_3</t>
  </si>
  <si>
    <t>tcpsetupackdelay_seg_4</t>
  </si>
  <si>
    <t>tcpsetupackdelay_seg_5</t>
  </si>
  <si>
    <t>outputoctets_sum</t>
  </si>
  <si>
    <t>inputoctets_sum</t>
  </si>
  <si>
    <t>inputpacket_sum</t>
  </si>
  <si>
    <t>outputpacket_sum</t>
  </si>
  <si>
    <t>ultcpreorderingpacket_sum</t>
  </si>
  <si>
    <t>dltcpreorderingpacket_sum</t>
  </si>
  <si>
    <t>ultcpretranspacket_sum</t>
  </si>
  <si>
    <t>dltcpretranspacket_sum</t>
  </si>
  <si>
    <t>ulipfragpacks_sum</t>
  </si>
  <si>
    <t>dlipfragpacks_sum</t>
  </si>
  <si>
    <t>ul_data_transduration_sum</t>
  </si>
  <si>
    <t>dl_data_transduration_sum</t>
  </si>
  <si>
    <t>tcpsynnumber_sum</t>
  </si>
  <si>
    <t>tcpsynsuc_sum</t>
  </si>
  <si>
    <t>tcpconnfail_sum</t>
  </si>
  <si>
    <t>tcpconnreq_sum</t>
  </si>
  <si>
    <t>tcpconnulsuc_sum</t>
  </si>
  <si>
    <t>tcpconndlsuc_sum</t>
  </si>
  <si>
    <t>outputoctets_above500_sum</t>
  </si>
  <si>
    <t>outputoctets_above500_duration_sum</t>
  </si>
  <si>
    <t>inputoctets_above500_sum</t>
  </si>
  <si>
    <t>inputoctets_above500_duration_sum</t>
  </si>
  <si>
    <t>xdr_suc_cnt_sum</t>
  </si>
  <si>
    <t>cfg_dpi_servicetype</t>
  </si>
  <si>
    <t>DPI业务码表</t>
  </si>
  <si>
    <t>A left join B，关联条件：A.servicetype = B.servicetype</t>
  </si>
  <si>
    <t>cfg_iov_usr_list</t>
  </si>
  <si>
    <t>车联网用户清单配置表</t>
  </si>
  <si>
    <t>C</t>
  </si>
  <si>
    <t>A inner join C，关联条件：A.msisdn = C.msisdn</t>
  </si>
  <si>
    <t>小区唯一标识："小区基站号"_"小区编号"</t>
  </si>
  <si>
    <t>国际移动用户识别码</t>
  </si>
  <si>
    <t>imei</t>
  </si>
  <si>
    <t>终端识别码</t>
  </si>
  <si>
    <t>业务应用分类ID</t>
  </si>
  <si>
    <t>app_type</t>
  </si>
  <si>
    <t>业务应用大类</t>
  </si>
  <si>
    <t>substr(servicetype,1,2)</t>
  </si>
  <si>
    <t>app_name</t>
  </si>
  <si>
    <t>业务名称</t>
  </si>
  <si>
    <t>servicetype_name</t>
  </si>
  <si>
    <t>min(min_starttime)</t>
  </si>
  <si>
    <t>max(max_endtime)</t>
  </si>
  <si>
    <t>total_cnt</t>
  </si>
  <si>
    <t>总话单数</t>
  </si>
  <si>
    <t>总质差话单数</t>
  </si>
  <si>
    <t>abnormal_rate</t>
  </si>
  <si>
    <t>总质差话单占比</t>
  </si>
  <si>
    <t>sum(abnormal_cnt)/sum(record_cnt)</t>
  </si>
  <si>
    <t>业务时长(ms)</t>
  </si>
  <si>
    <t>flux</t>
  </si>
  <si>
    <t>业务流量(byte)</t>
  </si>
  <si>
    <t>sum(nvl(outputoctets,0)+nvl(inputoctets,0))</t>
  </si>
  <si>
    <t>N1N2定界定位编码表</t>
  </si>
  <si>
    <t>维表</t>
  </si>
  <si>
    <t>cause_type+control_plane_code+process_class</t>
  </si>
  <si>
    <t>cause_type</t>
  </si>
  <si>
    <t>配置表</t>
  </si>
  <si>
    <t>control_plane_code</t>
  </si>
  <si>
    <t>控制面原因码</t>
  </si>
  <si>
    <t>repeat_flag</t>
  </si>
  <si>
    <t>是否重复</t>
  </si>
  <si>
    <t>process_class</t>
  </si>
  <si>
    <t>流程分类</t>
  </si>
  <si>
    <t>reason_class</t>
  </si>
  <si>
    <t>原因分类</t>
  </si>
  <si>
    <t>problem_demarcation</t>
  </si>
  <si>
    <t>问题定界</t>
  </si>
  <si>
    <t>sub_problem_demarcation</t>
  </si>
  <si>
    <t>问题定界2</t>
  </si>
  <si>
    <t>content</t>
  </si>
  <si>
    <t>原因描述</t>
  </si>
  <si>
    <t>fail_reason</t>
  </si>
  <si>
    <t>原因说明</t>
  </si>
  <si>
    <t>drop_flag</t>
  </si>
  <si>
    <t>是否掉线</t>
  </si>
  <si>
    <t>1：掉线，0：未掉线</t>
  </si>
  <si>
    <t>normal_flag</t>
  </si>
  <si>
    <t>正常流程标志（1：正常，0：异常）</t>
  </si>
  <si>
    <t>维表数据</t>
  </si>
  <si>
    <t>主键字段</t>
  </si>
  <si>
    <t>是否正常</t>
  </si>
  <si>
    <t>5GMM</t>
  </si>
  <si>
    <t>未知</t>
  </si>
  <si>
    <t>Illegal UE</t>
  </si>
  <si>
    <t>终端</t>
  </si>
  <si>
    <t>PEI not accepted</t>
  </si>
  <si>
    <t>Illegal ME</t>
  </si>
  <si>
    <t>核心网</t>
  </si>
  <si>
    <t>5GS services not allowed</t>
  </si>
  <si>
    <t>UE identity cannot be derived by the network</t>
  </si>
  <si>
    <t>Implicitly de-registered</t>
  </si>
  <si>
    <t>PLMN not allowed</t>
  </si>
  <si>
    <t>Tracking area not allowed</t>
  </si>
  <si>
    <t>Roaming not allowed in this tracking area</t>
  </si>
  <si>
    <t>无线网络</t>
  </si>
  <si>
    <t>无线</t>
  </si>
  <si>
    <t>No suitable cells in tracking area</t>
  </si>
  <si>
    <t>MAC failure</t>
  </si>
  <si>
    <t>Synch failure</t>
  </si>
  <si>
    <t>Congestion</t>
  </si>
  <si>
    <t>UE security capabilities mismatch</t>
  </si>
  <si>
    <t>Security mode rejected, unspecified</t>
  </si>
  <si>
    <t>Non-5G authentication unacceptable</t>
  </si>
  <si>
    <t>N1 mode not allowed</t>
  </si>
  <si>
    <t>Restricted service area</t>
  </si>
  <si>
    <t>Redirection to EPC required</t>
  </si>
  <si>
    <t>IAB-node operation not authorized</t>
  </si>
  <si>
    <t>LADN not available</t>
  </si>
  <si>
    <t>No network slices available</t>
  </si>
  <si>
    <t>Maximum number of PDU sessions reached</t>
  </si>
  <si>
    <t>Insufficient resources for specific slice and DNN</t>
  </si>
  <si>
    <t>Insufficient resources for specific slice</t>
  </si>
  <si>
    <t>ngKSI already in use</t>
  </si>
  <si>
    <t>Non-3GPP access to 5GCN not allowed</t>
  </si>
  <si>
    <t>Serving network not authorized</t>
  </si>
  <si>
    <t>Temporarily not authorized for this SNPN</t>
  </si>
  <si>
    <t>Permanently not authorized for this SNPN</t>
  </si>
  <si>
    <t>Not authorized for this CAG or authorized for CAG cells only</t>
  </si>
  <si>
    <t>Wireline access area not allowed</t>
  </si>
  <si>
    <t>PLMN not allowed to operate at the present UE location</t>
  </si>
  <si>
    <t>UAS services not allowed</t>
  </si>
  <si>
    <t>Disaster roaming for the determined PLMN with disaster condition not allowed</t>
  </si>
  <si>
    <t>Selected N3IWF is not compatible with the allowed NSSAI</t>
  </si>
  <si>
    <t>Selected TNGF is not compatible with the allowed NSSAI</t>
  </si>
  <si>
    <t>Payload was not forwarded</t>
  </si>
  <si>
    <t>DNN not supported or not subscribed in the slice</t>
  </si>
  <si>
    <t>Insufficient user-plane resources for the PDU session</t>
  </si>
  <si>
    <t>Onboarding services terminated</t>
  </si>
  <si>
    <t>User plane positioning not authorized</t>
  </si>
  <si>
    <t>Semantically incorrect message</t>
  </si>
  <si>
    <t>Invalid mandatory information</t>
  </si>
  <si>
    <t>Message type non-existent or not implemented</t>
  </si>
  <si>
    <t>Message type not compatible with the protocol state</t>
  </si>
  <si>
    <t>Information element non-existent or not implemented</t>
  </si>
  <si>
    <t>Conditional IE error</t>
  </si>
  <si>
    <t>Message not compatible with the protocol state</t>
  </si>
  <si>
    <t>Protocol error, unspecified</t>
  </si>
  <si>
    <t>5GSM</t>
  </si>
  <si>
    <t>Operator determined barring</t>
  </si>
  <si>
    <t>Insufficient resources</t>
  </si>
  <si>
    <t>Missing or unknown DNN</t>
  </si>
  <si>
    <t>Unknown PDU session type</t>
  </si>
  <si>
    <t>User authentication or authorization failed</t>
  </si>
  <si>
    <t>Request rejected, unspecified</t>
  </si>
  <si>
    <t>Service option not supported</t>
  </si>
  <si>
    <t>Requested service option not subscribed</t>
  </si>
  <si>
    <t>PTI already in use</t>
  </si>
  <si>
    <t>Regular deactivation</t>
  </si>
  <si>
    <t>5GS QoS not accepted</t>
  </si>
  <si>
    <t>Network failure</t>
  </si>
  <si>
    <t>Reactivation requested</t>
  </si>
  <si>
    <t>Semantic error in the TFT operation</t>
  </si>
  <si>
    <t>Syntactical error in the TFT operation</t>
  </si>
  <si>
    <t>Invalid PDU session identity</t>
  </si>
  <si>
    <t>Semantic errors in packet filter(s)</t>
  </si>
  <si>
    <t>Syntactical error in packet filter(s)</t>
  </si>
  <si>
    <t>Out of LADN service area</t>
  </si>
  <si>
    <t>PTI mismatch</t>
  </si>
  <si>
    <t>PDU session type IPv4 only allowed</t>
  </si>
  <si>
    <t>PDU session type IPv6 only allowed</t>
  </si>
  <si>
    <t>PDU session does not exist</t>
  </si>
  <si>
    <t>PDU session type IPv4v6 only allowed</t>
  </si>
  <si>
    <t>PDU session type Unstructured only allowed</t>
  </si>
  <si>
    <t>Unsupported 5QI value</t>
  </si>
  <si>
    <t>PDU session type Ethernet only allowed</t>
  </si>
  <si>
    <t>Not supported SSC mode</t>
  </si>
  <si>
    <t>Missing or unknown DNN in a slice</t>
  </si>
  <si>
    <t>Invalid PTI value</t>
  </si>
  <si>
    <t>Maximum data rate per UE for user-plane integrity protection is too low</t>
  </si>
  <si>
    <t>Semantic error in the QoS operation</t>
  </si>
  <si>
    <t>Syntactical error in the QoS operation</t>
  </si>
  <si>
    <t>Invalid mapped EPS bearer identity</t>
  </si>
  <si>
    <t>NGAP</t>
  </si>
  <si>
    <t>NGAP Radio Network Layer Cause Value</t>
  </si>
  <si>
    <t>unspecified</t>
  </si>
  <si>
    <t>Sent for radio network layer cause when none of the specified cause values applies.</t>
  </si>
  <si>
    <t>txnrelocoverall-expiry</t>
  </si>
  <si>
    <t>The timer guarding the handover that takes place over Xn has abnormally expired.</t>
  </si>
  <si>
    <t>正常</t>
  </si>
  <si>
    <t>successful-handover</t>
  </si>
  <si>
    <t>Successful handover.</t>
  </si>
  <si>
    <t>release-due-to-ngran-generated-reason</t>
  </si>
  <si>
    <t>Release is initiated due to NG-RAN generated reason.</t>
  </si>
  <si>
    <t>release-due-to-5gc-generated-reason</t>
  </si>
  <si>
    <t>Release is initiated due to 5GC generated reason.</t>
  </si>
  <si>
    <t>handover-cancelled</t>
  </si>
  <si>
    <t>The reason for the action is cancellation of Handover.</t>
  </si>
  <si>
    <t>partial-handover</t>
  </si>
  <si>
    <t>Provides a reason for the handover cancellation. The HANDOVER COMMAND message from AMF contained PDU Session Resource to Release List IE or QoS flow to Release List and the source NG-RAN node estimated service continuity for the UE would be better by not proceeding with handover towards this particular target NG-RAN node.</t>
  </si>
  <si>
    <t>ho-failure-in-target-5GC-ngran-node-or-target-system</t>
  </si>
  <si>
    <t>The handover failed due to a failure in target 5GC/NG-RAN node or target system.</t>
  </si>
  <si>
    <t>ho-target-not-allowed</t>
  </si>
  <si>
    <t>Handover to the indicated target cell is not allowed for the UE in question.</t>
  </si>
  <si>
    <t>tngrelocoverall-expiry</t>
  </si>
  <si>
    <t>The reason for the action is expiry of timer TNGRELOCoverall.</t>
  </si>
  <si>
    <t>tngrelocprep-expiry</t>
  </si>
  <si>
    <t>Handover Preparation procedure is cancelled when timer TNGRELOCprep expires.</t>
  </si>
  <si>
    <t>cell-not-available</t>
  </si>
  <si>
    <t>The concerned cell is not available.</t>
  </si>
  <si>
    <t>unknown-targetID</t>
  </si>
  <si>
    <t>Handover rejected because the target ID is not known to the AMF.</t>
  </si>
  <si>
    <t>no-radio-resources-available-in-target-cell</t>
  </si>
  <si>
    <t>Load on target cell is too high.</t>
  </si>
  <si>
    <t>unknown-local-UE-NGAP-ID</t>
  </si>
  <si>
    <t>The action failed because the receiving node does not recognise the local UE NGAP ID.</t>
  </si>
  <si>
    <t>inconsistent-remote-UE-NGAP-ID</t>
  </si>
  <si>
    <t>The action failed because the receiving node considers that the received remote UE NGAP ID is inconsistent.</t>
  </si>
  <si>
    <t>handover-desirable-for-radio-reason</t>
  </si>
  <si>
    <t>The reason for requesting handover is radio related.</t>
  </si>
  <si>
    <t>time-critical-handover</t>
  </si>
  <si>
    <t>Handover is requested for time critical reason i.e., this cause value is reserved to represent all critical cases where the connection is likely to be dropped if handover is not performed.</t>
  </si>
  <si>
    <t>resource-optimisation-handover</t>
  </si>
  <si>
    <t>The reason for requesting handover is to improve the load distribution with the neighbour cells.</t>
  </si>
  <si>
    <t>reduce-load-in-serving-cell</t>
  </si>
  <si>
    <t>Load on serving cell needs to be reduced. When applied to handover preparation, it indicates the handover is triggered due to load balancing.</t>
  </si>
  <si>
    <t>user-inactivity</t>
  </si>
  <si>
    <t>The action is requested due to user inactivity on all PDU sessions, e.g., NG is requested to be released in order to optimise the radio resources.</t>
  </si>
  <si>
    <t>radio-connection-with-ue-lost</t>
  </si>
  <si>
    <t>The action is requested due to losing the radio connection to the UE.</t>
  </si>
  <si>
    <t>radio-resources-not-available</t>
  </si>
  <si>
    <t>No requested radio resources are available.</t>
  </si>
  <si>
    <t>invalid-qos-combination</t>
  </si>
  <si>
    <t>The action was failed because of invalid QoS combination.</t>
  </si>
  <si>
    <t>failure-in-radio-interface-procedure</t>
  </si>
  <si>
    <t>Radio interface procedure has failed.</t>
  </si>
  <si>
    <t>interaction-with-other-procedure</t>
  </si>
  <si>
    <t>The action is due to an ongoing interaction with another procedure.</t>
  </si>
  <si>
    <t>unknown-PDU-session-ID</t>
  </si>
  <si>
    <t>The action failed because the PDU Session ID is unknown in the NG-RAN node.</t>
  </si>
  <si>
    <t>unkown-qos-flow-ID</t>
  </si>
  <si>
    <t>The action failed because the QoS Flow ID is unknown in the NG-RAN node.</t>
  </si>
  <si>
    <t>multiple-PDU-session-ID-instances</t>
  </si>
  <si>
    <t>The action failed because multiple instance of the same PDU Session had been provided to/from the NG-RAN node.</t>
  </si>
  <si>
    <t>multiple-qos-flow-ID-instances</t>
  </si>
  <si>
    <t>The action failed because multiple instances of the same QoS flow had been provided to the NG-RAN node.</t>
  </si>
  <si>
    <t>encryption-and-or-integrity-protection-algorithms-not-supported</t>
  </si>
  <si>
    <t>The NG-RAN node is unable to support any of the encryption and/or integrity protection algorithms supported by the UE.</t>
  </si>
  <si>
    <t>ng-intra-system-handover-triggered</t>
  </si>
  <si>
    <t>The action is due to a NG intra-system handover that has been triggered.</t>
  </si>
  <si>
    <t>ng-inter-system-handover-triggered</t>
  </si>
  <si>
    <t>The action is due to a NG inter-system handover that has been triggered.</t>
  </si>
  <si>
    <t>xn-handover-triggered</t>
  </si>
  <si>
    <t>The action is due to an Xn handover that has been triggered.</t>
  </si>
  <si>
    <t>not-supported-5QI-value</t>
  </si>
  <si>
    <t>The QoS flow setup failed because the requested 5QI is not supported.</t>
  </si>
  <si>
    <t>ue-context-transfer</t>
  </si>
  <si>
    <t>The action is due to a UE resumes from the NG-RAN node different from the one which sent the UE into RRC_INACTIVE state.</t>
  </si>
  <si>
    <t>ims-voice-eps-fallback-or-rat-fallback-triggered</t>
  </si>
  <si>
    <t>The setup of QoS flow is failed due to EPS fallback or RAT fallback for IMS voice using handover or redirection.</t>
  </si>
  <si>
    <t>up-integrity-protection-not-possible</t>
  </si>
  <si>
    <t>The PDU session cannot be accepted according to the required user plane integrity protection policy.</t>
  </si>
  <si>
    <t>up-confidentiality-protection-not-possible</t>
  </si>
  <si>
    <t>The PDU session cannot be accepted according to the required user plane confidentiality protection policy.</t>
  </si>
  <si>
    <t>slice-not-supported</t>
  </si>
  <si>
    <t>Slice(s) not supported.</t>
  </si>
  <si>
    <t>ue-in-rrc-inactive-state-not-reachable</t>
  </si>
  <si>
    <t>The action is requested due to RAN paging failure.</t>
  </si>
  <si>
    <t>redirection</t>
  </si>
  <si>
    <t>The release is requested due to inter-system redirection or intra-system redirection.</t>
  </si>
  <si>
    <t>resources-not-available-for-the-slice</t>
  </si>
  <si>
    <t>The requested resources are not available for the slice(s).</t>
  </si>
  <si>
    <t>ue-max-integrity-protected-data-rate-reason</t>
  </si>
  <si>
    <t>The request is not accepted in order to comply with the maximum data rate for integrity protection supported by the UE.</t>
  </si>
  <si>
    <t>release-due-to-cn-detected-mobility</t>
  </si>
  <si>
    <t>The context release is requested by the AMF because the UE is already served by another CN node (same or different system), or another NG interface of the same CN node.</t>
  </si>
  <si>
    <t>NGAP Transport Layer Cause Value</t>
  </si>
  <si>
    <t>transport-resource-unavailable</t>
  </si>
  <si>
    <t>The action failed due to a temporary failure of the N26 interface.</t>
  </si>
  <si>
    <t>Release is initiated due to pre-emption.</t>
  </si>
  <si>
    <t>NGAP NAS Cause Value</t>
  </si>
  <si>
    <t>normal-release</t>
  </si>
  <si>
    <t>The action failed because multiple areas of interest are set with the same Location Reporting Reference ID.</t>
  </si>
  <si>
    <t>authentication-failure</t>
  </si>
  <si>
    <t>The redundant user plane resources indicated by RSN are not available.</t>
  </si>
  <si>
    <t>deregister</t>
  </si>
  <si>
    <t>Access was denied for NPN reasons.</t>
  </si>
  <si>
    <t>Access was denied because the cell is a non-CAG cell and UE is only allowed to access CAG cells.</t>
  </si>
  <si>
    <t>NGAP Protocol Cause Value</t>
  </si>
  <si>
    <t>transfer-syntax-error</t>
  </si>
  <si>
    <t>The required transport resources are not available.</t>
  </si>
  <si>
    <t>abstract-syntax-error-reject</t>
  </si>
  <si>
    <t>Sent when none of the above cause values applies but still the cause is Transport Network Layer related.</t>
  </si>
  <si>
    <t>abstract-syntax-error-ignore-and-notify</t>
  </si>
  <si>
    <t>The release is normal.</t>
  </si>
  <si>
    <t>message-not-compatible-with-receiver-state</t>
  </si>
  <si>
    <t>The action is due to authentication failure.</t>
  </si>
  <si>
    <t>semantic-error</t>
  </si>
  <si>
    <t>The action is due to deregister.</t>
  </si>
  <si>
    <t>abstract-syntax-error-falsely-constructed-message</t>
  </si>
  <si>
    <t>Sent when none of the above cause values applies but still the cause is NAS related.</t>
  </si>
  <si>
    <t>The received message included a transfer syntax error.</t>
  </si>
  <si>
    <t>NGAP Misc Cause Value</t>
  </si>
  <si>
    <t>control-processing-overload</t>
  </si>
  <si>
    <t>The received message included an abstract syntax error and the concerning criticality indicated "reject".</t>
  </si>
  <si>
    <t>not-enough-user-plane-processing-resources</t>
  </si>
  <si>
    <t>The received message included an abstract syntax error and the concerning criticality indicated "ignore and notify".</t>
  </si>
  <si>
    <t>hardware-failure</t>
  </si>
  <si>
    <t>The received message was not compatible with the receiver state.</t>
  </si>
  <si>
    <t>om-intervention</t>
  </si>
  <si>
    <t>The received message included a semantic error.</t>
  </si>
  <si>
    <t>unknown-PLMN</t>
  </si>
  <si>
    <t>The received message contained IEs or IE groups in wrong order or with too many occurrences.</t>
  </si>
  <si>
    <t>Sent when none of the above cause values applies but still the cause is Protocol related.</t>
  </si>
  <si>
    <t>SMS</t>
  </si>
  <si>
    <t>SMS CP Cause</t>
  </si>
  <si>
    <t>Control processing overload.</t>
  </si>
  <si>
    <t>Not enough resources are available related to user plane processing.</t>
  </si>
  <si>
    <t>Invalid Transaction Identifier value</t>
  </si>
  <si>
    <t>Action related to hardware failure.</t>
  </si>
  <si>
    <t>The action is due to O&amp;M intervention.</t>
  </si>
  <si>
    <t>The AMF does not identify any PLMN provided by the NG-RAN node.</t>
  </si>
  <si>
    <t>Sent when none of the above cause values applies and the cause is not related to any of the categories Radio Network Layer, Transport Network Layer, NAS or Protocol.</t>
  </si>
  <si>
    <t>Message not compatible with the short message protocol state</t>
  </si>
  <si>
    <t>SMS RP Cause</t>
  </si>
  <si>
    <t>Unassigned (unallocated) number</t>
  </si>
  <si>
    <t>Call barred</t>
  </si>
  <si>
    <t>Reserved</t>
  </si>
  <si>
    <t>Short message transfer rejected</t>
  </si>
  <si>
    <t>Destination out of order</t>
  </si>
  <si>
    <t>Unidentified subscriber</t>
  </si>
  <si>
    <t>Facility rejected</t>
  </si>
  <si>
    <t>Unknown subscriber</t>
  </si>
  <si>
    <t>Network out of order</t>
  </si>
  <si>
    <t>Temporary failure</t>
  </si>
  <si>
    <t>Resources unavailable, unspecified</t>
  </si>
  <si>
    <t>Requested facility not subscribed</t>
  </si>
  <si>
    <t>Requested facility not implemented</t>
  </si>
  <si>
    <t>Invalid short message transfer reference value</t>
  </si>
  <si>
    <t>Message not compatible with short message protocol state</t>
  </si>
  <si>
    <t>Interworking, unspecified</t>
  </si>
  <si>
    <t>绿色字段</t>
  </si>
  <si>
    <t>procedure_type</t>
  </si>
  <si>
    <t>流程类型
procedure_type</t>
  </si>
  <si>
    <t>procedure_type_name</t>
  </si>
  <si>
    <t>流程类型
映射值</t>
  </si>
  <si>
    <t>keyword</t>
  </si>
  <si>
    <t>Keyword_xx取值</t>
  </si>
  <si>
    <t>keyword_desc</t>
  </si>
  <si>
    <t>Keyword
映射值</t>
  </si>
  <si>
    <t>remark</t>
  </si>
  <si>
    <t>Registration</t>
  </si>
  <si>
    <t>initial registration</t>
  </si>
  <si>
    <t>5G Registration type，参见3GPP 24.501 9.11.3.7</t>
  </si>
  <si>
    <t>mobility registration updating</t>
  </si>
  <si>
    <t>periodic registration updating</t>
  </si>
  <si>
    <t>emergency registration</t>
  </si>
  <si>
    <t>SNPN onboarding registration</t>
  </si>
  <si>
    <t>disaster roaming mobility registration updating</t>
  </si>
  <si>
    <t>disaster roaming initial registration</t>
  </si>
  <si>
    <t>De-registration</t>
  </si>
  <si>
    <t>Normal de-registration&amp;re-registration not required&amp;3GPP access</t>
  </si>
  <si>
    <t>Deregistration type，参见3GPP 24.501 9.11.3.20</t>
  </si>
  <si>
    <t>Normal de-registration&amp;re-registration not required&amp;Non-3GPP access</t>
  </si>
  <si>
    <t>Normal de-registration&amp;re-registration not required&amp;3GPP access and non-3GPP access</t>
  </si>
  <si>
    <t>Normal de-registration&amp;re-registration required&amp;3GPP access</t>
  </si>
  <si>
    <t>Normal de-registration&amp;re-registration required&amp;Non-3GPP access</t>
  </si>
  <si>
    <t>Normal de-registration&amp;re-registration required&amp;3GPP access and non-3GPP access</t>
  </si>
  <si>
    <t>Sevice Request</t>
  </si>
  <si>
    <t>signalling</t>
  </si>
  <si>
    <t>Service type，参见3GPP 24.501 9.11.3.50</t>
  </si>
  <si>
    <t>data</t>
  </si>
  <si>
    <t>mobile terminated services</t>
  </si>
  <si>
    <t>emergency services</t>
  </si>
  <si>
    <t>emergency services fallback</t>
  </si>
  <si>
    <t>high priority access</t>
  </si>
  <si>
    <t>elevated signalling</t>
  </si>
  <si>
    <t>unused; shall be interpreted as "signalling", if received by the network</t>
  </si>
  <si>
    <t>unused; shall be interpreted as "data", if received by the network</t>
  </si>
  <si>
    <t>普通短信发送</t>
  </si>
  <si>
    <t>普通短信接收</t>
  </si>
  <si>
    <t>短信提交报告</t>
  </si>
  <si>
    <t>短信下发报告</t>
  </si>
  <si>
    <t>短信状态报告</t>
  </si>
  <si>
    <t>WAP PUSH短信接收 pdu type (06=push)</t>
  </si>
  <si>
    <t>RP-SMMA终端存储可用提醒</t>
  </si>
  <si>
    <t>其它未知类型</t>
  </si>
  <si>
    <t>N2 HO Out</t>
  </si>
  <si>
    <t>Intra5GS</t>
  </si>
  <si>
    <t>取值参考38.413 9.3.1.22</t>
  </si>
  <si>
    <t>5GStoEPS</t>
  </si>
  <si>
    <t>EPSto5GS</t>
  </si>
  <si>
    <t>N2 HO In</t>
  </si>
  <si>
    <t>UE Context Release</t>
  </si>
  <si>
    <t>流程由AN发起</t>
  </si>
  <si>
    <t>流程由AMF发起</t>
  </si>
  <si>
    <t>NG Reset</t>
  </si>
  <si>
    <t>N2 interface,</t>
  </si>
  <si>
    <t>Part of N2 interface</t>
  </si>
  <si>
    <t>net_type</t>
  </si>
  <si>
    <t>网络类型</t>
  </si>
  <si>
    <t>main_process_flag</t>
  </si>
  <si>
    <t>是否主要流程</t>
  </si>
  <si>
    <t>process_name</t>
  </si>
  <si>
    <t>过程</t>
  </si>
  <si>
    <t>流程类型</t>
  </si>
  <si>
    <t>流程名称</t>
  </si>
  <si>
    <t>4G</t>
  </si>
  <si>
    <t>Attach</t>
  </si>
  <si>
    <t>EMM</t>
  </si>
  <si>
    <t>接入</t>
  </si>
  <si>
    <t>Extended Service Request（CSFB）</t>
  </si>
  <si>
    <t>Paging（可选）</t>
  </si>
  <si>
    <t>S1AP</t>
  </si>
  <si>
    <t>TAU</t>
  </si>
  <si>
    <t>Detach</t>
  </si>
  <si>
    <t>保持</t>
  </si>
  <si>
    <t>PDN connectivity</t>
  </si>
  <si>
    <t>ESM</t>
  </si>
  <si>
    <t>PDN disconnection</t>
  </si>
  <si>
    <t>EPS bearer resource allocation</t>
  </si>
  <si>
    <t>EPS bearer resource modify</t>
  </si>
  <si>
    <t>EPS bearer context deactivation</t>
  </si>
  <si>
    <t>EPS bearer context modification</t>
  </si>
  <si>
    <t>Dedicated EPS bearer context activation</t>
  </si>
  <si>
    <t>Path Switch （X2切换）</t>
  </si>
  <si>
    <t>S1切出</t>
  </si>
  <si>
    <t>S1切入</t>
  </si>
  <si>
    <t>S1 handover cancel</t>
  </si>
  <si>
    <t>Initial context setup</t>
  </si>
  <si>
    <t>UE context modification</t>
  </si>
  <si>
    <t>UE context release</t>
  </si>
  <si>
    <t>E-RAB release</t>
  </si>
  <si>
    <t>Reset</t>
  </si>
  <si>
    <t>Error indication</t>
  </si>
  <si>
    <t>S1 setup</t>
  </si>
  <si>
    <t>接入或保持</t>
  </si>
  <si>
    <t>ENB configuration update</t>
  </si>
  <si>
    <t>MME configuration update</t>
  </si>
  <si>
    <t>Overload start</t>
  </si>
  <si>
    <t>Overload stop</t>
  </si>
  <si>
    <t>Identity Acquisition</t>
  </si>
  <si>
    <t>Authentication</t>
  </si>
  <si>
    <t>Security Activation</t>
  </si>
  <si>
    <t>UE Capability Info Indication</t>
  </si>
  <si>
    <t>E-RAB SETUP REQUEST</t>
  </si>
  <si>
    <t>E-RAB修改</t>
  </si>
  <si>
    <t>Default EPS bearer context activation</t>
  </si>
  <si>
    <t>ControlPlaneServiceRequest</t>
  </si>
  <si>
    <t>UE Context Resume</t>
  </si>
  <si>
    <t>UE Context Suppend</t>
  </si>
  <si>
    <t>E-RAB modification indication</t>
  </si>
  <si>
    <t>Secondary RAT data usage report</t>
  </si>
  <si>
    <t>UE Context Modification Indication</t>
  </si>
  <si>
    <t>5G</t>
  </si>
  <si>
    <t>Service Request</t>
  </si>
  <si>
    <t>UE Configuration Update</t>
  </si>
  <si>
    <t>PDU Session Establishment</t>
  </si>
  <si>
    <t>PDU Session Modification</t>
  </si>
  <si>
    <t>PDU Session Release</t>
  </si>
  <si>
    <t>N2 HO Cancel</t>
  </si>
  <si>
    <t>Xn HO</t>
  </si>
  <si>
    <t>UE Radio Capability Check</t>
  </si>
  <si>
    <t>Trace Start</t>
  </si>
  <si>
    <t>Deactivate Trace</t>
  </si>
  <si>
    <t>Cell traffic Trace</t>
  </si>
  <si>
    <t>NG Setup</t>
  </si>
  <si>
    <t>RAN Configuration Update</t>
  </si>
  <si>
    <t>AMF Configuration Update</t>
  </si>
  <si>
    <t>Overload Start</t>
  </si>
  <si>
    <t>ods_5gdpi_n1n2_e2e_telecom_5min</t>
  </si>
  <si>
    <t>5G_DPI_N1N2贴源层详单表</t>
  </si>
  <si>
    <t>过滤条件：net_type = '5G'</t>
  </si>
  <si>
    <t>关联条件：A.procedure_type=B.procedure_type</t>
  </si>
  <si>
    <t>关联条件：A.cause_code=C.control_plane_code and A.cause_type=C.cause_type and B.procedure_class=C.procedure_class</t>
  </si>
  <si>
    <t>D</t>
  </si>
  <si>
    <t>关联条件：A.procedure_type=D.procedure_type and A.keyword=D.keyword</t>
  </si>
  <si>
    <t>5G电联工参表</t>
  </si>
  <si>
    <t>E</t>
  </si>
  <si>
    <t>按cellkey去重</t>
  </si>
  <si>
    <t>关联条件：concat_ws('_',floor(ci/4096), ci%4096)=b.cellkey</t>
  </si>
  <si>
    <t xml:space="preserve">必填字段。接口类型：
1：S1-U
2：S1-MME
3：S6a
4：S11
6：S5-C
14：L2TP
16：Gm信令面
28：Gm接口VoLTE会话xDR（Gm Session xDR）
29：Gm接口VoLTE切片xDR（Gm Slice xDR）
31：S1-U接口VoLTE切片xDR（S1-U Slice xDR）
35：Radius
50：N1N2
51：N4
52：N5
53：N7
54：N8
55：N10
56：N11
57：N12
58：N14
59：N15
66：N16
60：N22
61：N26
62：N40
63：N13
100：User Plane（5G SA指N3接口）
</t>
  </si>
  <si>
    <t>xdr_id</t>
  </si>
  <si>
    <t>必填字段。采集解析服务器内唯一的xDR编号。一个信令流程或业务传输过程生成一个xDR ID。对于信令面xDR，一个xDR ID可能对应同一信令流程中的多条原始消息记录。</t>
  </si>
  <si>
    <t>永久用户标识。4G 填写用户IMSI。</t>
  </si>
  <si>
    <t>永久设备标识。4G填写IMEI/IMEISV。保持信令抽取的原样，无需进行IMEI和IMEISV间的转化。</t>
  </si>
  <si>
    <t>用户号码。</t>
  </si>
  <si>
    <t>rat</t>
  </si>
  <si>
    <t>RAT类型：取各接口码流中携带的值。如果接入类型为5G NR，将RAT值改写为10。</t>
  </si>
  <si>
    <t>用户的归属地省份，枚举定义参见附录G。对国际漫入用户时，该字段填写用户归属运营商PLMN。</t>
  </si>
  <si>
    <t xml:space="preserve"> 流程类型编码，具体取值如下：
0： Registration
1： De-registration
2： Service Request
3： UE Configuration Update
4： SMS
30： PDU Session Establishment
31： PDU Session Modification
32： PDU Session Release
60： N2 HO Out
61： N2 HO In
62： N2 HO Cancel
63： Xn HO
64： UE Context Release
73： UE Capability Info Indication
74： UE Radio Capability Check
75： Trace Start
76： Deactivate Trace
77： Cell traffic Trace
78： NG Reset
79： Error indication
80： NG Setup
81： RAN Configuration Update
82： AMF Configuration Update
83： Overload Start
84： Overload Stop</t>
  </si>
  <si>
    <t>procedure_start_time</t>
  </si>
  <si>
    <t>业务流程开始时间，UTC时间，从1970/1/1 00:00:00开始到当前的毫秒数。</t>
  </si>
  <si>
    <t>procedure_end_time</t>
  </si>
  <si>
    <t>业务流程结束时间，UTC时间，从1970/1/1 00:00:00开始到当前的毫秒数。</t>
  </si>
  <si>
    <t>procedure_status</t>
  </si>
  <si>
    <t xml:space="preserve">流程状态
1：成功；
2：失败；
3：超时
</t>
  </si>
  <si>
    <t>request_cause_type</t>
  </si>
  <si>
    <t>标识流程请求消息中cause字段所对应的Cause Group。
失败原因类型，对于5G NAS流程：
1：5GMM
2：5GSM
对于NGAP流程：
1：Radio Network Layer
2：Transport Layer
3：NAS
4：Protocol
5：Misc
对于SMS流程：
1：CP Cause
2：RP Cause</t>
  </si>
  <si>
    <t>request_cause</t>
  </si>
  <si>
    <t>流程的请求消息中所包含的Cause值：
针对De-registration流程，填写De-registration Request消息中的Cause值；
针对PDU Session Modification流程，填写PDU Session Modification Request/PDU Session Modification Command消息中的Cause值；
针对PDU Session Release流程，填写PDU SessionRelease Request/PDU Session Release Command消息中的Cause值；
针对N2 Handover Out流程，填写HANDOVER REQUIRED消息中的Cause值；
针对N2 Handover In流程，填写HANDOVER REQUEST消息中的Cause值；
针对N2 Handover Cancel流程，填写HANDOVER CANCEL消息中的Cause值；
针对UE Context Release流程，填写UE Context Release Request或UE Context Release Command消息中的Cause值。
详见5.3.2.2.15</t>
  </si>
  <si>
    <t>failure_cause_type</t>
  </si>
  <si>
    <t>标识流程失败响应消息中cause字段所对应的Cause Group。
失败原因类型，对于5G NAS流程：
1：5GMM
2：5GSM
对于NGAP流程：
1：Radio Network Layer
2：Transport Layer
3：NAS
4：Protocol
5：Misc
对于SMS流程：
1：CP Cause
2：RP Cause</t>
  </si>
  <si>
    <t>failure_cause</t>
  </si>
  <si>
    <t>流程失败响应消息中的值。
CauseValue，规范参见：
&gt; 5GMM具体CauseValue取值参见3GPP 24.501第9.11.3.2节Table 9.11.3.2.1；
&gt; 5GSM具体CauseValue取值参见3GPP 24.501第9.11.4.2节Table 9.11.4.2.1；
&gt; NGAP具体CauseValue取值参见3GPP 38.413第9.3.1.2节；
详见5.3.2.2.16</t>
  </si>
  <si>
    <t>辅助流程类型的关键参数信息，具体取值方式参见算法</t>
  </si>
  <si>
    <t>amf_ue_ngap_id</t>
  </si>
  <si>
    <t>AMF UE NGAP ID</t>
  </si>
  <si>
    <t>ran_ue_ngap_id</t>
  </si>
  <si>
    <t>RAN UE NGAP ID</t>
  </si>
  <si>
    <t>suci</t>
  </si>
  <si>
    <t>Subscription Concealed Identifier，参见3GPP 24.501 第9.11.3.4节，填写整个SUCI的ASCII形式</t>
  </si>
  <si>
    <t>machine_ip_add_type</t>
  </si>
  <si>
    <t>设备IP地址类型
0x01：IPv4
0x02：IPv6</t>
  </si>
  <si>
    <t>amf_ip_add</t>
  </si>
  <si>
    <t>AMF信令面的IP地址；</t>
  </si>
  <si>
    <t>gnb_ip_add</t>
  </si>
  <si>
    <t>gNodeB信令面的IP地址；</t>
  </si>
  <si>
    <t>amf_port</t>
  </si>
  <si>
    <t>AMF IP地址对应的端口号；</t>
  </si>
  <si>
    <t>gnb_port</t>
  </si>
  <si>
    <t>gNodeBIP地址对应的端口号；</t>
  </si>
  <si>
    <t>old_amf_region_id</t>
  </si>
  <si>
    <t>原AMF区域标识，UE的5G-GUTI发生改变时填写</t>
  </si>
  <si>
    <t>old_amf_set_id</t>
  </si>
  <si>
    <t>原AMF集号，UE的5G-GUTI发生改变时填写</t>
  </si>
  <si>
    <t>old_amf_pointer</t>
  </si>
  <si>
    <t>原AMF号，UE的5G-GUTI发生改变时填写</t>
  </si>
  <si>
    <t>old_5g_tmsi</t>
  </si>
  <si>
    <t>UE的原5G-TMSI，UE的5G-GUTI发生改变时填写</t>
  </si>
  <si>
    <t>amf_region_id</t>
  </si>
  <si>
    <t>当前AMF区域标识</t>
  </si>
  <si>
    <t>amf_set_id</t>
  </si>
  <si>
    <t>当前AMF集合标识</t>
  </si>
  <si>
    <t>amf_pointer</t>
  </si>
  <si>
    <t>当前连接的AMF标识</t>
  </si>
  <si>
    <t>5g_tmsi</t>
  </si>
  <si>
    <t>UE当前的5G-TMSI</t>
  </si>
  <si>
    <t>other_location_type</t>
  </si>
  <si>
    <t>针对切换过程，填写对端位置类型
1：NR（nrLocation）
2：E-UTRAN（eutraLocation）
3：N3IWF（n3gaLocation）</t>
  </si>
  <si>
    <t>other_tac</t>
  </si>
  <si>
    <t>针对切换过程，填写对端TAC</t>
  </si>
  <si>
    <t>other_cell_id</t>
  </si>
  <si>
    <t>针对切换过程，填写对端Cell ID</t>
  </si>
  <si>
    <t>paging_tac_number</t>
  </si>
  <si>
    <t>寻呼TAC个数（5G仅支持TMSI寻呼）</t>
  </si>
  <si>
    <t>auth_type</t>
  </si>
  <si>
    <t>Primary Authentication鉴权类型：
1：5G-AKA，无EAP消息，有5G AV
2：EAP-AKA'，EAP Method Type = 50；
3：EAP-TLS，EAP Method Type = 13；</t>
  </si>
  <si>
    <t>selected_nas_ciphering_algorithm</t>
  </si>
  <si>
    <t>Security mode command消息中Selected NAS security algorithms IE的octet2 bit8-5取值，参考24.501 9.11.3.34节</t>
  </si>
  <si>
    <t>registration_result</t>
  </si>
  <si>
    <t>标识REGISTRATION ACCEPT消息中Registration result value的取值参见3GPP 24.501第9.11.3.6节</t>
  </si>
  <si>
    <t>de_registration_direction</t>
  </si>
  <si>
    <t>触发方式：
1：流程由UE发起
2：流程由网络侧发起</t>
  </si>
  <si>
    <t>auth_failure_direction</t>
  </si>
  <si>
    <t>5G AKA鉴权失败时，失败类型：
1：UE鉴权失败，收到Authentication failure
2：网络鉴权失败，收到Authentication reject</t>
  </si>
  <si>
    <t>selected_nas_integrity_protection_algorithm</t>
  </si>
  <si>
    <t>Security mode command消息中Selected NAS security algorithms IE的octet2 bit4-1取值，参考24.501 9.11.3.34节</t>
  </si>
  <si>
    <t>ues_usage_setting</t>
  </si>
  <si>
    <t>标识REGISTRATION REQUEST消息中“UE's usage setting”IE中“UE's usage setting”信息，取值：
0：voice centric
1：data centric
取值参见3GPP 24.501 第9.11.3.55节</t>
  </si>
  <si>
    <t>re_registration_flag</t>
  </si>
  <si>
    <t>填充De-registration type中Bit3的值，取值参考24.501 9.11.3.20</t>
  </si>
  <si>
    <t>s1_mode_support</t>
  </si>
  <si>
    <t>S1支持能力，5GMM capability--&gt;S1 mode，取值参考 24.501 9.11.3.1</t>
  </si>
  <si>
    <t>ims_vops</t>
  </si>
  <si>
    <t>5GS network feature support --&gt;IMS VoPS，取值参考24.501 9.11.3.5</t>
  </si>
  <si>
    <t>iwk_n26</t>
  </si>
  <si>
    <t>5GS network feature support --&gt;IWK N26，取值参考24.501 9.11.3.5</t>
  </si>
  <si>
    <t>mulit_homed_ipv6_support</t>
  </si>
  <si>
    <t>PDU session是否支持Mulit-homed Ipv6
请求消息中5GSM capability的octet3 bit2”，取值参考24.501 9.11.4.1
PDU Session Establishment和PDU session modification过程填写</t>
  </si>
  <si>
    <t>ul_session_ambr</t>
  </si>
  <si>
    <t>上行聚合最大比特率，kbps</t>
  </si>
  <si>
    <t>dl_session_ambr</t>
  </si>
  <si>
    <t>下行聚合最大比特率，kbps</t>
  </si>
  <si>
    <t>s_nssai_sst</t>
  </si>
  <si>
    <t>s_nssai_sd</t>
  </si>
  <si>
    <t>location_type</t>
  </si>
  <si>
    <t>tac</t>
  </si>
  <si>
    <t>流程结束时，UE当前所在的TAC</t>
  </si>
  <si>
    <t>ci</t>
  </si>
  <si>
    <t>流程结束时，UE所在的NR Cell ID/E-UTRAN Cell ID</t>
  </si>
  <si>
    <t>first_fail_trans_prot</t>
  </si>
  <si>
    <t>N1/N2接口信令流程中第一个失败的事务的协议层：
0：NGAP
1：5GSM
2：5GMM
如Registration流程中，发生鉴权失败，则填充鉴权失败的信息。</t>
  </si>
  <si>
    <t>first_fail_trans</t>
  </si>
  <si>
    <t>流程类型，具体取值参见附录K，由采集层填充</t>
  </si>
  <si>
    <t>first_fail_direction</t>
  </si>
  <si>
    <t>N1/N2接口信令流程中第一个失败的事务方向。
1：失败事务由AN发起
2：失败事务由AMF发起</t>
  </si>
  <si>
    <t>first_fail_cause_type</t>
  </si>
  <si>
    <t>标识流程失败响应消息中cause字段所对应的Cause Group。
失败原因类型，对于5G NAS流程：
1：5GMM
2：5GSM
对于NGAP流程：
1：Radio Network Layer
2：Transport Layer
3：NAS
4：Protocol
5：Misc</t>
  </si>
  <si>
    <t>first_fail_cause</t>
  </si>
  <si>
    <t>信令流程中第一个失败的事务原因码，即信令流程失败的直接原因，从失败消息的Cause信元中获取</t>
  </si>
  <si>
    <t>e2e_first_fail_trans_prot</t>
  </si>
  <si>
    <t>全流程第一拆线事务的协议，由合成层实现多接口关联后填写。
0：NGAP，标识第一拆线事务为N1/N2接口事务；
1：HTTP2，标识第一拆线事务为服务化接口事务。</t>
  </si>
  <si>
    <t>e2e_first_fail_trans</t>
  </si>
  <si>
    <t>全流程第一拆线事务类型，由合成层实现多接口关联后填写。
如E2E first fail trans prot字段为0：NGAP，则填充First fail trans；
如E2E first fail trans prot字段为1：HTTP2，则填充服务化接口单据中的Procedure Type字段。</t>
  </si>
  <si>
    <t>e2e_first_fail_cause_type</t>
  </si>
  <si>
    <t>全流程第一拆线事务失败原因的类型，由合成层实现多接口关联后填写。
N1/N2事务，填充first fail cause type字段值
服务化接口，填充对应单据的status code字段值</t>
  </si>
  <si>
    <t>e2e_first_fail_cause</t>
  </si>
  <si>
    <t xml:space="preserve">全流程第一拆线事务失败原因码，从失败的事务中获取，由合成层实现多接口关联后填写。
N1/N2事务，填充first fail cause字段值
服务化接口，填充对应单据的failure cause字段值。
</t>
  </si>
  <si>
    <t>pdu_session_number</t>
  </si>
  <si>
    <t>必填字段。整数值N，指示后续跟随的PDU Session信息的个数，每个PDU Session信息与一个会话相对应，其中包括以下多个字段： PDU Session ID，PDU Session Dnn，PDU Session 1 DNN type，操作结果，该PDU Session对应的用户面UPF侧及gNB侧的IP以及GTP-TEID。如果该信令过程不涉及对任何承载的操作，则该字段取值为0，此时该字段之后PDU Session信息的个数为0</t>
  </si>
  <si>
    <t>pdu_session_id</t>
  </si>
  <si>
    <t>第1个PDU Session Identity</t>
  </si>
  <si>
    <t>pdu_session_req_type</t>
  </si>
  <si>
    <t>第1个请求消息中的Request Type：
1：initial request
2：existing PDU session
3：initial emergency request
4：existing emergency PDU session
5：modification request
取值参见3GPP TS 24.501第9.11.3.47节</t>
  </si>
  <si>
    <t>pdu_session_type</t>
  </si>
  <si>
    <t>第1个应答消息中的PDU Session Type，取值:
1：IPv4
2：IPv6
3：IPv4v6
4：Unstructured
5：Ethernet</t>
  </si>
  <si>
    <t>pdu_session_dnn</t>
  </si>
  <si>
    <t>第1个Date Network Name,取值参考23.003 9.1节</t>
  </si>
  <si>
    <t>pdu_session_dnn_type</t>
  </si>
  <si>
    <t>第1个PDU Session连接类型，根据PDU SESSION ESTABLISHMENT ACCEPT消息中的DNN判断:
1：普通数据业务（含ctnet等）
2：VoLTE业务（含ims）
3：物联网业务（暂不识别，后面补充）
4：彩信业务（含ctwap）
254：未知其它业务</t>
  </si>
  <si>
    <t>pdu_session_direction</t>
  </si>
  <si>
    <t>第1个触发方式：
1：流程由UE发起
2：流程由AMF发起
PDU Session Modification流程填写</t>
  </si>
  <si>
    <t>pdu_session_user_ipv4</t>
  </si>
  <si>
    <t>第1个UE的IPv4地址</t>
  </si>
  <si>
    <t>pdu_session_user_ipv6</t>
  </si>
  <si>
    <t>第1个UE的IPv6地址</t>
  </si>
  <si>
    <t>pdu_session_always_on_pdu_session_indication</t>
  </si>
  <si>
    <t>第1个永远在线PDU Session标识，Always-on PDU session indication：
0：Always-on PDU session not allowed
1：Always-on PDU session required
0xFF：无此信元
取值参考24.501 9.11.4.3章节</t>
  </si>
  <si>
    <t>pdu_session_req_ssc_mode</t>
  </si>
  <si>
    <t>第1个请求消息中PDU Session的SSC模式
选择的SSC模式，
PDU Session Establishment Accept中selected SSC mode，octet1的bit3-1：
取值参考 24.501 9.11.4.16节</t>
  </si>
  <si>
    <t>pdu_session_ssc_mode</t>
  </si>
  <si>
    <t>第1个应答消息中PDU Session的SSC模式</t>
  </si>
  <si>
    <t>pdu_session_ne_ip_type</t>
  </si>
  <si>
    <t>第1个设备IP地址类型
0x01：IPv4
0x02：IPv6</t>
  </si>
  <si>
    <t>pdu_session_n3_an_addr</t>
  </si>
  <si>
    <t>第1个PDU Session在N3接口AN侧的IP地址</t>
  </si>
  <si>
    <t>pdu_session_1_n3_upf_addr</t>
  </si>
  <si>
    <t>第1个PDU Session在N3接口UPF侧的IP地址</t>
  </si>
  <si>
    <t>pdu_session_1_n3_an_teid</t>
  </si>
  <si>
    <t>第1个PDU Session在N3接口AN侧的TEID</t>
  </si>
  <si>
    <t>pdu_session_1_n3_upf_teid</t>
  </si>
  <si>
    <t>第1个PDU Session在N3接口UPF侧的TEID</t>
  </si>
  <si>
    <t>pdu_session_1_status</t>
  </si>
  <si>
    <t>第1个PDU Session操作结果
1：建立成功
2：建立失败
3：修改成功
4：修改失败
5：释放成功
6：释放失败</t>
  </si>
  <si>
    <t>pdu_session_id_2</t>
  </si>
  <si>
    <t>第2个PDU Session Identity</t>
  </si>
  <si>
    <t>pdu_session_req_type_2</t>
  </si>
  <si>
    <t>第2个请求消息中的Request Type：
1：initial request
2：existing PDU session
3：initial emergency request
4：existing emergency PDU session
5：modification request
取值参见3GPP TS 24.501第9.11.3.47节</t>
  </si>
  <si>
    <t>pdu_session_type_2</t>
  </si>
  <si>
    <t>第2个应答消息中的PDU Session Type，取值:
1：IPv4
2：IPv6
3：IPv4v6
4：Unstructured
5：Ethernet</t>
  </si>
  <si>
    <t>pdu_session_dnn_2</t>
  </si>
  <si>
    <t>第2个Date Network Name,取值参考23.003 9.1节</t>
  </si>
  <si>
    <t>pdu_session_dnn_type_2</t>
  </si>
  <si>
    <t>第2个PDU Session连接类型，根据PDU SESSION ESTABLISHMENT ACCEPT消息中的DNN判断:
1：普通数据业务（含ctnet等）
2：VoLTE业务（含ims）
3：物联网业务（暂不识别，后面补充）
4：彩信业务（含ctwap）
254：未知其它业务</t>
  </si>
  <si>
    <t>pdu_session_direction_2</t>
  </si>
  <si>
    <t>第2个触发方式：
1：流程由UE发起
2：流程由AMF发起
PDU Session Modification流程填写</t>
  </si>
  <si>
    <t>pdu_session_user_ipv4_2</t>
  </si>
  <si>
    <t>第2个UE的IPv4地址</t>
  </si>
  <si>
    <t>pdu_session_user_ipv6_2</t>
  </si>
  <si>
    <t>第2个UE的IPv6地址</t>
  </si>
  <si>
    <t>pdu_session_always_on_pdu_session_indication_2</t>
  </si>
  <si>
    <t>第2个永远在线PDU Session标识，Always-on PDU session indication：
0：Always-on PDU session not allowed
1：Always-on PDU session required
0xFF：无此信元
取值参考24.501 9.11.4.3章节</t>
  </si>
  <si>
    <t>pdu_session_req_ssc_mode_2</t>
  </si>
  <si>
    <t>第2个请求消息中PDU Session的SSC模式
选择的SSC模式，
PDU Session Establishment Accept中selected SSC mode，octet1的bit3-1：
取值参考 24.501 9.11.4.16节</t>
  </si>
  <si>
    <t>pdu_session_ssc_mode_2</t>
  </si>
  <si>
    <t>第2个应答消息中PDU Session的SSC模式</t>
  </si>
  <si>
    <t>pdu_session_ne_ip_type_2</t>
  </si>
  <si>
    <t>第2个设备IP地址类型
0x01：IPv4
0x02：IPv6</t>
  </si>
  <si>
    <t>pdu_session_n3_an_addr_2</t>
  </si>
  <si>
    <t>第2个PDU Session在N3接口AN侧的IP地址</t>
  </si>
  <si>
    <t>pdu_session_1_n3_upf_addr_2</t>
  </si>
  <si>
    <t>第2个PDU Session在N3接口UPF侧的IP地址</t>
  </si>
  <si>
    <t>pdu_session_1_n3_an_teid_2</t>
  </si>
  <si>
    <t>第2个PDU Session在N3接口AN侧的TEID</t>
  </si>
  <si>
    <t>pdu_session_1_n3_upf_teid_2</t>
  </si>
  <si>
    <t>第2个PDU Session在N3接口UPF侧的TEID</t>
  </si>
  <si>
    <t>pdu_session_1_status_2</t>
  </si>
  <si>
    <t>第2个PDU Session操作结果
1：建立成功
2：建立失败
3：修改成功
4：修改失败
5：释放成功
6：释放失败</t>
  </si>
  <si>
    <t>失败原因类型</t>
  </si>
  <si>
    <t>NVL(failure_cause_type,request_cause_type)</t>
  </si>
  <si>
    <t>cause_code</t>
  </si>
  <si>
    <t>失败原因</t>
  </si>
  <si>
    <t>NVL(failure_cause,request_cause)</t>
  </si>
  <si>
    <t>CONCAT(FLOOR(ci / 4096),'_',ci % 4096)</t>
  </si>
  <si>
    <t>procedure_class</t>
  </si>
  <si>
    <t>过程分类</t>
  </si>
  <si>
    <t>is_abnor_release</t>
  </si>
  <si>
    <t>是否异常释放（0：否，1：是）</t>
  </si>
  <si>
    <t>A|C</t>
  </si>
  <si>
    <t>case when A.procedure_type = 64  and C.drop_flag = 1 then 1 else 0 end</t>
  </si>
  <si>
    <t>is_normal_release</t>
  </si>
  <si>
    <t>是否正常释放（0：否，1：是）</t>
  </si>
  <si>
    <t>case when A.procedure_type = 64 and A.procedure_status = 1 and C.content in ('normal-release','user-inactivity') then 1 else 0 end</t>
  </si>
  <si>
    <t>problem_position</t>
  </si>
  <si>
    <t>问题定位</t>
  </si>
  <si>
    <t>cause_description</t>
  </si>
  <si>
    <t>keyword流程描述</t>
  </si>
  <si>
    <t>cellkey关联回填</t>
  </si>
  <si>
    <t>int(p_5min/3)</t>
  </si>
  <si>
    <t>5G_DPI_N1N2基础维度15分钟汇聚表</t>
  </si>
  <si>
    <t>流程类型编码，具体取值如下：
0： Registration
1： De-registration
2： Service Request
3： UE Configuration Update
4： SMS
30： PDU Session Establishment
31： PDU Session Modification
32： PDU Session Release
60： N2 HO Out
61： N2 HO In
62： N2 HO Cancel
63： Xn HO
64： UE Context Release
73： UE Capability Info Indication
74： UE Radio Capability Check
75： Trace Start
76： Deactivate Trace
77： Cell traffic Trace
78： NG Reset
79： Error indication
80： NG Setup
81： RAN Configuration Update
82： AMF Configuration Update
83： Overload Start
84： Overload Stop</t>
  </si>
  <si>
    <t>abnor_release_cnt</t>
  </si>
  <si>
    <t>异常释放次数</t>
  </si>
  <si>
    <t>sum(is_abnor_release)</t>
  </si>
  <si>
    <t>normal_release_cnt</t>
  </si>
  <si>
    <t>正常释放次数</t>
  </si>
  <si>
    <t>sum(is_normal_release)</t>
  </si>
  <si>
    <t>procedure_normal_cnt</t>
  </si>
  <si>
    <t>正常业务流程次数</t>
  </si>
  <si>
    <t>sum(normal_flag)</t>
  </si>
  <si>
    <t>procedure_delay</t>
  </si>
  <si>
    <t>流程时延</t>
  </si>
  <si>
    <t>avg(case when procedure_status = 1 and procedure_end_time &gt;= procedure_start_time and procedure_start_time &gt; 0  then procedure_end_time - procedure_start_time else null end)</t>
  </si>
  <si>
    <t>最小开始时间(时间戳)</t>
  </si>
  <si>
    <t>min(procedure_start_time)</t>
  </si>
  <si>
    <t>时间戳</t>
  </si>
  <si>
    <t>最大结束时间(时间戳)</t>
  </si>
  <si>
    <t>max(procedure_end_time)</t>
  </si>
  <si>
    <t>cfg_city</t>
  </si>
  <si>
    <t>省市编码及名称码表</t>
  </si>
  <si>
    <t>按照provincecode先去重，只保留省份编码及省名称</t>
  </si>
  <si>
    <t>关联条件：A.provincecode = C.provincecode</t>
  </si>
  <si>
    <t>province_name</t>
  </si>
  <si>
    <t>关联回填</t>
  </si>
  <si>
    <t>地市编码</t>
  </si>
  <si>
    <t>split(cellkey,'_')[1]</t>
  </si>
  <si>
    <t>split(cellkey,'_')[0]</t>
  </si>
  <si>
    <t>gnbname</t>
  </si>
  <si>
    <t>基站名称</t>
  </si>
  <si>
    <t>cell名称</t>
  </si>
  <si>
    <t>用户号码（字符串格式）</t>
  </si>
  <si>
    <t>tinyint</t>
  </si>
  <si>
    <t>接入类型</t>
  </si>
  <si>
    <t>quarter_cnt</t>
  </si>
  <si>
    <t>驻留时刻数</t>
  </si>
  <si>
    <t>count(distinct quarter)</t>
  </si>
  <si>
    <t>1,2,3,4</t>
  </si>
  <si>
    <t>N1N2信令消息数</t>
  </si>
  <si>
    <t>all_total_quarter_cnt</t>
  </si>
  <si>
    <t>全天驻留时刻数</t>
  </si>
  <si>
    <t>sum(quarter_cnt)</t>
  </si>
  <si>
    <t>[1,96]</t>
  </si>
  <si>
    <t>day_quarter_cnt</t>
  </si>
  <si>
    <t>白天驻留时刻数</t>
  </si>
  <si>
    <t>sum(case when (hour &gt;= 9 and hour &lt;= 11) or (hour &gt;= 14 and hour &lt;= 17)  then quarter_cnt else 0 end)</t>
  </si>
  <si>
    <t>[1,24]</t>
  </si>
  <si>
    <t>night_quarter_cnt</t>
  </si>
  <si>
    <t>夜晚驻留时刻数</t>
  </si>
  <si>
    <t>sum(case when (hour &gt;= 0 and hour &lt;= 6) or (hour &gt;= 21 and hour &lt;= 23)  then quarter_cnt else 0 end)</t>
  </si>
  <si>
    <t>[1,40]</t>
  </si>
  <si>
    <t>all_day_record_cnt</t>
  </si>
  <si>
    <t>全天n1n2信令数</t>
  </si>
  <si>
    <t>day_record_cnt</t>
  </si>
  <si>
    <t>白天n1n2信令数</t>
  </si>
  <si>
    <t>sum(case when (hour &gt;= 9 and hour &lt;= 11) or (hour &gt;= 14 and hour &lt;= 17)  then record_cnt else 0 end)</t>
  </si>
  <si>
    <t>night_record_cnt</t>
  </si>
  <si>
    <t>夜晚n1n2信令数</t>
  </si>
  <si>
    <t>sum(case when (hour &gt;= 0 and hour &lt;= 6) or (hour &gt;= 21 and hour &lt;= 23)  then record_cnt else 0 end)</t>
  </si>
  <si>
    <t>is_all_resident_d</t>
  </si>
  <si>
    <t>是否全天常驻（1为常驻，0为非常驻）</t>
  </si>
  <si>
    <t>case when sum(quarter_cnt)&gt;=16 then 1 else 0 end</t>
  </si>
  <si>
    <t>is_day_resident_d</t>
  </si>
  <si>
    <t>是否白天常驻（1为常驻，0为非常驻）</t>
  </si>
  <si>
    <t>case when sum(case when (hour &gt;= 9 and hour &lt;= 11) or (hour &gt;= 14 and hour &lt;= 17)  then quarter_cnt else 0 end) &gt;= 6 then 1 else 0 end</t>
  </si>
  <si>
    <t>is_night_resident_d</t>
  </si>
  <si>
    <t>是否夜晚常驻（1为常驻，0为非常驻）</t>
  </si>
  <si>
    <t>case when sum(case when (hour &gt;= 0 and hour &lt;= 6) or (hour &gt;= 21 and hour &lt;= 23)  then quarter_cnt else 0 end) &gt;= 7 then 1 else 0 end</t>
  </si>
  <si>
    <t>只保留满足周粒度常驻的数据，即sum(is_all_resident_d + is_day_resident_d + is_night_resident_d)&gt;0</t>
  </si>
  <si>
    <t>使用前7天数据进行清洗</t>
  </si>
  <si>
    <t>对应字段：day</t>
  </si>
  <si>
    <t>对应字段：provincename</t>
  </si>
  <si>
    <t>对应字段：gnbname</t>
  </si>
  <si>
    <t>对应字段：cellname</t>
  </si>
  <si>
    <t>对应字段：rat</t>
  </si>
  <si>
    <t>周粒度驻留时刻数</t>
  </si>
  <si>
    <t>sum(all_total_quarter_cnt)</t>
  </si>
  <si>
    <t>对应字段：all_total_quarter_cnt_sum</t>
  </si>
  <si>
    <t>周粒度白天驻留时刻数</t>
  </si>
  <si>
    <t>sum(day_quarter_cnt)</t>
  </si>
  <si>
    <t>对应字段：day_quarter_cnt_sum</t>
  </si>
  <si>
    <t>[1,168]</t>
  </si>
  <si>
    <t>周粒度夜晚驻留时刻数</t>
  </si>
  <si>
    <t>sum(night_quarter_cnt)</t>
  </si>
  <si>
    <t>对应字段：night_quarter_cnt_sum</t>
  </si>
  <si>
    <t>[1,280]</t>
  </si>
  <si>
    <t>all_day_n1n2_cnt</t>
  </si>
  <si>
    <t>周粒度n1n2信令数</t>
  </si>
  <si>
    <t>sum(all_day_record_cnt)</t>
  </si>
  <si>
    <t>对应字段：all_day_total_n1n2_signal_cnt_sum</t>
  </si>
  <si>
    <t>day_n1n2_cnt</t>
  </si>
  <si>
    <t>周粒度白天n1n2信令数</t>
  </si>
  <si>
    <t>sum(day_record_cnt)</t>
  </si>
  <si>
    <t>对应字段：day_n1n2_signal_cnt_sum</t>
  </si>
  <si>
    <t>night_n1n2_cnt</t>
  </si>
  <si>
    <t>周粒度夜晚n1n2信令数</t>
  </si>
  <si>
    <t>sum(night_record_cnt)</t>
  </si>
  <si>
    <t>对应字段：night_n1n2_signal_cnt_sum</t>
  </si>
  <si>
    <t>是否周粒度常驻（1为常驻，0为非常驻）</t>
  </si>
  <si>
    <t>case when sum(is_all_resident_d) &gt;= 4 then 1 else 0 end</t>
  </si>
  <si>
    <t>对应字段：is_all_resident_w</t>
  </si>
  <si>
    <t>是否周粒度白天常驻（1为常驻，0为非常驻）</t>
  </si>
  <si>
    <t>case when sum(is_day_resident_d) &gt;= 4 then 1 else 0 end</t>
  </si>
  <si>
    <t>对应字段：is_day_resident_w</t>
  </si>
  <si>
    <t>是否周粒度夜晚常驻（1为常驻，0为非常驻）</t>
  </si>
  <si>
    <t>case when sum(is_night_resident_d) &gt;= 4 then 1 else 0 end</t>
  </si>
  <si>
    <t>对应字段：is_night_resident_w</t>
  </si>
  <si>
    <t>sum(abnor_release_cnt)</t>
  </si>
  <si>
    <t>sum(normal_release_cnt)</t>
  </si>
  <si>
    <t>sum(procedure_normal_cnt)</t>
  </si>
  <si>
    <t>异常业务流程次数</t>
  </si>
  <si>
    <t>sum(nvl(record_cnt,0)-nvl(procedure_normal_cnt,0))</t>
  </si>
  <si>
    <t>cellkey关联工参回填</t>
  </si>
  <si>
    <t>归属省份编码</t>
  </si>
  <si>
    <t>RAT类型</t>
  </si>
  <si>
    <t>AMFIP地址</t>
  </si>
  <si>
    <t>基站IP地址</t>
  </si>
  <si>
    <t>APN</t>
  </si>
  <si>
    <t>切片/服务类型</t>
  </si>
  <si>
    <t>切片差分器</t>
  </si>
  <si>
    <t>concat_ws('_',floor(ci/4096), ci%4096)</t>
  </si>
  <si>
    <t>regexp_replace ( trim( msisdn ), '^86', '' )</t>
  </si>
  <si>
    <t>IMSI号</t>
  </si>
  <si>
    <t>IMEI号</t>
  </si>
  <si>
    <t>流程失败响应消息</t>
  </si>
  <si>
    <t>失败次数</t>
  </si>
  <si>
    <t>sum(case when procedure_status = 2 or procedure_status = 3 then 1 else 0 end)</t>
  </si>
  <si>
    <t>5G_DPI_N1N2基础维度小时汇聚表</t>
  </si>
  <si>
    <t>访问省编码</t>
  </si>
  <si>
    <t>regist_request_cnt</t>
  </si>
  <si>
    <t>注册请求次数</t>
  </si>
  <si>
    <t>sum(case when  procedure_type=0 then  record_cnt else 0 end)</t>
  </si>
  <si>
    <t>regist_succ_cnt</t>
  </si>
  <si>
    <t>注册成功次数</t>
  </si>
  <si>
    <t>sum(case when  procedure_type=0 and procedure_status=1 then  record_cnt else 0 end)</t>
  </si>
  <si>
    <t>regist_fail_cnt</t>
  </si>
  <si>
    <t>注册失败次数</t>
  </si>
  <si>
    <t>sum(case when  procedure_type=0 and procedure_status=2 then  record_cnt else 0 end)</t>
  </si>
  <si>
    <t>regist_timeout_cnt</t>
  </si>
  <si>
    <t>注册超时次数</t>
  </si>
  <si>
    <t>sum(case when  procedure_type=0 and procedure_status=3 then  record_cnt else 0 end)</t>
  </si>
  <si>
    <t>regist_delay</t>
  </si>
  <si>
    <t>注册平均时延</t>
  </si>
  <si>
    <t>sum(case when  procedure_type=0 and procedure_status=1 then  procedure_delay*record_cnt else 0 end) / sum(case when  procedure_type=0 and procedure_status=1 then  record_cnt else 0 end)</t>
  </si>
  <si>
    <t>regist_init_request_cnt</t>
  </si>
  <si>
    <t>初始注册请求次数</t>
  </si>
  <si>
    <t>sum(case when  procedure_type=0 and keyword=1 then  record_cnt else 0 end)</t>
  </si>
  <si>
    <t>regist_init_succ_cnt</t>
  </si>
  <si>
    <t>初始注册成功次数</t>
  </si>
  <si>
    <t>sum(case when  procedure_type=0 and keyword=1 and procedure_status=1 then  record_cnt else 0 end)</t>
  </si>
  <si>
    <t>regist_init_fail_cnt</t>
  </si>
  <si>
    <t>初始注册失败次数</t>
  </si>
  <si>
    <t>sum(case when  procedure_type=0 and keyword=1 and procedure_status=2 then  record_cnt else 0 end)</t>
  </si>
  <si>
    <t>regist_init_timeout_cnt</t>
  </si>
  <si>
    <t>初始注册超时次数</t>
  </si>
  <si>
    <t>sum(case when  procedure_type=0 and keyword=1 and procedure_status=3 then  record_cnt else 0 end)</t>
  </si>
  <si>
    <t>regist_init_delay</t>
  </si>
  <si>
    <t>初始注册平均时延</t>
  </si>
  <si>
    <t>sum(case when  procedure_type=0 and keyword=1 and procedure_status=1 then  procedure_delay*record_cnt else 0 end) / sum(case when  procedure_type=0 and keyword=1 and procedure_status=1 then  record_cnt else 0 end)</t>
  </si>
  <si>
    <t>regist_periodic_request_cnt</t>
  </si>
  <si>
    <t>周期性注册请求次数</t>
  </si>
  <si>
    <t>sum(case when  procedure_type=0 and keyword=3 then  record_cnt else 0 end)</t>
  </si>
  <si>
    <t>regist_periodic_succ_cnt</t>
  </si>
  <si>
    <t>周期性注册成功次数</t>
  </si>
  <si>
    <t>sum(case when  procedure_type=0 and keyword=3 and procedure_status=1 then  record_cnt else 0 end)</t>
  </si>
  <si>
    <t>regist_periodic_fail_cnt</t>
  </si>
  <si>
    <t>周期性注册失败次数</t>
  </si>
  <si>
    <t>sum(case when  procedure_type=0 and keyword=3 and procedure_status=2 then  record_cnt else 0 end)</t>
  </si>
  <si>
    <t>regist_periodic_timeout_cnt</t>
  </si>
  <si>
    <t>周期性注册超时次数</t>
  </si>
  <si>
    <t>sum(case when  procedure_type=0 and keyword=3 and procedure_status=3 then  record_cnt else 0 end)</t>
  </si>
  <si>
    <t>regist_periodic_delay</t>
  </si>
  <si>
    <t>周期性注册平均时延</t>
  </si>
  <si>
    <t>sum(case when  procedure_type=0 and keyword=3 and procedure_status=1 then  procedure_delay*record_cnt else 0 end) / sum(case when  procedure_type=0 and keyword=3 and procedure_status=1 then  record_cnt else 0 end)</t>
  </si>
  <si>
    <t>regist_mobility_request_cnt</t>
  </si>
  <si>
    <t>移动性注册请求次数</t>
  </si>
  <si>
    <t>sum(case when  procedure_type=0 and keyword=2 then  record_cnt else 0 end)</t>
  </si>
  <si>
    <t>regist_mobility_succ_cnt</t>
  </si>
  <si>
    <t>移动性注册成功次数</t>
  </si>
  <si>
    <t>sum(case when  procedure_type=0 and keyword=2 and procedure_status=1 then  record_cnt else 0 end)</t>
  </si>
  <si>
    <t>regist_mobility_fail_cnt</t>
  </si>
  <si>
    <t>移动性注册失败次数</t>
  </si>
  <si>
    <t>sum(case when  procedure_type=0 and keyword=2 and procedure_status=2 then  record_cnt else 0 end)</t>
  </si>
  <si>
    <t>regist_mobility_timeout_cnt</t>
  </si>
  <si>
    <t>移动性注册超时次数</t>
  </si>
  <si>
    <t>sum(case when  procedure_type=0 and keyword=2 and procedure_status=3 then  record_cnt else 0 end)</t>
  </si>
  <si>
    <t>regist_mobility_delay</t>
  </si>
  <si>
    <t>移动性注册平均时延</t>
  </si>
  <si>
    <t>sum(case when  procedure_type=0 and keyword=2 and procedure_status=1 then  procedure_delay*record_cnt else 0 end) / sum(case when  procedure_type=0 and keyword=2 and procedure_status=1 then  record_cnt else 0 end)</t>
  </si>
  <si>
    <t>regist_emergency_request_cnt</t>
  </si>
  <si>
    <t>紧急注册请求次数</t>
  </si>
  <si>
    <t>sum(case when  procedure_type=0 and keyword=4 then  record_cnt else 0 end)</t>
  </si>
  <si>
    <t>regist_emergency_succ_cnt</t>
  </si>
  <si>
    <t>紧急注册成功次数</t>
  </si>
  <si>
    <t>sum(case when  procedure_type=0 and keyword=4 and procedure_status=1 then  record_cnt else 0 end)</t>
  </si>
  <si>
    <t>regist_emergency_fail_cnt</t>
  </si>
  <si>
    <t>紧急注册失败次数</t>
  </si>
  <si>
    <t>sum(case when  procedure_type=0 and keyword=4 and procedure_status=2 then  record_cnt else 0 end)</t>
  </si>
  <si>
    <t>regist_emergency_timeout_cnt</t>
  </si>
  <si>
    <t>紧急注册超时次数</t>
  </si>
  <si>
    <t>sum(case when  procedure_type=0 and keyword=4 and procedure_status=3 then  record_cnt else 0 end)</t>
  </si>
  <si>
    <t>regist_emergency_delay</t>
  </si>
  <si>
    <t>紧急注册平均时延</t>
  </si>
  <si>
    <t>sum(case when  procedure_type=0 and keyword=4 and procedure_status=1 then  procedure_delay*record_cnt else 0 end) / sum(case when  procedure_type=0 and keyword=4 and procedure_status=1 then  record_cnt else 0 end)</t>
  </si>
  <si>
    <t>servicerequest_request_cnt</t>
  </si>
  <si>
    <t>业务请求次数</t>
  </si>
  <si>
    <t>sum(case when  procedure_type=2 then  record_cnt else 0 end)</t>
  </si>
  <si>
    <t>servicerequest_succ_cnt</t>
  </si>
  <si>
    <t>业务请求成功次数</t>
  </si>
  <si>
    <t>sum(case when  procedure_type=2 and procedure_status=1 then  record_cnt else 0 end)</t>
  </si>
  <si>
    <t>servicerequest_fail_cnt</t>
  </si>
  <si>
    <t>业务请求失败次数</t>
  </si>
  <si>
    <t>sum(case when  procedure_type=2 and procedure_status=2 then  record_cnt else 0 end)</t>
  </si>
  <si>
    <t>servicerequest_timeout_cnt</t>
  </si>
  <si>
    <t>业务请求超时次数</t>
  </si>
  <si>
    <t>sum(case when  procedure_type=2 and procedure_status=3 then  record_cnt else 0 end)</t>
  </si>
  <si>
    <t>servicerequest_delay</t>
  </si>
  <si>
    <t>业务请求平均时延</t>
  </si>
  <si>
    <t>sum(case when  procedure_type=2 and procedure_status=1 then  procedure_delay*record_cnt else 0 end) / sum(case when  procedure_type=2 and procedure_status=1 then  record_cnt else 0 end)</t>
  </si>
  <si>
    <t>sms_request_cnt</t>
  </si>
  <si>
    <t>短信业务请求次数</t>
  </si>
  <si>
    <t>sms_succ_cnt</t>
  </si>
  <si>
    <t>短信业务成功次数</t>
  </si>
  <si>
    <t>sms_fail_cnt</t>
  </si>
  <si>
    <t>短信业务失败次数</t>
  </si>
  <si>
    <t>sms_timeout_cnt</t>
  </si>
  <si>
    <t>短信业务超时次数</t>
  </si>
  <si>
    <t>sms_delay</t>
  </si>
  <si>
    <t>短信业务时延</t>
  </si>
  <si>
    <t>sms_mo_request_cnt</t>
  </si>
  <si>
    <t>短信MO请求次数</t>
  </si>
  <si>
    <t>sum(case when  procedure_type=2 and keyword=0 then  record_cnt else 0 end)</t>
  </si>
  <si>
    <t>sms_mo_succ_cnt</t>
  </si>
  <si>
    <t>短信MO成功次数</t>
  </si>
  <si>
    <t>sum(case when  procedure_type=2 and keyword=0 and procedure_status=1 then  record_cnt else 0 end)</t>
  </si>
  <si>
    <t>sms_mo_fail_cnt</t>
  </si>
  <si>
    <t>短信MO失败次数</t>
  </si>
  <si>
    <t>sum(case when  procedure_type=2 and keyword=0 and procedure_status=2 then  record_cnt else 0 end)</t>
  </si>
  <si>
    <t>sms_mo_timeout_cnt</t>
  </si>
  <si>
    <t>短信MO超时次数</t>
  </si>
  <si>
    <t>sum(case when  procedure_type=2 and keyword=0 and procedure_status=3 then  record_cnt else 0 end)</t>
  </si>
  <si>
    <t>sms_mo_delay</t>
  </si>
  <si>
    <t>短信MO平均时延</t>
  </si>
  <si>
    <t>sum(case when  procedure_type=2 and keyword=0 and procedure_status=1 then  procedure_delay*record_cnt else 0 end) / sum(case when  procedure_type=2 and keyword=0 and procedure_status=1 then  record_cnt else 0 end)</t>
  </si>
  <si>
    <t>sms_mt_request_cnt</t>
  </si>
  <si>
    <t>短信MT请求次数</t>
  </si>
  <si>
    <t>sum(case when  procedure_type=2 and keyword=1 then  record_cnt else 0 end)</t>
  </si>
  <si>
    <t>sms_mt_succ_cnt</t>
  </si>
  <si>
    <t>短信MT成功次数</t>
  </si>
  <si>
    <t>sum(case when  procedure_type=2 and keyword=1 and procedure_status=1 then  record_cnt else 0 end)</t>
  </si>
  <si>
    <t>sms_mt_fail_cnt</t>
  </si>
  <si>
    <t>短信MT失败次数</t>
  </si>
  <si>
    <t>sum(case when  procedure_type=2 and keyword=1 and procedure_status=2 then  record_cnt else 0 end)</t>
  </si>
  <si>
    <t>sms_mt_timeout_cnt</t>
  </si>
  <si>
    <t>短信MT超时次数</t>
  </si>
  <si>
    <t>sum(case when  procedure_type=2 and keyword=1 and procedure_status=3 then  record_cnt else 0 end)</t>
  </si>
  <si>
    <t>sms_mt_delay</t>
  </si>
  <si>
    <t>短信MT平均时延</t>
  </si>
  <si>
    <t>sum(case when  procedure_type=2 and keyword=1 and procedure_status=1 then  procedure_delay*record_cnt else 0 end) / sum(case when  procedure_type=2 and keyword=1 and procedure_status=1 then  record_cnt else 0 end)</t>
  </si>
  <si>
    <t>pdusession_estab_request_cnt</t>
  </si>
  <si>
    <t>PDU会话建立请求次数</t>
  </si>
  <si>
    <t>sum(case when  procedure_type=30 then  record_cnt else 0 end)</t>
  </si>
  <si>
    <t>pdusession_estab_succ_cnt</t>
  </si>
  <si>
    <t>PDU会话建立成功次数</t>
  </si>
  <si>
    <t>sum(case when  procedure_type=30 and procedure_status=1 then  record_cnt else 0 end)</t>
  </si>
  <si>
    <t>pdusession_estab_fail_cnt</t>
  </si>
  <si>
    <t>PDU会话建立失败次数</t>
  </si>
  <si>
    <t>sum(case when  procedure_type=30 and procedure_status=2 then  record_cnt else 0 end)</t>
  </si>
  <si>
    <t>pdusession_estab_timeout_cnt</t>
  </si>
  <si>
    <t>PDU会话建立超时次数</t>
  </si>
  <si>
    <t>sum(case when  procedure_type=30 and procedure_status=3 then  record_cnt else 0 end)</t>
  </si>
  <si>
    <t>pdusession_estab_delay</t>
  </si>
  <si>
    <t>PDU会话建立平均时延</t>
  </si>
  <si>
    <t>sum(case when  procedure_type=30 and procedure_status=1 then  procedure_delay*record_cnt else 0 end) / sum(case when  procedure_type=30 and procedure_status=1 then  record_cnt else 0 end)</t>
  </si>
  <si>
    <t>pdusession_modify_request_cnt</t>
  </si>
  <si>
    <t>PDU会话修改请求次数</t>
  </si>
  <si>
    <t>sum(case when  procedure_type=31 then  record_cnt else 0 end)</t>
  </si>
  <si>
    <t>pdusession_modify_succ_cnt</t>
  </si>
  <si>
    <t>PDU会话修改成功次数</t>
  </si>
  <si>
    <t>sum(case when  procedure_type=31 and procedure_status=1 then  record_cnt else 0 end)</t>
  </si>
  <si>
    <t>pdusession_modify_fail_cnt</t>
  </si>
  <si>
    <t>PDU会话修改失败次数</t>
  </si>
  <si>
    <t>sum(case when  procedure_type=31 and procedure_status=2 then  record_cnt else 0 end)</t>
  </si>
  <si>
    <t>pdusession_modify_timeout_cnt</t>
  </si>
  <si>
    <t>PDU会话修改超时次数</t>
  </si>
  <si>
    <t>sum(case when  procedure_type=31 and procedure_status=3 then  record_cnt else 0 end)</t>
  </si>
  <si>
    <t>pdusession_modify_delay</t>
  </si>
  <si>
    <t>PDU会话修改平均时延</t>
  </si>
  <si>
    <t>sum(case when  procedure_type=31 and procedure_status=1 then  procedure_delay*record_cnt else 0 end) / sum(case when  procedure_type=31 and procedure_status=1 then  record_cnt else 0 end)</t>
  </si>
  <si>
    <t>pdusession_release_request_cnt</t>
  </si>
  <si>
    <t>PDU会话释放请求次数</t>
  </si>
  <si>
    <t>sum(case when  procedure_type=32 then  record_cnt else 0 end)</t>
  </si>
  <si>
    <t>pdusession_release_succ_cnt</t>
  </si>
  <si>
    <t>PDU会话释放成功次数</t>
  </si>
  <si>
    <t>sum(case when  procedure_type=32 and procedure_status=1 then  record_cnt else 0 end)</t>
  </si>
  <si>
    <t>pdusession_release_fail_cnt</t>
  </si>
  <si>
    <t>PDU会话释放失败次数</t>
  </si>
  <si>
    <t>sum(case when  procedure_type=32 and procedure_status=2 then  record_cnt else 0 end)</t>
  </si>
  <si>
    <t>pdusession_release_timeout_cnt</t>
  </si>
  <si>
    <t>PDU会话释放超时次数</t>
  </si>
  <si>
    <t>sum(case when  procedure_type=32 and procedure_status=3 then  record_cnt else 0 end)</t>
  </si>
  <si>
    <t>pdusession_release_delay</t>
  </si>
  <si>
    <t>PDU会话释放平均时延</t>
  </si>
  <si>
    <t>sum(case when  procedure_type=32 and procedure_status=1 then  procedure_delay*record_cnt else 0 end) / sum(case when  procedure_type=32 and procedure_status=1 then  record_cnt else 0 end)</t>
  </si>
  <si>
    <t>n2ho_out_request_cnt</t>
  </si>
  <si>
    <t>N2切出请求次数</t>
  </si>
  <si>
    <t>sum(case when  procedure_type=60 and then  record_cnt else 0 end)</t>
  </si>
  <si>
    <t>n2ho_out_succ_cnt</t>
  </si>
  <si>
    <t>N2切出成功次数</t>
  </si>
  <si>
    <t>sum(case when  procedure_type=60 and and procedure_status=1 then  record_cnt else 0 end)</t>
  </si>
  <si>
    <t>n2ho_out_fail_cnt</t>
  </si>
  <si>
    <t>N2切出失败次数</t>
  </si>
  <si>
    <t>sum(case when  procedure_type=60 and and procedure_status=2 then  record_cnt else 0 end)</t>
  </si>
  <si>
    <t>n2ho_out_timeout_cnt</t>
  </si>
  <si>
    <t>N2切出超时次数</t>
  </si>
  <si>
    <t>sum(case when  procedure_type=60 and and procedure_status=3 then  record_cnt else 0 end)</t>
  </si>
  <si>
    <t>n2ho_out_delay</t>
  </si>
  <si>
    <t>N2切出平均时延</t>
  </si>
  <si>
    <t>sum(case when  procedure_type=60 and and procedure_status=1 then  procedure_delay*record_cnt else 0 end) / sum(case when  procedure_type=60 and and procedure_status=1 then  record_cnt else 0 end)</t>
  </si>
  <si>
    <t>n2ho_out_intra5gs_request_cnt</t>
  </si>
  <si>
    <t>N2_Intra5GS切出请求次数</t>
  </si>
  <si>
    <t>sum(case when  procedure_type=60 and keyword=1 then  record_cnt else 0 end)</t>
  </si>
  <si>
    <t>n2ho_out_intra5gs_succ_cnt</t>
  </si>
  <si>
    <t>N2_Intra5GS切出成功次数</t>
  </si>
  <si>
    <t>sum(case when  procedure_type=60 and keyword=1 and procedure_status=1 then  record_cnt else 0 end)</t>
  </si>
  <si>
    <t>n2ho_out_intra5gs_fail_cnt</t>
  </si>
  <si>
    <t>N2_Intra5GS切出失败次数</t>
  </si>
  <si>
    <t>sum(case when  procedure_type=60 and keyword=1 and procedure_status=2 then  record_cnt else 0 end)</t>
  </si>
  <si>
    <t>n2ho_out_intra5gs_timeout_cnt</t>
  </si>
  <si>
    <t>N2_Intra5GS切出超时次数</t>
  </si>
  <si>
    <t>sum(case when  procedure_type=60 and keyword=1 and procedure_status=3 then  record_cnt else 0 end)</t>
  </si>
  <si>
    <t>n2ho_out_intra5gs_delay</t>
  </si>
  <si>
    <t>N2_Intra5GS切出平均时延</t>
  </si>
  <si>
    <t>sum(case when  procedure_type=60 and keyword=1 and procedure_status=1 then  procedure_delay*record_cnt else 0 end) / sum(case when  procedure_type=60 and keyword=1 and procedure_status=1 then  record_cnt else 0 end)</t>
  </si>
  <si>
    <t>n2ho_out_5gstoeps_request_cnt</t>
  </si>
  <si>
    <t>N2_5GStoEPS切出请求次数</t>
  </si>
  <si>
    <t>sum(case when  procedure_type=60 and keyword=2 then  record_cnt else 0 end)</t>
  </si>
  <si>
    <t>n2ho_out_5gstoeps_succ_cnt</t>
  </si>
  <si>
    <t>N2_5GStoEPS切出成功次数</t>
  </si>
  <si>
    <t>sum(case when  procedure_type=60 and keyword=2 and procedure_status=1 then  record_cnt else 0 end)</t>
  </si>
  <si>
    <t>n2ho_out_5gstoeps_fail_cnt</t>
  </si>
  <si>
    <t>N2_5GStoEPS切出失败次数</t>
  </si>
  <si>
    <t>sum(case when  procedure_type=60 and keyword=2 and procedure_status=2 then  record_cnt else 0 end)</t>
  </si>
  <si>
    <t>n2ho_out_5gstoeps_timeout_cnt</t>
  </si>
  <si>
    <t>N2_5GStoEPS切出超时次数</t>
  </si>
  <si>
    <t>sum(case when  procedure_type=60 and keyword=2 and procedure_status=3 then  record_cnt else 0 end)</t>
  </si>
  <si>
    <t>n2ho_out_5gstoeps_delay</t>
  </si>
  <si>
    <t>N2_5GStoEPS切出平均时延</t>
  </si>
  <si>
    <t>sum(case when  procedure_type=60 and keyword=2 and procedure_status=1 then  procedure_delay*record_cnt else 0 end) / sum(case when  procedure_type=60 and keyword=2 and procedure_status=1 then  record_cnt else 0 end)</t>
  </si>
  <si>
    <t>n2ho_in_intra5gs_request_cnt</t>
  </si>
  <si>
    <t>N2_Intra5GS切入请求次数</t>
  </si>
  <si>
    <t>sum(case when  procedure_type=61 and keyword=1 then  record_cnt else 0 end)</t>
  </si>
  <si>
    <t>n2ho_in_intra5gs_succ_cnt</t>
  </si>
  <si>
    <t>N2_Intra5GS切入成功次数</t>
  </si>
  <si>
    <t>sum(case when  procedure_type=61 and keyword=1 and procedure_status=1 then  record_cnt else 0 end)</t>
  </si>
  <si>
    <t>n2ho_in_intra5gs_fail_cnt</t>
  </si>
  <si>
    <t>N2_Intra5GS切入失败次数</t>
  </si>
  <si>
    <t>sum(case when  procedure_type=61 and keyword=1 and procedure_status=2 then  record_cnt else 0 end)</t>
  </si>
  <si>
    <t>n2ho_in_intra5gs_timeout</t>
  </si>
  <si>
    <t>N2_Intra5GS切入超时次数</t>
  </si>
  <si>
    <t>sum(case when  procedure_type=61 and keyword=1 and procedure_status=3 then  record_cnt else 0 end)</t>
  </si>
  <si>
    <t>n2ho_in_intra5gs_delay</t>
  </si>
  <si>
    <t>N2_Intra5GS切入平均时延</t>
  </si>
  <si>
    <t>sum(case when  procedure_type=61 and keyword=1 and procedure_status=1 then  procedure_delay*record_cnt else 0 end) / sum(case when  procedure_type=61 and keyword=1 and procedure_status=1 then  record_cnt else 0 end)</t>
  </si>
  <si>
    <t>n2ho_in_epsto5gs_request_cnt</t>
  </si>
  <si>
    <t>N2_EPSto5GS切入请求次数</t>
  </si>
  <si>
    <t>sum(case when  procedure_type=61 and keyword=3 then  record_cnt else 0 end)</t>
  </si>
  <si>
    <t>n2ho_in_epsto5gs_succ_cnt</t>
  </si>
  <si>
    <t>N2_EPSto5GS切入成功次数</t>
  </si>
  <si>
    <t>sum(case when  procedure_type=61 and keyword=3 and procedure_status=1 then  record_cnt else 0 end)</t>
  </si>
  <si>
    <t>n2ho_in_epsto5gs_fail_cnt</t>
  </si>
  <si>
    <t>N2_EPSto5GS切入失败次数</t>
  </si>
  <si>
    <t>sum(case when  procedure_type=61 and keyword=3 and procedure_status=2 then  record_cnt else 0 end)</t>
  </si>
  <si>
    <t>n2ho_in_epsto5gs_timeout</t>
  </si>
  <si>
    <t>N2_EPSto5GS切入超时次数</t>
  </si>
  <si>
    <t>sum(case when  procedure_type=61 and keyword=3 and procedure_status=3 then  record_cnt else 0 end)</t>
  </si>
  <si>
    <t>n2ho_in_epsto5gs_delay</t>
  </si>
  <si>
    <t>N2_EPSto5GS切入平均时延</t>
  </si>
  <si>
    <t>sum(case when  procedure_type=61 and keyword=3 and procedure_status=1 then  procedure_delay*record_cnt else 0 end) / sum(case when  procedure_type=61 and keyword=3 and procedure_status=1 then  record_cnt else 0 end)</t>
  </si>
  <si>
    <t>n2ho_cancel_request_cnt</t>
  </si>
  <si>
    <t>N2切换取消请求次数</t>
  </si>
  <si>
    <t>sum(case when  procedure_type=62 then  record_cnt else 0 end)</t>
  </si>
  <si>
    <t>n2ho_cancel_succ_cnt</t>
  </si>
  <si>
    <t>N2切换取消成功次数</t>
  </si>
  <si>
    <t>sum(case when  procedure_type=62 and procedure_status=1 then  record_cnt else 0 end)</t>
  </si>
  <si>
    <t>n2ho_cancel_fail_cnt</t>
  </si>
  <si>
    <t>N2切换取消失败次数</t>
  </si>
  <si>
    <t>sum(case when  procedure_type=62 and procedure_status=2 then  record_cnt else 0 end)</t>
  </si>
  <si>
    <t>n2ho_cancel_timeout_cnt</t>
  </si>
  <si>
    <t>N2切换取消超时次数</t>
  </si>
  <si>
    <t>sum(case when  procedure_type=62 and procedure_status=3 then  record_cnt else 0 end)</t>
  </si>
  <si>
    <t>n2ho_cancel_delay</t>
  </si>
  <si>
    <t>N2切换取消时延</t>
  </si>
  <si>
    <t>sum(case when  procedure_type=62 and procedure_status=1 then  procedure_delay*record_cnt else 0 end) / sum(case when  procedure_type=62 and procedure_status=1 then  record_cnt else 0 end)</t>
  </si>
  <si>
    <t>xnho_request_cnt</t>
  </si>
  <si>
    <t>Xn切换请求次数</t>
  </si>
  <si>
    <t>sum(case when  procedure_type=63 then  record_cnt else 0 end)</t>
  </si>
  <si>
    <t>xnho_succ_cnt</t>
  </si>
  <si>
    <t>Xn切换成功次数</t>
  </si>
  <si>
    <t>sum(case when  procedure_type=63 and procedure_status=1 then  record_cnt else 0 end)</t>
  </si>
  <si>
    <t>xnho_fail_cnt</t>
  </si>
  <si>
    <t>Xn切换失败次数</t>
  </si>
  <si>
    <t>sum(case when  procedure_type=63 and procedure_status=2 then  record_cnt else 0 end)</t>
  </si>
  <si>
    <t>xnho_timeout_cnt</t>
  </si>
  <si>
    <t>Xn切换超时次数</t>
  </si>
  <si>
    <t>sum(case when  procedure_type=63 and procedure_status=3 then  record_cnt else 0 end)</t>
  </si>
  <si>
    <t>xnho_delay</t>
  </si>
  <si>
    <t>Xn切换平均时延</t>
  </si>
  <si>
    <t>sum(case when  procedure_type=63 and procedure_status=1 then  procedure_delay*record_cnt else 0 end) / sum(case when  procedure_type=63 and procedure_status=1 then  record_cnt else 0 end)</t>
  </si>
  <si>
    <t>amf_ue_context_release_request_cnt</t>
  </si>
  <si>
    <t>AMF发起的UE上下文释放请求次数</t>
  </si>
  <si>
    <t>sum(case when  procedure_type=64 and keyword=2 then  record_cnt else 0 end)</t>
  </si>
  <si>
    <t>amf_ue_context_release_succ_cnt</t>
  </si>
  <si>
    <t>AMF发起的UE上下文释放成功次数</t>
  </si>
  <si>
    <t>sum(case when  procedure_type=64 and keyword=2 and procedure_status=1 then  record_cnt else 0 end)</t>
  </si>
  <si>
    <t>amf_ue_context_release_fail_cnt</t>
  </si>
  <si>
    <t>AMF发起的UE上下文释放失败次数</t>
  </si>
  <si>
    <t>sum(case when  procedure_type=64 and keyword=2 and procedure_status=2 then  record_cnt else 0 end)</t>
  </si>
  <si>
    <t>amf_ue_context_release_timeout</t>
  </si>
  <si>
    <t>AMF发起的UE上下文释放超时次数</t>
  </si>
  <si>
    <t>sum(case when  procedure_type=64 and keyword=2 and procedure_status=3 then  record_cnt else 0 end)</t>
  </si>
  <si>
    <t>amf_ue_context_release_delay</t>
  </si>
  <si>
    <t>AMF发起的UE上下文释放时延</t>
  </si>
  <si>
    <t>sum(case when  procedure_type=64 and keyword=2 and procedure_status=1 then  procedure_delay*record_cnt else 0 end) / sum(case when  procedure_type=64 and keyword=2 and procedure_status=1 then  record_cnt else 0 end)</t>
  </si>
  <si>
    <t>an_ue_context_release_request_cnt</t>
  </si>
  <si>
    <t>AN发起的UE上下文释放请求次数</t>
  </si>
  <si>
    <t>sum(case when  procedure_type=64 and keyword=1 then  record_cnt else 0 end)</t>
  </si>
  <si>
    <t>an_ue_context_release_succ_cnt</t>
  </si>
  <si>
    <t>AN发起的UE上下文释放成功次数</t>
  </si>
  <si>
    <t>sum(case when  procedure_type=64 and keyword=1 and procedure_status=1 then  record_cnt else 0 end)</t>
  </si>
  <si>
    <t>an_ue_context_release_fail_cnt</t>
  </si>
  <si>
    <t>AN发起的UE上下文释放失败次数</t>
  </si>
  <si>
    <t>sum(case when  procedure_type=64 and keyword=1 and procedure_status=2 then  record_cnt else 0 end)</t>
  </si>
  <si>
    <t>an_ue_context_release_timeout</t>
  </si>
  <si>
    <t>AN发起的UE上下文释放超时次数</t>
  </si>
  <si>
    <t>sum(case when  procedure_type=64 and keyword=1 and procedure_status=3 then  record_cnt else 0 end)</t>
  </si>
  <si>
    <t>an_ue_context_release_delay</t>
  </si>
  <si>
    <t>AN发起的UE上下文释放时延</t>
  </si>
  <si>
    <t>sum(case when  procedure_type=64 and keyword=1 and procedure_status=1 then  procedure_delay*record_cnt else 0 end) / sum(case when  procedure_type=64 and keyword=1 and procedure_status=1 then  record_cnt else 0 end)</t>
  </si>
  <si>
    <t>procedure_record_cnt</t>
  </si>
  <si>
    <t>n1n2信令总条数</t>
  </si>
  <si>
    <t>procedure_succ_cnt</t>
  </si>
  <si>
    <t>n1n2信令成功条数</t>
  </si>
  <si>
    <t>sum(case when procedure_status=1 then  record_cnt else 0 end)</t>
  </si>
  <si>
    <t>procedure_fail_cnt</t>
  </si>
  <si>
    <t>n1n2信令失败条数</t>
  </si>
  <si>
    <t>sum(case when procedure_status=2 then  record_cnt else 0 end)</t>
  </si>
  <si>
    <t>procedure_timeout_cnt</t>
  </si>
  <si>
    <t>n1n2信令超时条数</t>
  </si>
  <si>
    <t>sum(case when procedure_status=3 then  record_cnt else 0 end)</t>
  </si>
  <si>
    <t>异常释放次数(掉线)</t>
  </si>
  <si>
    <t/>
  </si>
  <si>
    <t>regist_request_sum</t>
  </si>
  <si>
    <t>sum(regist_request_cnt)</t>
  </si>
  <si>
    <t>regist_succ_sum</t>
  </si>
  <si>
    <t>sum(regist_succ_cnt)</t>
  </si>
  <si>
    <t>regist_fail_sum</t>
  </si>
  <si>
    <t>sum(regist_fail_cnt)</t>
  </si>
  <si>
    <t>regist_timeout_sum</t>
  </si>
  <si>
    <t>sum(regist_timeout_cnt)</t>
  </si>
  <si>
    <t>regist_delay_sum</t>
  </si>
  <si>
    <t>注册总时延</t>
  </si>
  <si>
    <t>sum(regist_delay_sum)</t>
  </si>
  <si>
    <t>sum(regist_delay)</t>
  </si>
  <si>
    <t>regist_init_request_sum</t>
  </si>
  <si>
    <t>sum(regist_init_request_cnt)</t>
  </si>
  <si>
    <t>regist_init_succ_sum</t>
  </si>
  <si>
    <t>sum(regist_init_succ_cnt)</t>
  </si>
  <si>
    <t>regist_init_fail_sum</t>
  </si>
  <si>
    <t>sum(regist_init_fail_cnt)</t>
  </si>
  <si>
    <t>regist_init_timeout_sum</t>
  </si>
  <si>
    <t>sum(regist_init_timeout_cnt)</t>
  </si>
  <si>
    <t>regist_init_delay_sum</t>
  </si>
  <si>
    <t>初始注册总时延</t>
  </si>
  <si>
    <t>sum(regist_init_delay_sum)</t>
  </si>
  <si>
    <t>sum(regist_init_delay)</t>
  </si>
  <si>
    <t>regist_periodic_request_sum</t>
  </si>
  <si>
    <t>sum(regist_periodic_request_cnt)</t>
  </si>
  <si>
    <t>regist_periodic_succ_sum</t>
  </si>
  <si>
    <t>sum(regist_periodic_succ_cnt)</t>
  </si>
  <si>
    <t>regist_periodic_fail_sum</t>
  </si>
  <si>
    <t>sum(regist_periodic_fail_cnt)</t>
  </si>
  <si>
    <t>regist_periodic_timeout_sum</t>
  </si>
  <si>
    <t>sum(regist_periodic_timeout_cnt)</t>
  </si>
  <si>
    <t>regist_periodic_delay_sum</t>
  </si>
  <si>
    <t>周期性注册总时延</t>
  </si>
  <si>
    <t>sum(regist_periodic_delay_sum)</t>
  </si>
  <si>
    <t>sum(regist_periodic_delay)</t>
  </si>
  <si>
    <t>regist_mobility_request_sum</t>
  </si>
  <si>
    <t>sum(regist_mobility_request_cnt)</t>
  </si>
  <si>
    <t>regist_mobility_succ_sum</t>
  </si>
  <si>
    <t>sum(regist_mobility_succ_cnt)</t>
  </si>
  <si>
    <t>regist_mobility_fail_sum</t>
  </si>
  <si>
    <t>sum(regist_mobility_fail_cnt)</t>
  </si>
  <si>
    <t>regist_mobility_timeout_sum</t>
  </si>
  <si>
    <t>sum(regist_mobility_timeout_cnt)</t>
  </si>
  <si>
    <t>regist_mobility_delay_sum</t>
  </si>
  <si>
    <t>移动性注册总时延</t>
  </si>
  <si>
    <t>sum(regist_mobility_delay_sum)</t>
  </si>
  <si>
    <t>sum(regist_mobility_delay)</t>
  </si>
  <si>
    <t>regist_emergency_request_sum</t>
  </si>
  <si>
    <t>sum(regist_emergency_request_cnt)</t>
  </si>
  <si>
    <t>regist_emergency_succ_sum</t>
  </si>
  <si>
    <t>sum(regist_emergency_succ_cnt)</t>
  </si>
  <si>
    <t>regist_emergency_fail_sum</t>
  </si>
  <si>
    <t>sum(regist_emergency_fail_cnt)</t>
  </si>
  <si>
    <t>regist_emergency_timeout_sum</t>
  </si>
  <si>
    <t>sum(regist_emergency_timeout_cnt)</t>
  </si>
  <si>
    <t>regist_emergency_delay_sum</t>
  </si>
  <si>
    <t>紧急注册总时延</t>
  </si>
  <si>
    <t>sum(regist_emergency_delay_sum)</t>
  </si>
  <si>
    <t>sum(regist_emergency_delay)</t>
  </si>
  <si>
    <t>servicerequest_request_sum</t>
  </si>
  <si>
    <t>sum(servicerequest_request_cnt)</t>
  </si>
  <si>
    <t>servicerequest_succ_sum</t>
  </si>
  <si>
    <t>sum(servicerequest_succ_cnt)</t>
  </si>
  <si>
    <t>servicerequest_fail_sum</t>
  </si>
  <si>
    <t>sum(servicerequest_fail_cnt)</t>
  </si>
  <si>
    <t>servicerequest_timeout_sum</t>
  </si>
  <si>
    <t>sum(servicerequest_timeout_cnt)</t>
  </si>
  <si>
    <t>servicerequest_delay_sum</t>
  </si>
  <si>
    <t>业务请求总时延</t>
  </si>
  <si>
    <t>sum(servicerequest_delay_sum)</t>
  </si>
  <si>
    <t>sum(servicerequest_delay)</t>
  </si>
  <si>
    <t>sms_mo_request_sum</t>
  </si>
  <si>
    <t>sum(sms_mo_request_cnt)</t>
  </si>
  <si>
    <t>sms_mo_succ_sum</t>
  </si>
  <si>
    <t>sum(sms_mo_succ_cnt)</t>
  </si>
  <si>
    <t>sms_mo_fail_sum</t>
  </si>
  <si>
    <t>sum(sms_mo_fail_cnt)</t>
  </si>
  <si>
    <t>sms_mo_timeout_sum</t>
  </si>
  <si>
    <t>sum(sms_mo_timeout_cnt)</t>
  </si>
  <si>
    <t>sms_mo_delay_sum</t>
  </si>
  <si>
    <t>短信MO总时延</t>
  </si>
  <si>
    <t>sum(sms_mo_delay_sum)</t>
  </si>
  <si>
    <t>sum(sms_mo_delay)</t>
  </si>
  <si>
    <t>sms_mt_request_sum</t>
  </si>
  <si>
    <t>sum(sms_mt_request_cnt)</t>
  </si>
  <si>
    <t>sms_mt_succ_sum</t>
  </si>
  <si>
    <t>sum(sms_mt_succ_cnt)</t>
  </si>
  <si>
    <t>sms_mt_fail_sum</t>
  </si>
  <si>
    <t>sum(sms_mt_fail_cnt)</t>
  </si>
  <si>
    <t>sms_mt_timeout_sum</t>
  </si>
  <si>
    <t>sum(sms_mt_timeout_cnt)</t>
  </si>
  <si>
    <t>sms_mt_delay_sum</t>
  </si>
  <si>
    <t>短信MT总时延</t>
  </si>
  <si>
    <t>sum(sms_mt_delay_sum)</t>
  </si>
  <si>
    <t>sum(sms_mt_delay)</t>
  </si>
  <si>
    <t>pdusession_estab_request_sum</t>
  </si>
  <si>
    <t>sum(pdusession_estab_request_cnt)</t>
  </si>
  <si>
    <t>pdusession_estab_succ_sum</t>
  </si>
  <si>
    <t>sum(pdusession_estab_succ_cnt)</t>
  </si>
  <si>
    <t>pdusession_estab_fail_sum</t>
  </si>
  <si>
    <t>sum(pdusession_estab_fail_cnt)</t>
  </si>
  <si>
    <t>pdusession_estab_timeout_sum</t>
  </si>
  <si>
    <t>sum(pdusession_estab_timeout_cnt)</t>
  </si>
  <si>
    <t>pdusession_estab_delay_sum</t>
  </si>
  <si>
    <t>PDU会话建立总时延</t>
  </si>
  <si>
    <t>sum(pdusession_estab_delay_sum)</t>
  </si>
  <si>
    <t>sum(pdusession_estab_delay)</t>
  </si>
  <si>
    <t>pdusession_modify_request_sum</t>
  </si>
  <si>
    <t>sum(pdusession_modify_request_cnt)</t>
  </si>
  <si>
    <t>pdusession_modify_succ_sum</t>
  </si>
  <si>
    <t>sum(pdusession_modify_succ_cnt)</t>
  </si>
  <si>
    <t>pdusession_modify_fail_sum</t>
  </si>
  <si>
    <t>sum(pdusession_modify_fail_cnt)</t>
  </si>
  <si>
    <t>pdusession_modify_timeout_sum</t>
  </si>
  <si>
    <t>sum(pdusession_modify_timeout_cnt)</t>
  </si>
  <si>
    <t>pdusession_modify_delay_sum</t>
  </si>
  <si>
    <t>PDU会话修改总时延</t>
  </si>
  <si>
    <t>sum(pdusession_modify_delay_sum)</t>
  </si>
  <si>
    <t>sum(pdusession_modify_delay)</t>
  </si>
  <si>
    <t>pdusession_release_request_sum</t>
  </si>
  <si>
    <t>sum(pdusession_release_request_cnt)</t>
  </si>
  <si>
    <t>pdusession_release_succ_sum</t>
  </si>
  <si>
    <t>sum(pdusession_release_succ_cnt)</t>
  </si>
  <si>
    <t>pdusession_release_fail_sum</t>
  </si>
  <si>
    <t>sum(pdusession_release_fail_cnt)</t>
  </si>
  <si>
    <t>pdusession_release_timeout_sum</t>
  </si>
  <si>
    <t>sum(pdusession_release_timeout_cnt)</t>
  </si>
  <si>
    <t>pdusession_release_delay_sum</t>
  </si>
  <si>
    <t>PDU会话释放总时延</t>
  </si>
  <si>
    <t>sum(pdusession_release_delay_sum)</t>
  </si>
  <si>
    <t>sum(pdusession_release_delay)</t>
  </si>
  <si>
    <t>n2ho_out_intra5gs_request_sum</t>
  </si>
  <si>
    <t>sum(n2ho_out_intra5gs_request_cnt)</t>
  </si>
  <si>
    <t>n2ho_out_intra5gs_succ_sum</t>
  </si>
  <si>
    <t>sum(n2ho_out_intra5gs_succ_cnt)</t>
  </si>
  <si>
    <t>n2ho_out_intra5gs_fail_sum</t>
  </si>
  <si>
    <t>sum(n2ho_out_intra5gs_fail_cnt)</t>
  </si>
  <si>
    <t>n2ho_out_intra5gs_timeout_sum</t>
  </si>
  <si>
    <t>sum(n2ho_out_intra5gs_timeout_cnt)</t>
  </si>
  <si>
    <t>n2ho_out_intra5gs_delay_sum</t>
  </si>
  <si>
    <t>N2_Intra5GS切出总时延</t>
  </si>
  <si>
    <t>sum(n2ho_out_intra5gs_delay_sum)</t>
  </si>
  <si>
    <t>sum(n2ho_out_intra5gs_delay)</t>
  </si>
  <si>
    <t>n2ho_out_5gstoeps_request_sum</t>
  </si>
  <si>
    <t>sum(n2ho_out_5gstoeps_request_cnt)</t>
  </si>
  <si>
    <t>n2ho_out_5gstoeps_succ_sum</t>
  </si>
  <si>
    <t>sum(n2ho_out_5gstoeps_succ_cnt)</t>
  </si>
  <si>
    <t>n2ho_out_5gstoeps_fail_sum</t>
  </si>
  <si>
    <t>sum(n2ho_out_5gstoeps_fail_cnt)</t>
  </si>
  <si>
    <t>n2ho_out_5gstoeps_timeout_sum</t>
  </si>
  <si>
    <t>sum(n2ho_out_5gstoeps_timeout_cnt)</t>
  </si>
  <si>
    <t>n2ho_out_5gstoeps_delay_sum</t>
  </si>
  <si>
    <t>N2_5GStoEPS切出总时延</t>
  </si>
  <si>
    <t>sum(n2ho_out_5gstoeps_delay_sum)</t>
  </si>
  <si>
    <t>sum(n2ho_out_5gstoeps_delay)</t>
  </si>
  <si>
    <t>n2ho_in_intra5gs_request_sum</t>
  </si>
  <si>
    <t>sum(n2ho_in_intra5gs_request_cnt)</t>
  </si>
  <si>
    <t>n2ho_in_intra5gs_succ_sum</t>
  </si>
  <si>
    <t>sum(n2ho_in_intra5gs_succ_cnt)</t>
  </si>
  <si>
    <t>n2ho_in_intra5gs_fail_sum</t>
  </si>
  <si>
    <t>sum(n2ho_in_intra5gs_fail_cnt)</t>
  </si>
  <si>
    <t>n2ho_in_intra5gs_timeinout_sum</t>
  </si>
  <si>
    <t>sum(n2ho_in_intra5gs_timeout)</t>
  </si>
  <si>
    <t>n2ho_in_intra5gs_delay_sum</t>
  </si>
  <si>
    <t>N2_Intra5GS切入总时延</t>
  </si>
  <si>
    <t>sum(n2ho_in_intra5gs_delay_sum)</t>
  </si>
  <si>
    <t>sum(n2ho_in_intra5gs_delay)</t>
  </si>
  <si>
    <t>n2ho_in_epsto5gs_request_sum</t>
  </si>
  <si>
    <t>sum(n2ho_in_epsto5gs_request_cnt)</t>
  </si>
  <si>
    <t>n2ho_in_epsto5gs_succ_sum</t>
  </si>
  <si>
    <t>sum(n2ho_in_epsto5gs_succ_cnt)</t>
  </si>
  <si>
    <t>n2ho_in_epsto5gs_fail_sum</t>
  </si>
  <si>
    <t>sum(n2ho_in_epsto5gs_fail_cnt)</t>
  </si>
  <si>
    <t>n2ho_in_epsto5gs_timeinout_sum</t>
  </si>
  <si>
    <t>sum(n2ho_in_epsto5gs_timeout)</t>
  </si>
  <si>
    <t>n2ho_in_epsto5gs_delay_sum</t>
  </si>
  <si>
    <t>N2_EPSto5GS切入总时延</t>
  </si>
  <si>
    <t>sum(n2ho_in_epsto5gs_delay_sum)</t>
  </si>
  <si>
    <t>sum(n2ho_in_epsto5gs_delay)</t>
  </si>
  <si>
    <t>xnho_request_sum</t>
  </si>
  <si>
    <t>sum(xnho_request_cnt)</t>
  </si>
  <si>
    <t>xnho_succ_sum</t>
  </si>
  <si>
    <t>sum(xnho_succ_cnt)</t>
  </si>
  <si>
    <t>xnho_fail_sum</t>
  </si>
  <si>
    <t>sum(xnho_fail_cnt)</t>
  </si>
  <si>
    <t>xnho_timeout_sum</t>
  </si>
  <si>
    <t>sum(xnho_timeout_cnt)</t>
  </si>
  <si>
    <t>xnho_delay_sum</t>
  </si>
  <si>
    <t>Xn切换总时延</t>
  </si>
  <si>
    <t>sum(xnho_delay_sum)</t>
  </si>
  <si>
    <t>sum(xnho_delay)</t>
  </si>
  <si>
    <t>amr_ue_context_release_request_sum</t>
  </si>
  <si>
    <t>sum(amf_ue_context_release_request_cnt)</t>
  </si>
  <si>
    <t>amr_ue_context_release_succ_sum</t>
  </si>
  <si>
    <t>sum(amf_ue_context_release_succ_cnt)</t>
  </si>
  <si>
    <t>amr_ue_context_release_fail_sum</t>
  </si>
  <si>
    <t>sum(amf_ue_context_release_fail_cnt)</t>
  </si>
  <si>
    <t>amr_ue_context_release_timeinout_sum</t>
  </si>
  <si>
    <t>sum(amf_ue_context_release_timeout)</t>
  </si>
  <si>
    <t>amr_ue_context_release_delay_sum</t>
  </si>
  <si>
    <t>sum(amf_ue_context_release_delay_sum)</t>
  </si>
  <si>
    <t>an_ue_context_release_request_sum</t>
  </si>
  <si>
    <t>sum(an_ue_context_release_request_cnt)</t>
  </si>
  <si>
    <t>an_ue_context_release_succ_sum</t>
  </si>
  <si>
    <t>sum(an_ue_context_release_succ_cnt)</t>
  </si>
  <si>
    <t>an_ue_context_release_fail_sum</t>
  </si>
  <si>
    <t>sum(an_ue_context_release_fail_cnt)</t>
  </si>
  <si>
    <t>an_ue_context_release_timeinout_sum</t>
  </si>
  <si>
    <t>sum(an_ue_context_release_timeout)</t>
  </si>
  <si>
    <t>an_ue_context_release_delay_sum</t>
  </si>
  <si>
    <t>sum(an_ue_context_release_delay_sum)</t>
  </si>
  <si>
    <t>n2ho_cancel_request_sum</t>
  </si>
  <si>
    <t>sum(n2ho_cancel_request_cnt)</t>
  </si>
  <si>
    <t>n2ho_cancel_succ_sum</t>
  </si>
  <si>
    <t>sum(n2ho_cancel_succ_cnt)</t>
  </si>
  <si>
    <t>n2ho_cancel_fail_sum</t>
  </si>
  <si>
    <t>sum(n2ho_cancel_fail_cnt)</t>
  </si>
  <si>
    <t>n2ho_cancel_timeout_sum</t>
  </si>
  <si>
    <t>sum(n2ho_cancel_timeout_cnt)</t>
  </si>
  <si>
    <t>n2ho_cancel_delay_sum</t>
  </si>
  <si>
    <t>N2切换取消总时延</t>
  </si>
  <si>
    <t>sum(n2ho_cancel_delay_sum)</t>
  </si>
  <si>
    <t>sum(n2ho_cancel_delay)</t>
  </si>
  <si>
    <t>n1n2_cnt_sum</t>
  </si>
  <si>
    <t>n1n2_success_cnt_sum</t>
  </si>
  <si>
    <t>sum(procedure_succ_cnt)</t>
  </si>
  <si>
    <t>n1n2_fail_cnt_sum</t>
  </si>
  <si>
    <t>sum(procedure_fail_cnt)</t>
  </si>
  <si>
    <t>n1n2_timeout_cnt_sum</t>
  </si>
  <si>
    <t>sum(procedure_timeout_cnt)</t>
  </si>
  <si>
    <t>sms_request_sum</t>
  </si>
  <si>
    <t>SMS业务请求次数</t>
  </si>
  <si>
    <t>sum(sms_request_cnt)</t>
  </si>
  <si>
    <t>sms_success_sum</t>
  </si>
  <si>
    <t>SMS业务成功次数</t>
  </si>
  <si>
    <t>sum(sms_succ_cnt)</t>
  </si>
  <si>
    <t>sms_fail_sum</t>
  </si>
  <si>
    <t>SMS业务失败次数</t>
  </si>
  <si>
    <t>sum(sms_fail_cnt)</t>
  </si>
  <si>
    <t>sms_timeout_sum</t>
  </si>
  <si>
    <t>SMS业务超时次数</t>
  </si>
  <si>
    <t>sum(sms_timeout_cnt)</t>
  </si>
  <si>
    <t>sum(regist_succ_cnt*regist_delay) / sum(regist_succ_cnt)</t>
  </si>
  <si>
    <t>sum(regist_init_succ_cnt*regist_init_delay) / sum(regist_init_succ_cnt)</t>
  </si>
  <si>
    <t>sum(regist_periodic_succ_cnt*regist_periodic_delay) / sum(regist_periodic_succ_cnt)</t>
  </si>
  <si>
    <t>sum(regist_mobility_succ_cnt*regist_mobility_delay) / sum(regist_mobility_succ_cnt)</t>
  </si>
  <si>
    <t>sum(regist_emergency_succ_cnt*regist_emergency_delay) / sum(regist_emergency_succ_cnt)</t>
  </si>
  <si>
    <t>sum(servicerequest_succ_cnt*servicerequest_delay) / sum(servicerequest_succ_cnt)</t>
  </si>
  <si>
    <t>sum(sms_succ_cnt*sms_delay) / sum(sms_succ_cnt)</t>
  </si>
  <si>
    <t>sum(sms_mo_succ_cnt*sms_mo_delay) / sum(sms_mo_succ_cnt)</t>
  </si>
  <si>
    <t>sum(sms_mt_succ_cnt*sms_mt_delay) / sum(sms_mt_succ_cnt)</t>
  </si>
  <si>
    <t>sum(pdusession_estab_succ_cnt*pdusession_estab_delay) / sum(pdusession_estab_succ_cnt)</t>
  </si>
  <si>
    <t>sum(pdusession_modify_succ_cnt*pdusession_modify_delay) / sum(pdusession_modify_succ_cnt)</t>
  </si>
  <si>
    <t>sum(pdusession_release_succ_cnt*pdusession_release_delay) / sum(pdusession_release_succ_cnt)</t>
  </si>
  <si>
    <t>sum(n2ho_out_request_cnt)</t>
  </si>
  <si>
    <t>sum(n2ho_out_succ_cnt)</t>
  </si>
  <si>
    <t>sum(n2ho_out_fail_cnt)</t>
  </si>
  <si>
    <t>sum(n2ho_out_timeout_cnt)</t>
  </si>
  <si>
    <t>sum(n2ho_out_succ_cnt*n2ho_out_delay) / sum(n2ho_out_succ_cnt)</t>
  </si>
  <si>
    <t>sum(n2ho_out_intra5gs_succ_cnt*n2ho_out_intra5gs_delay) / sum(n2ho_out_intra5gs_succ_cnt)</t>
  </si>
  <si>
    <t>sum(n2ho_out_5gstoeps_succ_cnt*n2ho_out_5gstoeps_delay)/sum(n2ho_out_5gstoeps_succ_cnt)</t>
  </si>
  <si>
    <t>sum(n2ho_in_intra5gs_succ_cnt*n2ho_in_intra5gs_delay) / sum(n2ho_in_intra5gs_succ_cnt)</t>
  </si>
  <si>
    <t>sum(n2ho_in_epsto5gs_succ_cnt*n2ho_in_epsto5gs_delay) / sum(n2ho_in_epsto5gs_succ_cnt)</t>
  </si>
  <si>
    <t>sum(n2ho_cancel_succ_cnt*n2ho_cancel_delay) / sum(n2ho_cancel_succ_cnt)</t>
  </si>
  <si>
    <t>sum(xnho_succ_cnt*xnho_delay) / sum(xnho_succ_cnt)</t>
  </si>
  <si>
    <t>sum(amf_ue_context_release_succ_cnt*amf_ue_context_release_delay) / sum(amf_ue_context_release_succ_cnt)</t>
  </si>
  <si>
    <t>sum(an_ue_context_release_succ_cnt*an_ue_context_release_delay) / sum(an_ue_context_release_succ_cnt)</t>
  </si>
  <si>
    <t>sum(procedure_record_cnt)</t>
  </si>
  <si>
    <t>A inner join B，关联条件：A.msisdn = B.msisdn</t>
  </si>
  <si>
    <t>regis_req</t>
  </si>
  <si>
    <t>regis请求次数</t>
  </si>
  <si>
    <t>regis_suc</t>
  </si>
  <si>
    <t>regis成功次数</t>
  </si>
  <si>
    <t>regis_suc_rate</t>
  </si>
  <si>
    <t>regis成功率</t>
  </si>
  <si>
    <t>sum(regist_succ_cnt)/sum(regist_request_cnt)</t>
  </si>
  <si>
    <t>ho_req_cnt</t>
  </si>
  <si>
    <t>切换请求次数</t>
  </si>
  <si>
    <t>sum(n2ho_out_request_cnt+xnho_request_cnt)</t>
  </si>
  <si>
    <t>ho_succ_cnt</t>
  </si>
  <si>
    <t>切换成功次数</t>
  </si>
  <si>
    <t>sum(n2ho_out_succ_cnt+xnho_succ_cnt)</t>
  </si>
  <si>
    <t>掉线次数(异常释放次数）</t>
  </si>
  <si>
    <t>5G复制卡用户基站对应关系小时表</t>
  </si>
  <si>
    <t>gnb|user</t>
  </si>
  <si>
    <t>5G用户小区小时表</t>
  </si>
  <si>
    <t>剔除基站名称包含“高铁、火车、机场”关键字的基站清单,满足同一基站1小时内接入1万张以上同一归属省电话卡，且电话卡归属省与基站所在省不一致</t>
  </si>
  <si>
    <t>5G工参表</t>
  </si>
  <si>
    <t>归属省</t>
  </si>
  <si>
    <t>5G基站ID</t>
  </si>
  <si>
    <t>日期分区</t>
  </si>
  <si>
    <t>过滤条件：interface=100</t>
  </si>
  <si>
    <t>aggr_5gdpi_http_base_reduce_h</t>
  </si>
  <si>
    <t>5G HTTP接口基础维度指标裁剪小时表</t>
  </si>
  <si>
    <t>保持现网不变</t>
  </si>
  <si>
    <t>aggr_5gdpi_https_usrappcel_e2e_h</t>
  </si>
  <si>
    <t>5G HTTPS接口基础维度指标小时表</t>
  </si>
  <si>
    <t>aggr_5g_video_usrappcelslice_e2e_h</t>
  </si>
  <si>
    <t>5G video接口基础维度指标小时表</t>
  </si>
  <si>
    <t>F</t>
  </si>
  <si>
    <t>A|B|C|D|E|F</t>
  </si>
  <si>
    <t>A:msisdn
B:msisdn
C:msisdn
DEF保持不变</t>
  </si>
  <si>
    <t>用户imei</t>
  </si>
  <si>
    <t>A:pei
B:pei
C:pei
DEF保持不变</t>
  </si>
  <si>
    <t>业务时长</t>
  </si>
  <si>
    <t>A:置NULL
B:sum(duration) 
C:置NULL
DEF保持不变</t>
  </si>
  <si>
    <t>&gt;=0或null</t>
  </si>
  <si>
    <t>下行流量</t>
  </si>
  <si>
    <t>A:置NULL
B:sum(inputoctets)
C:置NULL
DEF保持不变</t>
  </si>
  <si>
    <t>上行流量</t>
  </si>
  <si>
    <t>A:置NULL
B:sum(outputoctets)
C:置NULL
DEF保持不变</t>
  </si>
  <si>
    <t>归属省编码</t>
  </si>
  <si>
    <t>A:home_province
B:home_province
C:home_province
DEF保持不变</t>
  </si>
  <si>
    <t>六位数编码</t>
  </si>
  <si>
    <t>NCGI</t>
  </si>
  <si>
    <t>A:split(cellkey,"_")[0]*4096+split(cellkey,"_")[1]
B:split(cellkey,"_")[0]*4096+split(cellkey,"_")[1]
C:split(cellkey,"_")[0]*4096+split(cellkey,"_")[1]
DEF保持不变</t>
  </si>
  <si>
    <t>A:cellkey
B:cellkey
C:cellkey
DEF保持不变</t>
  </si>
  <si>
    <t>records</t>
  </si>
  <si>
    <t>A:sum(procedure_record_cnt)
B:sum(record_cnt)
C:sum(dns_query_cnt)
DEF保持不变</t>
  </si>
  <si>
    <t>A:p_provincecode
B:p_provincecode
C:p_provincecode
DEF保持不变</t>
  </si>
  <si>
    <t>A:province
B:province
C:province
DEF保持不变</t>
  </si>
  <si>
    <t>A:citycode
B:citycode
C:citycode
DEF保持不变</t>
  </si>
  <si>
    <t>A:city
B:city
C:city
DEF保持不变</t>
  </si>
  <si>
    <t>A:districtcode
B:districtcode
C:districtcode
DEF保持不变</t>
  </si>
  <si>
    <t>A:district
B:district
C:district
DEF保持不变</t>
  </si>
  <si>
    <t>data_type</t>
  </si>
  <si>
    <t>数据类型</t>
  </si>
  <si>
    <t>A:直接赋值："n1n2"
B:直接赋值："other"
C:直接赋值："dns"
DEF保持不变</t>
  </si>
  <si>
    <t>TAC</t>
  </si>
  <si>
    <t>A:tac
B:split(tai,'-')[2]
C:split(tai,'-')[2]
DEF保持不变</t>
  </si>
  <si>
    <t>基站IP</t>
  </si>
  <si>
    <t>A:gnb_ip_add
B:gnbip
C:gnbip
DEF保持不变</t>
  </si>
  <si>
    <t>过滤条件：data_type in ('n1n2','https','http','email','dns','coap','ftp','mqtt','other')</t>
  </si>
  <si>
    <t>业务流量</t>
  </si>
  <si>
    <t>sum(nvl(inputoctets,0)+nvl(outputoctets,0))</t>
  </si>
  <si>
    <t>数据类型(N1N2:1；其他：3)</t>
  </si>
  <si>
    <t>case when data_type='n1n2' then 1 else 3 end  AS data_type</t>
  </si>
  <si>
    <t>1,3</t>
  </si>
  <si>
    <t>data_type = 'n1n2'</t>
  </si>
  <si>
    <t>5G电联小区工参</t>
  </si>
  <si>
    <t>fact_nr_cm_projdata_corrected</t>
  </si>
  <si>
    <t>5G纠偏表工参</t>
  </si>
  <si>
    <t>账期</t>
  </si>
  <si>
    <t>ct_cell_cnt</t>
  </si>
  <si>
    <t>电信工参小区数</t>
  </si>
  <si>
    <t>电信小区数统计</t>
  </si>
  <si>
    <t>cu_cell_cnt</t>
  </si>
  <si>
    <t>联通工参小区数</t>
  </si>
  <si>
    <t>联通小区数统计</t>
  </si>
  <si>
    <t>ct_corrected_cell_cnt</t>
  </si>
  <si>
    <t>电信纠偏表小区数</t>
  </si>
  <si>
    <t>纠偏表小区数统计</t>
  </si>
  <si>
    <t>cell_cnt</t>
  </si>
  <si>
    <t>电联工参重复小区数</t>
  </si>
  <si>
    <t>直接赋值："0"</t>
  </si>
  <si>
    <t>n1n2_cell_cnt</t>
  </si>
  <si>
    <t>n1n2小区数</t>
  </si>
  <si>
    <t>小区去重计数</t>
  </si>
  <si>
    <t>n1n2_ct_cell_cnt</t>
  </si>
  <si>
    <t>关联电信小区数</t>
  </si>
  <si>
    <t>A|B</t>
  </si>
  <si>
    <t>能关联上的电信小区计数</t>
  </si>
  <si>
    <t>n1n2_cu_cell_cnt</t>
  </si>
  <si>
    <t>关联联通小区数</t>
  </si>
  <si>
    <t>能关联上的联通小区计数</t>
  </si>
  <si>
    <t>n1n2_ct_corrected_cell_cnt</t>
  </si>
  <si>
    <t>关联电信纠偏表小区数</t>
  </si>
  <si>
    <t>能关联上的纠偏小区计数</t>
  </si>
  <si>
    <t>n1n2_ctcu_cell_rel_rate</t>
  </si>
  <si>
    <t>电联工参关联率</t>
  </si>
  <si>
    <t>A|B|C</t>
  </si>
  <si>
    <t>能关联上的小区除以总小区</t>
  </si>
  <si>
    <t>n1n2_cuct_cell_rate</t>
  </si>
  <si>
    <t>n1n2小区数/电联工参</t>
  </si>
  <si>
    <t>小区去重计数之后相除</t>
  </si>
  <si>
    <t>total_records</t>
  </si>
  <si>
    <t>总信令记录数</t>
  </si>
  <si>
    <t>sum(records)</t>
  </si>
  <si>
    <t>valid_cell_records</t>
  </si>
  <si>
    <t>小区非空信令记录数</t>
  </si>
  <si>
    <t>sum(if(cellkey &gt; '', records, 0))</t>
  </si>
  <si>
    <t>ct_cell_records</t>
  </si>
  <si>
    <t>关联电信小区信令记录数</t>
  </si>
  <si>
    <t>能关联上的小区，求sum(records)</t>
  </si>
  <si>
    <t>cu_cell_records</t>
  </si>
  <si>
    <t>关联联通小区信令记录数</t>
  </si>
  <si>
    <t>ct_corrected_cell_records</t>
  </si>
  <si>
    <t>关联电信纠偏表小区信令记录数</t>
  </si>
  <si>
    <t>mdn_cnt</t>
  </si>
  <si>
    <t>用户数</t>
  </si>
  <si>
    <t>用户去重计数</t>
  </si>
  <si>
    <t>ctcu_cell_mdn_cnt</t>
  </si>
  <si>
    <t>关联电联小区用户数</t>
  </si>
  <si>
    <t>先关联小区，能关联上后取用户号码去重计数</t>
  </si>
  <si>
    <t>cell_fill_rate</t>
  </si>
  <si>
    <t>小区非空率</t>
  </si>
  <si>
    <t>小区非空的记录数除以总记录数</t>
  </si>
  <si>
    <t>cell_rel_record_rate</t>
  </si>
  <si>
    <t>关联工参信令占比</t>
  </si>
  <si>
    <t>能关联上的小区记录数除以总记录数</t>
  </si>
  <si>
    <t>norel_mdn_rate</t>
  </si>
  <si>
    <t>关联工参丢失用户数占比</t>
  </si>
  <si>
    <t>未关联上的小区下的用户号码去重计数除以总用户数</t>
  </si>
  <si>
    <t>norel_mdn_cnt</t>
  </si>
  <si>
    <t>关联工参丢失用户数</t>
  </si>
  <si>
    <t>未关联上的小区下的用户号码去重计数</t>
  </si>
  <si>
    <t>取未关联上工参的小区</t>
  </si>
  <si>
    <t>gnodebid</t>
  </si>
  <si>
    <t>基站编码</t>
  </si>
  <si>
    <t>扇区编码</t>
  </si>
  <si>
    <t>小区CI</t>
  </si>
  <si>
    <t>小区TAC</t>
  </si>
  <si>
    <t>enodebip</t>
  </si>
  <si>
    <t>MME记录数</t>
  </si>
  <si>
    <t>record_cnt</t>
    <phoneticPr fontId="33" type="noConversion"/>
  </si>
  <si>
    <t>sum(if(procedure_type &lt; 78 or procedure_type &gt; 81, record_cnt ,0))</t>
    <phoneticPr fontId="33" type="noConversion"/>
  </si>
  <si>
    <t>procedureType_valid_cnt</t>
    <phoneticPr fontId="33" type="noConversion"/>
  </si>
  <si>
    <t>存在电话号码有效的流程类型</t>
    <phoneticPr fontId="33" type="noConversion"/>
  </si>
  <si>
    <t>sum(procedureType_valid_cnt)</t>
    <phoneticPr fontId="33" type="noConversion"/>
  </si>
  <si>
    <t>dm_quality_45g_dpi_mdn_imsi_multicnt_refactor_d</t>
    <phoneticPr fontId="33" type="noConversion"/>
  </si>
  <si>
    <t>dm_quality_45g_dpi_mdn_imsi_refactor_d</t>
    <phoneticPr fontId="33" type="noConversion"/>
  </si>
  <si>
    <t>45G_DPI数据中mdn与imsi一对多统计结果表</t>
  </si>
  <si>
    <t>45G_DPI数据中mdn与imsi对应关系表</t>
    <phoneticPr fontId="33" type="noConversion"/>
  </si>
  <si>
    <t>aggr_nr_dpi_n1n2_usr_d</t>
    <phoneticPr fontId="33" type="noConversion"/>
  </si>
  <si>
    <t>aggr_4gxdr_n1mode_usr_cel_h</t>
  </si>
  <si>
    <t>4G_DPI_S1MME用户小区汇聚小时表</t>
    <phoneticPr fontId="33" type="noConversion"/>
  </si>
  <si>
    <t>mdn_imsi_cnt</t>
  </si>
  <si>
    <t>imsi_mdn_cnt</t>
  </si>
  <si>
    <t>imsi_set</t>
  </si>
  <si>
    <t>mdn_set</t>
  </si>
  <si>
    <t>网络类型</t>
    <phoneticPr fontId="33" type="noConversion"/>
  </si>
  <si>
    <t>用户号码</t>
    <phoneticPr fontId="33" type="noConversion"/>
  </si>
  <si>
    <t>用户imsi号</t>
    <phoneticPr fontId="33" type="noConversion"/>
  </si>
  <si>
    <t>imsi与用户号码一对多imsi数量</t>
    <phoneticPr fontId="33" type="noConversion"/>
  </si>
  <si>
    <t>用户号码与imsi一对多号码数量</t>
    <phoneticPr fontId="33" type="noConversion"/>
  </si>
  <si>
    <t>用户号码与imsi一对多时imsi清单</t>
    <phoneticPr fontId="33" type="noConversion"/>
  </si>
  <si>
    <t>imsi与用户号码一对多时用户号码清单</t>
    <phoneticPr fontId="33" type="noConversion"/>
  </si>
  <si>
    <t>用户号码与imsi一对多的类型</t>
    <phoneticPr fontId="33" type="noConversion"/>
  </si>
  <si>
    <t>A|B</t>
    <phoneticPr fontId="33" type="noConversion"/>
  </si>
  <si>
    <t>根据数据来源判断，来源于A则赋值为'5G'，来源于B则赋值为'4G'</t>
    <phoneticPr fontId="33" type="noConversion"/>
  </si>
  <si>
    <t>p_provincecode</t>
    <phoneticPr fontId="33" type="noConversion"/>
  </si>
  <si>
    <t>直取</t>
    <phoneticPr fontId="33" type="noConversion"/>
  </si>
  <si>
    <t>p_date</t>
    <phoneticPr fontId="33" type="noConversion"/>
  </si>
  <si>
    <t>msisdn</t>
    <phoneticPr fontId="33" type="noConversion"/>
  </si>
  <si>
    <t>A:supi
B:imsi</t>
    <phoneticPr fontId="33" type="noConversion"/>
  </si>
  <si>
    <t>case when mdn_imsi_cnt &gt; 1 and imsi_mdn_cnt &gt; 1 then 'IMSI与MDN多对多' when mdn_imsi_cnt &gt; 1 and imsi_mdn_cnt = 1 then 'IMSI与MDN多对一' when imsi_mdn_cnt &gt; 1 and mdn_imsi_cnt = 1 then 'IMSI与MDN一对多' end</t>
    <phoneticPr fontId="33" type="noConversion"/>
  </si>
  <si>
    <t>维度</t>
    <phoneticPr fontId="33" type="noConversion"/>
  </si>
  <si>
    <t>无</t>
    <phoneticPr fontId="33" type="noConversion"/>
  </si>
  <si>
    <t>4G,5G</t>
    <phoneticPr fontId="33" type="noConversion"/>
  </si>
  <si>
    <t>指标</t>
    <phoneticPr fontId="33" type="noConversion"/>
  </si>
  <si>
    <t>&gt;=0</t>
    <phoneticPr fontId="33" type="noConversion"/>
  </si>
  <si>
    <t>imsi清单</t>
    <phoneticPr fontId="33" type="noConversion"/>
  </si>
  <si>
    <t>msisdn清单</t>
    <phoneticPr fontId="33" type="noConversion"/>
  </si>
  <si>
    <t>IMSI与MDN多对多,IMSI与MDN多对一,IMSI与MDN一对多</t>
    <phoneticPr fontId="33" type="noConversion"/>
  </si>
  <si>
    <t>mdn_fill_cnt</t>
  </si>
  <si>
    <t>mdn_fill_rate</t>
  </si>
  <si>
    <t>mdn_count</t>
  </si>
  <si>
    <t>mdn_ismi_count</t>
  </si>
  <si>
    <t>mdn_ismi_rate</t>
  </si>
  <si>
    <t>总记录数</t>
    <phoneticPr fontId="33" type="noConversion"/>
  </si>
  <si>
    <t>MDN非空记录数</t>
    <phoneticPr fontId="33" type="noConversion"/>
  </si>
  <si>
    <t>MDN非空率</t>
    <phoneticPr fontId="33" type="noConversion"/>
  </si>
  <si>
    <t>用户数</t>
    <phoneticPr fontId="33" type="noConversion"/>
  </si>
  <si>
    <t>用户号码与imsi一一对应用户数</t>
    <phoneticPr fontId="33" type="noConversion"/>
  </si>
  <si>
    <t>用户号码与imsi一一对应占比</t>
    <phoneticPr fontId="33" type="noConversion"/>
  </si>
  <si>
    <t>A:sum(procedureType_valid_cnt)
B:sum(case when procedure_type not in (22, 23, 24, 25, 26, 27, 28) then s1mme_message_count else 0 end)</t>
    <phoneticPr fontId="33" type="noConversion"/>
  </si>
  <si>
    <t>A：sum(case when msisdn is not null and msisdn != '' then procedureType_valid_cnt else 0 end)
B：sum(case when msisdn is not null and msisdn != '' and procedure_type not in (22, 23, 24, 25, 26, 27, 28) then s1mme_message_count else 0 end)</t>
    <phoneticPr fontId="33" type="noConversion"/>
  </si>
  <si>
    <t>A：sum(case when msisdn is not null and msisdn != '' then procedureType_valid_cnt else 0 end) / sum(procedureType_valid_cnt)
B：sum(case when msisdn is not null and msisdn != '' and procedure_type not in (22, 23, 24, 25, 26, 27, 28) then s1mme_message_count else 0 end) / sum(case when procedure_type not in (22, 23, 24, 25, 26, 27, 28) then s1mme_message_count else 0 end)</t>
    <phoneticPr fontId="33" type="noConversion"/>
  </si>
  <si>
    <t>count(distinct msisdn)</t>
    <phoneticPr fontId="33" type="noConversion"/>
  </si>
  <si>
    <t>用户号码与imsi一一对应用户数 / 总用户数</t>
    <phoneticPr fontId="33" type="noConversion"/>
  </si>
  <si>
    <t>(0,1]</t>
    <phoneticPr fontId="33" type="noConversion"/>
  </si>
  <si>
    <t>&gt;0</t>
    <phoneticPr fontId="33" type="noConversion"/>
  </si>
  <si>
    <t>aggr_nr_usrarea_dns_cel_refactor_d</t>
    <phoneticPr fontId="33" type="noConversion"/>
  </si>
  <si>
    <t>dns_suc_cnt</t>
    <phoneticPr fontId="33" type="noConversion"/>
  </si>
  <si>
    <t>dns_query_cnt</t>
    <phoneticPr fontId="33" type="noConversion"/>
  </si>
  <si>
    <t>aggr_nr_dpi_dns_base_q</t>
    <phoneticPr fontId="33" type="noConversion"/>
  </si>
  <si>
    <t>cellkey</t>
    <phoneticPr fontId="33" type="noConversion"/>
  </si>
  <si>
    <t>supi</t>
    <phoneticPr fontId="33" type="noConversion"/>
  </si>
  <si>
    <t>sourceip_type</t>
    <phoneticPr fontId="33" type="noConversion"/>
  </si>
  <si>
    <t>dns_query_cnt</t>
    <phoneticPr fontId="33" type="noConversion"/>
  </si>
  <si>
    <t>xdr_suc_cnt</t>
    <phoneticPr fontId="33" type="noConversion"/>
  </si>
  <si>
    <t>servicetype</t>
    <phoneticPr fontId="33" type="noConversion"/>
  </si>
  <si>
    <t>dns_suc_cnt</t>
    <phoneticPr fontId="33" type="noConversion"/>
  </si>
  <si>
    <t>dns_delay</t>
    <phoneticPr fontId="33" type="noConversion"/>
  </si>
  <si>
    <t>dns_delay_custom</t>
    <phoneticPr fontId="33" type="noConversion"/>
  </si>
  <si>
    <t>imsi</t>
    <phoneticPr fontId="33" type="noConversion"/>
  </si>
  <si>
    <t>area_id</t>
    <phoneticPr fontId="33" type="noConversion"/>
  </si>
  <si>
    <t>area_regionid</t>
    <phoneticPr fontId="33" type="noConversion"/>
  </si>
  <si>
    <t>area_x_offset_20</t>
    <phoneticPr fontId="33" type="noConversion"/>
  </si>
  <si>
    <t>area_y_offset_20</t>
    <phoneticPr fontId="33" type="noConversion"/>
  </si>
  <si>
    <t>dnsqueryreqcount</t>
    <phoneticPr fontId="33" type="noConversion"/>
  </si>
  <si>
    <t>dnsqueryrspcount</t>
    <phoneticPr fontId="33" type="noConversion"/>
  </si>
  <si>
    <t>aggr_nr_dpi_dns_usrcel_h</t>
    <phoneticPr fontId="33" type="noConversion"/>
  </si>
  <si>
    <t>dns_delay_cnt_greater_200</t>
    <phoneticPr fontId="33" type="noConversion"/>
  </si>
  <si>
    <t>aggr_nr_dpi_other_base_q</t>
    <phoneticPr fontId="33" type="noConversion"/>
  </si>
  <si>
    <t>l4protocol</t>
    <phoneticPr fontId="33" type="noConversion"/>
  </si>
  <si>
    <t>duration</t>
    <phoneticPr fontId="33" type="noConversion"/>
  </si>
  <si>
    <t>abnormal_cnt</t>
    <phoneticPr fontId="33" type="noConversion"/>
  </si>
  <si>
    <t>record_cnt</t>
    <phoneticPr fontId="33" type="noConversion"/>
  </si>
  <si>
    <t>tcpsetupresponsedelay_avg</t>
    <phoneticPr fontId="33" type="noConversion"/>
  </si>
  <si>
    <t xml:space="preserve">sum(tcpsetupresponsedelay_sum) /sum(tcpsetupresponsedelay_cnt) </t>
    <phoneticPr fontId="33" type="noConversion"/>
  </si>
  <si>
    <t>tcpsetupresponsedelay_cnt</t>
    <phoneticPr fontId="33" type="noConversion"/>
  </si>
  <si>
    <t>tcpsetupresponsedelay_sum</t>
    <phoneticPr fontId="33" type="noConversion"/>
  </si>
  <si>
    <t>tcpsetupackdelay_sum</t>
    <phoneticPr fontId="33" type="noConversion"/>
  </si>
  <si>
    <t>tcpsetupackdelay_cnt</t>
    <phoneticPr fontId="33" type="noConversion"/>
  </si>
  <si>
    <t>tcpsetupdelay_sum</t>
    <phoneticPr fontId="33" type="noConversion"/>
  </si>
  <si>
    <t>tcpsetupdelay_avg</t>
    <phoneticPr fontId="33" type="noConversion"/>
  </si>
  <si>
    <t>tcpsetupdelay_cnt</t>
    <phoneticPr fontId="33" type="noConversion"/>
  </si>
  <si>
    <t>ultcpreorderingpacket</t>
    <phoneticPr fontId="33" type="noConversion"/>
  </si>
  <si>
    <t>ul_data_transduration</t>
    <phoneticPr fontId="33" type="noConversion"/>
  </si>
  <si>
    <t>delay_firsttransaction_firstrespackt_sum</t>
    <phoneticPr fontId="33" type="noConversion"/>
  </si>
  <si>
    <t>delay_firsttransaction_firstrespackt_cnt</t>
    <phoneticPr fontId="33" type="noConversion"/>
  </si>
  <si>
    <t>第一条事务请求到其第一个响应包时延_avg（ms）</t>
    <phoneticPr fontId="33" type="noConversion"/>
  </si>
  <si>
    <t>TCP建链成功到第一条事务请求的时延_avg（ms）</t>
    <phoneticPr fontId="33" type="noConversion"/>
  </si>
  <si>
    <t>delay_setup_firsttransaction_sum</t>
    <phoneticPr fontId="33" type="noConversion"/>
  </si>
  <si>
    <t>delay_setup_firsttransaction_cnt</t>
    <phoneticPr fontId="33" type="noConversion"/>
  </si>
  <si>
    <t>tcpsetupresponsedelay_cnt_0_50</t>
    <phoneticPr fontId="33" type="noConversion"/>
  </si>
  <si>
    <t>tcpsetupresponsedelay_cnt_50_100</t>
    <phoneticPr fontId="33" type="noConversion"/>
  </si>
  <si>
    <t>tcpsetupresponsedelay_cnt_100_150</t>
    <phoneticPr fontId="33" type="noConversion"/>
  </si>
  <si>
    <t>tcpsetupresponsedelay_cnt_150_200</t>
    <phoneticPr fontId="33" type="noConversion"/>
  </si>
  <si>
    <t>tcpsetupresponsedelay_cnt_greater_200</t>
    <phoneticPr fontId="33" type="noConversion"/>
  </si>
  <si>
    <t>tcpsetupackdelay_cnt_0_50</t>
    <phoneticPr fontId="33" type="noConversion"/>
  </si>
  <si>
    <t>tcpsetupackdelay_cnt_100_150</t>
    <phoneticPr fontId="33" type="noConversion"/>
  </si>
  <si>
    <t>aggr_nr_dpi_other_base_reduce_h</t>
    <phoneticPr fontId="33" type="noConversion"/>
  </si>
  <si>
    <t>aggr_nr_other_usrappcel_h</t>
    <phoneticPr fontId="33" type="noConversion"/>
  </si>
  <si>
    <t>限速记录数</t>
    <phoneticPr fontId="33" type="noConversion"/>
  </si>
  <si>
    <t>ul_data_transduration_sum</t>
    <phoneticPr fontId="33" type="noConversion"/>
  </si>
  <si>
    <t>sum(ul_data_transduration)</t>
    <phoneticPr fontId="33" type="noConversion"/>
  </si>
  <si>
    <t>sum(dl_data_transduration)</t>
    <phoneticPr fontId="33" type="noConversion"/>
  </si>
  <si>
    <t>sum(delay_setup_firsttransaction_sum)</t>
    <phoneticPr fontId="33" type="noConversion"/>
  </si>
  <si>
    <t>aggr_nr_iov_other_usrappcel_refactor_h</t>
    <phoneticPr fontId="33" type="noConversion"/>
  </si>
  <si>
    <t>total_cnt</t>
    <phoneticPr fontId="33" type="noConversion"/>
  </si>
  <si>
    <t>flux</t>
    <phoneticPr fontId="33" type="noConversion"/>
  </si>
  <si>
    <t>fact_nr_dpi_n1n2_q</t>
    <phoneticPr fontId="33" type="noConversion"/>
  </si>
  <si>
    <t>msisdn</t>
    <phoneticPr fontId="33" type="noConversion"/>
  </si>
  <si>
    <t>procedure_type</t>
    <phoneticPr fontId="33" type="noConversion"/>
  </si>
  <si>
    <t>procedure_name</t>
    <phoneticPr fontId="33" type="noConversion"/>
  </si>
  <si>
    <t>abnor_release_cnt</t>
    <phoneticPr fontId="33" type="noConversion"/>
  </si>
  <si>
    <t>normal_release_cnt</t>
    <phoneticPr fontId="33" type="noConversion"/>
  </si>
  <si>
    <t>is_all_resident_w</t>
    <phoneticPr fontId="33" type="noConversion"/>
  </si>
  <si>
    <t>aggr_nr_resident_usrcel_wd</t>
    <phoneticPr fontId="33" type="noConversion"/>
  </si>
  <si>
    <t>is_day_resident_w</t>
    <phoneticPr fontId="33" type="noConversion"/>
  </si>
  <si>
    <t>is_night_resident_w</t>
    <phoneticPr fontId="33" type="noConversion"/>
  </si>
  <si>
    <t>aggr_nr_dpi_n1n2_failcause_base_h</t>
    <phoneticPr fontId="33" type="noConversion"/>
  </si>
  <si>
    <t>aggr_nr_dpi_n1n2_base_q</t>
    <phoneticPr fontId="33" type="noConversion"/>
  </si>
  <si>
    <t>pdu_session_dnn</t>
    <phoneticPr fontId="33" type="noConversion"/>
  </si>
  <si>
    <t>failure_cause</t>
    <phoneticPr fontId="33" type="noConversion"/>
  </si>
  <si>
    <t>fail_cnt</t>
    <phoneticPr fontId="33" type="noConversion"/>
  </si>
  <si>
    <t>sms_request_cnt</t>
    <phoneticPr fontId="33" type="noConversion"/>
  </si>
  <si>
    <t>sms_succ_cnt</t>
    <phoneticPr fontId="33" type="noConversion"/>
  </si>
  <si>
    <t>sms_fail_cnt</t>
    <phoneticPr fontId="33" type="noConversion"/>
  </si>
  <si>
    <t>sms_timeout_cnt</t>
    <phoneticPr fontId="33" type="noConversion"/>
  </si>
  <si>
    <t>ci</t>
    <phoneticPr fontId="33" type="noConversion"/>
  </si>
  <si>
    <t>supi</t>
    <phoneticPr fontId="33" type="noConversion"/>
  </si>
  <si>
    <t>A:supi
B:supi
C:supi
DEF保持不变</t>
    <phoneticPr fontId="33" type="noConversion"/>
  </si>
  <si>
    <t>data_type</t>
    <phoneticPr fontId="33" type="noConversion"/>
  </si>
  <si>
    <t>excep_type</t>
    <phoneticPr fontId="33" type="noConversion"/>
  </si>
  <si>
    <t>cellid</t>
    <phoneticPr fontId="33" type="noConversion"/>
  </si>
  <si>
    <t>gnbid</t>
    <phoneticPr fontId="33" type="noConversion"/>
  </si>
  <si>
    <t>cell_key</t>
    <phoneticPr fontId="33" type="noConversion"/>
  </si>
  <si>
    <t>dns_req_cnt</t>
    <phoneticPr fontId="33" type="noConversion"/>
  </si>
  <si>
    <t>dns_succ_cnt</t>
    <phoneticPr fontId="33" type="noConversion"/>
  </si>
  <si>
    <t>aggr_nr_dpi_dns_cel_d</t>
    <phoneticPr fontId="33" type="noConversion"/>
  </si>
  <si>
    <t>dns_delay_custom</t>
    <phoneticPr fontId="33" type="noConversion"/>
  </si>
  <si>
    <t>aggr_nr_dpi_n1n2_failcause_base_h</t>
    <phoneticPr fontId="33" type="noConversion"/>
  </si>
  <si>
    <t>N1N2接口失败原因基础小时表</t>
    <phoneticPr fontId="33" type="noConversion"/>
  </si>
  <si>
    <t xml:space="preserve">sum(case when tcpsetupresponsedelay&gt;0 and tcpsetupresponsedelay&lt;50000 and tcpsetupackdelay&gt;0 and tcpsetupackdelay&lt;50000 then tcpsetupresponsedelay+tcpsetupackdelay else 0 end) </t>
    <phoneticPr fontId="33" type="noConversion"/>
  </si>
  <si>
    <t>fail_cause_type</t>
    <phoneticPr fontId="33" type="noConversion"/>
  </si>
  <si>
    <t>fail_cause</t>
    <phoneticPr fontId="33" type="noConversion"/>
  </si>
  <si>
    <t>aggr_nr_n1n2_failcause_base_refactor_h</t>
    <phoneticPr fontId="33" type="noConversion"/>
  </si>
  <si>
    <t>procedure_abnor_cnt</t>
    <phoneticPr fontId="33" type="noConversion"/>
  </si>
  <si>
    <t xml:space="preserve">过滤条件：(record_cnt - procedure_normal_cnt &gt; 0) or procedure_status in (2,3) </t>
    <phoneticPr fontId="33" type="noConversion"/>
  </si>
  <si>
    <t>sum(case when procedure_status = 2 or procedure_status = 3 then record_cnt else 0 end)</t>
    <phoneticPr fontId="33" type="noConversion"/>
  </si>
  <si>
    <t>过滤条件：procedure_status in (2,3)</t>
    <phoneticPr fontId="33" type="noConversion"/>
  </si>
  <si>
    <t>sum(case when  procedure_type=4 then  record_cnt else 0 end)</t>
  </si>
  <si>
    <t>sum(case when  procedure_type=4 and procedure_status=1 then  record_cnt else 0 end)</t>
  </si>
  <si>
    <t>sum(case when  procedure_type=4 and procedure_status=2 then  record_cnt else 0 end)</t>
  </si>
  <si>
    <t>sum(case when  procedure_type=4 and procedure_status=3 then  record_cnt else 0 end)</t>
  </si>
  <si>
    <t>sum(case when  procedure_type=4 and procedure_status=1 then  procedure_delay*record_cnt else 0 end) / sum(case when  procedure_type=4 and procedure_status=1 then  record_cnt else 0 end)</t>
  </si>
  <si>
    <t>sum(case when  procedure_type=4 and keyword=0 then  record_cnt else 0 end)</t>
  </si>
  <si>
    <t>sum(case when  procedure_type=4 and keyword=0 and procedure_status=1 then  record_cnt else 0 end)</t>
  </si>
  <si>
    <t>sum(case when  procedure_type=4 and keyword=0 and procedure_status=2 then  record_cnt else 0 end)</t>
  </si>
  <si>
    <t>sum(case when  procedure_type=4 and keyword=0 and procedure_status=3 then  record_cnt else 0 end)</t>
  </si>
  <si>
    <t>sum(case when  procedure_type=4 and keyword=0 and procedure_status=1 then  procedure_delay*record_cnt else 0 end) / sum(case when  procedure_type=4 and keyword=0 and procedure_status=1 then  record_cnt else 0 end)</t>
  </si>
  <si>
    <t>sum(case when  procedure_type=4 and keyword=1 then  record_cnt else 0 end)</t>
  </si>
  <si>
    <t>sum(case when  procedure_type=4 and keyword=1 and procedure_status=1 then  record_cnt else 0 end)</t>
  </si>
  <si>
    <t>sum(case when  procedure_type=4 and keyword=1 and procedure_status=2 then  record_cnt else 0 end)</t>
  </si>
  <si>
    <t>sum(case when  procedure_type=4 and keyword=1 and procedure_status=3 then  record_cnt else 0 end)</t>
  </si>
  <si>
    <t>sum(case when  procedure_type=4 and keyword=1 and procedure_status=1 then  procedure_delay*record_cnt else 0 end) / sum(case when  procedure_type=4 and keyword=1 and procedure_status=1 then  record_cnt else 0 end)</t>
  </si>
  <si>
    <t xml:space="preserve">avg(case when tcpsetupresponsedelay&gt;0 and tcpsetupresponsedelay&lt;50000  then tcpsetupresponsedelay else null  end) </t>
    <phoneticPr fontId="33" type="noConversion"/>
  </si>
  <si>
    <t>sum(case when reply_code=1  then 1 else 0 end)</t>
    <phoneticPr fontId="33" type="noConversion"/>
  </si>
  <si>
    <t>ods_5gdpi_dns_e2e_telecom_origin_q</t>
    <phoneticPr fontId="33" type="noConversion"/>
  </si>
  <si>
    <t>avg(case when response_time- query_time &lt; 30000 and response_time- query_time &gt; 0 then response_time- query_time else null end)</t>
    <phoneticPr fontId="33" type="noConversion"/>
  </si>
  <si>
    <t>regexp_replace(trim(msisdn),'^86','')</t>
    <phoneticPr fontId="33" type="noConversion"/>
  </si>
  <si>
    <t>fact_5g_user_ci_list_refactor_h</t>
    <phoneticPr fontId="33" type="noConversion"/>
  </si>
  <si>
    <t>生命周期（存储周期单位：天）</t>
    <phoneticPr fontId="33" type="noConversion"/>
  </si>
  <si>
    <t>前置：7；核心：14</t>
    <phoneticPr fontId="33" type="noConversion"/>
  </si>
  <si>
    <t>对应字段：</t>
    <phoneticPr fontId="33" type="noConversion"/>
  </si>
  <si>
    <t>对应共享给移动业务感知保障系统aggr_5gdpi_n1n2_multi_reduce_h，字段名称及表结构无变化</t>
    <phoneticPr fontId="33" type="noConversion"/>
  </si>
  <si>
    <t>aggr_nr_copycard_usrgnb_refactor_h</t>
    <phoneticPr fontId="33" type="noConversion"/>
  </si>
  <si>
    <t>对应共享给移动业务感知保障系统aggr_5gdpi_other_base_h，字段名称与现网一致,表结构存在字段删减</t>
    <phoneticPr fontId="33" type="noConversion"/>
  </si>
  <si>
    <t>对应共享给移动业务感知保障系统aggr_5gdpi_other_base_h，字段名称与现网一致,表结构存在字段删减</t>
    <phoneticPr fontId="33" type="noConversion"/>
  </si>
  <si>
    <t>aggr_nr_dpi_dns_base_h</t>
    <phoneticPr fontId="33" type="noConversion"/>
  </si>
  <si>
    <t>aggr_nr_dpi_other_base_reduce_h</t>
    <phoneticPr fontId="33" type="noConversion"/>
  </si>
  <si>
    <t>ods_5gdpi_dns_e2e_telecom_origin_q、fact_nr_cm_projdata、lte_cm_projdata、lte_cucc_cm_projdata</t>
  </si>
  <si>
    <t>ods_5gdpi_other_e2e_telecom_q、fact_nr_cm_projdata、lte_cm_projdata、lte_cucc_cm_projdata</t>
  </si>
  <si>
    <t>aggr_nr_other_usrappcel_h、cfg_dpi_servicetype、cfg_iov_usr_list</t>
  </si>
  <si>
    <t>ods_5gdpi_n1n2_e2e_telecom_5min、cfg_45g_procedure_type、cfg_n1n2_cause_code_list、cfg_n1n2_keyword_type、fact_nr_cm_projdata</t>
  </si>
  <si>
    <t>aggr_nr_dpi_n1n2_usrcel_h、cfg_iov_usr_list</t>
  </si>
  <si>
    <t>aggr_nr_resident_usrcel_d</t>
    <phoneticPr fontId="33" type="noConversion"/>
  </si>
  <si>
    <t>aggr_nr_dpi_n1n2_base_q、cfg_city</t>
    <phoneticPr fontId="33" type="noConversion"/>
  </si>
  <si>
    <t>aggr_nr_usrareatime_cel_refactor_d、aggr_nr_dpi_dns_usrappcel_q</t>
    <phoneticPr fontId="33" type="noConversion"/>
  </si>
  <si>
    <t>aggr_nr_usrareatime_cel_refactor_d</t>
    <phoneticPr fontId="33" type="noConversion"/>
  </si>
  <si>
    <t>置空</t>
    <phoneticPr fontId="33" type="noConversion"/>
  </si>
  <si>
    <t>aggr_nr_dpi_n1n2_base_h</t>
    <phoneticPr fontId="33" type="noConversion"/>
  </si>
  <si>
    <t>fact_nr_cm_projdata</t>
    <phoneticPr fontId="33" type="noConversion"/>
  </si>
  <si>
    <t>aggr_nr_dpi_n1n2_usrcel_h、fact_nr_cm_projdata</t>
    <phoneticPr fontId="33" type="noConversion"/>
  </si>
  <si>
    <t>fact_5gdpi_dns_customweb_e2e_telecom_h</t>
    <phoneticPr fontId="33" type="noConversion"/>
  </si>
  <si>
    <t>fact_5gdpi_n1n2_customweb_e2e_telecom_h</t>
  </si>
  <si>
    <t>SA控制面N1N2接口事实表</t>
  </si>
  <si>
    <t>fact_5gdpi_n26_customweb_e2e_telecom_h</t>
  </si>
  <si>
    <t>SA控制面N26接口事实表</t>
  </si>
  <si>
    <t>SA用户面https定制网事实表</t>
  </si>
  <si>
    <t>SA用户面http定制网事实表</t>
  </si>
  <si>
    <t>SA用户面email定制网事实表</t>
  </si>
  <si>
    <t>SA用户面dns定制网事实表</t>
  </si>
  <si>
    <t>SA用户面coap定制网事实表</t>
  </si>
  <si>
    <t>SA用户面ftp定制网事实表</t>
  </si>
  <si>
    <t>SA用户面mqtt定制网事实表</t>
  </si>
  <si>
    <t>SA用户面other定制网事实表</t>
  </si>
  <si>
    <t>SA用户面video定制网事实表</t>
  </si>
  <si>
    <t>SA用户面game定制网事实表</t>
  </si>
  <si>
    <t>ods_5gdpi_coap_e2e_telecom_q</t>
  </si>
  <si>
    <t>ods_5gdpi_dns_e2e_telecom_origin_q</t>
  </si>
  <si>
    <t>ods_5gdpi_email_e2e_telecom_q</t>
  </si>
  <si>
    <t>ods_5gdpi_ftp_e2e_telecom_q</t>
  </si>
  <si>
    <t>ods_5gdpi_game_e2e_telecom_q</t>
  </si>
  <si>
    <t>ods_5gdpi_http_e2e_telecom_origin_q</t>
  </si>
  <si>
    <t>fact_5gdpi_http_customweb_e2e_telecom_h</t>
    <phoneticPr fontId="33" type="noConversion"/>
  </si>
  <si>
    <t>ods_5gdpi_https_e2e_telecom_q</t>
  </si>
  <si>
    <t>ods_5gdpi_mqtt_e2e_telecom_q</t>
  </si>
  <si>
    <t>ods_5gdpi_video_e2e_telecom_origin_q</t>
  </si>
  <si>
    <t>ods_5gdpi_n26_e2e_telecom_q</t>
  </si>
  <si>
    <t>fact_5gdpi_n1n2_customweb_e2e_telecom_h</t>
    <phoneticPr fontId="33" type="noConversion"/>
  </si>
  <si>
    <t>fact_5gdpi_n26_customweb_e2e_telecom_h</t>
    <phoneticPr fontId="33" type="noConversion"/>
  </si>
  <si>
    <t>fact_5gdpi_https_customweb_e2e_telecom_h</t>
    <phoneticPr fontId="33" type="noConversion"/>
  </si>
  <si>
    <t>fact_5gdpi_email_customweb_e2e_telecom_h</t>
    <phoneticPr fontId="33" type="noConversion"/>
  </si>
  <si>
    <t>fact_5gdpi_coap_customweb_e2e_telecom_h</t>
    <phoneticPr fontId="33" type="noConversion"/>
  </si>
  <si>
    <t>fact_5gdpi_ftp_customweb_e2e_telecom_h</t>
    <phoneticPr fontId="33" type="noConversion"/>
  </si>
  <si>
    <t>fact_5gdpi_mqtt_customweb_e2e_telecom_h</t>
    <phoneticPr fontId="33" type="noConversion"/>
  </si>
  <si>
    <t>fact_5gdpi_other_customweb_e2e_telecom_h</t>
    <phoneticPr fontId="33" type="noConversion"/>
  </si>
  <si>
    <t>fact_5gdpi_video_customweb_e2e_telecom_h</t>
    <phoneticPr fontId="33" type="noConversion"/>
  </si>
  <si>
    <t>fact_5gdpi_game_customweb_e2e_telecom_h</t>
    <phoneticPr fontId="33" type="noConversion"/>
  </si>
  <si>
    <t>hour</t>
    <phoneticPr fontId="33" type="noConversion"/>
  </si>
  <si>
    <t>5G_DPI_n1n2贴源层详表</t>
    <phoneticPr fontId="33" type="noConversion"/>
  </si>
  <si>
    <t>Interface</t>
  </si>
  <si>
    <t>SUPI</t>
  </si>
  <si>
    <t>MSISDN</t>
  </si>
  <si>
    <t>Procedure_Type</t>
  </si>
  <si>
    <t>Procedure_Start_Time</t>
  </si>
  <si>
    <t>Procedure_End_Time</t>
  </si>
  <si>
    <t>Procedure_Status</t>
  </si>
  <si>
    <t>Failure_Cause_Type</t>
  </si>
  <si>
    <t>Failure_Cause</t>
  </si>
  <si>
    <t>AMF_IP_Add</t>
  </si>
  <si>
    <t>gNB_IP_Add</t>
  </si>
  <si>
    <t>PDU_Session_DNN</t>
  </si>
  <si>
    <t>A</t>
    <phoneticPr fontId="33" type="noConversion"/>
  </si>
  <si>
    <t>详单</t>
    <phoneticPr fontId="33" type="noConversion"/>
  </si>
  <si>
    <t>5G_DPI_n26贴源层详表</t>
  </si>
  <si>
    <t>SA用户面https定制网事实表</t>
    <phoneticPr fontId="33" type="noConversion"/>
  </si>
  <si>
    <t>5G_DPI_https贴源层详表</t>
    <phoneticPr fontId="33" type="noConversion"/>
  </si>
  <si>
    <t>SA用户面http定制网事实表</t>
    <phoneticPr fontId="33" type="noConversion"/>
  </si>
  <si>
    <t>ods_5gdpi_http_e2e_telecom_origin_q</t>
    <phoneticPr fontId="33" type="noConversion"/>
  </si>
  <si>
    <t>5G_DPI_http贴源层详表</t>
    <phoneticPr fontId="33" type="noConversion"/>
  </si>
  <si>
    <t>SA用户面email定制网事实表</t>
    <phoneticPr fontId="33" type="noConversion"/>
  </si>
  <si>
    <t>ods_5gdpi_email_e2e_telecom_q</t>
    <phoneticPr fontId="33" type="noConversion"/>
  </si>
  <si>
    <t>5G_DPI_email贴源层详表</t>
    <phoneticPr fontId="33" type="noConversion"/>
  </si>
  <si>
    <t>SA用户面dns定制网事实表</t>
    <phoneticPr fontId="33" type="noConversion"/>
  </si>
  <si>
    <t>5G_DPI_dns贴源层详表</t>
    <phoneticPr fontId="33" type="noConversion"/>
  </si>
  <si>
    <t>SA用户面coap定制网事实表</t>
    <phoneticPr fontId="33" type="noConversion"/>
  </si>
  <si>
    <t>ods_5gdpi_coap_e2e_telecom_q</t>
    <phoneticPr fontId="33" type="noConversion"/>
  </si>
  <si>
    <t>5G_DPI_coap贴源层详表</t>
    <phoneticPr fontId="33" type="noConversion"/>
  </si>
  <si>
    <t>SA用户面ftp定制网事实表</t>
    <phoneticPr fontId="33" type="noConversion"/>
  </si>
  <si>
    <t>ods_5gdpi_ftp_e2e_telecom_q</t>
    <phoneticPr fontId="33" type="noConversion"/>
  </si>
  <si>
    <t>5G_DPI_ftp贴源层详表</t>
    <phoneticPr fontId="33" type="noConversion"/>
  </si>
  <si>
    <t>SA用户面mqtt定制网事实表</t>
    <phoneticPr fontId="33" type="noConversion"/>
  </si>
  <si>
    <t>ods_5gdpi_mqtt_e2e_telecom_q</t>
    <phoneticPr fontId="33" type="noConversion"/>
  </si>
  <si>
    <t>5G_DPI_mqtt贴源层详表</t>
    <phoneticPr fontId="33" type="noConversion"/>
  </si>
  <si>
    <t>SA用户面other定制网事实表</t>
    <phoneticPr fontId="33" type="noConversion"/>
  </si>
  <si>
    <t>ods_5gdpi_other_e2e_telecom_q</t>
    <phoneticPr fontId="33" type="noConversion"/>
  </si>
  <si>
    <t>5G_DPI_other贴源层详表</t>
    <phoneticPr fontId="33" type="noConversion"/>
  </si>
  <si>
    <t>SA用户面video定制网事实表</t>
    <phoneticPr fontId="33" type="noConversion"/>
  </si>
  <si>
    <t>ods_5gdpi_video_e2e_telecom_origin_q</t>
    <phoneticPr fontId="33" type="noConversion"/>
  </si>
  <si>
    <t>5G_DPI_video贴源层详表</t>
    <phoneticPr fontId="33" type="noConversion"/>
  </si>
  <si>
    <t>SA用户面game定制网事实表</t>
    <phoneticPr fontId="33" type="noConversion"/>
  </si>
  <si>
    <t>ods_5gdpi_game_e2e_telecom_q</t>
    <phoneticPr fontId="33" type="noConversion"/>
  </si>
  <si>
    <t>5G_DPI_game贴源层详表</t>
    <phoneticPr fontId="33" type="noConversion"/>
  </si>
  <si>
    <t>流程类型编码，具体取值如下：
21：Identification Request
22：Context Request
23：Forward Relocation Request
24：Forward Relocation Complete Notification
26：Relocation Cancel Request
27：Configuration Transfer Tunnel</t>
  </si>
  <si>
    <t>流程状态
1：成功；
2：失败；
3：超时；
【处理方式】初始HTTP Request消息后，如果在时间T（默认值为10S）：
收到2XX Response，赋值为1；
收到3XX、4XX、5XX Response，赋值2；
没有收到任何Response消息则赋值3。</t>
  </si>
  <si>
    <t>首条HTTP Request消息的类型
1：POST
2：PUT
3：GET
4：PATCH
5：DELETE
参见3GPP 29.274第8.4节中Table 8.4-1</t>
  </si>
  <si>
    <t>mme_address</t>
  </si>
  <si>
    <t>MME信令面IP地址。</t>
  </si>
  <si>
    <t>amf_address</t>
  </si>
  <si>
    <t>AMF信令面IP地址。</t>
  </si>
  <si>
    <t>mme_port</t>
  </si>
  <si>
    <t>MME端口，与MME Address对应</t>
  </si>
  <si>
    <t>AMF信令面端口，与AMF Address对应</t>
  </si>
  <si>
    <t>当前的TAC</t>
  </si>
  <si>
    <t>cell_id</t>
  </si>
  <si>
    <t>当前小区的ECI</t>
  </si>
  <si>
    <t>永久用户标识</t>
  </si>
  <si>
    <t>destinationip</t>
  </si>
  <si>
    <t>用户访问的目标IPv4或IPv6地址</t>
  </si>
  <si>
    <t>destinationport</t>
  </si>
  <si>
    <t>用户访问的目标端口号</t>
  </si>
  <si>
    <t>sourceip</t>
  </si>
  <si>
    <t>用户访问外部网络时使用的IPv4或IPv6地址</t>
  </si>
  <si>
    <t>sourceport</t>
  </si>
  <si>
    <t>用户访问外部网络时使用的端口号</t>
  </si>
  <si>
    <t>ncgi_ecgi</t>
  </si>
  <si>
    <t>NCGI：NR 小区全局标识符，MCC+MNC+NRCELLID；
ECGI：E-UTRAN 小区全局标识符，MCC+MNC+CELLID；</t>
  </si>
  <si>
    <t>protocolid</t>
  </si>
  <si>
    <t>协议类型</t>
  </si>
  <si>
    <t>starttime</t>
  </si>
  <si>
    <t>业务流开始时间，格式为YYYYMMDDhhmmss（24小时制），如果开启中间记录模式，每条记录都填写相同的开始时间。</t>
  </si>
  <si>
    <t>endtime</t>
  </si>
  <si>
    <t>业务流结束时间，格式为YYYYMMDDhhmmss（24小时制），如果开启中间记录模式，只在最后一条记录填写结束时间。</t>
  </si>
  <si>
    <t>持续时间，单位毫秒</t>
  </si>
  <si>
    <t>发给用户的业务字节数</t>
  </si>
  <si>
    <t>用户发出的业务字节数</t>
  </si>
  <si>
    <t>pduconnectionid</t>
  </si>
  <si>
    <t>PDU连接的ID标识号</t>
  </si>
  <si>
    <t>recordclosecause</t>
  </si>
  <si>
    <t>记录关闭原因</t>
  </si>
  <si>
    <t>上行TCP乱序报文数</t>
  </si>
  <si>
    <t>下行TCP乱序报文数</t>
  </si>
  <si>
    <t>ultcp_retranspacket</t>
  </si>
  <si>
    <t>上行TCP重传报文数</t>
  </si>
  <si>
    <t>dltcp_retranspacket</t>
  </si>
  <si>
    <t>下行TCP重传报文数</t>
  </si>
  <si>
    <t>tcpsetupresponsedelay</t>
  </si>
  <si>
    <t>TCP建链响应时延（ms）</t>
  </si>
  <si>
    <t>tcpsetupackdelay</t>
  </si>
  <si>
    <t>TCP建链确认时延（ms）</t>
  </si>
  <si>
    <t>tcpconnectstate</t>
  </si>
  <si>
    <t>TCP连接状态指示</t>
  </si>
  <si>
    <t>dl_datatransduration</t>
  </si>
  <si>
    <t>ul_average_packet_size</t>
  </si>
  <si>
    <t>UDP上行平均包大小</t>
  </si>
  <si>
    <t>dl_average_packet_size</t>
  </si>
  <si>
    <t>UDP下行平均包大小</t>
  </si>
  <si>
    <t>ul_average_interval</t>
  </si>
  <si>
    <t>UDP上行平均包间隔</t>
  </si>
  <si>
    <t>dl_average_interval</t>
  </si>
  <si>
    <t>UDP下行平均包间隔</t>
  </si>
  <si>
    <t>ul_average_jitter</t>
  </si>
  <si>
    <t>UDP上行平均包间隔抖动</t>
  </si>
  <si>
    <t>dl_average_jitter</t>
  </si>
  <si>
    <t>UDP下行平均包间隔抖动</t>
  </si>
  <si>
    <t>flowid</t>
  </si>
  <si>
    <t>流标识</t>
  </si>
  <si>
    <t>delay_setup_firsttransaction</t>
  </si>
  <si>
    <t>TCP 建链成功到第一条事_x000D_
务请求的时延（ms）_x000D_
没有事务的时候可以不填_x000D_
写，此时填 0</t>
  </si>
  <si>
    <t>delay_firsttransaction_firstrespackt</t>
  </si>
  <si>
    <t>第一条事务请求到其第一_x000D_
个响应包时延（ms）_x000D_
没有事务的时候可以不填_x000D_
写，此时填 0</t>
  </si>
  <si>
    <t>tcpsynnumber</t>
  </si>
  <si>
    <t>TCP 建链尝试次数_x000D_
TCP SYN 的次数，一次 TCP_x000D_
流多次 SYN 的数值_x000D_
非 TCP 传输时，此字段填 0</t>
  </si>
  <si>
    <t>destination_url</t>
  </si>
  <si>
    <t>用户访问的目标网站的URL。</t>
  </si>
  <si>
    <t>domain_name</t>
  </si>
  <si>
    <t>外部网站的域名</t>
  </si>
  <si>
    <t>syntime</t>
  </si>
  <si>
    <t>SYN 时间戳，UTC 时间，从 1970/1/1_x000D_
00:00:00 开始到当前的毫秒_x000D_
数。</t>
  </si>
  <si>
    <t>first_fin_ack_time</t>
  </si>
  <si>
    <t>第一个TCP FinAck包时间戳</t>
  </si>
  <si>
    <t>dnsquery_time</t>
  </si>
  <si>
    <t>DNS关联流的请求时间戳。无关联流，此字段填写0</t>
  </si>
  <si>
    <t>dnsflow_id</t>
  </si>
  <si>
    <t>HTTP流与DNS流的关联ID。无关联流时，此字段填写0</t>
  </si>
  <si>
    <t>sum_hand_shake_delay</t>
  </si>
  <si>
    <t>加密握手总时延，单位毫秒</t>
  </si>
  <si>
    <t>TCP建链成功到第一条事务请求的时延（ms）</t>
  </si>
  <si>
    <t>第一条事务请求到其第一个响应包时延（ms）</t>
  </si>
  <si>
    <t>TCP建链尝试次数</t>
  </si>
  <si>
    <t>httpstatus</t>
  </si>
  <si>
    <t>HTTP状态码，请参照附录A.1 HTTPSTATUS表</t>
  </si>
  <si>
    <t>resp_delay</t>
  </si>
  <si>
    <t>响应时延，单位毫秒</t>
  </si>
  <si>
    <t>SYN时间戳</t>
  </si>
  <si>
    <t>status</t>
  </si>
  <si>
    <t>状态PROCEDURE_STATUS=1 成功</t>
  </si>
  <si>
    <t>query_domain_name</t>
  </si>
  <si>
    <t>reply_code</t>
  </si>
  <si>
    <t>query_time</t>
  </si>
  <si>
    <t>response_time</t>
  </si>
  <si>
    <t>request_number</t>
  </si>
  <si>
    <t>response_number</t>
  </si>
  <si>
    <t>proceduretype</t>
  </si>
  <si>
    <t>1.控制连接的建立：SCCRQ、SCCRP、SCCCN
2.会话连接的建立：ICRQ、ICRP、ICCN
3.控制连接的维持：Hello
4.会话连接的拆除：CDN、ZLB
5.控制连接的拆除：StopCCN、ZLB
6.PPP链路配置(LCP)
7.PPP链路结束(LCP)
8.PPP链路维修(LCP)
9.PPP-CHAP认证
10.PPP-PAP认证
11.PPP链路配置(IPCP)
PPP链路结束(IPCP)</t>
  </si>
  <si>
    <t>retrans_ul_count</t>
  </si>
  <si>
    <t>上行重传次数</t>
  </si>
  <si>
    <t>retrans_dl_count</t>
  </si>
  <si>
    <t>下行重传次数</t>
  </si>
  <si>
    <t>direction</t>
  </si>
  <si>
    <t>本切片xDR对应的方向：1：上行，2：下行</t>
  </si>
  <si>
    <t>destination_uri</t>
  </si>
  <si>
    <t>用户访问的目标的URI。</t>
  </si>
  <si>
    <t>filesize</t>
  </si>
  <si>
    <t>文件大小</t>
  </si>
  <si>
    <t>transflag</t>
  </si>
  <si>
    <t>传输方向标志（0：下载，1：上传）</t>
  </si>
  <si>
    <t>ftpstatus</t>
  </si>
  <si>
    <t>FTP状态，请参照附录A.3FTPSTATUS表</t>
  </si>
  <si>
    <t>delay</t>
  </si>
  <si>
    <t>时延</t>
  </si>
  <si>
    <t>message_type</t>
  </si>
  <si>
    <t>消息类型</t>
  </si>
  <si>
    <t>connect_return_code</t>
  </si>
  <si>
    <t>连接响应结果
0：Connect Accepted
1：unacceptale protocol version
2：identifier rejected
3：server unavailable
4：bad user name or password
5：not authorized</t>
  </si>
  <si>
    <t>retain</t>
  </si>
  <si>
    <t>是否有后续订阅</t>
  </si>
  <si>
    <t>keepalive</t>
  </si>
  <si>
    <t>心跳时间</t>
  </si>
  <si>
    <t>respdelay</t>
  </si>
  <si>
    <t>video_play_success</t>
  </si>
  <si>
    <t>视频成功播放的标识</t>
  </si>
  <si>
    <t>video_play_wait_time</t>
  </si>
  <si>
    <t>视频播放等待时长</t>
  </si>
  <si>
    <t>video_play_halt_count</t>
  </si>
  <si>
    <t>视频播放卡顿次数</t>
  </si>
  <si>
    <t>video_recover_time</t>
  </si>
  <si>
    <t>视频卡顿时长</t>
  </si>
  <si>
    <t>first_data_pkg_time</t>
  </si>
  <si>
    <t>视频下行第一个有效数据包时间戳</t>
  </si>
  <si>
    <t>last_data_pkg_time</t>
  </si>
  <si>
    <t>视频下行最后一个有效数据包时间戳</t>
  </si>
  <si>
    <t>video_size</t>
  </si>
  <si>
    <t>视频文件大小</t>
  </si>
  <si>
    <t>video_throughput</t>
  </si>
  <si>
    <t>视频下载速率</t>
  </si>
  <si>
    <t>video_bit_rate</t>
  </si>
  <si>
    <t>视频码率</t>
  </si>
  <si>
    <t>video_cache_throughput</t>
  </si>
  <si>
    <t>视频缓冲段下载速率。算法见《中国电信移动互联网业务感知质量评价细则》</t>
  </si>
  <si>
    <t>video_resolution_level</t>
  </si>
  <si>
    <t>视频清晰度，取值范围100~500，分值越高越清晰</t>
  </si>
  <si>
    <t>video_fluency_level</t>
  </si>
  <si>
    <t>视频流畅度，取值100~500，分值越高越流畅</t>
  </si>
  <si>
    <t>video_resolution</t>
  </si>
  <si>
    <t>视频分辨率</t>
  </si>
  <si>
    <t>avg_delay</t>
  </si>
  <si>
    <t>平均时延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</si>
</sst>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400]h:mm:ss\ AM/PM"/>
    <numFmt numFmtId="177" formatCode="[$-F800]dddd\,\ mmmm\ dd\,\ yyyy"/>
  </numFmts>
  <fonts count="34">
    <font>
      <sz val="11"/>
      <color theme="1"/>
      <name val="等线"/>
      <charset val="134"/>
      <scheme val="minor"/>
    </font>
    <font>
      <sz val="11"/>
      <color theme="1"/>
      <name val="等线"/>
      <family val="2"/>
      <scheme val="minor"/>
    </font>
    <font>
      <sz val="9"/>
      <color theme="1"/>
      <name val="微软雅黑"/>
      <family val="2"/>
      <charset val="134"/>
    </font>
    <font>
      <u/>
      <sz val="9"/>
      <color rgb="FF0000FF"/>
      <name val="微软雅黑"/>
      <family val="2"/>
      <charset val="134"/>
    </font>
    <font>
      <sz val="9"/>
      <name val="微软雅黑"/>
      <family val="2"/>
      <charset val="134"/>
    </font>
    <font>
      <b/>
      <i/>
      <sz val="9"/>
      <name val="微软雅黑"/>
      <family val="2"/>
      <charset val="134"/>
    </font>
    <font>
      <b/>
      <sz val="9"/>
      <name val="微软雅黑"/>
      <family val="2"/>
      <charset val="134"/>
    </font>
    <font>
      <sz val="10"/>
      <color theme="1"/>
      <name val="等线"/>
      <family val="3"/>
      <charset val="134"/>
      <scheme val="minor"/>
    </font>
    <font>
      <u/>
      <sz val="12"/>
      <color rgb="FF0000FF"/>
      <name val="等线"/>
      <family val="3"/>
      <charset val="134"/>
      <scheme val="minor"/>
    </font>
    <font>
      <sz val="10"/>
      <name val="宋体"/>
      <family val="3"/>
      <charset val="134"/>
    </font>
    <font>
      <b/>
      <i/>
      <sz val="12"/>
      <name val="宋体"/>
      <family val="3"/>
      <charset val="134"/>
    </font>
    <font>
      <b/>
      <sz val="10"/>
      <name val="等线"/>
      <family val="3"/>
      <charset val="134"/>
      <scheme val="minor"/>
    </font>
    <font>
      <sz val="10"/>
      <name val="等线"/>
      <family val="3"/>
      <charset val="134"/>
      <scheme val="minor"/>
    </font>
    <font>
      <b/>
      <i/>
      <sz val="12"/>
      <name val="等线"/>
      <family val="3"/>
      <charset val="134"/>
      <scheme val="minor"/>
    </font>
    <font>
      <sz val="11"/>
      <name val="微软雅黑"/>
      <family val="2"/>
      <charset val="134"/>
    </font>
    <font>
      <sz val="9"/>
      <color rgb="FF000000"/>
      <name val="微软雅黑"/>
      <family val="2"/>
      <charset val="134"/>
    </font>
    <font>
      <b/>
      <sz val="9"/>
      <color rgb="FFFF0000"/>
      <name val="微软雅黑"/>
      <family val="2"/>
      <charset val="134"/>
    </font>
    <font>
      <sz val="9"/>
      <color rgb="FFFF0000"/>
      <name val="微软雅黑"/>
      <family val="2"/>
      <charset val="134"/>
    </font>
    <font>
      <sz val="11"/>
      <color indexed="8"/>
      <name val="微软雅黑"/>
      <family val="2"/>
      <charset val="134"/>
    </font>
    <font>
      <u/>
      <sz val="11"/>
      <color rgb="FF0000FF"/>
      <name val="等线"/>
      <family val="3"/>
      <charset val="134"/>
      <scheme val="minor"/>
    </font>
    <font>
      <sz val="10"/>
      <name val="微软雅黑"/>
      <family val="2"/>
      <charset val="134"/>
    </font>
    <font>
      <b/>
      <i/>
      <sz val="12"/>
      <name val="微软雅黑"/>
      <family val="2"/>
      <charset val="134"/>
    </font>
    <font>
      <b/>
      <sz val="10"/>
      <name val="微软雅黑"/>
      <family val="2"/>
      <charset val="134"/>
    </font>
    <font>
      <sz val="9"/>
      <color indexed="8"/>
      <name val="微软雅黑"/>
      <family val="2"/>
      <charset val="134"/>
    </font>
    <font>
      <sz val="11"/>
      <color theme="1"/>
      <name val="微软雅黑"/>
      <family val="2"/>
      <charset val="134"/>
    </font>
    <font>
      <u/>
      <sz val="9"/>
      <color rgb="FF800080"/>
      <name val="微软雅黑"/>
      <family val="2"/>
      <charset val="134"/>
    </font>
    <font>
      <u/>
      <sz val="9"/>
      <name val="微软雅黑"/>
      <family val="2"/>
      <charset val="134"/>
    </font>
    <font>
      <sz val="10"/>
      <name val="Arial"/>
      <family val="2"/>
    </font>
    <font>
      <sz val="12"/>
      <name val="Times New Roman"/>
      <family val="1"/>
    </font>
    <font>
      <sz val="12"/>
      <name val="宋体"/>
      <family val="3"/>
      <charset val="134"/>
    </font>
    <font>
      <sz val="11"/>
      <color indexed="8"/>
      <name val="等线"/>
      <family val="3"/>
      <charset val="134"/>
      <scheme val="minor"/>
    </font>
    <font>
      <sz val="11"/>
      <name val="Calibri"/>
      <family val="2"/>
    </font>
    <font>
      <sz val="11"/>
      <color theme="1"/>
      <name val="等线"/>
      <family val="3"/>
      <charset val="134"/>
      <scheme val="minor"/>
    </font>
    <font>
      <sz val="9"/>
      <name val="等线"/>
      <family val="3"/>
      <charset val="134"/>
      <scheme val="minor"/>
    </font>
  </fonts>
  <fills count="1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indexed="9"/>
        <bgColor indexed="64"/>
      </patternFill>
    </fill>
    <fill>
      <patternFill patternType="solid">
        <fgColor theme="9" tint="0.39994506668294322"/>
        <bgColor indexed="64"/>
      </patternFill>
    </fill>
    <fill>
      <patternFill patternType="solid">
        <fgColor rgb="FFFFCC99"/>
        <bgColor indexed="64"/>
      </patternFill>
    </fill>
    <fill>
      <patternFill patternType="solid">
        <fgColor rgb="FFCCFFCC"/>
        <bgColor indexed="64"/>
      </patternFill>
    </fill>
    <fill>
      <patternFill patternType="solid">
        <fgColor rgb="FF99CCFF"/>
        <bgColor indexed="64"/>
      </patternFill>
    </fill>
    <fill>
      <patternFill patternType="solid">
        <fgColor rgb="FF99CC00"/>
        <bgColor indexed="64"/>
      </patternFill>
    </fill>
    <fill>
      <patternFill patternType="solid">
        <fgColor rgb="FFFF0000"/>
        <bgColor indexed="64"/>
      </patternFill>
    </fill>
    <fill>
      <patternFill patternType="solid">
        <fgColor indexed="50"/>
        <bgColor indexed="64"/>
      </patternFill>
    </fill>
    <fill>
      <patternFill patternType="solid">
        <fgColor rgb="FF92D050"/>
        <bgColor indexed="64"/>
      </patternFill>
    </fill>
    <fill>
      <patternFill patternType="solid">
        <fgColor theme="8" tint="0.7997985778374584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56">
    <xf numFmtId="0" fontId="0" fillId="0" borderId="0"/>
    <xf numFmtId="0" fontId="19" fillId="0" borderId="0" applyNumberFormat="0" applyFill="0" applyBorder="0" applyAlignment="0" applyProtection="0">
      <alignment vertical="center"/>
    </xf>
    <xf numFmtId="0" fontId="27" fillId="0" borderId="0">
      <alignment vertical="center"/>
    </xf>
    <xf numFmtId="0" fontId="28" fillId="0" borderId="0"/>
    <xf numFmtId="0" fontId="32" fillId="0" borderId="0">
      <alignment vertical="center"/>
    </xf>
    <xf numFmtId="0" fontId="32" fillId="0" borderId="0">
      <alignment vertical="center"/>
    </xf>
    <xf numFmtId="0" fontId="32" fillId="0" borderId="0"/>
    <xf numFmtId="9" fontId="32" fillId="0" borderId="0" applyFont="0" applyFill="0" applyBorder="0" applyAlignment="0" applyProtection="0">
      <alignment vertical="center"/>
    </xf>
    <xf numFmtId="0" fontId="29" fillId="0" borderId="0">
      <alignment vertical="center"/>
    </xf>
    <xf numFmtId="0" fontId="29" fillId="0" borderId="0">
      <alignment vertical="center"/>
    </xf>
    <xf numFmtId="0" fontId="30" fillId="0" borderId="0">
      <alignment vertical="center"/>
    </xf>
    <xf numFmtId="0" fontId="29" fillId="0" borderId="0">
      <alignment vertical="center"/>
    </xf>
    <xf numFmtId="0" fontId="32" fillId="0" borderId="0">
      <alignment vertical="center"/>
    </xf>
    <xf numFmtId="0" fontId="32" fillId="0" borderId="0">
      <alignment vertical="center"/>
    </xf>
    <xf numFmtId="0" fontId="32" fillId="0" borderId="0">
      <alignment vertical="center"/>
    </xf>
    <xf numFmtId="0" fontId="29" fillId="0" borderId="0"/>
    <xf numFmtId="0" fontId="29" fillId="0" borderId="0"/>
    <xf numFmtId="0" fontId="29" fillId="0" borderId="0">
      <alignment vertical="center"/>
    </xf>
    <xf numFmtId="0" fontId="32" fillId="0" borderId="0"/>
    <xf numFmtId="0" fontId="32" fillId="0" borderId="0">
      <alignment vertical="center"/>
    </xf>
    <xf numFmtId="0" fontId="32" fillId="0" borderId="0">
      <alignment vertical="center"/>
    </xf>
    <xf numFmtId="0" fontId="32" fillId="0" borderId="0">
      <alignment vertical="center"/>
    </xf>
    <xf numFmtId="0" fontId="29" fillId="0" borderId="0">
      <alignment vertical="center"/>
    </xf>
    <xf numFmtId="0" fontId="30" fillId="0" borderId="0">
      <alignment vertical="center"/>
    </xf>
    <xf numFmtId="0" fontId="31" fillId="0" borderId="0"/>
    <xf numFmtId="0" fontId="32" fillId="0" borderId="0"/>
    <xf numFmtId="0" fontId="32" fillId="0" borderId="0">
      <alignment vertical="center"/>
    </xf>
    <xf numFmtId="0" fontId="32" fillId="0" borderId="0">
      <alignment vertical="center"/>
    </xf>
    <xf numFmtId="0" fontId="29" fillId="0" borderId="0">
      <alignment vertical="center"/>
    </xf>
    <xf numFmtId="0" fontId="32" fillId="0" borderId="0"/>
    <xf numFmtId="0" fontId="32" fillId="0" borderId="0"/>
    <xf numFmtId="0" fontId="29" fillId="0" borderId="0">
      <alignment vertical="center"/>
    </xf>
    <xf numFmtId="0" fontId="29" fillId="0" borderId="0">
      <alignment vertical="center"/>
    </xf>
    <xf numFmtId="0" fontId="32" fillId="0" borderId="0"/>
    <xf numFmtId="0" fontId="29" fillId="0" borderId="0"/>
    <xf numFmtId="0" fontId="31" fillId="0" borderId="0"/>
    <xf numFmtId="0" fontId="31" fillId="0" borderId="0"/>
    <xf numFmtId="0" fontId="32" fillId="0" borderId="0"/>
    <xf numFmtId="0" fontId="29" fillId="0" borderId="0"/>
    <xf numFmtId="0" fontId="32" fillId="0" borderId="0">
      <alignment vertical="center"/>
    </xf>
    <xf numFmtId="0" fontId="32" fillId="0" borderId="0">
      <alignment vertical="center"/>
    </xf>
    <xf numFmtId="0" fontId="29" fillId="0" borderId="0">
      <alignment vertical="center"/>
    </xf>
    <xf numFmtId="0" fontId="29" fillId="0" borderId="0">
      <alignment vertical="center"/>
    </xf>
    <xf numFmtId="176" fontId="29" fillId="0" borderId="0">
      <alignment vertical="center"/>
    </xf>
    <xf numFmtId="0" fontId="29" fillId="0" borderId="0"/>
    <xf numFmtId="0" fontId="29" fillId="0" borderId="0">
      <alignment vertical="center"/>
    </xf>
    <xf numFmtId="0" fontId="19" fillId="0" borderId="0" applyNumberFormat="0" applyFill="0" applyBorder="0" applyAlignment="0" applyProtection="0">
      <alignment vertical="center"/>
    </xf>
    <xf numFmtId="0" fontId="1" fillId="0" borderId="0"/>
    <xf numFmtId="0" fontId="32" fillId="0" borderId="0"/>
    <xf numFmtId="177" fontId="29" fillId="0" borderId="0"/>
    <xf numFmtId="0" fontId="1" fillId="0" borderId="0"/>
    <xf numFmtId="177" fontId="29" fillId="0" borderId="0"/>
    <xf numFmtId="0" fontId="29" fillId="0" borderId="0">
      <alignment vertical="center"/>
    </xf>
    <xf numFmtId="0" fontId="32" fillId="0" borderId="0"/>
    <xf numFmtId="0" fontId="29" fillId="0" borderId="0"/>
    <xf numFmtId="0" fontId="32" fillId="0" borderId="0">
      <alignment vertical="center"/>
    </xf>
  </cellStyleXfs>
  <cellXfs count="207">
    <xf numFmtId="0" fontId="0" fillId="0" borderId="0" xfId="0"/>
    <xf numFmtId="0" fontId="2" fillId="0" borderId="0" xfId="15" applyFont="1" applyAlignment="1">
      <alignment vertical="center"/>
    </xf>
    <xf numFmtId="0" fontId="2" fillId="2" borderId="0" xfId="12" applyFont="1" applyFill="1">
      <alignment vertical="center"/>
    </xf>
    <xf numFmtId="0" fontId="2" fillId="0" borderId="0" xfId="12" applyFont="1" applyAlignment="1">
      <alignment horizontal="center" vertical="center"/>
    </xf>
    <xf numFmtId="0" fontId="2" fillId="0" borderId="0" xfId="12" applyFont="1">
      <alignment vertical="center"/>
    </xf>
    <xf numFmtId="0" fontId="3" fillId="3" borderId="0" xfId="1" applyNumberFormat="1" applyFont="1" applyFill="1" applyBorder="1" applyAlignment="1" applyProtection="1">
      <alignment horizontal="center" vertical="center"/>
    </xf>
    <xf numFmtId="0" fontId="4" fillId="4" borderId="1" xfId="12" applyFont="1" applyFill="1" applyBorder="1" applyAlignment="1">
      <alignment horizontal="center" vertical="center" wrapText="1"/>
    </xf>
    <xf numFmtId="0" fontId="6" fillId="6" borderId="1" xfId="12" applyFont="1" applyFill="1" applyBorder="1" applyAlignment="1">
      <alignment horizontal="center" vertical="center" wrapText="1"/>
    </xf>
    <xf numFmtId="0" fontId="4" fillId="0" borderId="1" xfId="12" applyFont="1" applyBorder="1" applyAlignment="1">
      <alignment horizontal="center" vertical="center" wrapText="1"/>
    </xf>
    <xf numFmtId="0" fontId="2" fillId="0" borderId="1" xfId="12" applyFont="1" applyBorder="1" applyAlignment="1">
      <alignment horizontal="left" vertical="center"/>
    </xf>
    <xf numFmtId="0" fontId="4" fillId="7" borderId="1" xfId="12" applyFont="1" applyFill="1" applyBorder="1" applyAlignment="1">
      <alignment horizontal="left" vertical="center"/>
    </xf>
    <xf numFmtId="0" fontId="6" fillId="6" borderId="1" xfId="12" applyFont="1" applyFill="1" applyBorder="1" applyAlignment="1">
      <alignment horizontal="center" vertical="center"/>
    </xf>
    <xf numFmtId="0" fontId="2" fillId="0" borderId="1" xfId="12" applyFont="1" applyBorder="1" applyAlignment="1">
      <alignment horizontal="center" vertical="center"/>
    </xf>
    <xf numFmtId="0" fontId="2" fillId="0" borderId="1" xfId="12" applyFont="1" applyBorder="1" applyAlignment="1">
      <alignment horizontal="center" vertical="center" wrapText="1"/>
    </xf>
    <xf numFmtId="0" fontId="2" fillId="2" borderId="1" xfId="12" applyFont="1" applyFill="1" applyBorder="1" applyAlignment="1">
      <alignment vertical="center" wrapText="1"/>
    </xf>
    <xf numFmtId="0" fontId="2" fillId="2" borderId="2" xfId="12" applyFont="1" applyFill="1" applyBorder="1" applyAlignment="1">
      <alignment vertical="center" wrapText="1"/>
    </xf>
    <xf numFmtId="0" fontId="2" fillId="2" borderId="1" xfId="12" applyFont="1" applyFill="1" applyBorder="1" applyAlignment="1">
      <alignment horizontal="left" vertical="center"/>
    </xf>
    <xf numFmtId="0" fontId="4" fillId="7" borderId="1" xfId="12" applyFont="1" applyFill="1" applyBorder="1" applyAlignment="1">
      <alignment horizontal="center" vertical="center"/>
    </xf>
    <xf numFmtId="0" fontId="4" fillId="4" borderId="1" xfId="12" applyFont="1" applyFill="1" applyBorder="1" applyAlignment="1">
      <alignment horizontal="center" vertical="center"/>
    </xf>
    <xf numFmtId="0" fontId="2" fillId="0" borderId="1" xfId="12" applyFont="1" applyBorder="1">
      <alignment vertical="center"/>
    </xf>
    <xf numFmtId="0" fontId="4" fillId="7" borderId="4" xfId="22" applyFont="1" applyFill="1" applyBorder="1" applyAlignment="1">
      <alignment horizontal="center" vertical="center"/>
    </xf>
    <xf numFmtId="0" fontId="4" fillId="7" borderId="1" xfId="15" applyFont="1" applyFill="1" applyBorder="1" applyAlignment="1">
      <alignment horizontal="center" vertical="center" wrapText="1"/>
    </xf>
    <xf numFmtId="0" fontId="2" fillId="0" borderId="1" xfId="12" applyFont="1" applyBorder="1" applyAlignment="1">
      <alignment vertical="center" wrapText="1"/>
    </xf>
    <xf numFmtId="0" fontId="4" fillId="7" borderId="1" xfId="15" applyFont="1" applyFill="1" applyBorder="1" applyAlignment="1">
      <alignment vertical="center" wrapText="1"/>
    </xf>
    <xf numFmtId="0" fontId="2" fillId="2" borderId="1" xfId="12" applyFont="1" applyFill="1" applyBorder="1">
      <alignment vertical="center"/>
    </xf>
    <xf numFmtId="0" fontId="2" fillId="0" borderId="1" xfId="15" applyFont="1" applyBorder="1" applyAlignment="1">
      <alignment vertical="center"/>
    </xf>
    <xf numFmtId="0" fontId="2" fillId="0" borderId="2" xfId="12" applyFont="1" applyBorder="1" applyAlignment="1">
      <alignment horizontal="center" vertical="center" wrapText="1"/>
    </xf>
    <xf numFmtId="0" fontId="2" fillId="0" borderId="1" xfId="12" applyFont="1" applyBorder="1" applyAlignment="1">
      <alignment horizontal="left" vertical="center" wrapText="1"/>
    </xf>
    <xf numFmtId="0" fontId="32" fillId="0" borderId="0" xfId="12">
      <alignment vertical="center"/>
    </xf>
    <xf numFmtId="0" fontId="7" fillId="0" borderId="0" xfId="12" applyFont="1">
      <alignment vertical="center"/>
    </xf>
    <xf numFmtId="0" fontId="7" fillId="0" borderId="0" xfId="15" applyFont="1" applyAlignment="1">
      <alignment vertical="center"/>
    </xf>
    <xf numFmtId="0" fontId="7" fillId="8" borderId="0" xfId="15" applyFont="1" applyFill="1" applyAlignment="1">
      <alignment vertical="center"/>
    </xf>
    <xf numFmtId="0" fontId="32" fillId="0" borderId="0" xfId="12" applyAlignment="1">
      <alignment horizontal="center" vertical="center"/>
    </xf>
    <xf numFmtId="0" fontId="8" fillId="3" borderId="0" xfId="1" applyNumberFormat="1" applyFont="1" applyFill="1" applyBorder="1" applyAlignment="1" applyProtection="1">
      <alignment horizontal="center" vertical="center"/>
    </xf>
    <xf numFmtId="0" fontId="9" fillId="4" borderId="1" xfId="12" applyFont="1" applyFill="1" applyBorder="1" applyAlignment="1">
      <alignment horizontal="center" vertical="center" wrapText="1"/>
    </xf>
    <xf numFmtId="0" fontId="7" fillId="0" borderId="0" xfId="12" applyFont="1" applyAlignment="1">
      <alignment horizontal="center" vertical="center"/>
    </xf>
    <xf numFmtId="0" fontId="11" fillId="6" borderId="1" xfId="12" applyFont="1" applyFill="1" applyBorder="1" applyAlignment="1">
      <alignment horizontal="center" vertical="center" wrapText="1"/>
    </xf>
    <xf numFmtId="0" fontId="12" fillId="0" borderId="1" xfId="12" applyFont="1" applyBorder="1" applyAlignment="1">
      <alignment horizontal="center" vertical="center" wrapText="1"/>
    </xf>
    <xf numFmtId="0" fontId="7" fillId="0" borderId="1" xfId="12" applyFont="1" applyBorder="1" applyAlignment="1">
      <alignment horizontal="left" vertical="center" wrapText="1"/>
    </xf>
    <xf numFmtId="0" fontId="12" fillId="7" borderId="1" xfId="12" applyFont="1" applyFill="1" applyBorder="1" applyAlignment="1">
      <alignment horizontal="center" vertical="center" wrapText="1"/>
    </xf>
    <xf numFmtId="0" fontId="11" fillId="6" borderId="1" xfId="12" applyFont="1" applyFill="1" applyBorder="1" applyAlignment="1">
      <alignment horizontal="center" vertical="center"/>
    </xf>
    <xf numFmtId="0" fontId="7" fillId="0" borderId="1" xfId="12" applyFont="1" applyBorder="1" applyAlignment="1">
      <alignment horizontal="center" vertical="center"/>
    </xf>
    <xf numFmtId="0" fontId="7" fillId="0" borderId="0" xfId="15" applyFont="1" applyAlignment="1">
      <alignment horizontal="center" vertical="center"/>
    </xf>
    <xf numFmtId="0" fontId="7" fillId="0" borderId="1" xfId="12" applyFont="1" applyBorder="1" applyAlignment="1">
      <alignment horizontal="center" vertical="center" wrapText="1"/>
    </xf>
    <xf numFmtId="0" fontId="7" fillId="0" borderId="1" xfId="15" applyFont="1" applyBorder="1" applyAlignment="1">
      <alignment horizontal="center" vertical="center"/>
    </xf>
    <xf numFmtId="0" fontId="7" fillId="8" borderId="0" xfId="15" applyFont="1" applyFill="1" applyAlignment="1">
      <alignment horizontal="center" vertical="center"/>
    </xf>
    <xf numFmtId="0" fontId="7" fillId="8" borderId="1" xfId="12" applyFont="1" applyFill="1" applyBorder="1" applyAlignment="1">
      <alignment horizontal="center" vertical="center" wrapText="1"/>
    </xf>
    <xf numFmtId="0" fontId="12" fillId="7" borderId="1" xfId="22" applyFont="1" applyFill="1" applyBorder="1" applyAlignment="1">
      <alignment horizontal="center" vertical="center"/>
    </xf>
    <xf numFmtId="0" fontId="7" fillId="0" borderId="0" xfId="12" applyFont="1" applyAlignment="1">
      <alignment horizontal="center" vertical="center" wrapText="1"/>
    </xf>
    <xf numFmtId="0" fontId="7" fillId="0" borderId="1" xfId="15" applyFont="1" applyBorder="1" applyAlignment="1">
      <alignment horizontal="left" vertical="center"/>
    </xf>
    <xf numFmtId="0" fontId="7" fillId="8" borderId="1" xfId="15" applyFont="1" applyFill="1" applyBorder="1" applyAlignment="1">
      <alignment horizontal="left" vertical="center"/>
    </xf>
    <xf numFmtId="0" fontId="7" fillId="8" borderId="1" xfId="15" applyFont="1" applyFill="1" applyBorder="1" applyAlignment="1">
      <alignment horizontal="center" vertical="center"/>
    </xf>
    <xf numFmtId="0" fontId="14" fillId="0" borderId="0" xfId="35" applyFont="1"/>
    <xf numFmtId="0" fontId="15" fillId="0" borderId="1" xfId="35" applyFont="1" applyBorder="1" applyAlignment="1">
      <alignment vertical="center"/>
    </xf>
    <xf numFmtId="0" fontId="2" fillId="0" borderId="1" xfId="35" applyFont="1" applyBorder="1" applyAlignment="1">
      <alignment horizontal="center" vertical="center"/>
    </xf>
    <xf numFmtId="0" fontId="4" fillId="0" borderId="1" xfId="35" applyFont="1" applyBorder="1" applyAlignment="1">
      <alignment horizontal="center" vertical="center" wrapText="1" readingOrder="1"/>
    </xf>
    <xf numFmtId="0" fontId="4" fillId="0" borderId="1" xfId="35" applyFont="1" applyBorder="1" applyAlignment="1">
      <alignment vertical="center" wrapText="1" readingOrder="1"/>
    </xf>
    <xf numFmtId="0" fontId="4" fillId="0" borderId="1" xfId="5" applyFont="1" applyBorder="1" applyAlignment="1">
      <alignment vertical="center" wrapText="1" readingOrder="1"/>
    </xf>
    <xf numFmtId="0" fontId="2" fillId="0" borderId="0" xfId="12" applyFont="1" applyAlignment="1">
      <alignment horizontal="left" vertical="center"/>
    </xf>
    <xf numFmtId="0" fontId="6" fillId="6" borderId="1" xfId="12" applyFont="1" applyFill="1" applyBorder="1" applyAlignment="1">
      <alignment horizontal="left" vertical="center" wrapText="1"/>
    </xf>
    <xf numFmtId="0" fontId="2" fillId="2" borderId="0" xfId="12" applyFont="1" applyFill="1" applyAlignment="1">
      <alignment horizontal="center" vertical="center"/>
    </xf>
    <xf numFmtId="0" fontId="4" fillId="7" borderId="1" xfId="12" applyFont="1" applyFill="1" applyBorder="1" applyAlignment="1">
      <alignment horizontal="center" vertical="center" wrapText="1"/>
    </xf>
    <xf numFmtId="0" fontId="2" fillId="0" borderId="0" xfId="12" applyFont="1" applyAlignment="1">
      <alignment horizontal="center" vertical="center" wrapText="1"/>
    </xf>
    <xf numFmtId="0" fontId="4" fillId="7" borderId="1" xfId="15" applyFont="1" applyFill="1" applyBorder="1" applyAlignment="1">
      <alignment horizontal="left" vertical="center" wrapText="1"/>
    </xf>
    <xf numFmtId="0" fontId="2" fillId="0" borderId="1" xfId="15" applyFont="1" applyBorder="1" applyAlignment="1">
      <alignment horizontal="left" vertical="center"/>
    </xf>
    <xf numFmtId="0" fontId="4" fillId="0" borderId="0" xfId="15" applyFont="1" applyAlignment="1">
      <alignment vertical="center"/>
    </xf>
    <xf numFmtId="0" fontId="4" fillId="0" borderId="1" xfId="12" applyFont="1" applyBorder="1" applyAlignment="1">
      <alignment horizontal="center" vertical="center"/>
    </xf>
    <xf numFmtId="0" fontId="2" fillId="2" borderId="0" xfId="15" applyFont="1" applyFill="1" applyAlignment="1">
      <alignment vertical="center"/>
    </xf>
    <xf numFmtId="0" fontId="4" fillId="0" borderId="1" xfId="12" applyFont="1" applyBorder="1" applyAlignment="1">
      <alignment horizontal="left" vertical="center"/>
    </xf>
    <xf numFmtId="0" fontId="4" fillId="2" borderId="1" xfId="15" applyFont="1" applyFill="1" applyBorder="1" applyAlignment="1">
      <alignment horizontal="center" vertical="center" wrapText="1"/>
    </xf>
    <xf numFmtId="0" fontId="4" fillId="0" borderId="1" xfId="15" applyFont="1" applyBorder="1" applyAlignment="1">
      <alignment vertical="center"/>
    </xf>
    <xf numFmtId="0" fontId="16" fillId="0" borderId="1" xfId="12" applyFont="1" applyBorder="1" applyAlignment="1">
      <alignment vertical="center" wrapText="1"/>
    </xf>
    <xf numFmtId="0" fontId="17" fillId="0" borderId="0" xfId="12" applyFont="1" applyAlignment="1">
      <alignment horizontal="left" vertical="center"/>
    </xf>
    <xf numFmtId="0" fontId="18" fillId="0" borderId="0" xfId="12" applyFont="1" applyAlignment="1">
      <alignment horizontal="center" vertical="center"/>
    </xf>
    <xf numFmtId="0" fontId="18" fillId="0" borderId="0" xfId="12" applyFont="1">
      <alignment vertical="center"/>
    </xf>
    <xf numFmtId="0" fontId="19" fillId="9" borderId="1" xfId="1" applyFill="1" applyBorder="1" applyAlignment="1">
      <alignment vertical="center" wrapText="1"/>
    </xf>
    <xf numFmtId="0" fontId="20" fillId="9" borderId="1" xfId="12" applyFont="1" applyFill="1" applyBorder="1" applyAlignment="1">
      <alignment vertical="center" wrapText="1"/>
    </xf>
    <xf numFmtId="0" fontId="22" fillId="11" borderId="1" xfId="12" applyFont="1" applyFill="1" applyBorder="1" applyAlignment="1">
      <alignment horizontal="center" vertical="center" wrapText="1"/>
    </xf>
    <xf numFmtId="0" fontId="18" fillId="0" borderId="1" xfId="12" applyFont="1" applyBorder="1">
      <alignment vertical="center"/>
    </xf>
    <xf numFmtId="0" fontId="23" fillId="0" borderId="1" xfId="12" applyFont="1" applyBorder="1">
      <alignment vertical="center"/>
    </xf>
    <xf numFmtId="0" fontId="20" fillId="9" borderId="1" xfId="12" applyFont="1" applyFill="1" applyBorder="1" applyAlignment="1">
      <alignment horizontal="center" vertical="center" wrapText="1"/>
    </xf>
    <xf numFmtId="0" fontId="22" fillId="11" borderId="1" xfId="12" applyFont="1" applyFill="1" applyBorder="1" applyAlignment="1">
      <alignment horizontal="center" vertical="center"/>
    </xf>
    <xf numFmtId="0" fontId="23" fillId="0" borderId="1" xfId="12" applyFont="1" applyBorder="1" applyAlignment="1">
      <alignment horizontal="center" vertical="center"/>
    </xf>
    <xf numFmtId="0" fontId="6" fillId="11" borderId="1" xfId="12" applyFont="1" applyFill="1" applyBorder="1" applyAlignment="1">
      <alignment horizontal="center" vertical="center" wrapText="1"/>
    </xf>
    <xf numFmtId="0" fontId="23" fillId="0" borderId="1" xfId="12" applyFont="1" applyBorder="1" applyAlignment="1">
      <alignment horizontal="left" vertical="center"/>
    </xf>
    <xf numFmtId="0" fontId="18" fillId="13" borderId="0" xfId="12" applyFont="1" applyFill="1" applyAlignment="1">
      <alignment horizontal="center" vertical="center"/>
    </xf>
    <xf numFmtId="0" fontId="2" fillId="0" borderId="1" xfId="23" applyFont="1" applyBorder="1" applyAlignment="1">
      <alignment horizontal="center" vertical="center"/>
    </xf>
    <xf numFmtId="0" fontId="24" fillId="0" borderId="0" xfId="23" applyFont="1" applyAlignment="1">
      <alignment horizontal="center" vertical="center"/>
    </xf>
    <xf numFmtId="0" fontId="24" fillId="0" borderId="0" xfId="23" applyFont="1">
      <alignment vertical="center"/>
    </xf>
    <xf numFmtId="0" fontId="19" fillId="4" borderId="1" xfId="1" applyFill="1" applyBorder="1" applyAlignment="1">
      <alignment vertical="center" wrapText="1"/>
    </xf>
    <xf numFmtId="0" fontId="20" fillId="4" borderId="1" xfId="23" applyFont="1" applyFill="1" applyBorder="1" applyAlignment="1">
      <alignment vertical="center" wrapText="1"/>
    </xf>
    <xf numFmtId="0" fontId="22" fillId="6" borderId="1" xfId="23" applyFont="1" applyFill="1" applyBorder="1" applyAlignment="1">
      <alignment horizontal="center" vertical="center" wrapText="1"/>
    </xf>
    <xf numFmtId="0" fontId="15" fillId="0" borderId="1" xfId="23" applyFont="1" applyBorder="1">
      <alignment vertical="center"/>
    </xf>
    <xf numFmtId="0" fontId="23" fillId="0" borderId="1" xfId="23" applyFont="1" applyBorder="1">
      <alignment vertical="center"/>
    </xf>
    <xf numFmtId="0" fontId="20" fillId="4" borderId="1" xfId="23" applyFont="1" applyFill="1" applyBorder="1" applyAlignment="1">
      <alignment horizontal="center" vertical="center" wrapText="1"/>
    </xf>
    <xf numFmtId="0" fontId="22" fillId="6" borderId="1" xfId="23" applyFont="1" applyFill="1" applyBorder="1" applyAlignment="1">
      <alignment horizontal="center" vertical="center"/>
    </xf>
    <xf numFmtId="0" fontId="2" fillId="0" borderId="1" xfId="23" applyFont="1" applyBorder="1">
      <alignment vertical="center"/>
    </xf>
    <xf numFmtId="0" fontId="6" fillId="6" borderId="1" xfId="23" applyFont="1" applyFill="1" applyBorder="1" applyAlignment="1">
      <alignment horizontal="center" vertical="center" wrapText="1"/>
    </xf>
    <xf numFmtId="0" fontId="4" fillId="15" borderId="1" xfId="12" applyFont="1" applyFill="1" applyBorder="1" applyAlignment="1">
      <alignment horizontal="left" vertical="center" wrapText="1"/>
    </xf>
    <xf numFmtId="0" fontId="23" fillId="0" borderId="1" xfId="23" applyFont="1" applyBorder="1" applyAlignment="1">
      <alignment horizontal="left" vertical="center" wrapText="1"/>
    </xf>
    <xf numFmtId="0" fontId="2" fillId="0" borderId="1" xfId="23" applyFont="1" applyBorder="1" applyAlignment="1">
      <alignment horizontal="left" vertical="center"/>
    </xf>
    <xf numFmtId="0" fontId="23" fillId="0" borderId="1" xfId="23" applyFont="1" applyBorder="1" applyAlignment="1">
      <alignment horizontal="left" vertical="center"/>
    </xf>
    <xf numFmtId="0" fontId="24" fillId="13" borderId="0" xfId="12" applyFont="1" applyFill="1" applyAlignment="1">
      <alignment horizontal="center" vertical="center"/>
    </xf>
    <xf numFmtId="0" fontId="4" fillId="2" borderId="3" xfId="12" applyFont="1" applyFill="1" applyBorder="1" applyAlignment="1">
      <alignment horizontal="left" vertical="center" wrapText="1"/>
    </xf>
    <xf numFmtId="0" fontId="23" fillId="0" borderId="6" xfId="23" applyFont="1" applyBorder="1" applyAlignment="1">
      <alignment horizontal="left" vertical="center" wrapText="1"/>
    </xf>
    <xf numFmtId="0" fontId="4" fillId="0" borderId="1" xfId="23" applyFont="1" applyBorder="1" applyAlignment="1">
      <alignment horizontal="center" vertical="center" wrapText="1"/>
    </xf>
    <xf numFmtId="0" fontId="4" fillId="0" borderId="1" xfId="22" applyFont="1" applyBorder="1" applyAlignment="1">
      <alignment horizontal="center" vertical="center"/>
    </xf>
    <xf numFmtId="0" fontId="4" fillId="0" borderId="3" xfId="12" applyFont="1" applyBorder="1" applyAlignment="1">
      <alignment horizontal="left" vertical="center" wrapText="1"/>
    </xf>
    <xf numFmtId="0" fontId="23" fillId="0" borderId="6" xfId="23" applyFont="1" applyBorder="1" applyAlignment="1">
      <alignment horizontal="left" vertical="center"/>
    </xf>
    <xf numFmtId="0" fontId="23" fillId="0" borderId="1" xfId="23" applyFont="1" applyBorder="1" applyAlignment="1">
      <alignment vertical="center" wrapText="1"/>
    </xf>
    <xf numFmtId="0" fontId="24" fillId="0" borderId="0" xfId="12" applyFont="1" applyAlignment="1">
      <alignment vertical="center" wrapText="1"/>
    </xf>
    <xf numFmtId="0" fontId="24" fillId="0" borderId="0" xfId="12" applyFont="1" applyAlignment="1">
      <alignment horizontal="center" vertical="center"/>
    </xf>
    <xf numFmtId="0" fontId="24" fillId="0" borderId="0" xfId="12" applyFont="1">
      <alignment vertical="center"/>
    </xf>
    <xf numFmtId="0" fontId="20" fillId="4" borderId="1" xfId="12" applyFont="1" applyFill="1" applyBorder="1" applyAlignment="1">
      <alignment vertical="center" wrapText="1"/>
    </xf>
    <xf numFmtId="0" fontId="21" fillId="5" borderId="2" xfId="12" applyFont="1" applyFill="1" applyBorder="1" applyAlignment="1">
      <alignment vertical="center" wrapText="1"/>
    </xf>
    <xf numFmtId="0" fontId="21" fillId="5" borderId="7" xfId="12" applyFont="1" applyFill="1" applyBorder="1" applyAlignment="1">
      <alignment vertical="center" wrapText="1"/>
    </xf>
    <xf numFmtId="0" fontId="22" fillId="6" borderId="1" xfId="12" applyFont="1" applyFill="1" applyBorder="1" applyAlignment="1">
      <alignment horizontal="center" vertical="center" wrapText="1"/>
    </xf>
    <xf numFmtId="0" fontId="24" fillId="0" borderId="1" xfId="12" applyFont="1" applyBorder="1">
      <alignment vertical="center"/>
    </xf>
    <xf numFmtId="0" fontId="20" fillId="4" borderId="1" xfId="12" applyFont="1" applyFill="1" applyBorder="1" applyAlignment="1">
      <alignment horizontal="center" vertical="center" wrapText="1"/>
    </xf>
    <xf numFmtId="0" fontId="22" fillId="6" borderId="1" xfId="12" applyFont="1" applyFill="1" applyBorder="1" applyAlignment="1">
      <alignment horizontal="center" vertical="center"/>
    </xf>
    <xf numFmtId="0" fontId="23" fillId="2" borderId="1" xfId="12" applyFont="1" applyFill="1" applyBorder="1" applyAlignment="1">
      <alignment horizontal="left" vertical="center" wrapText="1"/>
    </xf>
    <xf numFmtId="0" fontId="23" fillId="0" borderId="1" xfId="12" applyFont="1" applyBorder="1" applyAlignment="1">
      <alignment horizontal="left" wrapText="1"/>
    </xf>
    <xf numFmtId="0" fontId="23" fillId="0" borderId="1" xfId="12" applyFont="1" applyBorder="1" applyAlignment="1">
      <alignment horizontal="left" vertical="center" wrapText="1"/>
    </xf>
    <xf numFmtId="0" fontId="2" fillId="2" borderId="1" xfId="12" applyFont="1" applyFill="1" applyBorder="1" applyAlignment="1">
      <alignment horizontal="left" vertical="center" wrapText="1"/>
    </xf>
    <xf numFmtId="0" fontId="4" fillId="0" borderId="1" xfId="12" applyFont="1" applyBorder="1" applyAlignment="1">
      <alignment horizontal="left" vertical="center" wrapText="1"/>
    </xf>
    <xf numFmtId="0" fontId="24" fillId="0" borderId="0" xfId="12" applyFont="1" applyAlignment="1">
      <alignment horizontal="center" vertical="center" wrapText="1"/>
    </xf>
    <xf numFmtId="0" fontId="23" fillId="2" borderId="1" xfId="12" applyFont="1" applyFill="1" applyBorder="1" applyAlignment="1">
      <alignment vertical="center" wrapText="1"/>
    </xf>
    <xf numFmtId="0" fontId="2" fillId="2" borderId="1" xfId="12" applyFont="1" applyFill="1" applyBorder="1" applyAlignment="1">
      <alignment horizontal="center" vertical="center" wrapText="1"/>
    </xf>
    <xf numFmtId="0" fontId="23" fillId="0" borderId="1" xfId="12" applyFont="1" applyBorder="1" applyAlignment="1">
      <alignment vertical="center" wrapText="1"/>
    </xf>
    <xf numFmtId="0" fontId="21" fillId="5" borderId="4" xfId="12" applyFont="1" applyFill="1" applyBorder="1" applyAlignment="1">
      <alignment vertical="center" wrapText="1"/>
    </xf>
    <xf numFmtId="0" fontId="17" fillId="0" borderId="1" xfId="14" applyFont="1" applyBorder="1" applyAlignment="1">
      <alignment horizontal="left" vertical="center"/>
    </xf>
    <xf numFmtId="0" fontId="4" fillId="3" borderId="1" xfId="12" applyFont="1" applyFill="1" applyBorder="1" applyAlignment="1">
      <alignment horizontal="left" vertical="center" wrapText="1"/>
    </xf>
    <xf numFmtId="0" fontId="2" fillId="0" borderId="0" xfId="15" applyFont="1" applyAlignment="1">
      <alignment horizontal="center" vertical="center"/>
    </xf>
    <xf numFmtId="0" fontId="2" fillId="0" borderId="1" xfId="15" applyFont="1" applyBorder="1" applyAlignment="1">
      <alignment horizontal="center" vertical="center"/>
    </xf>
    <xf numFmtId="49" fontId="2" fillId="0" borderId="1" xfId="15" applyNumberFormat="1" applyFont="1" applyBorder="1" applyAlignment="1">
      <alignment horizontal="center" vertical="center"/>
    </xf>
    <xf numFmtId="49" fontId="2" fillId="0" borderId="1" xfId="12" applyNumberFormat="1" applyFont="1" applyBorder="1">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17" fillId="0" borderId="1" xfId="12" applyFont="1" applyBorder="1" applyAlignment="1">
      <alignment horizontal="center" vertical="center"/>
    </xf>
    <xf numFmtId="0" fontId="2" fillId="0" borderId="0" xfId="15" applyFont="1" applyAlignment="1">
      <alignment horizontal="left" vertical="center"/>
    </xf>
    <xf numFmtId="0" fontId="2" fillId="0" borderId="0" xfId="0" applyFont="1" applyAlignment="1">
      <alignment horizontal="left" vertical="center"/>
    </xf>
    <xf numFmtId="3" fontId="2" fillId="0" borderId="1" xfId="15" applyNumberFormat="1" applyFont="1" applyBorder="1" applyAlignment="1">
      <alignment vertical="center"/>
    </xf>
    <xf numFmtId="0" fontId="2" fillId="0" borderId="1" xfId="0" applyFont="1" applyBorder="1" applyAlignment="1">
      <alignment horizontal="left" vertical="center"/>
    </xf>
    <xf numFmtId="49" fontId="2" fillId="0" borderId="1" xfId="15" applyNumberFormat="1" applyFont="1" applyBorder="1" applyAlignment="1">
      <alignment horizontal="center" vertical="center" wrapText="1"/>
    </xf>
    <xf numFmtId="0" fontId="2" fillId="0" borderId="0" xfId="14" applyFont="1" applyAlignment="1">
      <alignment horizontal="center" vertical="center"/>
    </xf>
    <xf numFmtId="0" fontId="2" fillId="0" borderId="0" xfId="14" applyFont="1" applyAlignment="1">
      <alignment horizontal="left" vertical="center"/>
    </xf>
    <xf numFmtId="0" fontId="6" fillId="16" borderId="1" xfId="24" applyFont="1" applyFill="1" applyBorder="1" applyAlignment="1">
      <alignment horizontal="center" vertical="center" wrapText="1"/>
    </xf>
    <xf numFmtId="0" fontId="25" fillId="0" borderId="1" xfId="1" applyFont="1" applyFill="1" applyBorder="1" applyAlignment="1">
      <alignment horizontal="center" vertical="center"/>
    </xf>
    <xf numFmtId="0" fontId="26" fillId="0" borderId="1" xfId="1" applyFont="1" applyFill="1" applyBorder="1" applyAlignment="1">
      <alignment horizontal="center" vertical="center"/>
    </xf>
    <xf numFmtId="0" fontId="2" fillId="0" borderId="1" xfId="14" applyFont="1" applyBorder="1" applyAlignment="1">
      <alignment horizontal="center" vertical="center"/>
    </xf>
    <xf numFmtId="0" fontId="6" fillId="16" borderId="1" xfId="24" applyFont="1" applyFill="1" applyBorder="1" applyAlignment="1">
      <alignment horizontal="center" vertical="center"/>
    </xf>
    <xf numFmtId="0" fontId="2" fillId="0" borderId="1" xfId="14" applyFont="1" applyBorder="1" applyAlignment="1">
      <alignment horizontal="left" vertical="center"/>
    </xf>
    <xf numFmtId="0" fontId="6" fillId="16" borderId="1" xfId="24" applyFont="1" applyFill="1" applyBorder="1" applyAlignment="1">
      <alignment horizontal="left" vertical="center" wrapText="1"/>
    </xf>
    <xf numFmtId="0" fontId="6" fillId="3" borderId="1" xfId="24" applyFont="1" applyFill="1" applyBorder="1" applyAlignment="1">
      <alignment horizontal="center" vertical="center" wrapText="1"/>
    </xf>
    <xf numFmtId="0" fontId="17" fillId="0" borderId="1" xfId="14" applyFont="1" applyBorder="1" applyAlignment="1">
      <alignment horizontal="center" vertical="center"/>
    </xf>
    <xf numFmtId="0" fontId="17" fillId="0" borderId="1" xfId="12" applyFont="1" applyBorder="1" applyAlignment="1">
      <alignment horizontal="left"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vertical="center"/>
    </xf>
    <xf numFmtId="0" fontId="0" fillId="0" borderId="0" xfId="0" applyAlignment="1">
      <alignment horizontal="center" vertical="center" wrapText="1"/>
    </xf>
    <xf numFmtId="58" fontId="0" fillId="0" borderId="0" xfId="0" applyNumberFormat="1"/>
    <xf numFmtId="0" fontId="4" fillId="7" borderId="1" xfId="15" applyFont="1" applyFill="1" applyBorder="1" applyAlignment="1">
      <alignment vertical="center"/>
    </xf>
    <xf numFmtId="0" fontId="17" fillId="0" borderId="0" xfId="15" applyFont="1" applyAlignment="1">
      <alignment vertical="center"/>
    </xf>
    <xf numFmtId="0" fontId="17" fillId="0" borderId="1" xfId="12" applyFont="1" applyBorder="1" applyAlignment="1">
      <alignment horizontal="center" vertical="center" wrapText="1"/>
    </xf>
    <xf numFmtId="0" fontId="17" fillId="0" borderId="1" xfId="12" applyFont="1" applyBorder="1">
      <alignment vertical="center"/>
    </xf>
    <xf numFmtId="0" fontId="17" fillId="7" borderId="1" xfId="15" applyFont="1" applyFill="1" applyBorder="1" applyAlignment="1">
      <alignment vertical="center"/>
    </xf>
    <xf numFmtId="0" fontId="17" fillId="0" borderId="1" xfId="15" applyFont="1" applyBorder="1" applyAlignment="1">
      <alignment vertical="center"/>
    </xf>
    <xf numFmtId="0" fontId="17" fillId="7" borderId="1" xfId="15" applyFont="1" applyFill="1" applyBorder="1" applyAlignment="1">
      <alignment horizontal="center" vertical="center" wrapText="1"/>
    </xf>
    <xf numFmtId="0" fontId="4" fillId="4" borderId="1" xfId="12" applyFont="1" applyFill="1" applyBorder="1" applyAlignment="1">
      <alignment vertical="center" wrapText="1"/>
    </xf>
    <xf numFmtId="0" fontId="5" fillId="5" borderId="1" xfId="12" applyFont="1" applyFill="1" applyBorder="1" applyAlignment="1">
      <alignment vertical="center" wrapText="1"/>
    </xf>
    <xf numFmtId="0" fontId="4" fillId="4" borderId="1" xfId="12" applyFont="1" applyFill="1" applyBorder="1">
      <alignment vertical="center"/>
    </xf>
    <xf numFmtId="0" fontId="5" fillId="5" borderId="1" xfId="12" applyFont="1" applyFill="1" applyBorder="1">
      <alignment vertical="center"/>
    </xf>
    <xf numFmtId="0" fontId="2" fillId="3" borderId="1" xfId="12" applyFont="1" applyFill="1" applyBorder="1">
      <alignment vertical="center"/>
    </xf>
    <xf numFmtId="0" fontId="0" fillId="0" borderId="1" xfId="0" applyBorder="1"/>
    <xf numFmtId="0" fontId="4" fillId="0" borderId="1" xfId="14" applyFont="1" applyBorder="1" applyAlignment="1">
      <alignment horizontal="left" vertical="center"/>
    </xf>
    <xf numFmtId="0" fontId="4" fillId="0" borderId="1" xfId="14" applyFont="1" applyBorder="1" applyAlignment="1">
      <alignment horizontal="center" vertical="center"/>
    </xf>
    <xf numFmtId="0" fontId="17" fillId="0" borderId="0" xfId="14" applyFont="1" applyAlignment="1">
      <alignment horizontal="left" vertical="center"/>
    </xf>
    <xf numFmtId="0" fontId="4" fillId="4" borderId="1" xfId="12" applyFont="1" applyFill="1" applyBorder="1" applyAlignment="1">
      <alignment horizontal="center" vertical="center" wrapText="1"/>
    </xf>
    <xf numFmtId="0" fontId="5" fillId="5" borderId="1" xfId="12" applyFont="1" applyFill="1" applyBorder="1" applyAlignment="1">
      <alignment horizontal="center" vertical="center" wrapText="1"/>
    </xf>
    <xf numFmtId="0" fontId="2" fillId="0" borderId="8" xfId="12" applyFont="1" applyBorder="1" applyAlignment="1">
      <alignment horizontal="center" vertical="center" wrapText="1"/>
    </xf>
    <xf numFmtId="0" fontId="2" fillId="0" borderId="9" xfId="12" applyFont="1" applyBorder="1" applyAlignment="1">
      <alignment horizontal="center" vertical="center" wrapText="1"/>
    </xf>
    <xf numFmtId="0" fontId="2" fillId="0" borderId="10" xfId="12" applyFont="1" applyBorder="1" applyAlignment="1">
      <alignment horizontal="center" vertical="center" wrapText="1"/>
    </xf>
    <xf numFmtId="0" fontId="2" fillId="0" borderId="11" xfId="12" applyFont="1" applyBorder="1" applyAlignment="1">
      <alignment horizontal="center" vertical="center" wrapText="1"/>
    </xf>
    <xf numFmtId="0" fontId="2" fillId="0" borderId="1" xfId="12" applyFont="1" applyBorder="1" applyAlignment="1">
      <alignment horizontal="center" vertical="center"/>
    </xf>
    <xf numFmtId="0" fontId="5" fillId="14" borderId="2" xfId="12" applyFont="1" applyFill="1" applyBorder="1" applyAlignment="1">
      <alignment horizontal="center" vertical="center" wrapText="1"/>
    </xf>
    <xf numFmtId="0" fontId="5" fillId="14" borderId="7" xfId="12" applyFont="1" applyFill="1" applyBorder="1" applyAlignment="1">
      <alignment horizontal="center" vertical="center" wrapText="1"/>
    </xf>
    <xf numFmtId="0" fontId="5" fillId="14" borderId="4" xfId="12" applyFont="1" applyFill="1" applyBorder="1" applyAlignment="1">
      <alignment horizontal="center" vertical="center" wrapText="1"/>
    </xf>
    <xf numFmtId="0" fontId="21" fillId="5" borderId="1" xfId="23" applyFont="1" applyFill="1" applyBorder="1" applyAlignment="1">
      <alignment horizontal="center" vertical="center" wrapText="1"/>
    </xf>
    <xf numFmtId="0" fontId="5" fillId="14" borderId="2" xfId="23" applyFont="1" applyFill="1" applyBorder="1" applyAlignment="1">
      <alignment horizontal="center" vertical="center" wrapText="1"/>
    </xf>
    <xf numFmtId="0" fontId="5" fillId="14" borderId="7" xfId="23" applyFont="1" applyFill="1" applyBorder="1" applyAlignment="1">
      <alignment horizontal="center" vertical="center" wrapText="1"/>
    </xf>
    <xf numFmtId="0" fontId="5" fillId="14" borderId="4" xfId="23" applyFont="1" applyFill="1" applyBorder="1" applyAlignment="1">
      <alignment horizontal="center" vertical="center" wrapText="1"/>
    </xf>
    <xf numFmtId="0" fontId="21" fillId="10" borderId="2" xfId="12" applyFont="1" applyFill="1" applyBorder="1" applyAlignment="1">
      <alignment horizontal="center" vertical="center" wrapText="1"/>
    </xf>
    <xf numFmtId="0" fontId="21" fillId="10" borderId="7" xfId="12" applyFont="1" applyFill="1" applyBorder="1" applyAlignment="1">
      <alignment horizontal="center" vertical="center" wrapText="1"/>
    </xf>
    <xf numFmtId="0" fontId="21" fillId="10" borderId="4" xfId="12" applyFont="1" applyFill="1" applyBorder="1" applyAlignment="1">
      <alignment horizontal="center" vertical="center" wrapText="1"/>
    </xf>
    <xf numFmtId="0" fontId="5" fillId="12" borderId="2" xfId="12" applyFont="1" applyFill="1" applyBorder="1" applyAlignment="1">
      <alignment horizontal="center" vertical="center" wrapText="1"/>
    </xf>
    <xf numFmtId="0" fontId="5" fillId="12" borderId="7" xfId="12" applyFont="1" applyFill="1" applyBorder="1" applyAlignment="1">
      <alignment horizontal="center" vertical="center" wrapText="1"/>
    </xf>
    <xf numFmtId="0" fontId="5" fillId="12" borderId="4" xfId="12" applyFont="1" applyFill="1" applyBorder="1" applyAlignment="1">
      <alignment horizontal="center" vertical="center" wrapText="1"/>
    </xf>
    <xf numFmtId="0" fontId="9" fillId="4" borderId="1" xfId="12" applyFont="1" applyFill="1" applyBorder="1" applyAlignment="1">
      <alignment horizontal="center" vertical="center" wrapText="1"/>
    </xf>
    <xf numFmtId="0" fontId="10" fillId="5" borderId="1" xfId="12" applyFont="1" applyFill="1" applyBorder="1" applyAlignment="1">
      <alignment horizontal="center" vertical="center" wrapText="1"/>
    </xf>
    <xf numFmtId="0" fontId="13" fillId="5" borderId="1" xfId="12" applyFont="1" applyFill="1" applyBorder="1" applyAlignment="1">
      <alignment horizontal="center" vertical="center" wrapText="1"/>
    </xf>
    <xf numFmtId="0" fontId="7" fillId="0" borderId="1" xfId="12" applyFont="1" applyBorder="1" applyAlignment="1">
      <alignment horizontal="center" vertical="center" wrapText="1"/>
    </xf>
    <xf numFmtId="0" fontId="2" fillId="0" borderId="3" xfId="12" applyFont="1" applyBorder="1" applyAlignment="1">
      <alignment horizontal="center" vertical="center" wrapText="1"/>
    </xf>
    <xf numFmtId="0" fontId="2" fillId="0" borderId="5" xfId="12" applyFont="1" applyBorder="1" applyAlignment="1">
      <alignment horizontal="center" vertical="center" wrapText="1"/>
    </xf>
    <xf numFmtId="0" fontId="2" fillId="0" borderId="6" xfId="12" applyFont="1" applyBorder="1" applyAlignment="1">
      <alignment horizontal="center" vertical="center" wrapText="1"/>
    </xf>
  </cellXfs>
  <cellStyles count="56">
    <cellStyle name=" _x0007_LÓ_x0018_ÄþÍN^NuNVþˆHÁ_x0001__x0018_(n 7" xfId="2" xr:uid="{00000000-0005-0000-0000-000031000000}"/>
    <cellStyle name="0,0_x000d__x000a_NA_x000d__x000a_ 2" xfId="3" xr:uid="{00000000-0005-0000-0000-000032000000}"/>
    <cellStyle name="Normal" xfId="4" xr:uid="{00000000-0005-0000-0000-000033000000}"/>
    <cellStyle name="Normal 2" xfId="5" xr:uid="{00000000-0005-0000-0000-000034000000}"/>
    <cellStyle name="Normal 9" xfId="6" xr:uid="{00000000-0005-0000-0000-000035000000}"/>
    <cellStyle name="百分比 2" xfId="7" xr:uid="{00000000-0005-0000-0000-000036000000}"/>
    <cellStyle name="常规" xfId="0" builtinId="0"/>
    <cellStyle name="常规 10" xfId="8" xr:uid="{00000000-0005-0000-0000-000037000000}"/>
    <cellStyle name="常规 11" xfId="9" xr:uid="{00000000-0005-0000-0000-000038000000}"/>
    <cellStyle name="常规 12" xfId="10" xr:uid="{00000000-0005-0000-0000-000039000000}"/>
    <cellStyle name="常规 13" xfId="47" xr:uid="{B41FA1E8-5C5E-46E8-8BF3-6E412051F1A1}"/>
    <cellStyle name="常规 13 2" xfId="11" xr:uid="{00000000-0005-0000-0000-00003A000000}"/>
    <cellStyle name="常规 18 4" xfId="12" xr:uid="{00000000-0005-0000-0000-00003B000000}"/>
    <cellStyle name="常规 19" xfId="13" xr:uid="{00000000-0005-0000-0000-00003C000000}"/>
    <cellStyle name="常规 2" xfId="14" xr:uid="{00000000-0005-0000-0000-00003D000000}"/>
    <cellStyle name="常规 2 2" xfId="15" xr:uid="{00000000-0005-0000-0000-00003E000000}"/>
    <cellStyle name="常规 2 2 2" xfId="16" xr:uid="{00000000-0005-0000-0000-00003F000000}"/>
    <cellStyle name="常规 2 2 3" xfId="17" xr:uid="{00000000-0005-0000-0000-000040000000}"/>
    <cellStyle name="常规 2 2 4" xfId="51" xr:uid="{AB256CE2-E3B8-4384-AAC8-F0D16408A687}"/>
    <cellStyle name="常规 2 2 6" xfId="18" xr:uid="{00000000-0005-0000-0000-000041000000}"/>
    <cellStyle name="常规 2 3" xfId="19" xr:uid="{00000000-0005-0000-0000-000042000000}"/>
    <cellStyle name="常规 2 3 10" xfId="20" xr:uid="{00000000-0005-0000-0000-000043000000}"/>
    <cellStyle name="常规 2 3 6" xfId="21" xr:uid="{00000000-0005-0000-0000-000044000000}"/>
    <cellStyle name="常规 2 4" xfId="22" xr:uid="{00000000-0005-0000-0000-000045000000}"/>
    <cellStyle name="常规 2 5" xfId="23" xr:uid="{00000000-0005-0000-0000-000046000000}"/>
    <cellStyle name="常规 2 6" xfId="49" xr:uid="{1CD4B806-47C4-4AD2-B82F-C56C2FE7718C}"/>
    <cellStyle name="常规 2 7" xfId="24" xr:uid="{00000000-0005-0000-0000-000047000000}"/>
    <cellStyle name="常规 3" xfId="25" xr:uid="{00000000-0005-0000-0000-000048000000}"/>
    <cellStyle name="常规 3 2" xfId="26" xr:uid="{00000000-0005-0000-0000-000049000000}"/>
    <cellStyle name="常规 3 2 2" xfId="27" xr:uid="{00000000-0005-0000-0000-00004A000000}"/>
    <cellStyle name="常规 3 2 3" xfId="28" xr:uid="{00000000-0005-0000-0000-00004B000000}"/>
    <cellStyle name="常规 3 3" xfId="29" xr:uid="{00000000-0005-0000-0000-00004C000000}"/>
    <cellStyle name="常规 3 3 2" xfId="55" xr:uid="{D45DF33E-E4AE-4E2F-9473-94FC6EB61530}"/>
    <cellStyle name="常规 3 4" xfId="50" xr:uid="{1592AD6C-5C9E-44B9-8FA5-1EEEB3F1EAEC}"/>
    <cellStyle name="常规 4" xfId="30" xr:uid="{00000000-0005-0000-0000-00004D000000}"/>
    <cellStyle name="常规 4 2" xfId="31" xr:uid="{00000000-0005-0000-0000-00004E000000}"/>
    <cellStyle name="常规 4 2 2" xfId="53" xr:uid="{1DF08F00-87E9-4CAB-ACCA-667CEEBC45CF}"/>
    <cellStyle name="常规 4 3" xfId="32" xr:uid="{00000000-0005-0000-0000-00004F000000}"/>
    <cellStyle name="常规 4 4" xfId="33" xr:uid="{00000000-0005-0000-0000-000050000000}"/>
    <cellStyle name="常规 4 5" xfId="34" xr:uid="{00000000-0005-0000-0000-000051000000}"/>
    <cellStyle name="常规 41" xfId="35" xr:uid="{00000000-0005-0000-0000-000052000000}"/>
    <cellStyle name="常规 49" xfId="36" xr:uid="{00000000-0005-0000-0000-000053000000}"/>
    <cellStyle name="常规 5" xfId="37" xr:uid="{00000000-0005-0000-0000-000054000000}"/>
    <cellStyle name="常规 5 2" xfId="38" xr:uid="{00000000-0005-0000-0000-000055000000}"/>
    <cellStyle name="常规 5 3" xfId="39" xr:uid="{00000000-0005-0000-0000-000056000000}"/>
    <cellStyle name="常规 5 4" xfId="52" xr:uid="{495617BB-8F14-4C11-8756-9F8D95D84479}"/>
    <cellStyle name="常规 53" xfId="40" xr:uid="{00000000-0005-0000-0000-000057000000}"/>
    <cellStyle name="常规 6" xfId="41" xr:uid="{00000000-0005-0000-0000-000058000000}"/>
    <cellStyle name="常规 6 2" xfId="42" xr:uid="{00000000-0005-0000-0000-000059000000}"/>
    <cellStyle name="常规 6 3" xfId="48" xr:uid="{C2A80E16-EEE0-4462-90FF-5F1438EA309D}"/>
    <cellStyle name="常规 7" xfId="43" xr:uid="{00000000-0005-0000-0000-00005A000000}"/>
    <cellStyle name="常规 8" xfId="44" xr:uid="{00000000-0005-0000-0000-00005B000000}"/>
    <cellStyle name="常规 9" xfId="45" xr:uid="{00000000-0005-0000-0000-00005C000000}"/>
    <cellStyle name="常规 9 2" xfId="54" xr:uid="{78C09FB1-70E7-4D55-BA15-6FE3F9144DC6}"/>
    <cellStyle name="超链接" xfId="1" builtinId="8"/>
    <cellStyle name="超链接 2" xfId="46" xr:uid="{00000000-0005-0000-0000-00005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
  <sheetViews>
    <sheetView workbookViewId="0">
      <selection activeCell="E18" sqref="E18"/>
    </sheetView>
  </sheetViews>
  <sheetFormatPr defaultColWidth="9" defaultRowHeight="13.8"/>
  <cols>
    <col min="1" max="1" width="10.109375" customWidth="1"/>
    <col min="5" max="5" width="29.33203125" customWidth="1"/>
    <col min="6" max="6" width="38.5546875" customWidth="1"/>
    <col min="8" max="8" width="10.5546875" customWidth="1"/>
    <col min="10" max="10" width="12" customWidth="1"/>
    <col min="11" max="11" width="10.5546875" customWidth="1"/>
  </cols>
  <sheetData>
    <row r="1" spans="1:11" ht="41.4">
      <c r="A1" s="159" t="s">
        <v>0</v>
      </c>
      <c r="B1" s="159" t="s">
        <v>1</v>
      </c>
      <c r="C1" s="159" t="s">
        <v>2</v>
      </c>
      <c r="D1" s="159" t="s">
        <v>3</v>
      </c>
      <c r="E1" s="161" t="s">
        <v>4</v>
      </c>
      <c r="F1" s="161" t="s">
        <v>5</v>
      </c>
      <c r="G1" s="159" t="s">
        <v>6</v>
      </c>
      <c r="H1" s="162" t="s">
        <v>7</v>
      </c>
      <c r="I1" s="161" t="s">
        <v>8</v>
      </c>
      <c r="J1" s="162" t="s">
        <v>9</v>
      </c>
    </row>
    <row r="2" spans="1:11">
      <c r="A2" s="160">
        <v>45735</v>
      </c>
      <c r="B2" s="159">
        <v>10</v>
      </c>
      <c r="C2" s="159">
        <v>0</v>
      </c>
      <c r="D2" s="159" t="s">
        <v>10</v>
      </c>
      <c r="E2" s="161" t="s">
        <v>11</v>
      </c>
      <c r="F2" s="161" t="s">
        <v>11</v>
      </c>
      <c r="G2" s="159">
        <v>110000</v>
      </c>
      <c r="H2" s="161">
        <v>592369026</v>
      </c>
      <c r="I2" s="161" t="s">
        <v>12</v>
      </c>
      <c r="J2" s="159"/>
    </row>
    <row r="3" spans="1:11">
      <c r="A3" s="160">
        <v>45735</v>
      </c>
      <c r="B3" s="159">
        <v>10</v>
      </c>
      <c r="C3" s="159">
        <v>0</v>
      </c>
      <c r="D3" s="159" t="s">
        <v>10</v>
      </c>
      <c r="E3" s="161" t="s">
        <v>13</v>
      </c>
      <c r="F3" s="161" t="s">
        <v>14</v>
      </c>
      <c r="G3" s="159">
        <v>110000</v>
      </c>
      <c r="H3" s="161">
        <v>48687010</v>
      </c>
      <c r="I3" s="161" t="s">
        <v>12</v>
      </c>
      <c r="J3" s="159"/>
    </row>
    <row r="4" spans="1:11" hidden="1">
      <c r="A4" s="160">
        <v>45735</v>
      </c>
      <c r="B4" s="159">
        <v>10</v>
      </c>
      <c r="C4" s="159">
        <v>0</v>
      </c>
      <c r="D4" s="159" t="s">
        <v>10</v>
      </c>
      <c r="E4" s="161" t="s">
        <v>15</v>
      </c>
      <c r="F4" s="161" t="s">
        <v>16</v>
      </c>
      <c r="G4" s="159">
        <v>110000</v>
      </c>
      <c r="H4" s="161">
        <v>45759090</v>
      </c>
      <c r="I4" s="161" t="s">
        <v>12</v>
      </c>
      <c r="J4" s="159"/>
    </row>
    <row r="5" spans="1:11">
      <c r="A5" s="160">
        <v>45735</v>
      </c>
      <c r="B5" s="159">
        <v>10</v>
      </c>
      <c r="C5" s="159">
        <v>0</v>
      </c>
      <c r="D5" s="159" t="s">
        <v>10</v>
      </c>
      <c r="E5" s="161" t="s">
        <v>17</v>
      </c>
      <c r="F5" s="161" t="s">
        <v>18</v>
      </c>
      <c r="G5" s="159">
        <v>110000</v>
      </c>
      <c r="H5" s="161">
        <v>37997730</v>
      </c>
      <c r="I5" s="161" t="s">
        <v>12</v>
      </c>
      <c r="J5" s="159"/>
    </row>
    <row r="6" spans="1:11">
      <c r="A6" s="160">
        <v>45735</v>
      </c>
      <c r="B6" s="159">
        <v>10</v>
      </c>
      <c r="C6" s="159" t="s">
        <v>19</v>
      </c>
      <c r="D6" s="159" t="s">
        <v>10</v>
      </c>
      <c r="E6" s="161" t="s">
        <v>13</v>
      </c>
      <c r="F6" s="161" t="s">
        <v>14</v>
      </c>
      <c r="G6" s="159">
        <v>110000</v>
      </c>
      <c r="H6" s="161">
        <v>155526310</v>
      </c>
      <c r="I6" s="161" t="s">
        <v>20</v>
      </c>
      <c r="J6" s="159"/>
    </row>
    <row r="7" spans="1:11">
      <c r="A7" s="160">
        <v>45735</v>
      </c>
      <c r="B7" s="159">
        <v>10</v>
      </c>
      <c r="C7" s="159" t="s">
        <v>19</v>
      </c>
      <c r="D7" s="159" t="s">
        <v>10</v>
      </c>
      <c r="E7" s="161" t="s">
        <v>17</v>
      </c>
      <c r="F7" s="161" t="s">
        <v>18</v>
      </c>
      <c r="G7" s="159">
        <v>110000</v>
      </c>
      <c r="H7" s="161">
        <v>110357808</v>
      </c>
      <c r="I7" s="161" t="s">
        <v>20</v>
      </c>
      <c r="J7" s="159"/>
    </row>
    <row r="8" spans="1:11">
      <c r="A8" s="160">
        <v>45735</v>
      </c>
      <c r="B8" s="159">
        <v>10</v>
      </c>
      <c r="C8" s="159">
        <v>0</v>
      </c>
      <c r="D8" s="159" t="s">
        <v>21</v>
      </c>
      <c r="E8" s="161" t="s">
        <v>11</v>
      </c>
      <c r="F8" s="161" t="s">
        <v>11</v>
      </c>
      <c r="G8" s="159">
        <v>110000</v>
      </c>
      <c r="H8" s="161">
        <v>398259579</v>
      </c>
      <c r="I8" s="161" t="s">
        <v>12</v>
      </c>
      <c r="J8" s="159"/>
    </row>
    <row r="9" spans="1:11">
      <c r="A9" s="160">
        <v>45735</v>
      </c>
      <c r="B9" s="159">
        <v>10</v>
      </c>
      <c r="C9" s="159">
        <v>0</v>
      </c>
      <c r="D9" s="159" t="s">
        <v>21</v>
      </c>
      <c r="E9" s="161" t="s">
        <v>13</v>
      </c>
      <c r="F9" s="161" t="s">
        <v>14</v>
      </c>
      <c r="G9" s="159">
        <v>110000</v>
      </c>
      <c r="H9" s="161">
        <v>37922501</v>
      </c>
      <c r="I9" s="161" t="s">
        <v>12</v>
      </c>
      <c r="J9" s="159">
        <v>40308104</v>
      </c>
      <c r="K9">
        <f>J9/H9</f>
        <v>1.0629073224890899</v>
      </c>
    </row>
    <row r="10" spans="1:11" hidden="1">
      <c r="A10" s="160">
        <v>45735</v>
      </c>
      <c r="B10" s="159">
        <v>10</v>
      </c>
      <c r="C10" s="159">
        <v>0</v>
      </c>
      <c r="D10" s="159" t="s">
        <v>21</v>
      </c>
      <c r="E10" s="161" t="s">
        <v>15</v>
      </c>
      <c r="F10" s="161" t="s">
        <v>16</v>
      </c>
      <c r="G10" s="159">
        <v>110000</v>
      </c>
      <c r="H10" s="161">
        <v>30356434</v>
      </c>
      <c r="I10" s="161" t="s">
        <v>12</v>
      </c>
      <c r="J10" s="159"/>
    </row>
    <row r="11" spans="1:11">
      <c r="A11" s="160">
        <v>45735</v>
      </c>
      <c r="B11" s="159">
        <v>10</v>
      </c>
      <c r="C11" s="159">
        <v>0</v>
      </c>
      <c r="D11" s="159" t="s">
        <v>21</v>
      </c>
      <c r="E11" s="161" t="s">
        <v>17</v>
      </c>
      <c r="F11" s="161" t="s">
        <v>18</v>
      </c>
      <c r="G11" s="159">
        <v>110000</v>
      </c>
      <c r="H11" s="161">
        <v>18777303</v>
      </c>
      <c r="I11" s="161" t="s">
        <v>12</v>
      </c>
      <c r="J11" s="159"/>
    </row>
    <row r="12" spans="1:11">
      <c r="A12" s="160">
        <v>45735</v>
      </c>
      <c r="B12" s="159">
        <v>10</v>
      </c>
      <c r="C12" s="159" t="s">
        <v>19</v>
      </c>
      <c r="D12" s="159" t="s">
        <v>21</v>
      </c>
      <c r="E12" s="161" t="s">
        <v>13</v>
      </c>
      <c r="F12" s="161" t="s">
        <v>14</v>
      </c>
      <c r="G12" s="159">
        <v>110000</v>
      </c>
      <c r="H12" s="161">
        <v>111340755</v>
      </c>
      <c r="I12" s="161" t="s">
        <v>20</v>
      </c>
      <c r="J12" s="159"/>
    </row>
    <row r="13" spans="1:11">
      <c r="A13" s="160">
        <v>45735</v>
      </c>
      <c r="B13" s="159">
        <v>10</v>
      </c>
      <c r="C13" s="159" t="s">
        <v>19</v>
      </c>
      <c r="D13" s="159" t="s">
        <v>21</v>
      </c>
      <c r="E13" s="161" t="s">
        <v>17</v>
      </c>
      <c r="F13" s="161" t="s">
        <v>18</v>
      </c>
      <c r="G13" s="159">
        <v>110000</v>
      </c>
      <c r="H13" s="161">
        <v>46973226</v>
      </c>
      <c r="I13" s="161" t="s">
        <v>20</v>
      </c>
      <c r="J13" s="159"/>
    </row>
    <row r="14" spans="1:11">
      <c r="A14" s="160">
        <v>45735</v>
      </c>
      <c r="B14" s="159">
        <v>10</v>
      </c>
      <c r="C14" s="159" t="s">
        <v>19</v>
      </c>
      <c r="D14" s="159" t="s">
        <v>22</v>
      </c>
      <c r="E14" s="161" t="s">
        <v>13</v>
      </c>
      <c r="F14" s="161" t="s">
        <v>14</v>
      </c>
      <c r="G14" s="159">
        <v>110000</v>
      </c>
      <c r="H14" s="161">
        <v>50135986</v>
      </c>
      <c r="I14" s="161" t="s">
        <v>20</v>
      </c>
      <c r="J14" s="159"/>
    </row>
    <row r="15" spans="1:11">
      <c r="A15" s="160">
        <v>45735</v>
      </c>
      <c r="B15" s="159">
        <v>10</v>
      </c>
      <c r="C15" s="159" t="s">
        <v>19</v>
      </c>
      <c r="D15" s="159" t="s">
        <v>22</v>
      </c>
      <c r="E15" s="161" t="s">
        <v>17</v>
      </c>
      <c r="F15" s="161" t="s">
        <v>18</v>
      </c>
      <c r="G15" s="159">
        <v>110000</v>
      </c>
      <c r="H15" s="161">
        <v>30660131</v>
      </c>
      <c r="I15" s="161" t="s">
        <v>20</v>
      </c>
      <c r="J15" s="159"/>
    </row>
    <row r="16" spans="1:11">
      <c r="A16" s="160">
        <v>45735</v>
      </c>
      <c r="B16" s="159">
        <v>10</v>
      </c>
      <c r="C16" s="159" t="s">
        <v>19</v>
      </c>
      <c r="D16" s="159" t="s">
        <v>23</v>
      </c>
      <c r="E16" s="161" t="s">
        <v>13</v>
      </c>
      <c r="F16" s="161" t="s">
        <v>14</v>
      </c>
      <c r="G16" s="159">
        <v>110000</v>
      </c>
      <c r="H16" s="161">
        <v>146683745</v>
      </c>
      <c r="I16" s="161" t="s">
        <v>20</v>
      </c>
      <c r="J16" s="159"/>
    </row>
    <row r="17" spans="1:13">
      <c r="A17" s="160">
        <v>45735</v>
      </c>
      <c r="B17" s="159">
        <v>10</v>
      </c>
      <c r="C17" s="159" t="s">
        <v>19</v>
      </c>
      <c r="D17" s="159" t="s">
        <v>23</v>
      </c>
      <c r="E17" s="161" t="s">
        <v>17</v>
      </c>
      <c r="F17" s="161" t="s">
        <v>18</v>
      </c>
      <c r="G17" s="159">
        <v>110000</v>
      </c>
      <c r="H17" s="161">
        <v>90059602</v>
      </c>
      <c r="I17" s="161" t="s">
        <v>20</v>
      </c>
      <c r="J17" s="159"/>
    </row>
    <row r="18" spans="1:13">
      <c r="A18" s="160">
        <v>45735</v>
      </c>
      <c r="B18" s="159">
        <v>10</v>
      </c>
      <c r="C18" s="159" t="s">
        <v>19</v>
      </c>
      <c r="D18" s="159" t="s">
        <v>24</v>
      </c>
      <c r="E18" s="161" t="s">
        <v>25</v>
      </c>
      <c r="F18" s="161" t="s">
        <v>14</v>
      </c>
      <c r="G18" s="159">
        <v>110000</v>
      </c>
      <c r="H18" s="161">
        <v>4946010</v>
      </c>
      <c r="I18" s="161" t="s">
        <v>20</v>
      </c>
      <c r="J18" s="159"/>
    </row>
    <row r="19" spans="1:13">
      <c r="A19" s="160">
        <v>45735</v>
      </c>
      <c r="B19" s="159">
        <v>10</v>
      </c>
      <c r="C19" s="159" t="s">
        <v>19</v>
      </c>
      <c r="D19" s="159" t="s">
        <v>24</v>
      </c>
      <c r="E19" s="161" t="s">
        <v>17</v>
      </c>
      <c r="F19" s="161" t="s">
        <v>18</v>
      </c>
      <c r="G19" s="159">
        <v>110000</v>
      </c>
      <c r="H19" s="161">
        <v>2467043</v>
      </c>
      <c r="I19" s="161" t="s">
        <v>20</v>
      </c>
      <c r="J19" s="159"/>
    </row>
    <row r="20" spans="1:13">
      <c r="A20" s="160">
        <v>45735</v>
      </c>
      <c r="B20" s="159">
        <v>10</v>
      </c>
      <c r="C20" s="159" t="s">
        <v>19</v>
      </c>
      <c r="D20" s="159" t="s">
        <v>26</v>
      </c>
      <c r="E20" s="161" t="s">
        <v>27</v>
      </c>
      <c r="F20" s="161" t="s">
        <v>28</v>
      </c>
      <c r="G20" s="159">
        <v>110000</v>
      </c>
      <c r="H20" s="161">
        <v>85862767</v>
      </c>
      <c r="I20" s="161" t="s">
        <v>20</v>
      </c>
      <c r="J20">
        <f>H20/H23</f>
        <v>1.71704098460348</v>
      </c>
      <c r="K20">
        <v>285973344</v>
      </c>
      <c r="L20">
        <f>K20/H20</f>
        <v>3.3305861666442702</v>
      </c>
      <c r="M20" s="163"/>
    </row>
    <row r="21" spans="1:13">
      <c r="A21" s="160">
        <v>45735</v>
      </c>
      <c r="B21" s="159">
        <v>10</v>
      </c>
      <c r="C21" s="159" t="s">
        <v>19</v>
      </c>
      <c r="D21" s="159" t="s">
        <v>26</v>
      </c>
      <c r="E21" s="161" t="s">
        <v>29</v>
      </c>
      <c r="F21" s="161" t="s">
        <v>30</v>
      </c>
      <c r="G21" s="159">
        <v>110000</v>
      </c>
      <c r="H21" s="161">
        <v>81525903</v>
      </c>
      <c r="I21" s="161" t="s">
        <v>20</v>
      </c>
    </row>
    <row r="22" spans="1:13">
      <c r="A22" s="160">
        <v>45735</v>
      </c>
      <c r="B22" s="159">
        <v>10</v>
      </c>
      <c r="C22" s="159" t="s">
        <v>19</v>
      </c>
      <c r="D22" s="159" t="s">
        <v>26</v>
      </c>
      <c r="E22" s="161" t="s">
        <v>31</v>
      </c>
      <c r="F22" s="161" t="s">
        <v>32</v>
      </c>
      <c r="G22" s="159">
        <v>110000</v>
      </c>
      <c r="H22" s="161">
        <v>76910353</v>
      </c>
      <c r="I22" s="161" t="s">
        <v>20</v>
      </c>
    </row>
    <row r="23" spans="1:13">
      <c r="A23" s="160">
        <v>45735</v>
      </c>
      <c r="B23" s="159">
        <v>10</v>
      </c>
      <c r="C23" s="159" t="s">
        <v>19</v>
      </c>
      <c r="D23" s="159" t="s">
        <v>26</v>
      </c>
      <c r="E23" s="161" t="s">
        <v>31</v>
      </c>
      <c r="F23" s="161" t="s">
        <v>33</v>
      </c>
      <c r="G23" s="159">
        <v>110000</v>
      </c>
      <c r="H23" s="161">
        <v>50006242</v>
      </c>
      <c r="I23" s="161" t="s">
        <v>20</v>
      </c>
      <c r="J23" s="159"/>
    </row>
    <row r="24" spans="1:13">
      <c r="A24" s="160">
        <v>45735</v>
      </c>
      <c r="B24" s="159">
        <v>10</v>
      </c>
      <c r="C24" s="159" t="s">
        <v>19</v>
      </c>
      <c r="D24" s="159" t="s">
        <v>26</v>
      </c>
      <c r="E24" s="161" t="s">
        <v>34</v>
      </c>
      <c r="F24" s="161" t="s">
        <v>35</v>
      </c>
      <c r="G24" s="159">
        <v>110000</v>
      </c>
      <c r="H24" s="161">
        <v>26938820</v>
      </c>
      <c r="I24" s="161" t="s">
        <v>20</v>
      </c>
      <c r="J24" s="159"/>
    </row>
  </sheetData>
  <phoneticPr fontId="3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3993B-08EF-4128-829B-C958FE9456AF}">
  <dimension ref="A1:G29"/>
  <sheetViews>
    <sheetView workbookViewId="0">
      <selection activeCell="F14" sqref="F14"/>
    </sheetView>
  </sheetViews>
  <sheetFormatPr defaultRowHeight="13.8"/>
  <cols>
    <col min="1" max="1" width="36.33203125" bestFit="1" customWidth="1"/>
    <col min="2" max="2" width="45.77734375" bestFit="1" customWidth="1"/>
    <col min="3" max="3" width="8.21875" bestFit="1" customWidth="1"/>
    <col min="6" max="6" width="16.77734375" bestFit="1" customWidth="1"/>
    <col min="7" max="7" width="28.109375" bestFit="1" customWidth="1"/>
  </cols>
  <sheetData>
    <row r="1" spans="1:7" ht="24">
      <c r="A1" s="153" t="s">
        <v>41</v>
      </c>
      <c r="B1" s="153" t="s">
        <v>42</v>
      </c>
      <c r="C1" s="156" t="s">
        <v>46</v>
      </c>
      <c r="D1" s="149" t="s">
        <v>47</v>
      </c>
      <c r="E1" s="156" t="s">
        <v>48</v>
      </c>
      <c r="F1" s="149" t="s">
        <v>2489</v>
      </c>
      <c r="G1" s="149" t="s">
        <v>53</v>
      </c>
    </row>
    <row r="2" spans="1:7">
      <c r="A2" s="9" t="s">
        <v>2369</v>
      </c>
      <c r="B2" s="9" t="s">
        <v>59</v>
      </c>
      <c r="C2" s="9" t="s">
        <v>61</v>
      </c>
      <c r="D2" s="9" t="s">
        <v>62</v>
      </c>
      <c r="E2" s="9" t="s">
        <v>63</v>
      </c>
      <c r="F2" s="12" t="s">
        <v>2490</v>
      </c>
      <c r="G2" s="176"/>
    </row>
    <row r="3" spans="1:7">
      <c r="A3" s="9" t="s">
        <v>67</v>
      </c>
      <c r="B3" s="9" t="s">
        <v>68</v>
      </c>
      <c r="C3" s="9" t="s">
        <v>61</v>
      </c>
      <c r="D3" s="9" t="s">
        <v>70</v>
      </c>
      <c r="E3" s="9" t="s">
        <v>19</v>
      </c>
      <c r="F3" s="12">
        <v>14</v>
      </c>
      <c r="G3" s="176"/>
    </row>
    <row r="4" spans="1:7">
      <c r="A4" s="9" t="s">
        <v>71</v>
      </c>
      <c r="B4" s="9" t="s">
        <v>72</v>
      </c>
      <c r="C4" s="9" t="s">
        <v>73</v>
      </c>
      <c r="D4" s="9" t="s">
        <v>70</v>
      </c>
      <c r="E4" s="9" t="s">
        <v>19</v>
      </c>
      <c r="F4" s="12">
        <v>14</v>
      </c>
      <c r="G4" s="176"/>
    </row>
    <row r="5" spans="1:7">
      <c r="A5" s="9" t="s">
        <v>2366</v>
      </c>
      <c r="B5" s="10" t="s">
        <v>78</v>
      </c>
      <c r="C5" s="154" t="s">
        <v>80</v>
      </c>
      <c r="D5" s="9" t="s">
        <v>70</v>
      </c>
      <c r="E5" s="9" t="s">
        <v>19</v>
      </c>
      <c r="F5" s="152">
        <v>30</v>
      </c>
      <c r="G5" s="176"/>
    </row>
    <row r="6" spans="1:7">
      <c r="A6" s="9" t="s">
        <v>2386</v>
      </c>
      <c r="B6" s="10" t="s">
        <v>85</v>
      </c>
      <c r="C6" s="9" t="s">
        <v>73</v>
      </c>
      <c r="D6" s="9" t="s">
        <v>70</v>
      </c>
      <c r="E6" s="9" t="s">
        <v>19</v>
      </c>
      <c r="F6" s="152">
        <v>14</v>
      </c>
      <c r="G6" s="176"/>
    </row>
    <row r="7" spans="1:7">
      <c r="A7" s="9" t="s">
        <v>87</v>
      </c>
      <c r="B7" s="10" t="s">
        <v>88</v>
      </c>
      <c r="C7" s="9" t="s">
        <v>73</v>
      </c>
      <c r="D7" s="9" t="s">
        <v>70</v>
      </c>
      <c r="E7" s="9" t="s">
        <v>19</v>
      </c>
      <c r="F7" s="152">
        <v>14</v>
      </c>
      <c r="G7" s="176"/>
    </row>
    <row r="8" spans="1:7">
      <c r="A8" s="9" t="s">
        <v>2456</v>
      </c>
      <c r="B8" s="68" t="s">
        <v>91</v>
      </c>
      <c r="C8" s="9" t="s">
        <v>80</v>
      </c>
      <c r="D8" s="9" t="s">
        <v>70</v>
      </c>
      <c r="E8" s="9" t="s">
        <v>19</v>
      </c>
      <c r="F8" s="152">
        <v>30</v>
      </c>
      <c r="G8" s="176"/>
    </row>
    <row r="9" spans="1:7">
      <c r="A9" s="9" t="s">
        <v>2388</v>
      </c>
      <c r="B9" s="9" t="s">
        <v>94</v>
      </c>
      <c r="C9" s="9" t="s">
        <v>61</v>
      </c>
      <c r="D9" s="9" t="s">
        <v>62</v>
      </c>
      <c r="E9" s="9" t="s">
        <v>63</v>
      </c>
      <c r="F9" s="12" t="s">
        <v>2490</v>
      </c>
      <c r="G9" s="176"/>
    </row>
    <row r="10" spans="1:7">
      <c r="A10" s="9" t="s">
        <v>95</v>
      </c>
      <c r="B10" s="68" t="s">
        <v>96</v>
      </c>
      <c r="C10" s="9" t="s">
        <v>73</v>
      </c>
      <c r="D10" s="9" t="s">
        <v>70</v>
      </c>
      <c r="E10" s="9" t="s">
        <v>19</v>
      </c>
      <c r="F10" s="152">
        <v>14</v>
      </c>
      <c r="G10" s="176"/>
    </row>
    <row r="11" spans="1:7">
      <c r="A11" s="9" t="s">
        <v>2417</v>
      </c>
      <c r="B11" s="68" t="s">
        <v>98</v>
      </c>
      <c r="C11" s="9" t="s">
        <v>73</v>
      </c>
      <c r="D11" s="9" t="s">
        <v>70</v>
      </c>
      <c r="E11" s="9" t="s">
        <v>19</v>
      </c>
      <c r="F11" s="152">
        <v>14</v>
      </c>
      <c r="G11" s="176"/>
    </row>
    <row r="12" spans="1:7">
      <c r="A12" s="9" t="s">
        <v>2418</v>
      </c>
      <c r="B12" s="68" t="s">
        <v>100</v>
      </c>
      <c r="C12" s="9" t="s">
        <v>73</v>
      </c>
      <c r="D12" s="9" t="s">
        <v>70</v>
      </c>
      <c r="E12" s="9" t="s">
        <v>19</v>
      </c>
      <c r="F12" s="152">
        <v>14</v>
      </c>
      <c r="G12" s="176"/>
    </row>
    <row r="13" spans="1:7">
      <c r="A13" s="9" t="s">
        <v>2424</v>
      </c>
      <c r="B13" s="68" t="s">
        <v>102</v>
      </c>
      <c r="C13" s="9" t="s">
        <v>73</v>
      </c>
      <c r="D13" s="9" t="s">
        <v>70</v>
      </c>
      <c r="E13" s="9" t="s">
        <v>19</v>
      </c>
      <c r="F13" s="152">
        <v>14</v>
      </c>
      <c r="G13" s="176"/>
    </row>
    <row r="14" spans="1:7">
      <c r="A14" s="154" t="s">
        <v>2427</v>
      </c>
      <c r="B14" s="9" t="s">
        <v>116</v>
      </c>
      <c r="C14" s="154" t="s">
        <v>61</v>
      </c>
      <c r="D14" s="154" t="s">
        <v>62</v>
      </c>
      <c r="E14" s="9" t="s">
        <v>108</v>
      </c>
      <c r="F14" s="152">
        <v>3</v>
      </c>
      <c r="G14" s="176"/>
    </row>
    <row r="15" spans="1:7">
      <c r="A15" s="154" t="s">
        <v>118</v>
      </c>
      <c r="B15" s="9" t="s">
        <v>119</v>
      </c>
      <c r="C15" s="154" t="s">
        <v>61</v>
      </c>
      <c r="D15" s="154" t="s">
        <v>62</v>
      </c>
      <c r="E15" s="9" t="s">
        <v>63</v>
      </c>
      <c r="F15" s="12" t="s">
        <v>2490</v>
      </c>
      <c r="G15" s="176"/>
    </row>
    <row r="16" spans="1:7">
      <c r="A16" s="154" t="s">
        <v>122</v>
      </c>
      <c r="B16" s="9" t="s">
        <v>123</v>
      </c>
      <c r="C16" s="154" t="s">
        <v>73</v>
      </c>
      <c r="D16" s="154" t="s">
        <v>70</v>
      </c>
      <c r="E16" s="9" t="s">
        <v>19</v>
      </c>
      <c r="F16" s="152">
        <v>14</v>
      </c>
      <c r="G16" s="176"/>
    </row>
    <row r="17" spans="1:7">
      <c r="A17" s="154" t="s">
        <v>125</v>
      </c>
      <c r="B17" s="9" t="s">
        <v>126</v>
      </c>
      <c r="C17" s="154" t="s">
        <v>80</v>
      </c>
      <c r="D17" s="154" t="s">
        <v>70</v>
      </c>
      <c r="E17" s="9" t="s">
        <v>19</v>
      </c>
      <c r="F17" s="152">
        <v>30</v>
      </c>
      <c r="G17" s="176"/>
    </row>
    <row r="18" spans="1:7">
      <c r="A18" s="154" t="s">
        <v>128</v>
      </c>
      <c r="B18" s="9" t="s">
        <v>129</v>
      </c>
      <c r="C18" s="154" t="s">
        <v>80</v>
      </c>
      <c r="D18" s="154" t="s">
        <v>70</v>
      </c>
      <c r="E18" s="9" t="s">
        <v>19</v>
      </c>
      <c r="F18" s="152">
        <v>30</v>
      </c>
      <c r="G18" s="176"/>
    </row>
    <row r="19" spans="1:7">
      <c r="A19" s="9" t="s">
        <v>2437</v>
      </c>
      <c r="B19" s="68" t="s">
        <v>2459</v>
      </c>
      <c r="C19" s="154" t="s">
        <v>73</v>
      </c>
      <c r="D19" s="154" t="s">
        <v>70</v>
      </c>
      <c r="E19" s="9" t="s">
        <v>19</v>
      </c>
      <c r="F19" s="152">
        <v>14</v>
      </c>
      <c r="G19" s="176"/>
    </row>
    <row r="20" spans="1:7">
      <c r="A20" s="9" t="s">
        <v>133</v>
      </c>
      <c r="B20" s="68" t="s">
        <v>134</v>
      </c>
      <c r="C20" s="154" t="s">
        <v>73</v>
      </c>
      <c r="D20" s="154" t="s">
        <v>70</v>
      </c>
      <c r="E20" s="9" t="s">
        <v>19</v>
      </c>
      <c r="F20" s="152">
        <v>14</v>
      </c>
      <c r="G20" s="176"/>
    </row>
    <row r="21" spans="1:7">
      <c r="A21" s="158" t="s">
        <v>137</v>
      </c>
      <c r="B21" s="68" t="s">
        <v>138</v>
      </c>
      <c r="C21" s="154" t="s">
        <v>73</v>
      </c>
      <c r="D21" s="154" t="s">
        <v>70</v>
      </c>
      <c r="E21" s="9" t="s">
        <v>19</v>
      </c>
      <c r="F21" s="152">
        <v>14</v>
      </c>
      <c r="G21" s="176"/>
    </row>
    <row r="22" spans="1:7">
      <c r="A22" s="9" t="s">
        <v>140</v>
      </c>
      <c r="B22" s="68" t="s">
        <v>141</v>
      </c>
      <c r="C22" s="154" t="s">
        <v>73</v>
      </c>
      <c r="D22" s="154" t="s">
        <v>70</v>
      </c>
      <c r="E22" s="9" t="s">
        <v>19</v>
      </c>
      <c r="F22" s="152">
        <v>14</v>
      </c>
      <c r="G22" s="176"/>
    </row>
    <row r="23" spans="1:7">
      <c r="A23" s="158" t="s">
        <v>143</v>
      </c>
      <c r="B23" s="68" t="s">
        <v>144</v>
      </c>
      <c r="C23" s="154" t="s">
        <v>73</v>
      </c>
      <c r="D23" s="154" t="s">
        <v>70</v>
      </c>
      <c r="E23" s="9" t="s">
        <v>19</v>
      </c>
      <c r="F23" s="152">
        <v>14</v>
      </c>
      <c r="G23" s="176"/>
    </row>
    <row r="24" spans="1:7">
      <c r="A24" s="9" t="s">
        <v>145</v>
      </c>
      <c r="B24" s="68" t="s">
        <v>146</v>
      </c>
      <c r="C24" s="9" t="s">
        <v>73</v>
      </c>
      <c r="D24" s="9" t="s">
        <v>70</v>
      </c>
      <c r="E24" s="9" t="s">
        <v>19</v>
      </c>
      <c r="F24" s="152">
        <v>14</v>
      </c>
      <c r="G24" s="176"/>
    </row>
    <row r="25" spans="1:7">
      <c r="A25" s="158" t="s">
        <v>148</v>
      </c>
      <c r="B25" s="68" t="s">
        <v>149</v>
      </c>
      <c r="C25" s="9" t="s">
        <v>73</v>
      </c>
      <c r="D25" s="9" t="s">
        <v>70</v>
      </c>
      <c r="E25" s="9" t="s">
        <v>19</v>
      </c>
      <c r="F25" s="152">
        <v>30</v>
      </c>
      <c r="G25" s="176"/>
    </row>
    <row r="26" spans="1:7">
      <c r="A26" s="9" t="s">
        <v>151</v>
      </c>
      <c r="B26" s="68" t="s">
        <v>152</v>
      </c>
      <c r="C26" s="9" t="s">
        <v>80</v>
      </c>
      <c r="D26" s="9" t="s">
        <v>70</v>
      </c>
      <c r="E26" s="9" t="s">
        <v>19</v>
      </c>
      <c r="F26" s="152">
        <v>30</v>
      </c>
      <c r="G26" s="176"/>
    </row>
    <row r="27" spans="1:7">
      <c r="A27" s="158" t="s">
        <v>2317</v>
      </c>
      <c r="B27" s="68" t="s">
        <v>154</v>
      </c>
      <c r="C27" s="9" t="s">
        <v>80</v>
      </c>
      <c r="D27" s="9" t="s">
        <v>70</v>
      </c>
      <c r="E27" s="9" t="s">
        <v>19</v>
      </c>
      <c r="F27" s="152">
        <v>30</v>
      </c>
      <c r="G27" s="176"/>
    </row>
    <row r="28" spans="1:7">
      <c r="A28" s="9" t="s">
        <v>156</v>
      </c>
      <c r="B28" s="68" t="s">
        <v>157</v>
      </c>
      <c r="C28" s="154" t="s">
        <v>73</v>
      </c>
      <c r="D28" s="154" t="s">
        <v>70</v>
      </c>
      <c r="E28" s="9" t="s">
        <v>19</v>
      </c>
      <c r="F28" s="157">
        <v>360</v>
      </c>
      <c r="G28" s="130" t="s">
        <v>159</v>
      </c>
    </row>
    <row r="29" spans="1:7">
      <c r="A29" s="9" t="s">
        <v>2488</v>
      </c>
      <c r="B29" s="68" t="s">
        <v>161</v>
      </c>
      <c r="C29" s="154" t="s">
        <v>73</v>
      </c>
      <c r="D29" s="154" t="s">
        <v>70</v>
      </c>
      <c r="E29" s="9" t="s">
        <v>19</v>
      </c>
      <c r="F29" s="152">
        <v>14</v>
      </c>
      <c r="G29" s="176"/>
    </row>
  </sheetData>
  <phoneticPr fontId="3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3"/>
  <sheetViews>
    <sheetView tabSelected="1" zoomScale="85" zoomScaleNormal="85" workbookViewId="0">
      <pane ySplit="1" topLeftCell="A2" activePane="bottomLeft" state="frozen"/>
      <selection pane="bottomLeft" activeCell="F11" sqref="F11"/>
    </sheetView>
  </sheetViews>
  <sheetFormatPr defaultColWidth="9" defaultRowHeight="13.2"/>
  <cols>
    <col min="1" max="1" width="8.21875" style="147" customWidth="1"/>
    <col min="2" max="2" width="6.77734375" style="147" customWidth="1"/>
    <col min="3" max="4" width="8.21875" style="148" customWidth="1"/>
    <col min="5" max="5" width="10.21875" style="148" customWidth="1"/>
    <col min="6" max="6" width="38.6640625" style="148" customWidth="1"/>
    <col min="7" max="8" width="26.77734375" style="148" customWidth="1"/>
    <col min="9" max="11" width="8.21875" style="148" customWidth="1"/>
    <col min="12" max="12" width="8.33203125" style="148" customWidth="1"/>
    <col min="13" max="13" width="8.21875" style="148" customWidth="1"/>
    <col min="14" max="14" width="11.6640625" style="147" customWidth="1"/>
    <col min="15" max="15" width="67.21875" style="148" customWidth="1"/>
    <col min="16" max="16" width="8.88671875" style="148" customWidth="1"/>
    <col min="17" max="17" width="11.44140625" style="147" customWidth="1"/>
    <col min="18" max="18" width="9.33203125" style="148" customWidth="1"/>
    <col min="19" max="19" width="7.44140625" style="148" customWidth="1"/>
    <col min="20" max="16384" width="9" style="148"/>
  </cols>
  <sheetData>
    <row r="1" spans="1:19" s="147" customFormat="1" ht="36">
      <c r="A1" s="149" t="s">
        <v>36</v>
      </c>
      <c r="B1" s="149" t="s">
        <v>37</v>
      </c>
      <c r="C1" s="149" t="s">
        <v>38</v>
      </c>
      <c r="D1" s="149" t="s">
        <v>39</v>
      </c>
      <c r="E1" s="149" t="s">
        <v>40</v>
      </c>
      <c r="F1" s="153" t="s">
        <v>41</v>
      </c>
      <c r="G1" s="153" t="s">
        <v>42</v>
      </c>
      <c r="H1" s="149" t="s">
        <v>43</v>
      </c>
      <c r="I1" s="155" t="s">
        <v>44</v>
      </c>
      <c r="J1" s="156" t="s">
        <v>45</v>
      </c>
      <c r="K1" s="156" t="s">
        <v>46</v>
      </c>
      <c r="L1" s="149" t="s">
        <v>47</v>
      </c>
      <c r="M1" s="156" t="s">
        <v>48</v>
      </c>
      <c r="N1" s="149" t="s">
        <v>49</v>
      </c>
      <c r="O1" s="149" t="s">
        <v>50</v>
      </c>
      <c r="P1" s="149" t="s">
        <v>51</v>
      </c>
      <c r="Q1" s="156" t="s">
        <v>52</v>
      </c>
      <c r="R1" s="149" t="s">
        <v>53</v>
      </c>
      <c r="S1" s="149" t="s">
        <v>54</v>
      </c>
    </row>
    <row r="2" spans="1:19">
      <c r="A2" s="12">
        <v>1</v>
      </c>
      <c r="B2" s="150">
        <f t="shared" ref="B2:B15" si="0">HYPERLINK("#"&amp;A2&amp;"!A1",A2)</f>
        <v>1</v>
      </c>
      <c r="C2" s="9" t="s">
        <v>55</v>
      </c>
      <c r="D2" s="9" t="s">
        <v>56</v>
      </c>
      <c r="E2" s="12" t="s">
        <v>57</v>
      </c>
      <c r="F2" s="9" t="s">
        <v>2369</v>
      </c>
      <c r="G2" s="9" t="s">
        <v>59</v>
      </c>
      <c r="H2" s="9" t="s">
        <v>59</v>
      </c>
      <c r="I2" s="9" t="s">
        <v>60</v>
      </c>
      <c r="J2" s="9" t="s">
        <v>61</v>
      </c>
      <c r="K2" s="9" t="s">
        <v>61</v>
      </c>
      <c r="L2" s="9" t="s">
        <v>62</v>
      </c>
      <c r="M2" s="9" t="s">
        <v>63</v>
      </c>
      <c r="N2" s="12">
        <v>7</v>
      </c>
      <c r="O2" s="9" t="s">
        <v>2498</v>
      </c>
      <c r="P2" s="9"/>
      <c r="Q2" s="152" t="s">
        <v>64</v>
      </c>
      <c r="R2" s="154"/>
      <c r="S2" s="9"/>
    </row>
    <row r="3" spans="1:19">
      <c r="A3" s="12">
        <v>0.1</v>
      </c>
      <c r="B3" s="150">
        <f t="shared" si="0"/>
        <v>0.1</v>
      </c>
      <c r="C3" s="9" t="s">
        <v>55</v>
      </c>
      <c r="D3" s="9" t="s">
        <v>65</v>
      </c>
      <c r="E3" s="12" t="s">
        <v>19</v>
      </c>
      <c r="F3" s="9" t="s">
        <v>2537</v>
      </c>
      <c r="G3" s="9" t="s">
        <v>2513</v>
      </c>
      <c r="H3" s="9" t="str">
        <f>G3</f>
        <v>SA控制面N1N2接口事实表</v>
      </c>
      <c r="I3" s="9"/>
      <c r="J3" s="9"/>
      <c r="K3" s="9"/>
      <c r="L3" s="9"/>
      <c r="M3" s="9"/>
      <c r="N3" s="12"/>
      <c r="O3" s="9" t="s">
        <v>1221</v>
      </c>
      <c r="P3" s="9"/>
      <c r="Q3" s="152" t="s">
        <v>66</v>
      </c>
      <c r="R3" s="154"/>
      <c r="S3" s="9"/>
    </row>
    <row r="4" spans="1:19">
      <c r="A4" s="12">
        <v>0.2</v>
      </c>
      <c r="B4" s="150">
        <f t="shared" si="0"/>
        <v>0.2</v>
      </c>
      <c r="C4" s="9" t="s">
        <v>55</v>
      </c>
      <c r="D4" s="9" t="s">
        <v>65</v>
      </c>
      <c r="E4" s="12" t="s">
        <v>19</v>
      </c>
      <c r="F4" s="9" t="s">
        <v>2538</v>
      </c>
      <c r="G4" s="9" t="s">
        <v>2515</v>
      </c>
      <c r="H4" s="9" t="str">
        <f t="shared" ref="H4:H14" si="1">G4</f>
        <v>SA控制面N26接口事实表</v>
      </c>
      <c r="I4" s="9"/>
      <c r="J4" s="9"/>
      <c r="K4" s="9"/>
      <c r="L4" s="9"/>
      <c r="M4" s="9"/>
      <c r="N4" s="12"/>
      <c r="O4" s="9" t="s">
        <v>2536</v>
      </c>
      <c r="P4" s="9"/>
      <c r="Q4" s="152" t="s">
        <v>66</v>
      </c>
      <c r="R4" s="154"/>
      <c r="S4" s="9"/>
    </row>
    <row r="5" spans="1:19">
      <c r="A5" s="12">
        <v>0.3</v>
      </c>
      <c r="B5" s="150">
        <f t="shared" si="0"/>
        <v>0.3</v>
      </c>
      <c r="C5" s="9" t="s">
        <v>55</v>
      </c>
      <c r="D5" s="9" t="s">
        <v>65</v>
      </c>
      <c r="E5" s="12" t="s">
        <v>19</v>
      </c>
      <c r="F5" s="9" t="s">
        <v>2539</v>
      </c>
      <c r="G5" s="9" t="s">
        <v>2516</v>
      </c>
      <c r="H5" s="9" t="str">
        <f t="shared" si="1"/>
        <v>SA用户面https定制网事实表</v>
      </c>
      <c r="I5" s="9"/>
      <c r="J5" s="9"/>
      <c r="K5" s="9"/>
      <c r="L5" s="9"/>
      <c r="M5" s="9"/>
      <c r="N5" s="12"/>
      <c r="O5" s="9" t="s">
        <v>2533</v>
      </c>
      <c r="P5" s="9"/>
      <c r="Q5" s="152" t="s">
        <v>66</v>
      </c>
      <c r="R5" s="154"/>
      <c r="S5" s="9"/>
    </row>
    <row r="6" spans="1:19">
      <c r="A6" s="12">
        <v>0.4</v>
      </c>
      <c r="B6" s="150">
        <f t="shared" si="0"/>
        <v>0.4</v>
      </c>
      <c r="C6" s="9" t="s">
        <v>55</v>
      </c>
      <c r="D6" s="9" t="s">
        <v>65</v>
      </c>
      <c r="E6" s="12" t="s">
        <v>19</v>
      </c>
      <c r="F6" s="9" t="s">
        <v>2532</v>
      </c>
      <c r="G6" s="9" t="s">
        <v>2517</v>
      </c>
      <c r="H6" s="9" t="str">
        <f t="shared" si="1"/>
        <v>SA用户面http定制网事实表</v>
      </c>
      <c r="I6" s="9"/>
      <c r="J6" s="9"/>
      <c r="K6" s="9"/>
      <c r="L6" s="9"/>
      <c r="M6" s="9"/>
      <c r="N6" s="12"/>
      <c r="O6" s="9" t="s">
        <v>2531</v>
      </c>
      <c r="P6" s="9"/>
      <c r="Q6" s="152" t="s">
        <v>66</v>
      </c>
      <c r="R6" s="154"/>
      <c r="S6" s="9"/>
    </row>
    <row r="7" spans="1:19">
      <c r="A7" s="12">
        <v>0.5</v>
      </c>
      <c r="B7" s="150">
        <f t="shared" si="0"/>
        <v>0.5</v>
      </c>
      <c r="C7" s="9" t="s">
        <v>55</v>
      </c>
      <c r="D7" s="9" t="s">
        <v>65</v>
      </c>
      <c r="E7" s="12" t="s">
        <v>19</v>
      </c>
      <c r="F7" s="9" t="s">
        <v>2540</v>
      </c>
      <c r="G7" s="9" t="s">
        <v>2518</v>
      </c>
      <c r="H7" s="9" t="str">
        <f t="shared" si="1"/>
        <v>SA用户面email定制网事实表</v>
      </c>
      <c r="I7" s="9"/>
      <c r="J7" s="9"/>
      <c r="K7" s="9"/>
      <c r="L7" s="9"/>
      <c r="M7" s="9"/>
      <c r="N7" s="12"/>
      <c r="O7" s="9" t="s">
        <v>2528</v>
      </c>
      <c r="P7" s="9"/>
      <c r="Q7" s="152" t="s">
        <v>66</v>
      </c>
      <c r="R7" s="154"/>
      <c r="S7" s="9"/>
    </row>
    <row r="8" spans="1:19">
      <c r="A8" s="12">
        <v>0.6</v>
      </c>
      <c r="B8" s="150">
        <f t="shared" si="0"/>
        <v>0.6</v>
      </c>
      <c r="C8" s="9" t="s">
        <v>55</v>
      </c>
      <c r="D8" s="9" t="s">
        <v>65</v>
      </c>
      <c r="E8" s="12" t="s">
        <v>19</v>
      </c>
      <c r="F8" s="9" t="s">
        <v>2511</v>
      </c>
      <c r="G8" s="9" t="s">
        <v>2519</v>
      </c>
      <c r="H8" s="9" t="str">
        <f t="shared" si="1"/>
        <v>SA用户面dns定制网事实表</v>
      </c>
      <c r="I8" s="9"/>
      <c r="J8" s="9"/>
      <c r="K8" s="9"/>
      <c r="L8" s="9"/>
      <c r="M8" s="9"/>
      <c r="N8" s="12"/>
      <c r="O8" s="9" t="s">
        <v>2527</v>
      </c>
      <c r="P8" s="9"/>
      <c r="Q8" s="152" t="s">
        <v>66</v>
      </c>
      <c r="R8" s="154"/>
      <c r="S8" s="9"/>
    </row>
    <row r="9" spans="1:19">
      <c r="A9" s="12">
        <v>0.7</v>
      </c>
      <c r="B9" s="150">
        <f t="shared" si="0"/>
        <v>0.7</v>
      </c>
      <c r="C9" s="9" t="s">
        <v>55</v>
      </c>
      <c r="D9" s="9" t="s">
        <v>65</v>
      </c>
      <c r="E9" s="12" t="s">
        <v>19</v>
      </c>
      <c r="F9" s="9" t="s">
        <v>2541</v>
      </c>
      <c r="G9" s="9" t="s">
        <v>2520</v>
      </c>
      <c r="H9" s="9" t="str">
        <f t="shared" si="1"/>
        <v>SA用户面coap定制网事实表</v>
      </c>
      <c r="I9" s="9"/>
      <c r="J9" s="9"/>
      <c r="K9" s="9"/>
      <c r="L9" s="9"/>
      <c r="M9" s="9"/>
      <c r="N9" s="12"/>
      <c r="O9" s="9" t="s">
        <v>2526</v>
      </c>
      <c r="P9" s="9"/>
      <c r="Q9" s="152" t="s">
        <v>66</v>
      </c>
      <c r="R9" s="154"/>
      <c r="S9" s="9"/>
    </row>
    <row r="10" spans="1:19">
      <c r="A10" s="12">
        <v>0.8</v>
      </c>
      <c r="B10" s="150">
        <f t="shared" si="0"/>
        <v>0.8</v>
      </c>
      <c r="C10" s="9" t="s">
        <v>55</v>
      </c>
      <c r="D10" s="9" t="s">
        <v>65</v>
      </c>
      <c r="E10" s="12" t="s">
        <v>19</v>
      </c>
      <c r="F10" s="9" t="s">
        <v>2542</v>
      </c>
      <c r="G10" s="9" t="s">
        <v>2521</v>
      </c>
      <c r="H10" s="9" t="str">
        <f t="shared" si="1"/>
        <v>SA用户面ftp定制网事实表</v>
      </c>
      <c r="I10" s="9"/>
      <c r="J10" s="9"/>
      <c r="K10" s="9"/>
      <c r="L10" s="9"/>
      <c r="M10" s="9"/>
      <c r="N10" s="12"/>
      <c r="O10" s="9" t="s">
        <v>2529</v>
      </c>
      <c r="P10" s="9"/>
      <c r="Q10" s="152" t="s">
        <v>66</v>
      </c>
      <c r="R10" s="154"/>
      <c r="S10" s="9"/>
    </row>
    <row r="11" spans="1:19">
      <c r="A11" s="12">
        <v>0.9</v>
      </c>
      <c r="B11" s="150">
        <f t="shared" si="0"/>
        <v>0.9</v>
      </c>
      <c r="C11" s="9" t="s">
        <v>55</v>
      </c>
      <c r="D11" s="9" t="s">
        <v>65</v>
      </c>
      <c r="E11" s="12" t="s">
        <v>19</v>
      </c>
      <c r="F11" s="9" t="s">
        <v>2543</v>
      </c>
      <c r="G11" s="9" t="s">
        <v>2522</v>
      </c>
      <c r="H11" s="9" t="str">
        <f t="shared" si="1"/>
        <v>SA用户面mqtt定制网事实表</v>
      </c>
      <c r="I11" s="9"/>
      <c r="J11" s="9"/>
      <c r="K11" s="9"/>
      <c r="L11" s="9"/>
      <c r="M11" s="9"/>
      <c r="N11" s="12"/>
      <c r="O11" s="9" t="s">
        <v>2534</v>
      </c>
      <c r="P11" s="9"/>
      <c r="Q11" s="152" t="s">
        <v>66</v>
      </c>
      <c r="R11" s="154"/>
      <c r="S11" s="9"/>
    </row>
    <row r="12" spans="1:19">
      <c r="A12" s="12">
        <v>1.2</v>
      </c>
      <c r="B12" s="150">
        <f t="shared" si="0"/>
        <v>1.2</v>
      </c>
      <c r="C12" s="9" t="s">
        <v>55</v>
      </c>
      <c r="D12" s="9" t="s">
        <v>65</v>
      </c>
      <c r="E12" s="12" t="s">
        <v>19</v>
      </c>
      <c r="F12" s="9" t="s">
        <v>2544</v>
      </c>
      <c r="G12" s="9" t="s">
        <v>2523</v>
      </c>
      <c r="H12" s="9" t="str">
        <f t="shared" si="1"/>
        <v>SA用户面other定制网事实表</v>
      </c>
      <c r="I12" s="9"/>
      <c r="J12" s="9"/>
      <c r="K12" s="9"/>
      <c r="L12" s="9"/>
      <c r="M12" s="9"/>
      <c r="N12" s="12"/>
      <c r="O12" s="9" t="s">
        <v>459</v>
      </c>
      <c r="P12" s="9"/>
      <c r="Q12" s="152" t="s">
        <v>66</v>
      </c>
      <c r="R12" s="154"/>
      <c r="S12" s="9"/>
    </row>
    <row r="13" spans="1:19">
      <c r="A13" s="12">
        <v>1.3</v>
      </c>
      <c r="B13" s="150">
        <f t="shared" si="0"/>
        <v>1.3</v>
      </c>
      <c r="C13" s="9" t="s">
        <v>55</v>
      </c>
      <c r="D13" s="9" t="s">
        <v>65</v>
      </c>
      <c r="E13" s="12" t="s">
        <v>19</v>
      </c>
      <c r="F13" s="9" t="s">
        <v>2545</v>
      </c>
      <c r="G13" s="9" t="s">
        <v>2524</v>
      </c>
      <c r="H13" s="9" t="str">
        <f t="shared" si="1"/>
        <v>SA用户面video定制网事实表</v>
      </c>
      <c r="I13" s="9"/>
      <c r="J13" s="9"/>
      <c r="K13" s="9"/>
      <c r="L13" s="9"/>
      <c r="M13" s="9"/>
      <c r="N13" s="12"/>
      <c r="O13" s="9" t="s">
        <v>2535</v>
      </c>
      <c r="P13" s="9"/>
      <c r="Q13" s="152" t="s">
        <v>66</v>
      </c>
      <c r="R13" s="154"/>
      <c r="S13" s="9"/>
    </row>
    <row r="14" spans="1:19">
      <c r="A14" s="12">
        <v>1.4</v>
      </c>
      <c r="B14" s="150">
        <f t="shared" si="0"/>
        <v>1.4</v>
      </c>
      <c r="C14" s="9" t="s">
        <v>55</v>
      </c>
      <c r="D14" s="9" t="s">
        <v>65</v>
      </c>
      <c r="E14" s="12" t="s">
        <v>19</v>
      </c>
      <c r="F14" s="9" t="s">
        <v>2546</v>
      </c>
      <c r="G14" s="9" t="s">
        <v>2525</v>
      </c>
      <c r="H14" s="9" t="str">
        <f t="shared" si="1"/>
        <v>SA用户面game定制网事实表</v>
      </c>
      <c r="I14" s="9"/>
      <c r="J14" s="9"/>
      <c r="K14" s="9"/>
      <c r="L14" s="9"/>
      <c r="M14" s="9"/>
      <c r="N14" s="12"/>
      <c r="O14" s="9" t="s">
        <v>2530</v>
      </c>
      <c r="P14" s="9"/>
      <c r="Q14" s="152" t="s">
        <v>66</v>
      </c>
      <c r="R14" s="154"/>
      <c r="S14" s="9"/>
    </row>
    <row r="15" spans="1:19">
      <c r="A15" s="12">
        <v>1.1000000000000001</v>
      </c>
      <c r="B15" s="150">
        <f t="shared" si="0"/>
        <v>1.1000000000000001</v>
      </c>
      <c r="C15" s="9" t="s">
        <v>55</v>
      </c>
      <c r="D15" s="9" t="s">
        <v>56</v>
      </c>
      <c r="E15" s="12" t="s">
        <v>57</v>
      </c>
      <c r="F15" s="9" t="s">
        <v>67</v>
      </c>
      <c r="G15" s="9" t="s">
        <v>68</v>
      </c>
      <c r="H15" s="9" t="s">
        <v>68</v>
      </c>
      <c r="I15" s="9" t="s">
        <v>69</v>
      </c>
      <c r="J15" s="9" t="s">
        <v>61</v>
      </c>
      <c r="K15" s="9" t="s">
        <v>61</v>
      </c>
      <c r="L15" s="9" t="s">
        <v>70</v>
      </c>
      <c r="M15" s="9" t="s">
        <v>19</v>
      </c>
      <c r="N15" s="12">
        <v>14</v>
      </c>
      <c r="O15" s="9" t="s">
        <v>58</v>
      </c>
      <c r="P15" s="9"/>
      <c r="Q15" s="152" t="s">
        <v>64</v>
      </c>
      <c r="R15" s="154"/>
      <c r="S15" s="9"/>
    </row>
    <row r="16" spans="1:19">
      <c r="A16" s="12">
        <v>2</v>
      </c>
      <c r="B16" s="150">
        <f t="shared" ref="B16" si="2">HYPERLINK("#"&amp;A16&amp;"!A1",A16)</f>
        <v>2</v>
      </c>
      <c r="C16" s="9" t="s">
        <v>55</v>
      </c>
      <c r="D16" s="9" t="s">
        <v>56</v>
      </c>
      <c r="E16" s="12" t="s">
        <v>57</v>
      </c>
      <c r="F16" s="9" t="s">
        <v>2496</v>
      </c>
      <c r="G16" s="9" t="s">
        <v>72</v>
      </c>
      <c r="H16" s="9" t="s">
        <v>72</v>
      </c>
      <c r="I16" s="9" t="s">
        <v>60</v>
      </c>
      <c r="J16" s="9" t="s">
        <v>73</v>
      </c>
      <c r="K16" s="9" t="s">
        <v>73</v>
      </c>
      <c r="L16" s="9" t="s">
        <v>70</v>
      </c>
      <c r="M16" s="9" t="s">
        <v>19</v>
      </c>
      <c r="N16" s="12">
        <v>14</v>
      </c>
      <c r="O16" s="9" t="s">
        <v>58</v>
      </c>
      <c r="P16" s="9" t="s">
        <v>74</v>
      </c>
      <c r="Q16" s="152" t="s">
        <v>64</v>
      </c>
      <c r="R16" s="154" t="s">
        <v>75</v>
      </c>
      <c r="S16" s="9"/>
    </row>
    <row r="17" spans="1:20">
      <c r="A17" s="12">
        <v>3</v>
      </c>
      <c r="B17" s="150">
        <f t="shared" ref="B17" si="3">HYPERLINK("#"&amp;A17&amp;"!A1",A17)</f>
        <v>3</v>
      </c>
      <c r="C17" s="9" t="s">
        <v>55</v>
      </c>
      <c r="D17" s="9" t="s">
        <v>56</v>
      </c>
      <c r="E17" s="12" t="s">
        <v>76</v>
      </c>
      <c r="F17" s="9" t="s">
        <v>2366</v>
      </c>
      <c r="G17" s="10" t="s">
        <v>78</v>
      </c>
      <c r="H17" s="10" t="s">
        <v>78</v>
      </c>
      <c r="I17" s="154" t="s">
        <v>79</v>
      </c>
      <c r="J17" s="9" t="s">
        <v>61</v>
      </c>
      <c r="K17" s="154" t="s">
        <v>80</v>
      </c>
      <c r="L17" s="9" t="s">
        <v>70</v>
      </c>
      <c r="M17" s="9" t="s">
        <v>19</v>
      </c>
      <c r="N17" s="152">
        <v>30</v>
      </c>
      <c r="O17" s="9" t="s">
        <v>2505</v>
      </c>
      <c r="P17" s="9" t="s">
        <v>81</v>
      </c>
      <c r="Q17" s="152" t="s">
        <v>82</v>
      </c>
      <c r="R17" s="154" t="s">
        <v>83</v>
      </c>
      <c r="S17" s="9"/>
    </row>
    <row r="18" spans="1:20">
      <c r="A18" s="12">
        <v>4</v>
      </c>
      <c r="B18" s="150">
        <f t="shared" ref="B18" si="4">HYPERLINK("#"&amp;A18&amp;"!A1",A18)</f>
        <v>4</v>
      </c>
      <c r="C18" s="9" t="s">
        <v>55</v>
      </c>
      <c r="D18" s="9" t="s">
        <v>56</v>
      </c>
      <c r="E18" s="12" t="s">
        <v>57</v>
      </c>
      <c r="F18" s="9" t="s">
        <v>2386</v>
      </c>
      <c r="G18" s="10" t="s">
        <v>85</v>
      </c>
      <c r="H18" s="10" t="s">
        <v>85</v>
      </c>
      <c r="I18" s="154" t="s">
        <v>86</v>
      </c>
      <c r="J18" s="9" t="s">
        <v>73</v>
      </c>
      <c r="K18" s="9" t="s">
        <v>73</v>
      </c>
      <c r="L18" s="9" t="s">
        <v>70</v>
      </c>
      <c r="M18" s="9" t="s">
        <v>19</v>
      </c>
      <c r="N18" s="152">
        <v>14</v>
      </c>
      <c r="O18" s="9" t="s">
        <v>71</v>
      </c>
      <c r="P18" s="9"/>
      <c r="Q18" s="152" t="s">
        <v>64</v>
      </c>
      <c r="R18" s="154"/>
      <c r="S18" s="9"/>
    </row>
    <row r="19" spans="1:20">
      <c r="A19" s="12">
        <v>5</v>
      </c>
      <c r="B19" s="150">
        <f t="shared" ref="B19" si="5">HYPERLINK("#"&amp;A19&amp;"!A1",A19)</f>
        <v>5</v>
      </c>
      <c r="C19" s="9" t="s">
        <v>55</v>
      </c>
      <c r="D19" s="9" t="s">
        <v>56</v>
      </c>
      <c r="E19" s="12" t="s">
        <v>57</v>
      </c>
      <c r="F19" s="9" t="s">
        <v>87</v>
      </c>
      <c r="G19" s="10" t="s">
        <v>88</v>
      </c>
      <c r="H19" s="10" t="s">
        <v>88</v>
      </c>
      <c r="I19" s="154" t="s">
        <v>89</v>
      </c>
      <c r="J19" s="9" t="s">
        <v>73</v>
      </c>
      <c r="K19" s="9" t="s">
        <v>73</v>
      </c>
      <c r="L19" s="9" t="s">
        <v>70</v>
      </c>
      <c r="M19" s="9" t="s">
        <v>19</v>
      </c>
      <c r="N19" s="152">
        <v>14</v>
      </c>
      <c r="O19" s="9" t="s">
        <v>84</v>
      </c>
      <c r="P19" s="9"/>
      <c r="Q19" s="152" t="s">
        <v>64</v>
      </c>
      <c r="R19" s="154"/>
      <c r="S19" s="9"/>
    </row>
    <row r="20" spans="1:20">
      <c r="A20" s="12">
        <v>6</v>
      </c>
      <c r="B20" s="150">
        <f t="shared" ref="B20:B29" si="6">HYPERLINK("#"&amp;A20&amp;"!A1",A20)</f>
        <v>6</v>
      </c>
      <c r="C20" s="9" t="s">
        <v>55</v>
      </c>
      <c r="D20" s="9" t="s">
        <v>56</v>
      </c>
      <c r="E20" s="12" t="s">
        <v>57</v>
      </c>
      <c r="F20" s="9" t="s">
        <v>2456</v>
      </c>
      <c r="G20" s="10" t="s">
        <v>91</v>
      </c>
      <c r="H20" s="10" t="s">
        <v>91</v>
      </c>
      <c r="I20" s="154" t="s">
        <v>89</v>
      </c>
      <c r="J20" s="9" t="s">
        <v>80</v>
      </c>
      <c r="K20" s="9" t="s">
        <v>80</v>
      </c>
      <c r="L20" s="9" t="s">
        <v>70</v>
      </c>
      <c r="M20" s="9" t="s">
        <v>19</v>
      </c>
      <c r="N20" s="152">
        <v>30</v>
      </c>
      <c r="O20" s="9" t="s">
        <v>87</v>
      </c>
      <c r="P20" s="9"/>
      <c r="Q20" s="152" t="s">
        <v>64</v>
      </c>
      <c r="R20" s="154" t="s">
        <v>92</v>
      </c>
      <c r="S20" s="9"/>
    </row>
    <row r="21" spans="1:20">
      <c r="A21" s="12">
        <v>7</v>
      </c>
      <c r="B21" s="150">
        <f t="shared" si="6"/>
        <v>7</v>
      </c>
      <c r="C21" s="9" t="s">
        <v>55</v>
      </c>
      <c r="D21" s="9" t="s">
        <v>56</v>
      </c>
      <c r="E21" s="12" t="s">
        <v>57</v>
      </c>
      <c r="F21" s="9" t="s">
        <v>2388</v>
      </c>
      <c r="G21" s="9" t="s">
        <v>94</v>
      </c>
      <c r="H21" s="9" t="s">
        <v>94</v>
      </c>
      <c r="I21" s="9" t="s">
        <v>60</v>
      </c>
      <c r="J21" s="9" t="s">
        <v>61</v>
      </c>
      <c r="K21" s="9" t="s">
        <v>61</v>
      </c>
      <c r="L21" s="9" t="s">
        <v>62</v>
      </c>
      <c r="M21" s="9" t="s">
        <v>63</v>
      </c>
      <c r="N21" s="12">
        <v>7</v>
      </c>
      <c r="O21" s="9" t="s">
        <v>2499</v>
      </c>
      <c r="P21" s="9"/>
      <c r="Q21" s="152" t="s">
        <v>64</v>
      </c>
      <c r="R21" s="154"/>
      <c r="S21" s="9"/>
    </row>
    <row r="22" spans="1:20">
      <c r="A22" s="12">
        <v>8</v>
      </c>
      <c r="B22" s="150">
        <f t="shared" si="6"/>
        <v>8</v>
      </c>
      <c r="C22" s="9" t="s">
        <v>55</v>
      </c>
      <c r="D22" s="9" t="s">
        <v>56</v>
      </c>
      <c r="E22" s="12" t="s">
        <v>57</v>
      </c>
      <c r="F22" s="9" t="s">
        <v>95</v>
      </c>
      <c r="G22" s="68" t="s">
        <v>96</v>
      </c>
      <c r="H22" s="68" t="s">
        <v>96</v>
      </c>
      <c r="I22" s="9" t="s">
        <v>97</v>
      </c>
      <c r="J22" s="9" t="s">
        <v>73</v>
      </c>
      <c r="K22" s="9" t="s">
        <v>73</v>
      </c>
      <c r="L22" s="9" t="s">
        <v>70</v>
      </c>
      <c r="M22" s="9" t="s">
        <v>19</v>
      </c>
      <c r="N22" s="152">
        <v>14</v>
      </c>
      <c r="O22" s="9" t="s">
        <v>93</v>
      </c>
      <c r="P22" s="9"/>
      <c r="Q22" s="152" t="s">
        <v>64</v>
      </c>
      <c r="R22" s="154"/>
      <c r="S22" s="9"/>
    </row>
    <row r="23" spans="1:20">
      <c r="A23" s="12">
        <v>8.1</v>
      </c>
      <c r="B23" s="150">
        <f t="shared" si="6"/>
        <v>8.1</v>
      </c>
      <c r="C23" s="9" t="s">
        <v>55</v>
      </c>
      <c r="D23" s="9" t="s">
        <v>56</v>
      </c>
      <c r="E23" s="12" t="s">
        <v>57</v>
      </c>
      <c r="F23" s="9" t="s">
        <v>2417</v>
      </c>
      <c r="G23" s="68" t="s">
        <v>98</v>
      </c>
      <c r="H23" s="68" t="s">
        <v>98</v>
      </c>
      <c r="I23" s="9" t="s">
        <v>60</v>
      </c>
      <c r="J23" s="9" t="s">
        <v>73</v>
      </c>
      <c r="K23" s="9" t="s">
        <v>73</v>
      </c>
      <c r="L23" s="9" t="s">
        <v>70</v>
      </c>
      <c r="M23" s="9" t="s">
        <v>19</v>
      </c>
      <c r="N23" s="152">
        <v>14</v>
      </c>
      <c r="O23" s="9" t="s">
        <v>95</v>
      </c>
      <c r="P23" s="9"/>
      <c r="Q23" s="152" t="s">
        <v>82</v>
      </c>
      <c r="R23" s="154" t="s">
        <v>2495</v>
      </c>
      <c r="S23" s="9"/>
    </row>
    <row r="24" spans="1:20">
      <c r="A24" s="12">
        <v>9</v>
      </c>
      <c r="B24" s="150">
        <f t="shared" si="6"/>
        <v>9</v>
      </c>
      <c r="C24" s="9" t="s">
        <v>55</v>
      </c>
      <c r="D24" s="9" t="s">
        <v>56</v>
      </c>
      <c r="E24" s="12" t="s">
        <v>57</v>
      </c>
      <c r="F24" s="9" t="s">
        <v>2418</v>
      </c>
      <c r="G24" s="68" t="s">
        <v>100</v>
      </c>
      <c r="H24" s="68" t="s">
        <v>100</v>
      </c>
      <c r="I24" s="154" t="s">
        <v>69</v>
      </c>
      <c r="J24" s="9" t="s">
        <v>73</v>
      </c>
      <c r="K24" s="9" t="s">
        <v>73</v>
      </c>
      <c r="L24" s="9" t="s">
        <v>70</v>
      </c>
      <c r="M24" s="9" t="s">
        <v>19</v>
      </c>
      <c r="N24" s="152">
        <v>14</v>
      </c>
      <c r="O24" s="9" t="s">
        <v>95</v>
      </c>
      <c r="P24" s="9"/>
      <c r="Q24" s="152" t="s">
        <v>64</v>
      </c>
      <c r="R24" s="154"/>
      <c r="S24" s="9"/>
    </row>
    <row r="25" spans="1:20">
      <c r="A25" s="12">
        <v>10</v>
      </c>
      <c r="B25" s="150">
        <f t="shared" si="6"/>
        <v>10</v>
      </c>
      <c r="C25" s="9" t="s">
        <v>55</v>
      </c>
      <c r="D25" s="9" t="s">
        <v>56</v>
      </c>
      <c r="E25" s="12" t="s">
        <v>57</v>
      </c>
      <c r="F25" s="9" t="s">
        <v>2424</v>
      </c>
      <c r="G25" s="68" t="s">
        <v>102</v>
      </c>
      <c r="H25" s="68" t="s">
        <v>102</v>
      </c>
      <c r="I25" s="154" t="s">
        <v>69</v>
      </c>
      <c r="J25" s="9" t="s">
        <v>73</v>
      </c>
      <c r="K25" s="9" t="s">
        <v>73</v>
      </c>
      <c r="L25" s="9" t="s">
        <v>70</v>
      </c>
      <c r="M25" s="9" t="s">
        <v>19</v>
      </c>
      <c r="N25" s="152">
        <v>14</v>
      </c>
      <c r="O25" s="9" t="s">
        <v>2500</v>
      </c>
      <c r="P25" s="9"/>
      <c r="Q25" s="152" t="s">
        <v>82</v>
      </c>
      <c r="R25" s="154" t="s">
        <v>103</v>
      </c>
      <c r="S25" s="9"/>
    </row>
    <row r="26" spans="1:20" s="179" customFormat="1">
      <c r="A26" s="66">
        <v>11.1</v>
      </c>
      <c r="B26" s="151">
        <f t="shared" si="6"/>
        <v>11.1</v>
      </c>
      <c r="C26" s="68" t="s">
        <v>55</v>
      </c>
      <c r="D26" s="68" t="s">
        <v>104</v>
      </c>
      <c r="E26" s="66" t="s">
        <v>105</v>
      </c>
      <c r="F26" s="68" t="s">
        <v>106</v>
      </c>
      <c r="G26" s="68" t="s">
        <v>107</v>
      </c>
      <c r="H26" s="68" t="s">
        <v>107</v>
      </c>
      <c r="I26" s="177" t="s">
        <v>19</v>
      </c>
      <c r="J26" s="177" t="s">
        <v>19</v>
      </c>
      <c r="K26" s="177" t="s">
        <v>19</v>
      </c>
      <c r="L26" s="68" t="s">
        <v>62</v>
      </c>
      <c r="M26" s="68" t="s">
        <v>108</v>
      </c>
      <c r="N26" s="178" t="s">
        <v>19</v>
      </c>
      <c r="O26" s="178" t="s">
        <v>19</v>
      </c>
      <c r="P26" s="68"/>
      <c r="Q26" s="178" t="s">
        <v>109</v>
      </c>
      <c r="R26" s="130" t="s">
        <v>110</v>
      </c>
      <c r="S26" s="9"/>
      <c r="T26" s="148"/>
    </row>
    <row r="27" spans="1:20">
      <c r="A27" s="12">
        <v>11.2</v>
      </c>
      <c r="B27" s="150">
        <f t="shared" si="6"/>
        <v>11.2</v>
      </c>
      <c r="C27" s="9" t="s">
        <v>55</v>
      </c>
      <c r="D27" s="9" t="s">
        <v>104</v>
      </c>
      <c r="E27" s="12" t="s">
        <v>105</v>
      </c>
      <c r="F27" s="9" t="s">
        <v>111</v>
      </c>
      <c r="G27" s="68" t="s">
        <v>112</v>
      </c>
      <c r="H27" s="68" t="s">
        <v>112</v>
      </c>
      <c r="I27" s="154" t="s">
        <v>19</v>
      </c>
      <c r="J27" s="154" t="s">
        <v>19</v>
      </c>
      <c r="K27" s="154" t="s">
        <v>19</v>
      </c>
      <c r="L27" s="9" t="s">
        <v>62</v>
      </c>
      <c r="M27" s="9" t="s">
        <v>108</v>
      </c>
      <c r="N27" s="152" t="s">
        <v>19</v>
      </c>
      <c r="O27" s="152" t="s">
        <v>19</v>
      </c>
      <c r="P27" s="9"/>
      <c r="Q27" s="152" t="s">
        <v>109</v>
      </c>
      <c r="R27" s="154"/>
      <c r="S27" s="9"/>
    </row>
    <row r="28" spans="1:20">
      <c r="A28" s="12">
        <v>11.3</v>
      </c>
      <c r="B28" s="150">
        <f t="shared" si="6"/>
        <v>11.3</v>
      </c>
      <c r="C28" s="9" t="s">
        <v>55</v>
      </c>
      <c r="D28" s="9" t="s">
        <v>104</v>
      </c>
      <c r="E28" s="12" t="s">
        <v>105</v>
      </c>
      <c r="F28" s="9" t="s">
        <v>113</v>
      </c>
      <c r="G28" s="68" t="s">
        <v>114</v>
      </c>
      <c r="H28" s="68" t="s">
        <v>114</v>
      </c>
      <c r="I28" s="154" t="s">
        <v>19</v>
      </c>
      <c r="J28" s="154" t="s">
        <v>19</v>
      </c>
      <c r="K28" s="154" t="s">
        <v>19</v>
      </c>
      <c r="L28" s="9" t="s">
        <v>62</v>
      </c>
      <c r="M28" s="9" t="s">
        <v>108</v>
      </c>
      <c r="N28" s="152" t="s">
        <v>19</v>
      </c>
      <c r="O28" s="152" t="s">
        <v>19</v>
      </c>
      <c r="P28" s="9"/>
      <c r="Q28" s="152" t="s">
        <v>109</v>
      </c>
      <c r="R28" s="154"/>
      <c r="S28" s="9"/>
    </row>
    <row r="29" spans="1:20">
      <c r="A29" s="12">
        <v>11</v>
      </c>
      <c r="B29" s="150">
        <f t="shared" si="6"/>
        <v>11</v>
      </c>
      <c r="C29" s="9" t="s">
        <v>55</v>
      </c>
      <c r="D29" s="9" t="s">
        <v>65</v>
      </c>
      <c r="E29" s="12" t="s">
        <v>19</v>
      </c>
      <c r="F29" s="154" t="s">
        <v>2427</v>
      </c>
      <c r="G29" s="9" t="s">
        <v>116</v>
      </c>
      <c r="H29" s="9" t="s">
        <v>116</v>
      </c>
      <c r="I29" s="154" t="s">
        <v>117</v>
      </c>
      <c r="J29" s="154" t="s">
        <v>61</v>
      </c>
      <c r="K29" s="154" t="s">
        <v>61</v>
      </c>
      <c r="L29" s="154" t="s">
        <v>62</v>
      </c>
      <c r="M29" s="9" t="s">
        <v>108</v>
      </c>
      <c r="N29" s="152">
        <v>3</v>
      </c>
      <c r="O29" s="154" t="s">
        <v>2501</v>
      </c>
      <c r="P29" s="154"/>
      <c r="Q29" s="152" t="s">
        <v>64</v>
      </c>
      <c r="R29" s="154"/>
      <c r="S29" s="9"/>
    </row>
    <row r="30" spans="1:20">
      <c r="A30" s="12">
        <v>12</v>
      </c>
      <c r="B30" s="150">
        <f t="shared" ref="B30:B34" si="7">HYPERLINK("#"&amp;A30&amp;"!A1",A30)</f>
        <v>12</v>
      </c>
      <c r="C30" s="9" t="s">
        <v>55</v>
      </c>
      <c r="D30" s="9" t="s">
        <v>56</v>
      </c>
      <c r="E30" s="12" t="s">
        <v>105</v>
      </c>
      <c r="F30" s="154" t="s">
        <v>118</v>
      </c>
      <c r="G30" s="9" t="s">
        <v>119</v>
      </c>
      <c r="H30" s="9" t="s">
        <v>119</v>
      </c>
      <c r="I30" s="154" t="s">
        <v>120</v>
      </c>
      <c r="J30" s="154" t="s">
        <v>61</v>
      </c>
      <c r="K30" s="154" t="s">
        <v>61</v>
      </c>
      <c r="L30" s="154" t="s">
        <v>62</v>
      </c>
      <c r="M30" s="9" t="s">
        <v>63</v>
      </c>
      <c r="N30" s="152">
        <v>7</v>
      </c>
      <c r="O30" s="154" t="s">
        <v>115</v>
      </c>
      <c r="P30" s="154"/>
      <c r="Q30" s="152" t="s">
        <v>64</v>
      </c>
      <c r="R30" s="154"/>
      <c r="S30" s="9"/>
    </row>
    <row r="31" spans="1:20">
      <c r="A31" s="12">
        <v>13</v>
      </c>
      <c r="B31" s="150">
        <f t="shared" si="7"/>
        <v>13</v>
      </c>
      <c r="C31" s="9" t="s">
        <v>55</v>
      </c>
      <c r="D31" s="9" t="s">
        <v>56</v>
      </c>
      <c r="E31" s="12" t="s">
        <v>121</v>
      </c>
      <c r="F31" s="154" t="s">
        <v>122</v>
      </c>
      <c r="G31" s="9" t="s">
        <v>123</v>
      </c>
      <c r="H31" s="9" t="s">
        <v>123</v>
      </c>
      <c r="I31" s="154" t="s">
        <v>86</v>
      </c>
      <c r="J31" s="154" t="s">
        <v>73</v>
      </c>
      <c r="K31" s="154" t="s">
        <v>73</v>
      </c>
      <c r="L31" s="154" t="s">
        <v>70</v>
      </c>
      <c r="M31" s="9" t="s">
        <v>19</v>
      </c>
      <c r="N31" s="152">
        <v>14</v>
      </c>
      <c r="O31" s="154" t="s">
        <v>2504</v>
      </c>
      <c r="P31" s="154"/>
      <c r="Q31" s="152" t="s">
        <v>64</v>
      </c>
      <c r="R31" s="154" t="s">
        <v>124</v>
      </c>
      <c r="S31" s="9"/>
    </row>
    <row r="32" spans="1:20">
      <c r="A32" s="12">
        <v>14</v>
      </c>
      <c r="B32" s="150">
        <f t="shared" si="7"/>
        <v>14</v>
      </c>
      <c r="C32" s="9" t="s">
        <v>55</v>
      </c>
      <c r="D32" s="9" t="s">
        <v>56</v>
      </c>
      <c r="E32" s="12" t="s">
        <v>121</v>
      </c>
      <c r="F32" s="154" t="s">
        <v>2503</v>
      </c>
      <c r="G32" s="9" t="s">
        <v>126</v>
      </c>
      <c r="H32" s="9" t="s">
        <v>126</v>
      </c>
      <c r="I32" s="154" t="s">
        <v>86</v>
      </c>
      <c r="J32" s="154" t="s">
        <v>80</v>
      </c>
      <c r="K32" s="154" t="s">
        <v>80</v>
      </c>
      <c r="L32" s="154" t="s">
        <v>70</v>
      </c>
      <c r="M32" s="9" t="s">
        <v>19</v>
      </c>
      <c r="N32" s="152">
        <v>30</v>
      </c>
      <c r="O32" s="154" t="s">
        <v>122</v>
      </c>
      <c r="P32" s="154"/>
      <c r="Q32" s="152" t="s">
        <v>64</v>
      </c>
      <c r="R32" s="154" t="s">
        <v>127</v>
      </c>
      <c r="S32" s="9"/>
    </row>
    <row r="33" spans="1:19">
      <c r="A33" s="12">
        <v>15</v>
      </c>
      <c r="B33" s="150">
        <f t="shared" si="7"/>
        <v>15</v>
      </c>
      <c r="C33" s="9" t="s">
        <v>55</v>
      </c>
      <c r="D33" s="9" t="s">
        <v>56</v>
      </c>
      <c r="E33" s="12" t="s">
        <v>121</v>
      </c>
      <c r="F33" s="154" t="s">
        <v>128</v>
      </c>
      <c r="G33" s="9" t="s">
        <v>129</v>
      </c>
      <c r="H33" s="9" t="s">
        <v>129</v>
      </c>
      <c r="I33" s="154" t="s">
        <v>86</v>
      </c>
      <c r="J33" s="154" t="s">
        <v>80</v>
      </c>
      <c r="K33" s="154" t="s">
        <v>80</v>
      </c>
      <c r="L33" s="154" t="s">
        <v>70</v>
      </c>
      <c r="M33" s="9" t="s">
        <v>19</v>
      </c>
      <c r="N33" s="152">
        <v>30</v>
      </c>
      <c r="O33" s="154" t="s">
        <v>125</v>
      </c>
      <c r="P33" s="154"/>
      <c r="Q33" s="152" t="s">
        <v>64</v>
      </c>
      <c r="R33" s="154" t="s">
        <v>130</v>
      </c>
      <c r="S33" s="9"/>
    </row>
    <row r="34" spans="1:19">
      <c r="A34" s="12">
        <v>16</v>
      </c>
      <c r="B34" s="150">
        <f t="shared" si="7"/>
        <v>16</v>
      </c>
      <c r="C34" s="9" t="s">
        <v>55</v>
      </c>
      <c r="D34" s="9" t="s">
        <v>56</v>
      </c>
      <c r="E34" s="12" t="s">
        <v>105</v>
      </c>
      <c r="F34" s="9" t="s">
        <v>2458</v>
      </c>
      <c r="G34" s="68" t="s">
        <v>2459</v>
      </c>
      <c r="H34" s="68" t="s">
        <v>132</v>
      </c>
      <c r="I34" s="154" t="s">
        <v>120</v>
      </c>
      <c r="J34" s="154" t="s">
        <v>73</v>
      </c>
      <c r="K34" s="154" t="s">
        <v>73</v>
      </c>
      <c r="L34" s="154" t="s">
        <v>70</v>
      </c>
      <c r="M34" s="9" t="s">
        <v>19</v>
      </c>
      <c r="N34" s="152">
        <v>14</v>
      </c>
      <c r="O34" s="154" t="s">
        <v>118</v>
      </c>
      <c r="P34" s="154"/>
      <c r="Q34" s="152" t="s">
        <v>64</v>
      </c>
      <c r="R34" s="154"/>
      <c r="S34" s="9"/>
    </row>
    <row r="35" spans="1:19">
      <c r="A35" s="12">
        <v>17</v>
      </c>
      <c r="B35" s="150">
        <f t="shared" ref="B35:B40" si="8">HYPERLINK("#"&amp;A35&amp;"!A1",A35)</f>
        <v>17</v>
      </c>
      <c r="C35" s="9" t="s">
        <v>55</v>
      </c>
      <c r="D35" s="9" t="s">
        <v>56</v>
      </c>
      <c r="E35" s="12" t="s">
        <v>105</v>
      </c>
      <c r="F35" s="9" t="s">
        <v>133</v>
      </c>
      <c r="G35" s="68" t="s">
        <v>134</v>
      </c>
      <c r="H35" s="68" t="s">
        <v>134</v>
      </c>
      <c r="I35" s="154" t="s">
        <v>135</v>
      </c>
      <c r="J35" s="154" t="s">
        <v>73</v>
      </c>
      <c r="K35" s="154" t="s">
        <v>73</v>
      </c>
      <c r="L35" s="154" t="s">
        <v>70</v>
      </c>
      <c r="M35" s="9" t="s">
        <v>19</v>
      </c>
      <c r="N35" s="152">
        <v>14</v>
      </c>
      <c r="O35" s="9" t="s">
        <v>131</v>
      </c>
      <c r="P35" s="154"/>
      <c r="Q35" s="152" t="s">
        <v>82</v>
      </c>
      <c r="R35" s="154" t="s">
        <v>136</v>
      </c>
      <c r="S35" s="9"/>
    </row>
    <row r="36" spans="1:19">
      <c r="A36" s="12">
        <v>18</v>
      </c>
      <c r="B36" s="150">
        <f t="shared" si="8"/>
        <v>18</v>
      </c>
      <c r="C36" s="9" t="s">
        <v>55</v>
      </c>
      <c r="D36" s="9" t="s">
        <v>56</v>
      </c>
      <c r="E36" s="12" t="s">
        <v>105</v>
      </c>
      <c r="F36" s="158" t="s">
        <v>137</v>
      </c>
      <c r="G36" s="68" t="s">
        <v>138</v>
      </c>
      <c r="H36" s="68" t="s">
        <v>138</v>
      </c>
      <c r="I36" s="154" t="s">
        <v>139</v>
      </c>
      <c r="J36" s="154" t="s">
        <v>73</v>
      </c>
      <c r="K36" s="154" t="s">
        <v>73</v>
      </c>
      <c r="L36" s="154" t="s">
        <v>70</v>
      </c>
      <c r="M36" s="9" t="s">
        <v>19</v>
      </c>
      <c r="N36" s="152">
        <v>14</v>
      </c>
      <c r="O36" s="154" t="s">
        <v>2504</v>
      </c>
      <c r="P36" s="154"/>
      <c r="Q36" s="152" t="s">
        <v>64</v>
      </c>
      <c r="R36" s="154"/>
      <c r="S36" s="9"/>
    </row>
    <row r="37" spans="1:19">
      <c r="A37" s="12">
        <v>19</v>
      </c>
      <c r="B37" s="150">
        <f t="shared" si="8"/>
        <v>19</v>
      </c>
      <c r="C37" s="9" t="s">
        <v>55</v>
      </c>
      <c r="D37" s="9" t="s">
        <v>56</v>
      </c>
      <c r="E37" s="12" t="s">
        <v>105</v>
      </c>
      <c r="F37" s="9" t="s">
        <v>140</v>
      </c>
      <c r="G37" s="68" t="s">
        <v>141</v>
      </c>
      <c r="H37" s="68" t="s">
        <v>141</v>
      </c>
      <c r="I37" s="154" t="s">
        <v>139</v>
      </c>
      <c r="J37" s="154" t="s">
        <v>73</v>
      </c>
      <c r="K37" s="154" t="s">
        <v>73</v>
      </c>
      <c r="L37" s="154" t="s">
        <v>70</v>
      </c>
      <c r="M37" s="9" t="s">
        <v>19</v>
      </c>
      <c r="N37" s="152">
        <v>14</v>
      </c>
      <c r="O37" s="9" t="s">
        <v>137</v>
      </c>
      <c r="P37" s="154"/>
      <c r="Q37" s="152" t="s">
        <v>82</v>
      </c>
      <c r="R37" s="154" t="s">
        <v>2492</v>
      </c>
      <c r="S37" s="9"/>
    </row>
    <row r="38" spans="1:19">
      <c r="A38" s="12">
        <v>20</v>
      </c>
      <c r="B38" s="150">
        <f t="shared" si="8"/>
        <v>20</v>
      </c>
      <c r="C38" s="9" t="s">
        <v>55</v>
      </c>
      <c r="D38" s="9" t="s">
        <v>56</v>
      </c>
      <c r="E38" s="12" t="s">
        <v>105</v>
      </c>
      <c r="F38" s="158" t="s">
        <v>143</v>
      </c>
      <c r="G38" s="68" t="s">
        <v>144</v>
      </c>
      <c r="H38" s="68" t="s">
        <v>144</v>
      </c>
      <c r="I38" s="154" t="s">
        <v>86</v>
      </c>
      <c r="J38" s="154" t="s">
        <v>73</v>
      </c>
      <c r="K38" s="154" t="s">
        <v>73</v>
      </c>
      <c r="L38" s="154" t="s">
        <v>70</v>
      </c>
      <c r="M38" s="9" t="s">
        <v>19</v>
      </c>
      <c r="N38" s="152">
        <v>14</v>
      </c>
      <c r="O38" s="9" t="s">
        <v>137</v>
      </c>
      <c r="P38" s="154"/>
      <c r="Q38" s="152" t="s">
        <v>64</v>
      </c>
      <c r="R38" s="154"/>
      <c r="S38" s="9"/>
    </row>
    <row r="39" spans="1:19">
      <c r="A39" s="12">
        <v>21</v>
      </c>
      <c r="B39" s="150">
        <f t="shared" si="8"/>
        <v>21</v>
      </c>
      <c r="C39" s="9" t="s">
        <v>55</v>
      </c>
      <c r="D39" s="9" t="s">
        <v>56</v>
      </c>
      <c r="E39" s="12" t="s">
        <v>105</v>
      </c>
      <c r="F39" s="9" t="s">
        <v>145</v>
      </c>
      <c r="G39" s="68" t="s">
        <v>146</v>
      </c>
      <c r="H39" s="68" t="s">
        <v>146</v>
      </c>
      <c r="I39" s="154" t="s">
        <v>86</v>
      </c>
      <c r="J39" s="9" t="s">
        <v>73</v>
      </c>
      <c r="K39" s="9" t="s">
        <v>73</v>
      </c>
      <c r="L39" s="9" t="s">
        <v>70</v>
      </c>
      <c r="M39" s="9" t="s">
        <v>19</v>
      </c>
      <c r="N39" s="152">
        <v>14</v>
      </c>
      <c r="O39" s="9" t="s">
        <v>2502</v>
      </c>
      <c r="P39" s="9"/>
      <c r="Q39" s="152" t="s">
        <v>82</v>
      </c>
      <c r="R39" s="154" t="s">
        <v>147</v>
      </c>
      <c r="S39" s="9"/>
    </row>
    <row r="40" spans="1:19">
      <c r="A40" s="12">
        <v>22</v>
      </c>
      <c r="B40" s="150">
        <f t="shared" si="8"/>
        <v>22</v>
      </c>
      <c r="C40" s="9" t="s">
        <v>55</v>
      </c>
      <c r="D40" s="9" t="s">
        <v>56</v>
      </c>
      <c r="E40" s="12" t="s">
        <v>105</v>
      </c>
      <c r="F40" s="158" t="s">
        <v>148</v>
      </c>
      <c r="G40" s="68" t="s">
        <v>149</v>
      </c>
      <c r="H40" s="68" t="s">
        <v>150</v>
      </c>
      <c r="I40" s="154" t="s">
        <v>89</v>
      </c>
      <c r="J40" s="9" t="s">
        <v>73</v>
      </c>
      <c r="K40" s="9" t="s">
        <v>73</v>
      </c>
      <c r="L40" s="9" t="s">
        <v>70</v>
      </c>
      <c r="M40" s="9" t="s">
        <v>19</v>
      </c>
      <c r="N40" s="152">
        <v>30</v>
      </c>
      <c r="O40" s="9" t="s">
        <v>143</v>
      </c>
      <c r="P40" s="154"/>
      <c r="Q40" s="152" t="s">
        <v>64</v>
      </c>
      <c r="R40" s="154"/>
      <c r="S40" s="9"/>
    </row>
    <row r="41" spans="1:19">
      <c r="A41" s="12">
        <v>24</v>
      </c>
      <c r="B41" s="150">
        <f t="shared" ref="B41:B43" si="9">HYPERLINK("#"&amp;A41&amp;"!A1",A41)</f>
        <v>24</v>
      </c>
      <c r="C41" s="9" t="s">
        <v>55</v>
      </c>
      <c r="D41" s="9" t="s">
        <v>56</v>
      </c>
      <c r="E41" s="12" t="s">
        <v>105</v>
      </c>
      <c r="F41" s="9" t="s">
        <v>151</v>
      </c>
      <c r="G41" s="68" t="s">
        <v>152</v>
      </c>
      <c r="H41" s="68" t="s">
        <v>152</v>
      </c>
      <c r="I41" s="154" t="s">
        <v>89</v>
      </c>
      <c r="J41" s="9" t="s">
        <v>80</v>
      </c>
      <c r="K41" s="9" t="s">
        <v>80</v>
      </c>
      <c r="L41" s="9" t="s">
        <v>70</v>
      </c>
      <c r="M41" s="9" t="s">
        <v>19</v>
      </c>
      <c r="N41" s="152">
        <v>30</v>
      </c>
      <c r="O41" s="9" t="s">
        <v>148</v>
      </c>
      <c r="P41" s="154"/>
      <c r="Q41" s="152" t="s">
        <v>64</v>
      </c>
      <c r="R41" s="154"/>
      <c r="S41" s="9"/>
    </row>
    <row r="42" spans="1:19">
      <c r="A42" s="12">
        <v>25</v>
      </c>
      <c r="B42" s="150">
        <f t="shared" si="9"/>
        <v>25</v>
      </c>
      <c r="C42" s="9" t="s">
        <v>55</v>
      </c>
      <c r="D42" s="9" t="s">
        <v>56</v>
      </c>
      <c r="E42" s="12" t="s">
        <v>105</v>
      </c>
      <c r="F42" s="158" t="s">
        <v>2317</v>
      </c>
      <c r="G42" s="68" t="s">
        <v>154</v>
      </c>
      <c r="H42" s="68" t="s">
        <v>154</v>
      </c>
      <c r="I42" s="154" t="s">
        <v>155</v>
      </c>
      <c r="J42" s="9" t="s">
        <v>80</v>
      </c>
      <c r="K42" s="9" t="s">
        <v>80</v>
      </c>
      <c r="L42" s="9" t="s">
        <v>70</v>
      </c>
      <c r="M42" s="9" t="s">
        <v>19</v>
      </c>
      <c r="N42" s="152">
        <v>30</v>
      </c>
      <c r="O42" s="9" t="s">
        <v>148</v>
      </c>
      <c r="P42" s="154"/>
      <c r="Q42" s="152" t="s">
        <v>64</v>
      </c>
      <c r="R42" s="154"/>
      <c r="S42" s="9"/>
    </row>
    <row r="43" spans="1:19">
      <c r="A43" s="12">
        <v>26</v>
      </c>
      <c r="B43" s="150">
        <f t="shared" si="9"/>
        <v>26</v>
      </c>
      <c r="C43" s="9" t="s">
        <v>55</v>
      </c>
      <c r="D43" s="9" t="s">
        <v>56</v>
      </c>
      <c r="E43" s="12" t="s">
        <v>105</v>
      </c>
      <c r="F43" s="9" t="s">
        <v>2493</v>
      </c>
      <c r="G43" s="68" t="s">
        <v>157</v>
      </c>
      <c r="H43" s="68" t="s">
        <v>157</v>
      </c>
      <c r="I43" s="154" t="s">
        <v>158</v>
      </c>
      <c r="J43" s="154" t="s">
        <v>73</v>
      </c>
      <c r="K43" s="154" t="s">
        <v>73</v>
      </c>
      <c r="L43" s="154" t="s">
        <v>70</v>
      </c>
      <c r="M43" s="9" t="s">
        <v>19</v>
      </c>
      <c r="N43" s="157">
        <v>360</v>
      </c>
      <c r="O43" s="9" t="s">
        <v>2510</v>
      </c>
      <c r="P43" s="154"/>
      <c r="Q43" s="152" t="s">
        <v>64</v>
      </c>
      <c r="R43" s="130" t="s">
        <v>159</v>
      </c>
      <c r="S43" s="9"/>
    </row>
  </sheetData>
  <phoneticPr fontId="33" type="noConversion"/>
  <pageMargins left="0.69930555555555596" right="0.69930555555555596" top="0.75" bottom="0.75" header="0.3" footer="0.3"/>
  <pageSetup paperSize="9" orientation="portrait" horizontalDpi="2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67"/>
  <sheetViews>
    <sheetView zoomScale="85" zoomScaleNormal="85" workbookViewId="0">
      <pane ySplit="5" topLeftCell="A6" activePane="bottomLeft" state="frozen"/>
      <selection pane="bottomLeft" activeCell="D24" sqref="D24"/>
    </sheetView>
  </sheetViews>
  <sheetFormatPr defaultColWidth="9" defaultRowHeight="13.2"/>
  <cols>
    <col min="1" max="1" width="1.33203125" style="3" customWidth="1"/>
    <col min="2" max="2" width="23.6640625" style="3" customWidth="1"/>
    <col min="3" max="3" width="31.21875" style="3"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7" t="s">
        <v>172</v>
      </c>
      <c r="G4" s="7" t="s">
        <v>43</v>
      </c>
      <c r="H4" s="7" t="s">
        <v>173</v>
      </c>
    </row>
    <row r="5" spans="2:14">
      <c r="B5" s="8" t="s">
        <v>57</v>
      </c>
      <c r="C5" s="9" t="s">
        <v>58</v>
      </c>
      <c r="D5" s="10" t="s">
        <v>59</v>
      </c>
      <c r="E5" s="12" t="s">
        <v>12</v>
      </c>
      <c r="F5" s="61"/>
      <c r="G5" s="12"/>
      <c r="H5" s="12"/>
      <c r="N5" s="3"/>
    </row>
    <row r="6" spans="2:14">
      <c r="B6" s="6"/>
      <c r="C6" s="6"/>
      <c r="D6" s="6"/>
      <c r="E6" s="6"/>
      <c r="F6" s="6"/>
      <c r="G6" s="6"/>
      <c r="H6" s="6"/>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2485</v>
      </c>
      <c r="D9" s="10" t="s">
        <v>181</v>
      </c>
      <c r="E9" s="12" t="s">
        <v>182</v>
      </c>
      <c r="F9" s="22"/>
      <c r="G9" s="22"/>
      <c r="H9" s="20" t="s">
        <v>63</v>
      </c>
    </row>
    <row r="10" spans="2:14">
      <c r="B10" s="12"/>
      <c r="C10" s="9" t="s">
        <v>183</v>
      </c>
      <c r="D10" s="10" t="s">
        <v>184</v>
      </c>
      <c r="E10" s="12" t="s">
        <v>185</v>
      </c>
      <c r="F10" s="22"/>
      <c r="G10" s="22" t="s">
        <v>186</v>
      </c>
      <c r="H10" s="20"/>
    </row>
    <row r="11" spans="2:14">
      <c r="B11" s="12"/>
      <c r="C11" s="9" t="s">
        <v>187</v>
      </c>
      <c r="D11" s="10" t="s">
        <v>188</v>
      </c>
      <c r="E11" s="12" t="s">
        <v>189</v>
      </c>
      <c r="F11" s="22"/>
      <c r="G11" s="22" t="s">
        <v>190</v>
      </c>
      <c r="H11" s="20"/>
    </row>
    <row r="12" spans="2:14">
      <c r="B12" s="12"/>
      <c r="C12" s="9" t="s">
        <v>191</v>
      </c>
      <c r="D12" s="9" t="s">
        <v>192</v>
      </c>
      <c r="E12" s="12" t="s">
        <v>193</v>
      </c>
      <c r="F12" s="22"/>
      <c r="G12" s="22" t="s">
        <v>186</v>
      </c>
      <c r="H12" s="12"/>
    </row>
    <row r="13" spans="2:14">
      <c r="G13" s="62"/>
    </row>
    <row r="14" spans="2:14">
      <c r="B14" s="3" t="s">
        <v>194</v>
      </c>
    </row>
    <row r="15" spans="2:14">
      <c r="B15" s="181" t="s">
        <v>194</v>
      </c>
      <c r="C15" s="181"/>
      <c r="D15" s="181"/>
      <c r="E15" s="181"/>
      <c r="F15" s="181"/>
      <c r="G15" s="181"/>
      <c r="H15" s="181"/>
      <c r="I15" s="181"/>
      <c r="J15" s="181"/>
      <c r="K15" s="181"/>
      <c r="L15" s="181"/>
    </row>
    <row r="16" spans="2:14">
      <c r="B16" s="7" t="s">
        <v>195</v>
      </c>
      <c r="C16" s="7" t="s">
        <v>196</v>
      </c>
      <c r="D16" s="7" t="s">
        <v>197</v>
      </c>
      <c r="E16" s="7" t="s">
        <v>198</v>
      </c>
      <c r="F16" s="7" t="s">
        <v>199</v>
      </c>
      <c r="G16" s="7" t="s">
        <v>200</v>
      </c>
      <c r="H16" s="7" t="s">
        <v>201</v>
      </c>
      <c r="I16" s="7" t="s">
        <v>53</v>
      </c>
      <c r="J16" s="7" t="s">
        <v>202</v>
      </c>
      <c r="K16" s="7" t="s">
        <v>203</v>
      </c>
      <c r="L16" s="7" t="s">
        <v>204</v>
      </c>
    </row>
    <row r="17" spans="1:12" s="1" customFormat="1">
      <c r="B17" s="13" t="s">
        <v>205</v>
      </c>
      <c r="C17" s="13" t="s">
        <v>206</v>
      </c>
      <c r="D17" s="9" t="s">
        <v>207</v>
      </c>
      <c r="E17" s="21" t="s">
        <v>182</v>
      </c>
      <c r="F17" s="22" t="s">
        <v>0</v>
      </c>
      <c r="G17" s="22" t="s">
        <v>208</v>
      </c>
      <c r="H17" s="23"/>
      <c r="I17" s="25"/>
      <c r="J17" s="25" t="s">
        <v>4</v>
      </c>
      <c r="K17" s="25" t="s">
        <v>209</v>
      </c>
      <c r="L17" s="25" t="s">
        <v>210</v>
      </c>
    </row>
    <row r="18" spans="1:12" s="1" customFormat="1">
      <c r="B18" s="13" t="s">
        <v>20</v>
      </c>
      <c r="C18" s="13" t="s">
        <v>211</v>
      </c>
      <c r="D18" s="9" t="s">
        <v>73</v>
      </c>
      <c r="E18" s="21" t="s">
        <v>182</v>
      </c>
      <c r="F18" s="22" t="s">
        <v>1</v>
      </c>
      <c r="G18" s="22" t="s">
        <v>208</v>
      </c>
      <c r="H18" s="23"/>
      <c r="I18" s="25"/>
      <c r="J18" s="25" t="s">
        <v>4</v>
      </c>
      <c r="K18" s="25" t="s">
        <v>209</v>
      </c>
      <c r="L18" s="25" t="s">
        <v>212</v>
      </c>
    </row>
    <row r="19" spans="1:12" s="1" customFormat="1">
      <c r="B19" s="13" t="s">
        <v>12</v>
      </c>
      <c r="C19" s="13" t="s">
        <v>211</v>
      </c>
      <c r="D19" s="9" t="s">
        <v>61</v>
      </c>
      <c r="E19" s="21" t="s">
        <v>182</v>
      </c>
      <c r="F19" s="22" t="s">
        <v>2</v>
      </c>
      <c r="G19" s="22" t="s">
        <v>208</v>
      </c>
      <c r="H19" s="23"/>
      <c r="I19" s="25"/>
      <c r="J19" s="25" t="s">
        <v>4</v>
      </c>
      <c r="K19" s="25" t="s">
        <v>209</v>
      </c>
      <c r="L19" s="25" t="s">
        <v>213</v>
      </c>
    </row>
    <row r="20" spans="1:12" s="1" customFormat="1">
      <c r="A20" s="132"/>
      <c r="B20" s="13" t="s">
        <v>214</v>
      </c>
      <c r="C20" s="13" t="s">
        <v>211</v>
      </c>
      <c r="D20" s="9" t="s">
        <v>215</v>
      </c>
      <c r="E20" s="21" t="s">
        <v>182</v>
      </c>
      <c r="F20" s="22" t="s">
        <v>214</v>
      </c>
      <c r="G20" s="22" t="s">
        <v>208</v>
      </c>
      <c r="H20" s="23"/>
      <c r="I20" s="133"/>
      <c r="J20" s="25" t="s">
        <v>4</v>
      </c>
      <c r="K20" s="25" t="s">
        <v>209</v>
      </c>
      <c r="L20" s="144" t="s">
        <v>216</v>
      </c>
    </row>
    <row r="21" spans="1:12" s="1" customFormat="1">
      <c r="A21" s="132"/>
      <c r="B21" s="13" t="s">
        <v>217</v>
      </c>
      <c r="C21" s="13" t="s">
        <v>211</v>
      </c>
      <c r="D21" s="9" t="s">
        <v>218</v>
      </c>
      <c r="E21" s="21" t="s">
        <v>182</v>
      </c>
      <c r="F21" s="22" t="s">
        <v>217</v>
      </c>
      <c r="G21" s="22" t="s">
        <v>208</v>
      </c>
      <c r="H21" s="23"/>
      <c r="I21" s="133"/>
      <c r="J21" s="25" t="s">
        <v>4</v>
      </c>
      <c r="K21" s="25" t="s">
        <v>209</v>
      </c>
      <c r="L21" s="25" t="s">
        <v>219</v>
      </c>
    </row>
    <row r="22" spans="1:12" s="1" customFormat="1">
      <c r="A22" s="132"/>
      <c r="B22" s="13" t="s">
        <v>220</v>
      </c>
      <c r="C22" s="13" t="s">
        <v>211</v>
      </c>
      <c r="D22" s="9" t="s">
        <v>221</v>
      </c>
      <c r="E22" s="21" t="s">
        <v>182</v>
      </c>
      <c r="F22" s="22" t="s">
        <v>222</v>
      </c>
      <c r="G22" s="22" t="s">
        <v>208</v>
      </c>
      <c r="H22" s="23"/>
      <c r="I22" s="133"/>
      <c r="J22" s="25" t="s">
        <v>4</v>
      </c>
      <c r="K22" s="25" t="s">
        <v>209</v>
      </c>
      <c r="L22" s="25" t="s">
        <v>223</v>
      </c>
    </row>
    <row r="23" spans="1:12" s="1" customFormat="1">
      <c r="A23" s="132"/>
      <c r="B23" s="13" t="s">
        <v>224</v>
      </c>
      <c r="C23" s="13" t="s">
        <v>211</v>
      </c>
      <c r="D23" s="9" t="s">
        <v>225</v>
      </c>
      <c r="E23" s="21" t="s">
        <v>226</v>
      </c>
      <c r="F23" s="9" t="s">
        <v>224</v>
      </c>
      <c r="G23" s="22" t="s">
        <v>227</v>
      </c>
      <c r="H23" s="23"/>
      <c r="I23" s="133"/>
      <c r="J23" s="25" t="s">
        <v>4</v>
      </c>
      <c r="K23" s="25" t="s">
        <v>209</v>
      </c>
      <c r="L23" s="25" t="s">
        <v>223</v>
      </c>
    </row>
    <row r="24" spans="1:12" s="1" customFormat="1">
      <c r="A24" s="132"/>
      <c r="B24" s="12" t="s">
        <v>228</v>
      </c>
      <c r="C24" s="13" t="s">
        <v>211</v>
      </c>
      <c r="D24" s="9" t="s">
        <v>229</v>
      </c>
      <c r="E24" s="21" t="s">
        <v>226</v>
      </c>
      <c r="F24" s="9" t="s">
        <v>228</v>
      </c>
      <c r="G24" s="22" t="s">
        <v>227</v>
      </c>
      <c r="H24" s="23"/>
      <c r="I24" s="133"/>
      <c r="J24" s="25" t="s">
        <v>4</v>
      </c>
      <c r="K24" s="25" t="s">
        <v>209</v>
      </c>
      <c r="L24" s="25" t="s">
        <v>223</v>
      </c>
    </row>
    <row r="25" spans="1:12" s="1" customFormat="1" ht="26.4">
      <c r="A25" s="132"/>
      <c r="B25" s="12" t="s">
        <v>230</v>
      </c>
      <c r="C25" s="13" t="s">
        <v>206</v>
      </c>
      <c r="D25" s="9" t="s">
        <v>231</v>
      </c>
      <c r="E25" s="21" t="s">
        <v>226</v>
      </c>
      <c r="F25" s="27" t="s">
        <v>232</v>
      </c>
      <c r="G25" s="22" t="s">
        <v>227</v>
      </c>
      <c r="H25" s="23"/>
      <c r="I25" s="133"/>
      <c r="J25" s="25" t="s">
        <v>4</v>
      </c>
      <c r="K25" s="25" t="s">
        <v>209</v>
      </c>
      <c r="L25" s="25" t="s">
        <v>209</v>
      </c>
    </row>
    <row r="26" spans="1:12" s="1" customFormat="1" ht="26.4">
      <c r="A26" s="132"/>
      <c r="B26" s="12" t="s">
        <v>233</v>
      </c>
      <c r="C26" s="13" t="s">
        <v>206</v>
      </c>
      <c r="D26" s="9" t="s">
        <v>234</v>
      </c>
      <c r="E26" s="21" t="s">
        <v>226</v>
      </c>
      <c r="F26" s="27" t="s">
        <v>235</v>
      </c>
      <c r="G26" s="22" t="s">
        <v>227</v>
      </c>
      <c r="H26" s="23"/>
      <c r="I26" s="133"/>
      <c r="J26" s="25" t="s">
        <v>4</v>
      </c>
      <c r="K26" s="25" t="s">
        <v>209</v>
      </c>
      <c r="L26" s="25" t="s">
        <v>209</v>
      </c>
    </row>
    <row r="27" spans="1:12" s="1" customFormat="1" ht="26.4">
      <c r="A27" s="132"/>
      <c r="B27" s="12" t="s">
        <v>236</v>
      </c>
      <c r="C27" s="13" t="s">
        <v>206</v>
      </c>
      <c r="D27" s="9" t="s">
        <v>237</v>
      </c>
      <c r="E27" s="21" t="s">
        <v>226</v>
      </c>
      <c r="F27" s="27" t="s">
        <v>238</v>
      </c>
      <c r="G27" s="22" t="s">
        <v>227</v>
      </c>
      <c r="H27" s="23"/>
      <c r="I27" s="133"/>
      <c r="J27" s="25" t="s">
        <v>4</v>
      </c>
      <c r="K27" s="25" t="s">
        <v>209</v>
      </c>
      <c r="L27" s="25" t="s">
        <v>209</v>
      </c>
    </row>
    <row r="28" spans="1:12" s="1" customFormat="1" ht="26.4">
      <c r="A28" s="132"/>
      <c r="B28" s="13" t="s">
        <v>239</v>
      </c>
      <c r="C28" s="12" t="s">
        <v>206</v>
      </c>
      <c r="D28" s="9" t="s">
        <v>240</v>
      </c>
      <c r="E28" s="21" t="s">
        <v>226</v>
      </c>
      <c r="F28" s="27" t="s">
        <v>241</v>
      </c>
      <c r="G28" s="22" t="s">
        <v>227</v>
      </c>
      <c r="H28" s="23"/>
      <c r="I28" s="133"/>
      <c r="J28" s="25" t="s">
        <v>4</v>
      </c>
      <c r="K28" s="25" t="s">
        <v>209</v>
      </c>
      <c r="L28" s="25" t="s">
        <v>209</v>
      </c>
    </row>
    <row r="29" spans="1:12" s="1" customFormat="1" ht="145.19999999999999">
      <c r="A29" s="132"/>
      <c r="B29" s="12" t="s">
        <v>2370</v>
      </c>
      <c r="C29" s="12" t="s">
        <v>206</v>
      </c>
      <c r="D29" s="9" t="s">
        <v>243</v>
      </c>
      <c r="E29" s="21" t="s">
        <v>182</v>
      </c>
      <c r="F29" s="22"/>
      <c r="G29" s="22" t="s">
        <v>244</v>
      </c>
      <c r="H29" s="23"/>
      <c r="I29" s="146" t="s">
        <v>245</v>
      </c>
      <c r="J29" s="25" t="s">
        <v>4</v>
      </c>
      <c r="K29" s="25" t="s">
        <v>209</v>
      </c>
      <c r="L29" s="25" t="s">
        <v>209</v>
      </c>
    </row>
    <row r="30" spans="1:12" s="1" customFormat="1">
      <c r="A30" s="132"/>
      <c r="B30" s="12" t="s">
        <v>246</v>
      </c>
      <c r="C30" s="12" t="s">
        <v>206</v>
      </c>
      <c r="D30" s="9" t="s">
        <v>247</v>
      </c>
      <c r="E30" s="21" t="s">
        <v>182</v>
      </c>
      <c r="F30" s="22" t="s">
        <v>246</v>
      </c>
      <c r="G30" s="22" t="s">
        <v>208</v>
      </c>
      <c r="H30" s="23"/>
      <c r="I30" s="133" t="s">
        <v>248</v>
      </c>
      <c r="J30" s="25" t="s">
        <v>4</v>
      </c>
      <c r="K30" s="25" t="s">
        <v>209</v>
      </c>
      <c r="L30" s="25" t="s">
        <v>209</v>
      </c>
    </row>
    <row r="31" spans="1:12" s="1" customFormat="1">
      <c r="A31" s="132"/>
      <c r="B31" s="12" t="s">
        <v>2371</v>
      </c>
      <c r="C31" s="12" t="s">
        <v>206</v>
      </c>
      <c r="D31" s="9" t="s">
        <v>250</v>
      </c>
      <c r="E31" s="21" t="s">
        <v>182</v>
      </c>
      <c r="F31" s="22" t="s">
        <v>249</v>
      </c>
      <c r="G31" s="22" t="s">
        <v>208</v>
      </c>
      <c r="H31" s="23"/>
      <c r="I31" s="133"/>
      <c r="J31" s="25" t="s">
        <v>4</v>
      </c>
      <c r="K31" s="25" t="s">
        <v>209</v>
      </c>
      <c r="L31" s="25" t="s">
        <v>209</v>
      </c>
    </row>
    <row r="32" spans="1:12" s="1" customFormat="1">
      <c r="A32" s="132"/>
      <c r="B32" s="12" t="s">
        <v>251</v>
      </c>
      <c r="C32" s="12" t="s">
        <v>206</v>
      </c>
      <c r="D32" s="9" t="s">
        <v>252</v>
      </c>
      <c r="E32" s="21" t="s">
        <v>182</v>
      </c>
      <c r="F32" s="22"/>
      <c r="G32" s="22" t="s">
        <v>2487</v>
      </c>
      <c r="H32" s="23"/>
      <c r="I32" s="133"/>
      <c r="J32" s="25" t="s">
        <v>4</v>
      </c>
      <c r="K32" s="25" t="s">
        <v>209</v>
      </c>
      <c r="L32" s="25" t="s">
        <v>209</v>
      </c>
    </row>
    <row r="33" spans="1:12" s="1" customFormat="1">
      <c r="A33" s="132"/>
      <c r="B33" s="12" t="s">
        <v>254</v>
      </c>
      <c r="C33" s="12" t="s">
        <v>206</v>
      </c>
      <c r="D33" s="9" t="s">
        <v>255</v>
      </c>
      <c r="E33" s="21" t="s">
        <v>182</v>
      </c>
      <c r="F33" s="22" t="s">
        <v>254</v>
      </c>
      <c r="G33" s="22" t="s">
        <v>208</v>
      </c>
      <c r="H33" s="23"/>
      <c r="I33" s="133"/>
      <c r="J33" s="25" t="s">
        <v>4</v>
      </c>
      <c r="K33" s="25" t="s">
        <v>209</v>
      </c>
      <c r="L33" s="25" t="s">
        <v>209</v>
      </c>
    </row>
    <row r="34" spans="1:12" s="1" customFormat="1">
      <c r="A34" s="132"/>
      <c r="B34" s="12" t="s">
        <v>256</v>
      </c>
      <c r="C34" s="12" t="s">
        <v>206</v>
      </c>
      <c r="D34" s="9" t="s">
        <v>257</v>
      </c>
      <c r="E34" s="21" t="s">
        <v>182</v>
      </c>
      <c r="F34" s="22" t="s">
        <v>256</v>
      </c>
      <c r="G34" s="22" t="s">
        <v>208</v>
      </c>
      <c r="H34" s="23"/>
      <c r="I34" s="133"/>
      <c r="J34" s="25" t="s">
        <v>4</v>
      </c>
      <c r="K34" s="25" t="s">
        <v>209</v>
      </c>
      <c r="L34" s="25" t="s">
        <v>209</v>
      </c>
    </row>
    <row r="35" spans="1:12" s="1" customFormat="1">
      <c r="A35" s="132"/>
      <c r="B35" s="13" t="s">
        <v>258</v>
      </c>
      <c r="C35" s="12" t="s">
        <v>206</v>
      </c>
      <c r="D35" s="9" t="s">
        <v>259</v>
      </c>
      <c r="E35" s="21" t="s">
        <v>182</v>
      </c>
      <c r="F35" s="22" t="s">
        <v>258</v>
      </c>
      <c r="G35" s="22" t="s">
        <v>208</v>
      </c>
      <c r="H35" s="23"/>
      <c r="I35" s="133"/>
      <c r="J35" s="25" t="s">
        <v>4</v>
      </c>
      <c r="K35" s="25" t="s">
        <v>209</v>
      </c>
      <c r="L35" s="25" t="s">
        <v>209</v>
      </c>
    </row>
    <row r="36" spans="1:12" s="1" customFormat="1">
      <c r="B36" s="13" t="s">
        <v>2375</v>
      </c>
      <c r="C36" s="12" t="s">
        <v>206</v>
      </c>
      <c r="D36" s="9" t="s">
        <v>261</v>
      </c>
      <c r="E36" s="21" t="s">
        <v>182</v>
      </c>
      <c r="F36" s="22" t="s">
        <v>260</v>
      </c>
      <c r="G36" s="22" t="s">
        <v>208</v>
      </c>
      <c r="H36" s="23"/>
      <c r="I36" s="25"/>
      <c r="J36" s="25" t="s">
        <v>4</v>
      </c>
      <c r="K36" s="25" t="s">
        <v>209</v>
      </c>
      <c r="L36" s="25" t="s">
        <v>209</v>
      </c>
    </row>
    <row r="37" spans="1:12" s="1" customFormat="1">
      <c r="B37" s="13" t="s">
        <v>262</v>
      </c>
      <c r="C37" s="12" t="s">
        <v>206</v>
      </c>
      <c r="D37" s="9" t="s">
        <v>263</v>
      </c>
      <c r="E37" s="21" t="s">
        <v>182</v>
      </c>
      <c r="F37" s="22" t="s">
        <v>262</v>
      </c>
      <c r="G37" s="22" t="s">
        <v>208</v>
      </c>
      <c r="H37" s="23"/>
      <c r="I37" s="25"/>
      <c r="J37" s="25" t="s">
        <v>4</v>
      </c>
      <c r="K37" s="25" t="s">
        <v>209</v>
      </c>
      <c r="L37" s="25" t="s">
        <v>209</v>
      </c>
    </row>
    <row r="38" spans="1:12" s="132" customFormat="1">
      <c r="B38" s="13" t="s">
        <v>264</v>
      </c>
      <c r="C38" s="12" t="s">
        <v>206</v>
      </c>
      <c r="D38" s="9" t="s">
        <v>265</v>
      </c>
      <c r="E38" s="21" t="s">
        <v>182</v>
      </c>
      <c r="F38" s="22" t="s">
        <v>264</v>
      </c>
      <c r="G38" s="22" t="s">
        <v>208</v>
      </c>
      <c r="H38" s="23"/>
      <c r="I38" s="133"/>
      <c r="J38" s="25" t="s">
        <v>4</v>
      </c>
      <c r="K38" s="25" t="s">
        <v>209</v>
      </c>
      <c r="L38" s="25" t="s">
        <v>223</v>
      </c>
    </row>
    <row r="39" spans="1:12" s="132" customFormat="1">
      <c r="B39" s="13" t="s">
        <v>266</v>
      </c>
      <c r="C39" s="12" t="s">
        <v>206</v>
      </c>
      <c r="D39" s="9" t="s">
        <v>267</v>
      </c>
      <c r="E39" s="21" t="s">
        <v>182</v>
      </c>
      <c r="F39" s="22" t="s">
        <v>266</v>
      </c>
      <c r="G39" s="22" t="s">
        <v>208</v>
      </c>
      <c r="H39" s="23"/>
      <c r="I39" s="133"/>
      <c r="J39" s="25" t="s">
        <v>4</v>
      </c>
      <c r="K39" s="25" t="s">
        <v>209</v>
      </c>
      <c r="L39" s="25" t="s">
        <v>209</v>
      </c>
    </row>
    <row r="40" spans="1:12" s="136" customFormat="1">
      <c r="A40" s="137"/>
      <c r="B40" s="138" t="s">
        <v>268</v>
      </c>
      <c r="C40" s="12" t="s">
        <v>206</v>
      </c>
      <c r="D40" s="9" t="s">
        <v>269</v>
      </c>
      <c r="E40" s="21" t="s">
        <v>182</v>
      </c>
      <c r="F40" s="22" t="s">
        <v>268</v>
      </c>
      <c r="G40" s="22" t="s">
        <v>208</v>
      </c>
      <c r="H40" s="23"/>
      <c r="I40" s="139"/>
      <c r="J40" s="25" t="s">
        <v>4</v>
      </c>
      <c r="K40" s="25" t="s">
        <v>209</v>
      </c>
      <c r="L40" s="25" t="s">
        <v>209</v>
      </c>
    </row>
    <row r="41" spans="1:12" s="136" customFormat="1">
      <c r="A41" s="137"/>
      <c r="B41" s="138" t="s">
        <v>270</v>
      </c>
      <c r="C41" s="12" t="s">
        <v>211</v>
      </c>
      <c r="D41" s="9" t="s">
        <v>271</v>
      </c>
      <c r="E41" s="21" t="s">
        <v>182</v>
      </c>
      <c r="F41" s="22" t="s">
        <v>270</v>
      </c>
      <c r="G41" s="22" t="s">
        <v>208</v>
      </c>
      <c r="H41" s="23"/>
      <c r="I41" s="139"/>
      <c r="J41" s="25" t="s">
        <v>4</v>
      </c>
      <c r="K41" s="25" t="s">
        <v>209</v>
      </c>
      <c r="L41" s="25" t="s">
        <v>272</v>
      </c>
    </row>
    <row r="42" spans="1:12" s="136" customFormat="1">
      <c r="A42" s="137"/>
      <c r="B42" s="138" t="s">
        <v>273</v>
      </c>
      <c r="C42" s="12" t="s">
        <v>211</v>
      </c>
      <c r="D42" s="9" t="s">
        <v>274</v>
      </c>
      <c r="E42" s="21" t="s">
        <v>182</v>
      </c>
      <c r="F42" s="22" t="s">
        <v>275</v>
      </c>
      <c r="G42" s="22" t="s">
        <v>208</v>
      </c>
      <c r="H42" s="23"/>
      <c r="I42" s="139"/>
      <c r="J42" s="25" t="s">
        <v>4</v>
      </c>
      <c r="K42" s="25" t="s">
        <v>209</v>
      </c>
      <c r="L42" s="25" t="s">
        <v>209</v>
      </c>
    </row>
    <row r="43" spans="1:12" s="1" customFormat="1">
      <c r="A43" s="132"/>
      <c r="B43" s="12" t="s">
        <v>2372</v>
      </c>
      <c r="C43" s="12" t="s">
        <v>206</v>
      </c>
      <c r="D43" s="9" t="s">
        <v>277</v>
      </c>
      <c r="E43" s="21" t="s">
        <v>182</v>
      </c>
      <c r="F43" s="22"/>
      <c r="G43" s="19" t="s">
        <v>278</v>
      </c>
      <c r="H43" s="23"/>
      <c r="I43" s="19" t="s">
        <v>279</v>
      </c>
      <c r="J43" s="25" t="s">
        <v>4</v>
      </c>
      <c r="K43" s="25" t="s">
        <v>209</v>
      </c>
      <c r="L43" s="25" t="s">
        <v>209</v>
      </c>
    </row>
    <row r="44" spans="1:12" s="132" customFormat="1">
      <c r="B44" s="13" t="s">
        <v>280</v>
      </c>
      <c r="C44" s="13" t="s">
        <v>281</v>
      </c>
      <c r="D44" s="9" t="s">
        <v>282</v>
      </c>
      <c r="E44" s="21" t="s">
        <v>182</v>
      </c>
      <c r="F44" s="22"/>
      <c r="G44" s="19" t="s">
        <v>283</v>
      </c>
      <c r="H44" s="21"/>
      <c r="I44" s="133"/>
      <c r="J44" s="25" t="s">
        <v>284</v>
      </c>
      <c r="K44" s="25" t="s">
        <v>209</v>
      </c>
      <c r="L44" s="25" t="s">
        <v>285</v>
      </c>
    </row>
    <row r="45" spans="1:12" s="132" customFormat="1">
      <c r="B45" s="13" t="s">
        <v>286</v>
      </c>
      <c r="C45" s="13" t="s">
        <v>281</v>
      </c>
      <c r="D45" s="9" t="s">
        <v>287</v>
      </c>
      <c r="E45" s="21" t="s">
        <v>182</v>
      </c>
      <c r="F45" s="22"/>
      <c r="G45" s="19" t="s">
        <v>288</v>
      </c>
      <c r="H45" s="21"/>
      <c r="I45" s="133"/>
      <c r="J45" s="25" t="s">
        <v>284</v>
      </c>
      <c r="K45" s="25" t="s">
        <v>209</v>
      </c>
      <c r="L45" s="25" t="s">
        <v>285</v>
      </c>
    </row>
    <row r="46" spans="1:12" s="132" customFormat="1">
      <c r="B46" s="13" t="s">
        <v>289</v>
      </c>
      <c r="C46" s="13" t="s">
        <v>281</v>
      </c>
      <c r="D46" s="9" t="s">
        <v>290</v>
      </c>
      <c r="E46" s="21" t="s">
        <v>182</v>
      </c>
      <c r="F46" s="22"/>
      <c r="G46" s="19" t="s">
        <v>2484</v>
      </c>
      <c r="H46" s="21"/>
      <c r="I46" s="133"/>
      <c r="J46" s="25" t="s">
        <v>284</v>
      </c>
      <c r="K46" s="25" t="s">
        <v>209</v>
      </c>
      <c r="L46" s="25" t="s">
        <v>285</v>
      </c>
    </row>
    <row r="47" spans="1:12" s="132" customFormat="1">
      <c r="B47" s="13" t="s">
        <v>291</v>
      </c>
      <c r="C47" s="13" t="s">
        <v>281</v>
      </c>
      <c r="D47" s="9" t="s">
        <v>292</v>
      </c>
      <c r="E47" s="21" t="s">
        <v>182</v>
      </c>
      <c r="F47" s="22"/>
      <c r="G47" s="19" t="s">
        <v>293</v>
      </c>
      <c r="H47" s="21"/>
      <c r="I47" s="133"/>
      <c r="J47" s="25" t="s">
        <v>284</v>
      </c>
      <c r="K47" s="25" t="s">
        <v>209</v>
      </c>
      <c r="L47" s="25" t="s">
        <v>285</v>
      </c>
    </row>
    <row r="48" spans="1:12" s="3" customFormat="1">
      <c r="B48" s="13" t="s">
        <v>294</v>
      </c>
      <c r="C48" s="13" t="s">
        <v>281</v>
      </c>
      <c r="D48" s="9" t="s">
        <v>295</v>
      </c>
      <c r="E48" s="21" t="s">
        <v>182</v>
      </c>
      <c r="F48" s="22"/>
      <c r="G48" s="19" t="s">
        <v>296</v>
      </c>
      <c r="H48" s="21"/>
      <c r="I48" s="133"/>
      <c r="J48" s="25" t="s">
        <v>284</v>
      </c>
      <c r="K48" s="25" t="s">
        <v>209</v>
      </c>
      <c r="L48" s="25" t="s">
        <v>285</v>
      </c>
    </row>
    <row r="49" spans="1:17" s="3" customFormat="1">
      <c r="B49" s="13" t="s">
        <v>297</v>
      </c>
      <c r="C49" s="13" t="s">
        <v>281</v>
      </c>
      <c r="D49" s="9" t="s">
        <v>298</v>
      </c>
      <c r="E49" s="21" t="s">
        <v>182</v>
      </c>
      <c r="F49" s="22"/>
      <c r="G49" s="19" t="s">
        <v>299</v>
      </c>
      <c r="H49" s="21"/>
      <c r="I49" s="133"/>
      <c r="J49" s="25" t="s">
        <v>284</v>
      </c>
      <c r="K49" s="25" t="s">
        <v>209</v>
      </c>
      <c r="L49" s="25" t="s">
        <v>285</v>
      </c>
    </row>
    <row r="50" spans="1:17" s="3" customFormat="1">
      <c r="B50" s="13" t="s">
        <v>300</v>
      </c>
      <c r="C50" s="13" t="s">
        <v>281</v>
      </c>
      <c r="D50" s="9" t="s">
        <v>301</v>
      </c>
      <c r="E50" s="21" t="s">
        <v>182</v>
      </c>
      <c r="F50" s="22"/>
      <c r="G50" s="19" t="s">
        <v>302</v>
      </c>
      <c r="H50" s="21"/>
      <c r="I50" s="133"/>
      <c r="J50" s="25" t="s">
        <v>284</v>
      </c>
      <c r="K50" s="25" t="s">
        <v>209</v>
      </c>
      <c r="L50" s="25" t="s">
        <v>285</v>
      </c>
    </row>
    <row r="51" spans="1:17" s="3" customFormat="1">
      <c r="B51" s="13" t="s">
        <v>303</v>
      </c>
      <c r="C51" s="13" t="s">
        <v>281</v>
      </c>
      <c r="D51" s="9" t="s">
        <v>304</v>
      </c>
      <c r="E51" s="21" t="s">
        <v>182</v>
      </c>
      <c r="F51" s="22"/>
      <c r="G51" s="19" t="s">
        <v>305</v>
      </c>
      <c r="H51" s="21"/>
      <c r="I51" s="133"/>
      <c r="J51" s="25" t="s">
        <v>284</v>
      </c>
      <c r="K51" s="25" t="s">
        <v>209</v>
      </c>
      <c r="L51" s="25" t="s">
        <v>285</v>
      </c>
    </row>
    <row r="52" spans="1:17" s="3" customFormat="1">
      <c r="B52" s="13" t="s">
        <v>2374</v>
      </c>
      <c r="C52" s="13" t="s">
        <v>281</v>
      </c>
      <c r="D52" s="9" t="s">
        <v>307</v>
      </c>
      <c r="E52" s="21" t="s">
        <v>182</v>
      </c>
      <c r="F52" s="22"/>
      <c r="G52" s="19" t="s">
        <v>308</v>
      </c>
      <c r="H52" s="21"/>
      <c r="I52" s="133"/>
      <c r="J52" s="25" t="s">
        <v>284</v>
      </c>
      <c r="K52" s="25" t="s">
        <v>209</v>
      </c>
      <c r="L52" s="25" t="s">
        <v>285</v>
      </c>
    </row>
    <row r="53" spans="1:17" s="3" customFormat="1">
      <c r="B53" s="13" t="s">
        <v>309</v>
      </c>
      <c r="C53" s="13" t="s">
        <v>281</v>
      </c>
      <c r="D53" s="9" t="s">
        <v>310</v>
      </c>
      <c r="E53" s="21" t="s">
        <v>182</v>
      </c>
      <c r="F53" s="22"/>
      <c r="G53" s="19" t="s">
        <v>311</v>
      </c>
      <c r="H53" s="21"/>
      <c r="I53" s="133"/>
      <c r="J53" s="25" t="s">
        <v>284</v>
      </c>
      <c r="K53" s="25" t="s">
        <v>209</v>
      </c>
      <c r="L53" s="25" t="s">
        <v>285</v>
      </c>
    </row>
    <row r="54" spans="1:17" s="136" customFormat="1">
      <c r="A54" s="137"/>
      <c r="B54" s="138" t="s">
        <v>2373</v>
      </c>
      <c r="C54" s="13" t="s">
        <v>211</v>
      </c>
      <c r="D54" s="9" t="s">
        <v>313</v>
      </c>
      <c r="E54" s="21" t="s">
        <v>182</v>
      </c>
      <c r="F54" s="22"/>
      <c r="G54" s="19" t="s">
        <v>314</v>
      </c>
      <c r="H54" s="21"/>
      <c r="I54" s="139"/>
      <c r="J54" s="25" t="s">
        <v>284</v>
      </c>
      <c r="K54" s="25" t="s">
        <v>209</v>
      </c>
      <c r="L54" s="25" t="s">
        <v>285</v>
      </c>
    </row>
    <row r="55" spans="1:17" s="136" customFormat="1">
      <c r="A55" s="137"/>
      <c r="B55" s="138" t="s">
        <v>2376</v>
      </c>
      <c r="C55" s="13" t="s">
        <v>211</v>
      </c>
      <c r="D55" s="9" t="s">
        <v>316</v>
      </c>
      <c r="E55" s="21" t="s">
        <v>182</v>
      </c>
      <c r="F55" s="22"/>
      <c r="G55" s="19" t="s">
        <v>317</v>
      </c>
      <c r="H55" s="21"/>
      <c r="I55" s="139"/>
      <c r="J55" s="25" t="s">
        <v>284</v>
      </c>
      <c r="K55" s="25" t="s">
        <v>209</v>
      </c>
      <c r="L55" s="25" t="s">
        <v>285</v>
      </c>
    </row>
    <row r="56" spans="1:17" s="136" customFormat="1">
      <c r="A56" s="137"/>
      <c r="B56" s="138" t="s">
        <v>318</v>
      </c>
      <c r="C56" s="13" t="s">
        <v>319</v>
      </c>
      <c r="D56" s="9" t="s">
        <v>320</v>
      </c>
      <c r="E56" s="21" t="s">
        <v>182</v>
      </c>
      <c r="F56" s="22"/>
      <c r="G56" s="19" t="s">
        <v>321</v>
      </c>
      <c r="H56" s="21"/>
      <c r="I56" s="139"/>
      <c r="J56" s="25" t="s">
        <v>284</v>
      </c>
      <c r="K56" s="25" t="s">
        <v>209</v>
      </c>
      <c r="L56" s="25" t="s">
        <v>322</v>
      </c>
    </row>
    <row r="57" spans="1:17" s="136" customFormat="1">
      <c r="A57" s="137"/>
      <c r="B57" s="138" t="s">
        <v>2377</v>
      </c>
      <c r="C57" s="13" t="s">
        <v>319</v>
      </c>
      <c r="D57" s="9" t="s">
        <v>324</v>
      </c>
      <c r="E57" s="21" t="s">
        <v>182</v>
      </c>
      <c r="F57" s="22"/>
      <c r="G57" s="19" t="s">
        <v>2486</v>
      </c>
      <c r="H57" s="21"/>
      <c r="I57" s="139"/>
      <c r="J57" s="25" t="s">
        <v>284</v>
      </c>
      <c r="K57" s="25" t="s">
        <v>209</v>
      </c>
      <c r="L57" s="25" t="s">
        <v>285</v>
      </c>
    </row>
    <row r="58" spans="1:17" s="136" customFormat="1">
      <c r="A58" s="137"/>
      <c r="B58" s="138" t="s">
        <v>2378</v>
      </c>
      <c r="C58" s="13" t="s">
        <v>319</v>
      </c>
      <c r="D58" s="9" t="s">
        <v>326</v>
      </c>
      <c r="E58" s="21" t="s">
        <v>182</v>
      </c>
      <c r="F58" s="22"/>
      <c r="G58" s="19" t="s">
        <v>327</v>
      </c>
      <c r="H58" s="21"/>
      <c r="I58" s="139"/>
      <c r="J58" s="25" t="s">
        <v>284</v>
      </c>
      <c r="K58" s="25" t="s">
        <v>209</v>
      </c>
      <c r="L58" s="25" t="s">
        <v>328</v>
      </c>
    </row>
    <row r="59" spans="1:17" s="136" customFormat="1">
      <c r="A59" s="137"/>
      <c r="B59" s="138" t="s">
        <v>329</v>
      </c>
      <c r="C59" s="13" t="s">
        <v>281</v>
      </c>
      <c r="D59" s="9" t="s">
        <v>330</v>
      </c>
      <c r="E59" s="21" t="s">
        <v>182</v>
      </c>
      <c r="F59" s="22"/>
      <c r="G59" s="19" t="s">
        <v>331</v>
      </c>
      <c r="H59" s="21"/>
      <c r="I59" s="139"/>
      <c r="J59" s="25" t="s">
        <v>284</v>
      </c>
      <c r="K59" s="25" t="s">
        <v>209</v>
      </c>
      <c r="L59" s="25" t="s">
        <v>285</v>
      </c>
    </row>
    <row r="60" spans="1:17" s="136" customFormat="1">
      <c r="A60" s="137"/>
      <c r="B60" s="138" t="s">
        <v>332</v>
      </c>
      <c r="C60" s="13" t="s">
        <v>281</v>
      </c>
      <c r="D60" s="9" t="s">
        <v>333</v>
      </c>
      <c r="E60" s="21" t="s">
        <v>182</v>
      </c>
      <c r="F60" s="22"/>
      <c r="G60" s="19" t="s">
        <v>334</v>
      </c>
      <c r="H60" s="21"/>
      <c r="I60" s="139"/>
      <c r="J60" s="25" t="s">
        <v>284</v>
      </c>
      <c r="K60" s="25" t="s">
        <v>209</v>
      </c>
      <c r="L60" s="25" t="s">
        <v>285</v>
      </c>
    </row>
    <row r="61" spans="1:17" s="136" customFormat="1">
      <c r="A61" s="137"/>
      <c r="B61" s="138" t="s">
        <v>335</v>
      </c>
      <c r="C61" s="13" t="s">
        <v>281</v>
      </c>
      <c r="D61" s="9" t="s">
        <v>336</v>
      </c>
      <c r="E61" s="21" t="s">
        <v>182</v>
      </c>
      <c r="F61" s="22"/>
      <c r="G61" s="19" t="s">
        <v>337</v>
      </c>
      <c r="H61" s="21"/>
      <c r="I61" s="139"/>
      <c r="J61" s="25" t="s">
        <v>284</v>
      </c>
      <c r="K61" s="25" t="s">
        <v>209</v>
      </c>
      <c r="L61" s="25" t="s">
        <v>285</v>
      </c>
    </row>
    <row r="62" spans="1:17" s="136" customFormat="1">
      <c r="A62" s="137"/>
      <c r="B62" s="138" t="s">
        <v>338</v>
      </c>
      <c r="C62" s="13" t="s">
        <v>281</v>
      </c>
      <c r="D62" s="9" t="s">
        <v>339</v>
      </c>
      <c r="E62" s="21" t="s">
        <v>182</v>
      </c>
      <c r="F62" s="22"/>
      <c r="G62" s="19" t="s">
        <v>340</v>
      </c>
      <c r="H62" s="21"/>
      <c r="I62" s="139"/>
      <c r="J62" s="25" t="s">
        <v>284</v>
      </c>
      <c r="K62" s="25" t="s">
        <v>209</v>
      </c>
      <c r="L62" s="25" t="s">
        <v>285</v>
      </c>
    </row>
    <row r="63" spans="1:17" s="136" customFormat="1">
      <c r="A63" s="137"/>
      <c r="B63" s="138" t="s">
        <v>2387</v>
      </c>
      <c r="C63" s="13" t="s">
        <v>281</v>
      </c>
      <c r="D63" s="9" t="s">
        <v>342</v>
      </c>
      <c r="E63" s="21" t="s">
        <v>182</v>
      </c>
      <c r="F63" s="22"/>
      <c r="G63" s="19" t="s">
        <v>343</v>
      </c>
      <c r="H63" s="21"/>
      <c r="I63" s="139"/>
      <c r="J63" s="25" t="s">
        <v>284</v>
      </c>
      <c r="K63" s="25" t="s">
        <v>209</v>
      </c>
      <c r="L63" s="25" t="s">
        <v>285</v>
      </c>
    </row>
    <row r="64" spans="1:17" s="2" customFormat="1">
      <c r="B64" s="14" t="s">
        <v>222</v>
      </c>
      <c r="C64" s="15" t="s">
        <v>211</v>
      </c>
      <c r="D64" s="16" t="s">
        <v>344</v>
      </c>
      <c r="E64" s="69"/>
      <c r="F64" s="14"/>
      <c r="G64" s="14"/>
      <c r="H64" s="14"/>
      <c r="I64" s="14"/>
      <c r="J64" s="14"/>
      <c r="K64" s="14"/>
      <c r="L64" s="14"/>
      <c r="M64" s="14"/>
      <c r="N64" s="14"/>
      <c r="O64" s="14"/>
      <c r="P64" s="14"/>
      <c r="Q64" s="14"/>
    </row>
    <row r="65" spans="2:17" s="2" customFormat="1">
      <c r="B65" s="14" t="s">
        <v>0</v>
      </c>
      <c r="C65" s="15" t="s">
        <v>206</v>
      </c>
      <c r="D65" s="16" t="s">
        <v>345</v>
      </c>
      <c r="E65" s="69"/>
      <c r="F65" s="14"/>
      <c r="G65" s="14"/>
      <c r="H65" s="14"/>
      <c r="I65" s="14"/>
      <c r="J65" s="14"/>
      <c r="K65" s="14"/>
      <c r="L65" s="14"/>
      <c r="M65" s="14"/>
      <c r="N65" s="14"/>
      <c r="O65" s="14"/>
      <c r="P65" s="14"/>
      <c r="Q65" s="14"/>
    </row>
    <row r="66" spans="2:17" s="2" customFormat="1">
      <c r="B66" s="14" t="s">
        <v>1</v>
      </c>
      <c r="C66" s="15" t="s">
        <v>211</v>
      </c>
      <c r="D66" s="16" t="s">
        <v>346</v>
      </c>
      <c r="E66" s="69"/>
      <c r="F66" s="14"/>
      <c r="G66" s="14"/>
      <c r="H66" s="14"/>
      <c r="I66" s="14"/>
      <c r="J66" s="14"/>
      <c r="K66" s="14"/>
      <c r="L66" s="14"/>
      <c r="M66" s="14"/>
      <c r="N66" s="14"/>
      <c r="O66" s="14"/>
      <c r="P66" s="14"/>
      <c r="Q66" s="14"/>
    </row>
    <row r="67" spans="2:17" s="2" customFormat="1">
      <c r="B67" s="14" t="s">
        <v>2</v>
      </c>
      <c r="C67" s="15" t="s">
        <v>211</v>
      </c>
      <c r="D67" s="16" t="s">
        <v>347</v>
      </c>
      <c r="E67" s="69"/>
      <c r="F67" s="14"/>
      <c r="G67" s="14"/>
      <c r="H67" s="14"/>
      <c r="I67" s="14"/>
      <c r="J67" s="14"/>
      <c r="K67" s="14"/>
      <c r="L67" s="14"/>
      <c r="M67" s="14"/>
      <c r="N67" s="14"/>
      <c r="O67" s="14"/>
      <c r="P67" s="14"/>
      <c r="Q67" s="14"/>
    </row>
  </sheetData>
  <autoFilter ref="A16:Q67" xr:uid="{00000000-0009-0000-0000-000002000000}"/>
  <mergeCells count="4">
    <mergeCell ref="B2:H2"/>
    <mergeCell ref="B3:H3"/>
    <mergeCell ref="B7:H7"/>
    <mergeCell ref="B15:L15"/>
  </mergeCells>
  <phoneticPr fontId="33"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E0EA6-96C4-41A9-B60A-1B0A55816C8D}">
  <dimension ref="A1:Q38"/>
  <sheetViews>
    <sheetView zoomScale="85" zoomScaleNormal="85" workbookViewId="0">
      <pane ySplit="5" topLeftCell="A6" activePane="bottomLeft" state="frozen"/>
      <selection activeCell="C18" sqref="C18"/>
      <selection pane="bottomLeft" activeCell="C21" sqref="C21"/>
    </sheetView>
  </sheetViews>
  <sheetFormatPr defaultColWidth="9" defaultRowHeight="13.2"/>
  <cols>
    <col min="1" max="1" width="1.33203125" style="3" customWidth="1"/>
    <col min="2" max="2" width="23.6640625" style="3" customWidth="1"/>
    <col min="3" max="3" width="26.88671875" style="3" bestFit="1"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58"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c r="C5" s="9" t="s">
        <v>2512</v>
      </c>
      <c r="D5" s="10" t="s">
        <v>2513</v>
      </c>
      <c r="E5" s="12" t="s">
        <v>2547</v>
      </c>
      <c r="F5" s="61"/>
      <c r="G5" s="9"/>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9" t="s">
        <v>1221</v>
      </c>
      <c r="D9" s="10" t="s">
        <v>2548</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2549</v>
      </c>
      <c r="C14" s="13" t="s">
        <v>211</v>
      </c>
      <c r="D14" s="9" t="s">
        <v>1232</v>
      </c>
      <c r="E14" s="21" t="s">
        <v>2561</v>
      </c>
      <c r="F14" s="22" t="str">
        <f>B14</f>
        <v>Interface</v>
      </c>
      <c r="G14" s="22" t="s">
        <v>2335</v>
      </c>
      <c r="H14" s="23"/>
      <c r="I14" s="64"/>
      <c r="J14" s="25" t="s">
        <v>2562</v>
      </c>
      <c r="K14" s="25" t="s">
        <v>2341</v>
      </c>
      <c r="L14" s="25" t="s">
        <v>2341</v>
      </c>
    </row>
    <row r="15" spans="1:14" s="1" customFormat="1">
      <c r="B15" s="13" t="s">
        <v>2550</v>
      </c>
      <c r="C15" s="13" t="s">
        <v>206</v>
      </c>
      <c r="D15" s="9" t="s">
        <v>1235</v>
      </c>
      <c r="E15" s="21" t="s">
        <v>2561</v>
      </c>
      <c r="F15" s="22" t="str">
        <f t="shared" ref="F15:F35" si="0">B15</f>
        <v>SUPI</v>
      </c>
      <c r="G15" s="22" t="s">
        <v>2335</v>
      </c>
      <c r="H15" s="23"/>
      <c r="I15" s="64"/>
      <c r="J15" s="25" t="s">
        <v>2562</v>
      </c>
      <c r="K15" s="25" t="s">
        <v>2341</v>
      </c>
      <c r="L15" s="25" t="s">
        <v>2341</v>
      </c>
    </row>
    <row r="16" spans="1:14" s="1" customFormat="1">
      <c r="A16" s="132"/>
      <c r="B16" s="13" t="s">
        <v>2551</v>
      </c>
      <c r="C16" s="13" t="s">
        <v>206</v>
      </c>
      <c r="D16" s="9" t="s">
        <v>1237</v>
      </c>
      <c r="E16" s="21" t="s">
        <v>2561</v>
      </c>
      <c r="F16" s="22" t="str">
        <f t="shared" si="0"/>
        <v>MSISDN</v>
      </c>
      <c r="G16" s="22" t="s">
        <v>2335</v>
      </c>
      <c r="H16" s="23"/>
      <c r="I16" s="64"/>
      <c r="J16" s="25" t="s">
        <v>2562</v>
      </c>
      <c r="K16" s="25" t="s">
        <v>2341</v>
      </c>
      <c r="L16" s="25" t="s">
        <v>2341</v>
      </c>
    </row>
    <row r="17" spans="1:13" s="1" customFormat="1">
      <c r="A17" s="132"/>
      <c r="B17" s="13" t="s">
        <v>2552</v>
      </c>
      <c r="C17" s="13" t="s">
        <v>211</v>
      </c>
      <c r="D17" s="9" t="s">
        <v>1241</v>
      </c>
      <c r="E17" s="21" t="s">
        <v>2561</v>
      </c>
      <c r="F17" s="22" t="str">
        <f t="shared" si="0"/>
        <v>Procedure_Type</v>
      </c>
      <c r="G17" s="22" t="s">
        <v>2335</v>
      </c>
      <c r="H17" s="23"/>
      <c r="I17" s="64"/>
      <c r="J17" s="25" t="s">
        <v>2562</v>
      </c>
      <c r="K17" s="25" t="s">
        <v>2341</v>
      </c>
      <c r="L17" s="25" t="s">
        <v>2341</v>
      </c>
    </row>
    <row r="18" spans="1:13" s="1" customFormat="1">
      <c r="A18" s="132"/>
      <c r="B18" s="13" t="s">
        <v>2553</v>
      </c>
      <c r="C18" s="13" t="s">
        <v>281</v>
      </c>
      <c r="D18" s="9" t="s">
        <v>1243</v>
      </c>
      <c r="E18" s="21" t="s">
        <v>2561</v>
      </c>
      <c r="F18" s="22" t="str">
        <f t="shared" si="0"/>
        <v>Procedure_Start_Time</v>
      </c>
      <c r="G18" s="22" t="s">
        <v>2335</v>
      </c>
      <c r="H18" s="23"/>
      <c r="I18" s="64"/>
      <c r="J18" s="25" t="s">
        <v>2562</v>
      </c>
      <c r="K18" s="25" t="s">
        <v>2341</v>
      </c>
      <c r="L18" s="25" t="s">
        <v>2341</v>
      </c>
    </row>
    <row r="19" spans="1:13" s="1" customFormat="1">
      <c r="A19" s="132"/>
      <c r="B19" s="12" t="s">
        <v>2554</v>
      </c>
      <c r="C19" s="13" t="s">
        <v>281</v>
      </c>
      <c r="D19" s="9" t="s">
        <v>1245</v>
      </c>
      <c r="E19" s="21" t="s">
        <v>2561</v>
      </c>
      <c r="F19" s="22" t="str">
        <f t="shared" si="0"/>
        <v>Procedure_End_Time</v>
      </c>
      <c r="G19" s="22" t="s">
        <v>2335</v>
      </c>
      <c r="H19" s="23"/>
      <c r="I19" s="64"/>
      <c r="J19" s="25" t="s">
        <v>2562</v>
      </c>
      <c r="K19" s="25" t="s">
        <v>2341</v>
      </c>
      <c r="L19" s="25" t="s">
        <v>2341</v>
      </c>
    </row>
    <row r="20" spans="1:13" s="1" customFormat="1">
      <c r="A20" s="132"/>
      <c r="B20" s="12" t="s">
        <v>2555</v>
      </c>
      <c r="C20" s="13" t="s">
        <v>211</v>
      </c>
      <c r="D20" s="9" t="s">
        <v>1247</v>
      </c>
      <c r="E20" s="21" t="s">
        <v>2561</v>
      </c>
      <c r="F20" s="22" t="str">
        <f t="shared" si="0"/>
        <v>Procedure_Status</v>
      </c>
      <c r="G20" s="22" t="s">
        <v>2335</v>
      </c>
      <c r="H20" s="23"/>
      <c r="I20" s="64"/>
      <c r="J20" s="25" t="s">
        <v>2562</v>
      </c>
      <c r="K20" s="25" t="s">
        <v>2341</v>
      </c>
      <c r="L20" s="25" t="s">
        <v>2341</v>
      </c>
    </row>
    <row r="21" spans="1:13" s="1" customFormat="1">
      <c r="A21" s="132"/>
      <c r="B21" s="12" t="s">
        <v>2556</v>
      </c>
      <c r="C21" s="13" t="s">
        <v>211</v>
      </c>
      <c r="D21" s="9" t="s">
        <v>1253</v>
      </c>
      <c r="E21" s="21" t="s">
        <v>2561</v>
      </c>
      <c r="F21" s="22" t="str">
        <f t="shared" si="0"/>
        <v>Failure_Cause_Type</v>
      </c>
      <c r="G21" s="22" t="s">
        <v>2335</v>
      </c>
      <c r="H21" s="23"/>
      <c r="I21" s="64"/>
      <c r="J21" s="25" t="s">
        <v>2562</v>
      </c>
      <c r="K21" s="25" t="s">
        <v>2341</v>
      </c>
      <c r="L21" s="25" t="s">
        <v>2341</v>
      </c>
    </row>
    <row r="22" spans="1:13" s="1" customFormat="1">
      <c r="A22" s="132"/>
      <c r="B22" s="12" t="s">
        <v>2557</v>
      </c>
      <c r="C22" s="13" t="s">
        <v>211</v>
      </c>
      <c r="D22" s="9" t="s">
        <v>1255</v>
      </c>
      <c r="E22" s="21" t="s">
        <v>2561</v>
      </c>
      <c r="F22" s="22" t="str">
        <f t="shared" si="0"/>
        <v>Failure_Cause</v>
      </c>
      <c r="G22" s="22" t="s">
        <v>2335</v>
      </c>
      <c r="H22" s="23"/>
      <c r="I22" s="64"/>
      <c r="J22" s="25" t="s">
        <v>2562</v>
      </c>
      <c r="K22" s="25" t="s">
        <v>2341</v>
      </c>
      <c r="L22" s="25" t="s">
        <v>2341</v>
      </c>
    </row>
    <row r="23" spans="1:13" s="1" customFormat="1">
      <c r="A23" s="132"/>
      <c r="B23" s="12" t="s">
        <v>2558</v>
      </c>
      <c r="C23" s="12" t="s">
        <v>206</v>
      </c>
      <c r="D23" s="9" t="s">
        <v>1266</v>
      </c>
      <c r="E23" s="21" t="s">
        <v>2561</v>
      </c>
      <c r="F23" s="22" t="str">
        <f t="shared" si="0"/>
        <v>AMF_IP_Add</v>
      </c>
      <c r="G23" s="22" t="s">
        <v>2335</v>
      </c>
      <c r="H23" s="23"/>
      <c r="I23" s="64"/>
      <c r="J23" s="25" t="s">
        <v>2562</v>
      </c>
      <c r="K23" s="25" t="s">
        <v>2341</v>
      </c>
      <c r="L23" s="25" t="s">
        <v>2341</v>
      </c>
    </row>
    <row r="24" spans="1:13" s="1" customFormat="1">
      <c r="A24" s="132"/>
      <c r="B24" s="12" t="s">
        <v>2559</v>
      </c>
      <c r="C24" s="12" t="s">
        <v>206</v>
      </c>
      <c r="D24" s="9" t="s">
        <v>1268</v>
      </c>
      <c r="E24" s="21" t="s">
        <v>2561</v>
      </c>
      <c r="F24" s="22" t="str">
        <f t="shared" si="0"/>
        <v>gNB_IP_Add</v>
      </c>
      <c r="G24" s="22" t="s">
        <v>2335</v>
      </c>
      <c r="H24" s="23"/>
      <c r="I24" s="64"/>
      <c r="J24" s="25" t="s">
        <v>2562</v>
      </c>
      <c r="K24" s="25" t="s">
        <v>2341</v>
      </c>
      <c r="L24" s="25" t="s">
        <v>2341</v>
      </c>
    </row>
    <row r="25" spans="1:13" s="1" customFormat="1">
      <c r="A25" s="132"/>
      <c r="B25" s="12" t="s">
        <v>2560</v>
      </c>
      <c r="C25" s="12" t="s">
        <v>206</v>
      </c>
      <c r="D25" s="9" t="s">
        <v>1359</v>
      </c>
      <c r="E25" s="21" t="s">
        <v>2561</v>
      </c>
      <c r="F25" s="22" t="str">
        <f t="shared" si="0"/>
        <v>PDU_Session_DNN</v>
      </c>
      <c r="G25" s="22" t="s">
        <v>2335</v>
      </c>
      <c r="H25" s="23"/>
      <c r="I25" s="64"/>
      <c r="J25" s="25" t="s">
        <v>2562</v>
      </c>
      <c r="K25" s="25" t="s">
        <v>2341</v>
      </c>
      <c r="L25" s="25" t="s">
        <v>2341</v>
      </c>
    </row>
    <row r="26" spans="1:13" s="1" customFormat="1">
      <c r="A26" s="132"/>
      <c r="B26" s="12" t="s">
        <v>1364</v>
      </c>
      <c r="C26" s="12" t="s">
        <v>206</v>
      </c>
      <c r="D26" s="9" t="s">
        <v>1365</v>
      </c>
      <c r="E26" s="21" t="s">
        <v>2561</v>
      </c>
      <c r="F26" s="22" t="str">
        <f t="shared" si="0"/>
        <v>pdu_session_user_ipv4</v>
      </c>
      <c r="G26" s="22" t="s">
        <v>2335</v>
      </c>
      <c r="H26" s="23"/>
      <c r="I26" s="64"/>
      <c r="J26" s="25" t="s">
        <v>2562</v>
      </c>
      <c r="K26" s="25" t="s">
        <v>2341</v>
      </c>
      <c r="L26" s="25" t="s">
        <v>2341</v>
      </c>
    </row>
    <row r="27" spans="1:13" s="1" customFormat="1">
      <c r="B27" s="13" t="s">
        <v>1366</v>
      </c>
      <c r="C27" s="12" t="s">
        <v>206</v>
      </c>
      <c r="D27" s="9" t="s">
        <v>1367</v>
      </c>
      <c r="E27" s="21" t="s">
        <v>2561</v>
      </c>
      <c r="F27" s="22" t="str">
        <f t="shared" si="0"/>
        <v>pdu_session_user_ipv6</v>
      </c>
      <c r="G27" s="22" t="s">
        <v>2335</v>
      </c>
      <c r="H27" s="23"/>
      <c r="I27" s="64"/>
      <c r="J27" s="25" t="s">
        <v>2562</v>
      </c>
      <c r="K27" s="25" t="s">
        <v>2341</v>
      </c>
      <c r="L27" s="25" t="s">
        <v>2341</v>
      </c>
    </row>
    <row r="28" spans="1:13" s="3" customFormat="1">
      <c r="B28" s="13" t="s">
        <v>254</v>
      </c>
      <c r="C28" s="13" t="s">
        <v>206</v>
      </c>
      <c r="D28" s="9" t="s">
        <v>1236</v>
      </c>
      <c r="E28" s="21" t="s">
        <v>2561</v>
      </c>
      <c r="F28" s="22" t="str">
        <f t="shared" si="0"/>
        <v>pei</v>
      </c>
      <c r="G28" s="22" t="s">
        <v>2335</v>
      </c>
      <c r="H28" s="21"/>
      <c r="I28" s="64"/>
      <c r="J28" s="25" t="s">
        <v>2562</v>
      </c>
      <c r="K28" s="25" t="s">
        <v>2341</v>
      </c>
      <c r="L28" s="25" t="s">
        <v>2341</v>
      </c>
    </row>
    <row r="29" spans="1:13" s="136" customFormat="1">
      <c r="A29" s="137"/>
      <c r="B29" s="138" t="s">
        <v>1257</v>
      </c>
      <c r="C29" s="13" t="s">
        <v>281</v>
      </c>
      <c r="D29" s="9" t="s">
        <v>1258</v>
      </c>
      <c r="E29" s="21" t="s">
        <v>2561</v>
      </c>
      <c r="F29" s="22" t="str">
        <f t="shared" si="0"/>
        <v>amf_ue_ngap_id</v>
      </c>
      <c r="G29" s="22" t="s">
        <v>2335</v>
      </c>
      <c r="H29" s="23"/>
      <c r="I29" s="64"/>
      <c r="J29" s="25" t="s">
        <v>2562</v>
      </c>
      <c r="K29" s="25" t="s">
        <v>2341</v>
      </c>
      <c r="L29" s="25" t="s">
        <v>2341</v>
      </c>
      <c r="M29" s="1"/>
    </row>
    <row r="30" spans="1:13" s="136" customFormat="1">
      <c r="A30" s="137"/>
      <c r="B30" s="138" t="s">
        <v>1281</v>
      </c>
      <c r="C30" s="13" t="s">
        <v>211</v>
      </c>
      <c r="D30" s="9" t="s">
        <v>1282</v>
      </c>
      <c r="E30" s="21" t="s">
        <v>2561</v>
      </c>
      <c r="F30" s="22" t="str">
        <f t="shared" si="0"/>
        <v>amf_region_id</v>
      </c>
      <c r="G30" s="22" t="s">
        <v>2335</v>
      </c>
      <c r="H30" s="23"/>
      <c r="I30" s="64"/>
      <c r="J30" s="25" t="s">
        <v>2562</v>
      </c>
      <c r="K30" s="25" t="s">
        <v>2341</v>
      </c>
      <c r="L30" s="25" t="s">
        <v>2341</v>
      </c>
      <c r="M30" s="1"/>
    </row>
    <row r="31" spans="1:13" s="136" customFormat="1">
      <c r="A31" s="137"/>
      <c r="B31" s="138" t="s">
        <v>1283</v>
      </c>
      <c r="C31" s="13" t="s">
        <v>211</v>
      </c>
      <c r="D31" s="9" t="s">
        <v>1284</v>
      </c>
      <c r="E31" s="21" t="s">
        <v>2561</v>
      </c>
      <c r="F31" s="22" t="str">
        <f t="shared" si="0"/>
        <v>amf_set_id</v>
      </c>
      <c r="G31" s="22" t="s">
        <v>2335</v>
      </c>
      <c r="H31" s="23"/>
      <c r="I31" s="64"/>
      <c r="J31" s="25" t="s">
        <v>2562</v>
      </c>
      <c r="K31" s="25" t="s">
        <v>2341</v>
      </c>
      <c r="L31" s="25" t="s">
        <v>2341</v>
      </c>
      <c r="M31" s="1"/>
    </row>
    <row r="32" spans="1:13" s="136" customFormat="1">
      <c r="A32" s="137"/>
      <c r="B32" s="138" t="s">
        <v>1321</v>
      </c>
      <c r="C32" s="13" t="s">
        <v>281</v>
      </c>
      <c r="D32" s="9" t="s">
        <v>1322</v>
      </c>
      <c r="E32" s="21" t="s">
        <v>2561</v>
      </c>
      <c r="F32" s="22" t="str">
        <f t="shared" si="0"/>
        <v>ul_session_ambr</v>
      </c>
      <c r="G32" s="22" t="s">
        <v>2335</v>
      </c>
      <c r="H32" s="64"/>
      <c r="I32" s="64"/>
      <c r="J32" s="25" t="s">
        <v>2562</v>
      </c>
      <c r="K32" s="25" t="s">
        <v>2341</v>
      </c>
      <c r="L32" s="25" t="s">
        <v>2341</v>
      </c>
    </row>
    <row r="33" spans="1:17" s="136" customFormat="1">
      <c r="A33" s="137"/>
      <c r="B33" s="138" t="s">
        <v>1323</v>
      </c>
      <c r="C33" s="13" t="s">
        <v>281</v>
      </c>
      <c r="D33" s="9" t="s">
        <v>1324</v>
      </c>
      <c r="E33" s="21" t="s">
        <v>2561</v>
      </c>
      <c r="F33" s="22" t="str">
        <f t="shared" si="0"/>
        <v>dl_session_ambr</v>
      </c>
      <c r="G33" s="22" t="s">
        <v>2335</v>
      </c>
      <c r="H33" s="23"/>
      <c r="I33" s="64"/>
      <c r="J33" s="25" t="s">
        <v>2562</v>
      </c>
      <c r="K33" s="25" t="s">
        <v>2341</v>
      </c>
      <c r="L33" s="25" t="s">
        <v>2341</v>
      </c>
      <c r="M33" s="1"/>
    </row>
    <row r="34" spans="1:17" s="136" customFormat="1">
      <c r="A34" s="137"/>
      <c r="B34" s="138" t="s">
        <v>1325</v>
      </c>
      <c r="C34" s="13" t="s">
        <v>206</v>
      </c>
      <c r="D34" s="9" t="s">
        <v>730</v>
      </c>
      <c r="E34" s="21" t="s">
        <v>2561</v>
      </c>
      <c r="F34" s="22" t="str">
        <f t="shared" si="0"/>
        <v>s_nssai_sst</v>
      </c>
      <c r="G34" s="22" t="s">
        <v>2335</v>
      </c>
      <c r="H34" s="21"/>
      <c r="I34" s="145"/>
      <c r="J34" s="25" t="s">
        <v>2562</v>
      </c>
      <c r="K34" s="25" t="s">
        <v>2341</v>
      </c>
      <c r="L34" s="25" t="s">
        <v>2341</v>
      </c>
    </row>
    <row r="35" spans="1:17" s="136" customFormat="1">
      <c r="A35" s="137"/>
      <c r="B35" s="138" t="s">
        <v>1326</v>
      </c>
      <c r="C35" s="13" t="s">
        <v>206</v>
      </c>
      <c r="D35" s="9" t="s">
        <v>731</v>
      </c>
      <c r="E35" s="21" t="s">
        <v>2561</v>
      </c>
      <c r="F35" s="22" t="str">
        <f t="shared" si="0"/>
        <v>s_nssai_sd</v>
      </c>
      <c r="G35" s="22" t="s">
        <v>2335</v>
      </c>
      <c r="H35" s="21"/>
      <c r="I35" s="145"/>
      <c r="J35" s="25" t="s">
        <v>2562</v>
      </c>
      <c r="K35" s="25" t="s">
        <v>2341</v>
      </c>
      <c r="L35" s="25" t="s">
        <v>2341</v>
      </c>
    </row>
    <row r="36" spans="1:17" s="2" customFormat="1">
      <c r="B36" s="14" t="s">
        <v>222</v>
      </c>
      <c r="C36" s="15" t="s">
        <v>211</v>
      </c>
      <c r="D36" s="16" t="s">
        <v>344</v>
      </c>
      <c r="E36" s="69"/>
      <c r="F36" s="14"/>
      <c r="G36" s="14"/>
      <c r="H36" s="14"/>
      <c r="I36" s="123"/>
      <c r="J36" s="14"/>
      <c r="K36" s="14"/>
      <c r="L36" s="14"/>
      <c r="M36" s="14"/>
      <c r="N36" s="14"/>
      <c r="O36" s="14"/>
      <c r="P36" s="14"/>
      <c r="Q36" s="14"/>
    </row>
    <row r="37" spans="1:17" s="2" customFormat="1">
      <c r="B37" s="14" t="s">
        <v>0</v>
      </c>
      <c r="C37" s="15" t="s">
        <v>206</v>
      </c>
      <c r="D37" s="16" t="s">
        <v>345</v>
      </c>
      <c r="E37" s="69"/>
      <c r="F37" s="14"/>
      <c r="G37" s="14"/>
      <c r="H37" s="14"/>
      <c r="I37" s="123"/>
      <c r="J37" s="14"/>
      <c r="K37" s="14"/>
      <c r="L37" s="14"/>
      <c r="M37" s="14"/>
      <c r="N37" s="14"/>
      <c r="O37" s="14"/>
      <c r="P37" s="14"/>
      <c r="Q37" s="14"/>
    </row>
    <row r="38" spans="1:17" s="2" customFormat="1">
      <c r="B38" s="14" t="s">
        <v>1</v>
      </c>
      <c r="C38" s="15" t="s">
        <v>211</v>
      </c>
      <c r="D38" s="16" t="s">
        <v>346</v>
      </c>
      <c r="E38" s="69"/>
      <c r="F38" s="14"/>
      <c r="G38" s="14"/>
      <c r="H38" s="14"/>
      <c r="I38" s="123"/>
      <c r="J38" s="14"/>
      <c r="K38" s="14"/>
      <c r="L38" s="14"/>
      <c r="M38" s="14"/>
      <c r="N38" s="14"/>
      <c r="O38" s="14"/>
      <c r="P38" s="14"/>
      <c r="Q38" s="14"/>
    </row>
  </sheetData>
  <autoFilter ref="A13:Q38" xr:uid="{00000000-0009-0000-0000-000003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5960F-CC35-4BF8-B869-E409E25D28B9}">
  <dimension ref="A1:Q32"/>
  <sheetViews>
    <sheetView zoomScale="85" zoomScaleNormal="85" workbookViewId="0">
      <pane ySplit="5" topLeftCell="A6" activePane="bottomLeft" state="frozen"/>
      <selection activeCell="C18" sqref="C18"/>
      <selection pane="bottomLeft" activeCell="G23" sqref="G23"/>
    </sheetView>
  </sheetViews>
  <sheetFormatPr defaultColWidth="9" defaultRowHeight="13.2"/>
  <cols>
    <col min="1" max="1" width="1.33203125" style="3" customWidth="1"/>
    <col min="2" max="2" width="23.6640625" style="3" customWidth="1"/>
    <col min="3" max="3" width="26.88671875" style="3" bestFit="1"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58"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c r="C5" s="9" t="s">
        <v>2514</v>
      </c>
      <c r="D5" s="10" t="s">
        <v>2515</v>
      </c>
      <c r="E5" s="12" t="s">
        <v>2547</v>
      </c>
      <c r="F5" s="61"/>
      <c r="G5" s="9"/>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9" t="s">
        <v>2536</v>
      </c>
      <c r="D9" s="10" t="s">
        <v>2563</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2549</v>
      </c>
      <c r="C14" s="13" t="s">
        <v>211</v>
      </c>
      <c r="D14" s="9" t="s">
        <v>1232</v>
      </c>
      <c r="E14" s="21" t="s">
        <v>2561</v>
      </c>
      <c r="F14" s="22" t="str">
        <f>B14</f>
        <v>Interface</v>
      </c>
      <c r="G14" s="22" t="s">
        <v>2335</v>
      </c>
      <c r="H14" s="23"/>
      <c r="I14" s="64"/>
      <c r="J14" s="25" t="s">
        <v>2562</v>
      </c>
      <c r="K14" s="25" t="s">
        <v>2341</v>
      </c>
      <c r="L14" s="25" t="s">
        <v>2341</v>
      </c>
    </row>
    <row r="15" spans="1:14" s="1" customFormat="1">
      <c r="B15" s="13" t="s">
        <v>2550</v>
      </c>
      <c r="C15" s="13" t="s">
        <v>206</v>
      </c>
      <c r="D15" s="9" t="s">
        <v>1235</v>
      </c>
      <c r="E15" s="21" t="s">
        <v>2561</v>
      </c>
      <c r="F15" s="22" t="str">
        <f t="shared" ref="F15:F29" si="0">B15</f>
        <v>SUPI</v>
      </c>
      <c r="G15" s="22" t="s">
        <v>2335</v>
      </c>
      <c r="H15" s="23"/>
      <c r="I15" s="64"/>
      <c r="J15" s="25" t="s">
        <v>2562</v>
      </c>
      <c r="K15" s="25" t="s">
        <v>2341</v>
      </c>
      <c r="L15" s="25" t="s">
        <v>2341</v>
      </c>
    </row>
    <row r="16" spans="1:14" s="1" customFormat="1">
      <c r="A16" s="132"/>
      <c r="B16" s="13" t="s">
        <v>2551</v>
      </c>
      <c r="C16" s="13" t="s">
        <v>206</v>
      </c>
      <c r="D16" s="9" t="s">
        <v>1237</v>
      </c>
      <c r="E16" s="21" t="s">
        <v>2561</v>
      </c>
      <c r="F16" s="22" t="str">
        <f t="shared" si="0"/>
        <v>MSISDN</v>
      </c>
      <c r="G16" s="22" t="s">
        <v>2335</v>
      </c>
      <c r="H16" s="23"/>
      <c r="I16" s="64"/>
      <c r="J16" s="25" t="s">
        <v>2562</v>
      </c>
      <c r="K16" s="25" t="s">
        <v>2341</v>
      </c>
      <c r="L16" s="25" t="s">
        <v>2341</v>
      </c>
    </row>
    <row r="17" spans="1:17" s="1" customFormat="1">
      <c r="A17" s="132"/>
      <c r="B17" s="13" t="s">
        <v>2552</v>
      </c>
      <c r="C17" s="13" t="s">
        <v>211</v>
      </c>
      <c r="D17" s="9" t="s">
        <v>2592</v>
      </c>
      <c r="E17" s="21" t="s">
        <v>2561</v>
      </c>
      <c r="F17" s="22" t="str">
        <f t="shared" si="0"/>
        <v>Procedure_Type</v>
      </c>
      <c r="G17" s="22" t="s">
        <v>2335</v>
      </c>
      <c r="H17" s="23"/>
      <c r="I17" s="64"/>
      <c r="J17" s="25" t="s">
        <v>2562</v>
      </c>
      <c r="K17" s="25" t="s">
        <v>2341</v>
      </c>
      <c r="L17" s="25" t="s">
        <v>2341</v>
      </c>
    </row>
    <row r="18" spans="1:17" s="1" customFormat="1">
      <c r="A18" s="132"/>
      <c r="B18" s="13" t="s">
        <v>2553</v>
      </c>
      <c r="C18" s="13" t="s">
        <v>281</v>
      </c>
      <c r="D18" s="9" t="s">
        <v>1243</v>
      </c>
      <c r="E18" s="21" t="s">
        <v>2561</v>
      </c>
      <c r="F18" s="22" t="str">
        <f t="shared" si="0"/>
        <v>Procedure_Start_Time</v>
      </c>
      <c r="G18" s="22" t="s">
        <v>2335</v>
      </c>
      <c r="H18" s="23"/>
      <c r="I18" s="64"/>
      <c r="J18" s="25" t="s">
        <v>2562</v>
      </c>
      <c r="K18" s="25" t="s">
        <v>2341</v>
      </c>
      <c r="L18" s="25" t="s">
        <v>2341</v>
      </c>
    </row>
    <row r="19" spans="1:17" s="1" customFormat="1">
      <c r="A19" s="132"/>
      <c r="B19" s="12" t="s">
        <v>2554</v>
      </c>
      <c r="C19" s="13" t="s">
        <v>281</v>
      </c>
      <c r="D19" s="9" t="s">
        <v>1245</v>
      </c>
      <c r="E19" s="21" t="s">
        <v>2561</v>
      </c>
      <c r="F19" s="22" t="str">
        <f t="shared" si="0"/>
        <v>Procedure_End_Time</v>
      </c>
      <c r="G19" s="22" t="s">
        <v>2335</v>
      </c>
      <c r="H19" s="23"/>
      <c r="I19" s="64"/>
      <c r="J19" s="25" t="s">
        <v>2562</v>
      </c>
      <c r="K19" s="25" t="s">
        <v>2341</v>
      </c>
      <c r="L19" s="25" t="s">
        <v>2341</v>
      </c>
    </row>
    <row r="20" spans="1:17" s="1" customFormat="1">
      <c r="A20" s="132"/>
      <c r="B20" s="12" t="s">
        <v>2555</v>
      </c>
      <c r="C20" s="13" t="s">
        <v>211</v>
      </c>
      <c r="D20" s="9" t="s">
        <v>2593</v>
      </c>
      <c r="E20" s="21" t="s">
        <v>2561</v>
      </c>
      <c r="F20" s="22" t="str">
        <f t="shared" si="0"/>
        <v>Procedure_Status</v>
      </c>
      <c r="G20" s="22" t="s">
        <v>2335</v>
      </c>
      <c r="H20" s="23"/>
      <c r="I20" s="64"/>
      <c r="J20" s="25" t="s">
        <v>2562</v>
      </c>
      <c r="K20" s="25" t="s">
        <v>2341</v>
      </c>
      <c r="L20" s="25" t="s">
        <v>2341</v>
      </c>
    </row>
    <row r="21" spans="1:17" s="1" customFormat="1">
      <c r="A21" s="132"/>
      <c r="B21" s="12" t="s">
        <v>2557</v>
      </c>
      <c r="C21" s="13" t="s">
        <v>211</v>
      </c>
      <c r="D21" s="9" t="s">
        <v>2594</v>
      </c>
      <c r="E21" s="21" t="s">
        <v>2561</v>
      </c>
      <c r="F21" s="22" t="str">
        <f t="shared" si="0"/>
        <v>Failure_Cause</v>
      </c>
      <c r="G21" s="22" t="s">
        <v>2335</v>
      </c>
      <c r="H21" s="23"/>
      <c r="I21" s="64"/>
      <c r="J21" s="25" t="s">
        <v>2562</v>
      </c>
      <c r="K21" s="25" t="s">
        <v>2341</v>
      </c>
      <c r="L21" s="25" t="s">
        <v>2341</v>
      </c>
    </row>
    <row r="22" spans="1:17" s="1" customFormat="1">
      <c r="A22" s="132"/>
      <c r="B22" s="12" t="s">
        <v>1558</v>
      </c>
      <c r="C22" s="13" t="s">
        <v>206</v>
      </c>
      <c r="D22" s="9" t="s">
        <v>1558</v>
      </c>
      <c r="E22" s="21" t="s">
        <v>2561</v>
      </c>
      <c r="F22" s="22" t="str">
        <f t="shared" si="0"/>
        <v>APN</v>
      </c>
      <c r="G22" s="22" t="s">
        <v>2335</v>
      </c>
      <c r="H22" s="23"/>
      <c r="I22" s="64"/>
      <c r="J22" s="25" t="s">
        <v>2562</v>
      </c>
      <c r="K22" s="25" t="s">
        <v>2341</v>
      </c>
      <c r="L22" s="25" t="s">
        <v>2341</v>
      </c>
    </row>
    <row r="23" spans="1:17" s="1" customFormat="1">
      <c r="A23" s="132"/>
      <c r="B23" s="12" t="s">
        <v>254</v>
      </c>
      <c r="C23" s="12" t="s">
        <v>206</v>
      </c>
      <c r="D23" s="9" t="s">
        <v>1236</v>
      </c>
      <c r="E23" s="21" t="s">
        <v>2561</v>
      </c>
      <c r="F23" s="22" t="str">
        <f t="shared" si="0"/>
        <v>pei</v>
      </c>
      <c r="G23" s="22" t="s">
        <v>2335</v>
      </c>
      <c r="H23" s="23"/>
      <c r="I23" s="64"/>
      <c r="J23" s="25" t="s">
        <v>2562</v>
      </c>
      <c r="K23" s="25" t="s">
        <v>2341</v>
      </c>
      <c r="L23" s="25" t="s">
        <v>2341</v>
      </c>
    </row>
    <row r="24" spans="1:17" s="1" customFormat="1">
      <c r="A24" s="132"/>
      <c r="B24" s="12" t="s">
        <v>2595</v>
      </c>
      <c r="C24" s="12" t="s">
        <v>206</v>
      </c>
      <c r="D24" s="9" t="s">
        <v>2596</v>
      </c>
      <c r="E24" s="21" t="s">
        <v>2561</v>
      </c>
      <c r="F24" s="22" t="str">
        <f t="shared" si="0"/>
        <v>mme_address</v>
      </c>
      <c r="G24" s="22" t="s">
        <v>2335</v>
      </c>
      <c r="H24" s="23"/>
      <c r="I24" s="64"/>
      <c r="J24" s="25" t="s">
        <v>2562</v>
      </c>
      <c r="K24" s="25" t="s">
        <v>2341</v>
      </c>
      <c r="L24" s="25" t="s">
        <v>2341</v>
      </c>
    </row>
    <row r="25" spans="1:17" s="1" customFormat="1">
      <c r="A25" s="132"/>
      <c r="B25" s="12" t="s">
        <v>2597</v>
      </c>
      <c r="C25" s="12" t="s">
        <v>206</v>
      </c>
      <c r="D25" s="9" t="s">
        <v>2598</v>
      </c>
      <c r="E25" s="21" t="s">
        <v>2561</v>
      </c>
      <c r="F25" s="22" t="str">
        <f t="shared" si="0"/>
        <v>amf_address</v>
      </c>
      <c r="G25" s="22" t="s">
        <v>2335</v>
      </c>
      <c r="H25" s="23"/>
      <c r="I25" s="64"/>
      <c r="J25" s="25" t="s">
        <v>2562</v>
      </c>
      <c r="K25" s="25" t="s">
        <v>2341</v>
      </c>
      <c r="L25" s="25" t="s">
        <v>2341</v>
      </c>
    </row>
    <row r="26" spans="1:17" s="1" customFormat="1">
      <c r="A26" s="132"/>
      <c r="B26" s="12" t="s">
        <v>2599</v>
      </c>
      <c r="C26" s="12" t="s">
        <v>211</v>
      </c>
      <c r="D26" s="9" t="s">
        <v>2600</v>
      </c>
      <c r="E26" s="21" t="s">
        <v>2561</v>
      </c>
      <c r="F26" s="22" t="str">
        <f t="shared" si="0"/>
        <v>mme_port</v>
      </c>
      <c r="G26" s="22" t="s">
        <v>2335</v>
      </c>
      <c r="H26" s="23"/>
      <c r="I26" s="64"/>
      <c r="J26" s="25" t="s">
        <v>2562</v>
      </c>
      <c r="K26" s="25" t="s">
        <v>2341</v>
      </c>
      <c r="L26" s="25" t="s">
        <v>2341</v>
      </c>
    </row>
    <row r="27" spans="1:17" s="1" customFormat="1">
      <c r="B27" s="13" t="s">
        <v>1269</v>
      </c>
      <c r="C27" s="12" t="s">
        <v>211</v>
      </c>
      <c r="D27" s="9" t="s">
        <v>2601</v>
      </c>
      <c r="E27" s="21" t="s">
        <v>2561</v>
      </c>
      <c r="F27" s="22" t="str">
        <f t="shared" si="0"/>
        <v>amf_port</v>
      </c>
      <c r="G27" s="22" t="s">
        <v>2335</v>
      </c>
      <c r="H27" s="23"/>
      <c r="I27" s="64"/>
      <c r="J27" s="25" t="s">
        <v>2562</v>
      </c>
      <c r="K27" s="25" t="s">
        <v>2341</v>
      </c>
      <c r="L27" s="25" t="s">
        <v>2341</v>
      </c>
    </row>
    <row r="28" spans="1:17" s="3" customFormat="1">
      <c r="B28" s="13" t="s">
        <v>1328</v>
      </c>
      <c r="C28" s="13" t="s">
        <v>211</v>
      </c>
      <c r="D28" s="9" t="s">
        <v>2602</v>
      </c>
      <c r="E28" s="21" t="s">
        <v>2561</v>
      </c>
      <c r="F28" s="22" t="str">
        <f t="shared" si="0"/>
        <v>tac</v>
      </c>
      <c r="G28" s="22" t="s">
        <v>2335</v>
      </c>
      <c r="H28" s="21"/>
      <c r="I28" s="64"/>
      <c r="J28" s="25" t="s">
        <v>2562</v>
      </c>
      <c r="K28" s="25" t="s">
        <v>2341</v>
      </c>
      <c r="L28" s="25" t="s">
        <v>2341</v>
      </c>
    </row>
    <row r="29" spans="1:17" s="136" customFormat="1">
      <c r="A29" s="137"/>
      <c r="B29" s="138" t="s">
        <v>2603</v>
      </c>
      <c r="C29" s="13" t="s">
        <v>281</v>
      </c>
      <c r="D29" s="9" t="s">
        <v>2604</v>
      </c>
      <c r="E29" s="21" t="s">
        <v>2561</v>
      </c>
      <c r="F29" s="22" t="str">
        <f t="shared" si="0"/>
        <v>cell_id</v>
      </c>
      <c r="G29" s="22" t="s">
        <v>2335</v>
      </c>
      <c r="H29" s="23"/>
      <c r="I29" s="64"/>
      <c r="J29" s="25" t="s">
        <v>2562</v>
      </c>
      <c r="K29" s="25" t="s">
        <v>2341</v>
      </c>
      <c r="L29" s="25" t="s">
        <v>2341</v>
      </c>
      <c r="M29" s="1"/>
    </row>
    <row r="30" spans="1:17" s="2" customFormat="1">
      <c r="B30" s="14" t="s">
        <v>222</v>
      </c>
      <c r="C30" s="15" t="s">
        <v>211</v>
      </c>
      <c r="D30" s="16" t="s">
        <v>344</v>
      </c>
      <c r="E30" s="69"/>
      <c r="F30" s="14"/>
      <c r="G30" s="14"/>
      <c r="H30" s="14"/>
      <c r="I30" s="123"/>
      <c r="J30" s="14"/>
      <c r="K30" s="14"/>
      <c r="L30" s="14"/>
      <c r="M30" s="14"/>
      <c r="N30" s="14"/>
      <c r="O30" s="14"/>
      <c r="P30" s="14"/>
      <c r="Q30" s="14"/>
    </row>
    <row r="31" spans="1:17" s="2" customFormat="1">
      <c r="B31" s="14" t="s">
        <v>0</v>
      </c>
      <c r="C31" s="15" t="s">
        <v>206</v>
      </c>
      <c r="D31" s="16" t="s">
        <v>345</v>
      </c>
      <c r="E31" s="69"/>
      <c r="F31" s="14"/>
      <c r="G31" s="14"/>
      <c r="H31" s="14"/>
      <c r="I31" s="123"/>
      <c r="J31" s="14"/>
      <c r="K31" s="14"/>
      <c r="L31" s="14"/>
      <c r="M31" s="14"/>
      <c r="N31" s="14"/>
      <c r="O31" s="14"/>
      <c r="P31" s="14"/>
      <c r="Q31" s="14"/>
    </row>
    <row r="32" spans="1:17" s="2" customFormat="1">
      <c r="B32" s="14" t="s">
        <v>1</v>
      </c>
      <c r="C32" s="15" t="s">
        <v>211</v>
      </c>
      <c r="D32" s="16" t="s">
        <v>346</v>
      </c>
      <c r="E32" s="69"/>
      <c r="F32" s="14"/>
      <c r="G32" s="14"/>
      <c r="H32" s="14"/>
      <c r="I32" s="123"/>
      <c r="J32" s="14"/>
      <c r="K32" s="14"/>
      <c r="L32" s="14"/>
      <c r="M32" s="14"/>
      <c r="N32" s="14"/>
      <c r="O32" s="14"/>
      <c r="P32" s="14"/>
      <c r="Q32" s="14"/>
    </row>
  </sheetData>
  <autoFilter ref="A13:Q32" xr:uid="{00000000-0009-0000-0000-000003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8551C-F963-4344-B6BA-820FA64DE498}">
  <dimension ref="A1:Q69"/>
  <sheetViews>
    <sheetView zoomScale="85" zoomScaleNormal="85" workbookViewId="0">
      <pane ySplit="5" topLeftCell="A6" activePane="bottomLeft" state="frozen"/>
      <selection activeCell="C18" sqref="C18"/>
      <selection pane="bottomLeft" activeCell="B62" sqref="B62"/>
    </sheetView>
  </sheetViews>
  <sheetFormatPr defaultColWidth="9" defaultRowHeight="13.2"/>
  <cols>
    <col min="1" max="1" width="1.33203125" style="3" customWidth="1"/>
    <col min="2" max="2" width="23.6640625" style="3" customWidth="1"/>
    <col min="3" max="3" width="26.88671875" style="3" bestFit="1"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58"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c r="C5" s="145" t="s">
        <v>2539</v>
      </c>
      <c r="D5" s="145" t="s">
        <v>2564</v>
      </c>
      <c r="E5" s="12" t="s">
        <v>2547</v>
      </c>
      <c r="F5" s="61"/>
      <c r="G5" s="9"/>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145" t="s">
        <v>2533</v>
      </c>
      <c r="D9" s="10" t="s">
        <v>2565</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214</v>
      </c>
      <c r="C14" s="13" t="s">
        <v>211</v>
      </c>
      <c r="D14" s="9" t="s">
        <v>1232</v>
      </c>
      <c r="E14" s="21" t="s">
        <v>2561</v>
      </c>
      <c r="F14" s="22" t="str">
        <f>B14</f>
        <v>interface</v>
      </c>
      <c r="G14" s="22" t="s">
        <v>2335</v>
      </c>
      <c r="H14" s="23"/>
      <c r="I14" s="64"/>
      <c r="J14" s="25" t="s">
        <v>2562</v>
      </c>
      <c r="K14" s="25" t="s">
        <v>2341</v>
      </c>
      <c r="L14" s="25" t="s">
        <v>2341</v>
      </c>
    </row>
    <row r="15" spans="1:14" s="1" customFormat="1">
      <c r="B15" s="13" t="s">
        <v>249</v>
      </c>
      <c r="C15" s="13" t="s">
        <v>206</v>
      </c>
      <c r="D15" s="9" t="s">
        <v>2605</v>
      </c>
      <c r="E15" s="21" t="s">
        <v>2561</v>
      </c>
      <c r="F15" s="22" t="str">
        <f t="shared" ref="F15:F35" si="0">B15</f>
        <v>supi</v>
      </c>
      <c r="G15" s="22" t="s">
        <v>2335</v>
      </c>
      <c r="H15" s="23"/>
      <c r="I15" s="64"/>
      <c r="J15" s="25" t="s">
        <v>2562</v>
      </c>
      <c r="K15" s="25" t="s">
        <v>2341</v>
      </c>
      <c r="L15" s="25" t="s">
        <v>2341</v>
      </c>
    </row>
    <row r="16" spans="1:14" s="1" customFormat="1">
      <c r="A16" s="132"/>
      <c r="B16" s="13" t="s">
        <v>251</v>
      </c>
      <c r="C16" s="13" t="s">
        <v>206</v>
      </c>
      <c r="D16" s="9" t="s">
        <v>252</v>
      </c>
      <c r="E16" s="21" t="s">
        <v>2561</v>
      </c>
      <c r="F16" s="22" t="str">
        <f t="shared" si="0"/>
        <v>msisdn</v>
      </c>
      <c r="G16" s="22" t="s">
        <v>2335</v>
      </c>
      <c r="H16" s="23"/>
      <c r="I16" s="64"/>
      <c r="J16" s="25" t="s">
        <v>2562</v>
      </c>
      <c r="K16" s="25" t="s">
        <v>2341</v>
      </c>
      <c r="L16" s="25" t="s">
        <v>2341</v>
      </c>
    </row>
    <row r="17" spans="1:13" s="1" customFormat="1">
      <c r="A17" s="132"/>
      <c r="B17" s="13" t="s">
        <v>2606</v>
      </c>
      <c r="C17" s="13" t="s">
        <v>206</v>
      </c>
      <c r="D17" s="9" t="s">
        <v>2607</v>
      </c>
      <c r="E17" s="21" t="s">
        <v>2561</v>
      </c>
      <c r="F17" s="22" t="str">
        <f t="shared" si="0"/>
        <v>destinationip</v>
      </c>
      <c r="G17" s="22" t="s">
        <v>2335</v>
      </c>
      <c r="H17" s="23"/>
      <c r="I17" s="64"/>
      <c r="J17" s="25" t="s">
        <v>2562</v>
      </c>
      <c r="K17" s="25" t="s">
        <v>2341</v>
      </c>
      <c r="L17" s="25" t="s">
        <v>2341</v>
      </c>
    </row>
    <row r="18" spans="1:13" s="1" customFormat="1">
      <c r="A18" s="132"/>
      <c r="B18" s="13" t="s">
        <v>2608</v>
      </c>
      <c r="C18" s="13" t="s">
        <v>211</v>
      </c>
      <c r="D18" s="9" t="s">
        <v>2609</v>
      </c>
      <c r="E18" s="21" t="s">
        <v>2561</v>
      </c>
      <c r="F18" s="22" t="str">
        <f t="shared" si="0"/>
        <v>destinationport</v>
      </c>
      <c r="G18" s="22" t="s">
        <v>2335</v>
      </c>
      <c r="H18" s="23"/>
      <c r="I18" s="64"/>
      <c r="J18" s="25" t="s">
        <v>2562</v>
      </c>
      <c r="K18" s="25" t="s">
        <v>2341</v>
      </c>
      <c r="L18" s="25" t="s">
        <v>2341</v>
      </c>
    </row>
    <row r="19" spans="1:13" s="1" customFormat="1">
      <c r="A19" s="132"/>
      <c r="B19" s="12" t="s">
        <v>2610</v>
      </c>
      <c r="C19" s="13" t="s">
        <v>206</v>
      </c>
      <c r="D19" s="9" t="s">
        <v>2611</v>
      </c>
      <c r="E19" s="21" t="s">
        <v>2561</v>
      </c>
      <c r="F19" s="22" t="str">
        <f t="shared" si="0"/>
        <v>sourceip</v>
      </c>
      <c r="G19" s="22" t="s">
        <v>2335</v>
      </c>
      <c r="H19" s="23"/>
      <c r="I19" s="64"/>
      <c r="J19" s="25" t="s">
        <v>2562</v>
      </c>
      <c r="K19" s="25" t="s">
        <v>2341</v>
      </c>
      <c r="L19" s="25" t="s">
        <v>2341</v>
      </c>
    </row>
    <row r="20" spans="1:13" s="1" customFormat="1">
      <c r="A20" s="132"/>
      <c r="B20" s="12" t="s">
        <v>2612</v>
      </c>
      <c r="C20" s="13" t="s">
        <v>211</v>
      </c>
      <c r="D20" s="9" t="s">
        <v>2613</v>
      </c>
      <c r="E20" s="21" t="s">
        <v>2561</v>
      </c>
      <c r="F20" s="22" t="str">
        <f t="shared" si="0"/>
        <v>sourceport</v>
      </c>
      <c r="G20" s="22" t="s">
        <v>2335</v>
      </c>
      <c r="H20" s="23"/>
      <c r="I20" s="64"/>
      <c r="J20" s="25" t="s">
        <v>2562</v>
      </c>
      <c r="K20" s="25" t="s">
        <v>2341</v>
      </c>
      <c r="L20" s="25" t="s">
        <v>2341</v>
      </c>
    </row>
    <row r="21" spans="1:13" s="1" customFormat="1">
      <c r="A21" s="132"/>
      <c r="B21" s="12" t="s">
        <v>258</v>
      </c>
      <c r="C21" s="13" t="s">
        <v>206</v>
      </c>
      <c r="D21" s="9" t="s">
        <v>259</v>
      </c>
      <c r="E21" s="21" t="s">
        <v>2561</v>
      </c>
      <c r="F21" s="22" t="str">
        <f t="shared" si="0"/>
        <v>upfip</v>
      </c>
      <c r="G21" s="22" t="s">
        <v>2335</v>
      </c>
      <c r="H21" s="23"/>
      <c r="I21" s="64"/>
      <c r="J21" s="25" t="s">
        <v>2562</v>
      </c>
      <c r="K21" s="25" t="s">
        <v>2341</v>
      </c>
      <c r="L21" s="25" t="s">
        <v>2341</v>
      </c>
    </row>
    <row r="22" spans="1:13" s="1" customFormat="1">
      <c r="A22" s="132"/>
      <c r="B22" s="12" t="s">
        <v>2614</v>
      </c>
      <c r="C22" s="13" t="s">
        <v>206</v>
      </c>
      <c r="D22" s="9" t="s">
        <v>2615</v>
      </c>
      <c r="E22" s="21" t="s">
        <v>2561</v>
      </c>
      <c r="F22" s="22" t="str">
        <f t="shared" si="0"/>
        <v>ncgi_ecgi</v>
      </c>
      <c r="G22" s="22" t="s">
        <v>2335</v>
      </c>
      <c r="H22" s="23"/>
      <c r="I22" s="64"/>
      <c r="J22" s="25" t="s">
        <v>2562</v>
      </c>
      <c r="K22" s="25" t="s">
        <v>2341</v>
      </c>
      <c r="L22" s="25" t="s">
        <v>2341</v>
      </c>
    </row>
    <row r="23" spans="1:13" s="1" customFormat="1">
      <c r="A23" s="132"/>
      <c r="B23" s="12" t="s">
        <v>2616</v>
      </c>
      <c r="C23" s="12" t="s">
        <v>211</v>
      </c>
      <c r="D23" s="9" t="s">
        <v>2617</v>
      </c>
      <c r="E23" s="21" t="s">
        <v>2561</v>
      </c>
      <c r="F23" s="22" t="str">
        <f t="shared" si="0"/>
        <v>protocolid</v>
      </c>
      <c r="G23" s="22" t="s">
        <v>2335</v>
      </c>
      <c r="H23" s="23"/>
      <c r="I23" s="64"/>
      <c r="J23" s="25" t="s">
        <v>2562</v>
      </c>
      <c r="K23" s="25" t="s">
        <v>2341</v>
      </c>
      <c r="L23" s="25" t="s">
        <v>2341</v>
      </c>
    </row>
    <row r="24" spans="1:13" s="1" customFormat="1">
      <c r="A24" s="132"/>
      <c r="B24" s="12" t="s">
        <v>2618</v>
      </c>
      <c r="C24" s="12" t="s">
        <v>206</v>
      </c>
      <c r="D24" s="9" t="s">
        <v>2619</v>
      </c>
      <c r="E24" s="21" t="s">
        <v>2561</v>
      </c>
      <c r="F24" s="22" t="str">
        <f t="shared" si="0"/>
        <v>starttime</v>
      </c>
      <c r="G24" s="22" t="s">
        <v>2335</v>
      </c>
      <c r="H24" s="23"/>
      <c r="I24" s="64"/>
      <c r="J24" s="25" t="s">
        <v>2562</v>
      </c>
      <c r="K24" s="25" t="s">
        <v>2341</v>
      </c>
      <c r="L24" s="25" t="s">
        <v>2341</v>
      </c>
    </row>
    <row r="25" spans="1:13" s="1" customFormat="1">
      <c r="A25" s="132"/>
      <c r="B25" s="12" t="s">
        <v>2620</v>
      </c>
      <c r="C25" s="12" t="s">
        <v>206</v>
      </c>
      <c r="D25" s="9" t="s">
        <v>2621</v>
      </c>
      <c r="E25" s="21" t="s">
        <v>2561</v>
      </c>
      <c r="F25" s="22" t="str">
        <f t="shared" si="0"/>
        <v>endtime</v>
      </c>
      <c r="G25" s="22" t="s">
        <v>2335</v>
      </c>
      <c r="H25" s="23"/>
      <c r="I25" s="64"/>
      <c r="J25" s="25" t="s">
        <v>2562</v>
      </c>
      <c r="K25" s="25" t="s">
        <v>2341</v>
      </c>
      <c r="L25" s="25" t="s">
        <v>2341</v>
      </c>
    </row>
    <row r="26" spans="1:13" s="1" customFormat="1">
      <c r="A26" s="132"/>
      <c r="B26" s="12" t="s">
        <v>468</v>
      </c>
      <c r="C26" s="12" t="s">
        <v>281</v>
      </c>
      <c r="D26" s="9" t="s">
        <v>2622</v>
      </c>
      <c r="E26" s="21" t="s">
        <v>2561</v>
      </c>
      <c r="F26" s="22" t="str">
        <f t="shared" si="0"/>
        <v>duration</v>
      </c>
      <c r="G26" s="22" t="s">
        <v>2335</v>
      </c>
      <c r="H26" s="23"/>
      <c r="I26" s="64"/>
      <c r="J26" s="25" t="s">
        <v>2562</v>
      </c>
      <c r="K26" s="25" t="s">
        <v>2341</v>
      </c>
      <c r="L26" s="25" t="s">
        <v>2341</v>
      </c>
    </row>
    <row r="27" spans="1:13" s="1" customFormat="1">
      <c r="B27" s="13" t="s">
        <v>539</v>
      </c>
      <c r="C27" s="12" t="s">
        <v>281</v>
      </c>
      <c r="D27" s="9" t="s">
        <v>2623</v>
      </c>
      <c r="E27" s="21" t="s">
        <v>2561</v>
      </c>
      <c r="F27" s="22" t="str">
        <f t="shared" si="0"/>
        <v>inputoctets</v>
      </c>
      <c r="G27" s="22" t="s">
        <v>2335</v>
      </c>
      <c r="H27" s="23"/>
      <c r="I27" s="64"/>
      <c r="J27" s="25" t="s">
        <v>2562</v>
      </c>
      <c r="K27" s="25" t="s">
        <v>2341</v>
      </c>
      <c r="L27" s="25" t="s">
        <v>2341</v>
      </c>
    </row>
    <row r="28" spans="1:13" s="3" customFormat="1">
      <c r="B28" s="13" t="s">
        <v>535</v>
      </c>
      <c r="C28" s="13" t="s">
        <v>281</v>
      </c>
      <c r="D28" s="9" t="s">
        <v>2624</v>
      </c>
      <c r="E28" s="21" t="s">
        <v>2561</v>
      </c>
      <c r="F28" s="22" t="str">
        <f t="shared" si="0"/>
        <v>outputoctets</v>
      </c>
      <c r="G28" s="22" t="s">
        <v>2335</v>
      </c>
      <c r="H28" s="21"/>
      <c r="I28" s="64"/>
      <c r="J28" s="25" t="s">
        <v>2562</v>
      </c>
      <c r="K28" s="25" t="s">
        <v>2341</v>
      </c>
      <c r="L28" s="25" t="s">
        <v>2341</v>
      </c>
    </row>
    <row r="29" spans="1:13" s="136" customFormat="1">
      <c r="A29" s="137"/>
      <c r="B29" s="138" t="s">
        <v>542</v>
      </c>
      <c r="C29" s="13" t="s">
        <v>281</v>
      </c>
      <c r="D29" s="9" t="s">
        <v>543</v>
      </c>
      <c r="E29" s="21" t="s">
        <v>2561</v>
      </c>
      <c r="F29" s="22" t="str">
        <f t="shared" si="0"/>
        <v>inputpacket</v>
      </c>
      <c r="G29" s="22" t="s">
        <v>2335</v>
      </c>
      <c r="H29" s="23"/>
      <c r="I29" s="64"/>
      <c r="J29" s="25" t="s">
        <v>2562</v>
      </c>
      <c r="K29" s="25" t="s">
        <v>2341</v>
      </c>
      <c r="L29" s="25" t="s">
        <v>2341</v>
      </c>
      <c r="M29" s="1"/>
    </row>
    <row r="30" spans="1:13" s="136" customFormat="1">
      <c r="A30" s="137"/>
      <c r="B30" s="138" t="s">
        <v>545</v>
      </c>
      <c r="C30" s="13" t="s">
        <v>281</v>
      </c>
      <c r="D30" s="9" t="s">
        <v>546</v>
      </c>
      <c r="E30" s="21" t="s">
        <v>2561</v>
      </c>
      <c r="F30" s="22" t="str">
        <f t="shared" si="0"/>
        <v>outputpacket</v>
      </c>
      <c r="G30" s="22" t="s">
        <v>2335</v>
      </c>
      <c r="H30" s="23"/>
      <c r="I30" s="64"/>
      <c r="J30" s="25" t="s">
        <v>2562</v>
      </c>
      <c r="K30" s="25" t="s">
        <v>2341</v>
      </c>
      <c r="L30" s="25" t="s">
        <v>2341</v>
      </c>
      <c r="M30" s="1"/>
    </row>
    <row r="31" spans="1:13" s="136" customFormat="1">
      <c r="A31" s="137"/>
      <c r="B31" s="138" t="s">
        <v>2625</v>
      </c>
      <c r="C31" s="13" t="s">
        <v>206</v>
      </c>
      <c r="D31" s="9" t="s">
        <v>2626</v>
      </c>
      <c r="E31" s="21" t="s">
        <v>2561</v>
      </c>
      <c r="F31" s="22" t="str">
        <f t="shared" si="0"/>
        <v>pduconnectionid</v>
      </c>
      <c r="G31" s="22" t="s">
        <v>2335</v>
      </c>
      <c r="H31" s="23"/>
      <c r="I31" s="64"/>
      <c r="J31" s="25" t="s">
        <v>2562</v>
      </c>
      <c r="K31" s="25" t="s">
        <v>2341</v>
      </c>
      <c r="L31" s="25" t="s">
        <v>2341</v>
      </c>
      <c r="M31" s="1"/>
    </row>
    <row r="32" spans="1:13" s="136" customFormat="1">
      <c r="A32" s="137"/>
      <c r="B32" s="138" t="s">
        <v>2627</v>
      </c>
      <c r="C32" s="13" t="s">
        <v>211</v>
      </c>
      <c r="D32" s="9" t="s">
        <v>2628</v>
      </c>
      <c r="E32" s="21" t="s">
        <v>2561</v>
      </c>
      <c r="F32" s="22" t="str">
        <f t="shared" si="0"/>
        <v>recordclosecause</v>
      </c>
      <c r="G32" s="22" t="s">
        <v>2335</v>
      </c>
      <c r="H32" s="64"/>
      <c r="I32" s="64"/>
      <c r="J32" s="25" t="s">
        <v>2562</v>
      </c>
      <c r="K32" s="25" t="s">
        <v>2341</v>
      </c>
      <c r="L32" s="25" t="s">
        <v>2341</v>
      </c>
    </row>
    <row r="33" spans="1:13" s="136" customFormat="1">
      <c r="A33" s="137"/>
      <c r="B33" s="138" t="s">
        <v>262</v>
      </c>
      <c r="C33" s="13" t="s">
        <v>206</v>
      </c>
      <c r="D33" s="9" t="s">
        <v>263</v>
      </c>
      <c r="E33" s="21" t="s">
        <v>2561</v>
      </c>
      <c r="F33" s="22" t="str">
        <f t="shared" si="0"/>
        <v>gnbip</v>
      </c>
      <c r="G33" s="22" t="s">
        <v>2335</v>
      </c>
      <c r="H33" s="23"/>
      <c r="I33" s="64"/>
      <c r="J33" s="25" t="s">
        <v>2562</v>
      </c>
      <c r="K33" s="25" t="s">
        <v>2341</v>
      </c>
      <c r="L33" s="25" t="s">
        <v>2341</v>
      </c>
      <c r="M33" s="1"/>
    </row>
    <row r="34" spans="1:13" s="136" customFormat="1">
      <c r="A34" s="137"/>
      <c r="B34" s="138" t="s">
        <v>264</v>
      </c>
      <c r="C34" s="13" t="s">
        <v>206</v>
      </c>
      <c r="D34" s="9" t="s">
        <v>265</v>
      </c>
      <c r="E34" s="21" t="s">
        <v>2561</v>
      </c>
      <c r="F34" s="22" t="str">
        <f t="shared" si="0"/>
        <v>home_province</v>
      </c>
      <c r="G34" s="22" t="s">
        <v>2335</v>
      </c>
      <c r="H34" s="21"/>
      <c r="I34" s="145"/>
      <c r="J34" s="25" t="s">
        <v>2562</v>
      </c>
      <c r="K34" s="25" t="s">
        <v>2341</v>
      </c>
      <c r="L34" s="25" t="s">
        <v>2341</v>
      </c>
    </row>
    <row r="35" spans="1:13" s="136" customFormat="1">
      <c r="A35" s="137"/>
      <c r="B35" s="138" t="s">
        <v>270</v>
      </c>
      <c r="C35" s="13" t="s">
        <v>211</v>
      </c>
      <c r="D35" s="9" t="s">
        <v>745</v>
      </c>
      <c r="E35" s="21" t="s">
        <v>2561</v>
      </c>
      <c r="F35" s="22" t="str">
        <f t="shared" si="0"/>
        <v>l4protocol</v>
      </c>
      <c r="G35" s="22" t="s">
        <v>2335</v>
      </c>
      <c r="H35" s="21"/>
      <c r="I35" s="145"/>
      <c r="J35" s="25" t="s">
        <v>2562</v>
      </c>
      <c r="K35" s="25" t="s">
        <v>2341</v>
      </c>
      <c r="L35" s="25" t="s">
        <v>2341</v>
      </c>
    </row>
    <row r="36" spans="1:13" s="136" customFormat="1">
      <c r="A36" s="137"/>
      <c r="B36" s="138" t="s">
        <v>548</v>
      </c>
      <c r="C36" s="26" t="s">
        <v>281</v>
      </c>
      <c r="D36" s="9" t="s">
        <v>2629</v>
      </c>
      <c r="E36" s="21" t="s">
        <v>2561</v>
      </c>
      <c r="F36" s="22" t="str">
        <f t="shared" ref="F36:F65" si="1">B36</f>
        <v>ultcpreorderingpacket</v>
      </c>
      <c r="G36" s="22" t="s">
        <v>2335</v>
      </c>
      <c r="H36" s="21"/>
      <c r="I36" s="145"/>
      <c r="J36" s="25" t="s">
        <v>2562</v>
      </c>
      <c r="K36" s="25" t="s">
        <v>2341</v>
      </c>
      <c r="L36" s="25" t="s">
        <v>2341</v>
      </c>
    </row>
    <row r="37" spans="1:13" s="136" customFormat="1">
      <c r="A37" s="137"/>
      <c r="B37" s="138" t="s">
        <v>551</v>
      </c>
      <c r="C37" s="26" t="s">
        <v>281</v>
      </c>
      <c r="D37" s="9" t="s">
        <v>2630</v>
      </c>
      <c r="E37" s="21" t="s">
        <v>2561</v>
      </c>
      <c r="F37" s="22" t="str">
        <f t="shared" si="1"/>
        <v>dltcpreorderingpacket</v>
      </c>
      <c r="G37" s="22" t="s">
        <v>2335</v>
      </c>
      <c r="H37" s="21"/>
      <c r="I37" s="145"/>
      <c r="J37" s="25" t="s">
        <v>2562</v>
      </c>
      <c r="K37" s="25" t="s">
        <v>2341</v>
      </c>
      <c r="L37" s="25" t="s">
        <v>2341</v>
      </c>
    </row>
    <row r="38" spans="1:13" s="136" customFormat="1">
      <c r="A38" s="137"/>
      <c r="B38" s="138" t="s">
        <v>2631</v>
      </c>
      <c r="C38" s="26" t="s">
        <v>281</v>
      </c>
      <c r="D38" s="9" t="s">
        <v>2632</v>
      </c>
      <c r="E38" s="21" t="s">
        <v>2561</v>
      </c>
      <c r="F38" s="22" t="str">
        <f t="shared" si="1"/>
        <v>ultcp_retranspacket</v>
      </c>
      <c r="G38" s="22" t="s">
        <v>2335</v>
      </c>
      <c r="H38" s="21"/>
      <c r="I38" s="145"/>
      <c r="J38" s="25" t="s">
        <v>2562</v>
      </c>
      <c r="K38" s="25" t="s">
        <v>2341</v>
      </c>
      <c r="L38" s="25" t="s">
        <v>2341</v>
      </c>
    </row>
    <row r="39" spans="1:13" s="136" customFormat="1">
      <c r="A39" s="137"/>
      <c r="B39" s="138" t="s">
        <v>2633</v>
      </c>
      <c r="C39" s="26" t="s">
        <v>281</v>
      </c>
      <c r="D39" s="9" t="s">
        <v>2634</v>
      </c>
      <c r="E39" s="21" t="s">
        <v>2561</v>
      </c>
      <c r="F39" s="22" t="str">
        <f t="shared" si="1"/>
        <v>dltcp_retranspacket</v>
      </c>
      <c r="G39" s="22" t="s">
        <v>2335</v>
      </c>
      <c r="H39" s="21"/>
      <c r="I39" s="145"/>
      <c r="J39" s="25" t="s">
        <v>2562</v>
      </c>
      <c r="K39" s="25" t="s">
        <v>2341</v>
      </c>
      <c r="L39" s="25" t="s">
        <v>2341</v>
      </c>
    </row>
    <row r="40" spans="1:13" s="136" customFormat="1">
      <c r="A40" s="137"/>
      <c r="B40" s="138" t="s">
        <v>2635</v>
      </c>
      <c r="C40" s="26" t="s">
        <v>281</v>
      </c>
      <c r="D40" s="9" t="s">
        <v>2636</v>
      </c>
      <c r="E40" s="21" t="s">
        <v>2561</v>
      </c>
      <c r="F40" s="22" t="str">
        <f t="shared" si="1"/>
        <v>tcpsetupresponsedelay</v>
      </c>
      <c r="G40" s="22" t="s">
        <v>2335</v>
      </c>
      <c r="H40" s="21"/>
      <c r="I40" s="145"/>
      <c r="J40" s="25" t="s">
        <v>2562</v>
      </c>
      <c r="K40" s="25" t="s">
        <v>2341</v>
      </c>
      <c r="L40" s="25" t="s">
        <v>2341</v>
      </c>
    </row>
    <row r="41" spans="1:13" s="136" customFormat="1">
      <c r="A41" s="137"/>
      <c r="B41" s="138" t="s">
        <v>2637</v>
      </c>
      <c r="C41" s="26" t="s">
        <v>281</v>
      </c>
      <c r="D41" s="9" t="s">
        <v>2638</v>
      </c>
      <c r="E41" s="21" t="s">
        <v>2561</v>
      </c>
      <c r="F41" s="22" t="str">
        <f t="shared" si="1"/>
        <v>tcpsetupackdelay</v>
      </c>
      <c r="G41" s="22" t="s">
        <v>2335</v>
      </c>
      <c r="H41" s="21"/>
      <c r="I41" s="145"/>
      <c r="J41" s="25" t="s">
        <v>2562</v>
      </c>
      <c r="K41" s="25" t="s">
        <v>2341</v>
      </c>
      <c r="L41" s="25" t="s">
        <v>2341</v>
      </c>
    </row>
    <row r="42" spans="1:13" s="136" customFormat="1">
      <c r="A42" s="137"/>
      <c r="B42" s="138" t="s">
        <v>2639</v>
      </c>
      <c r="C42" s="26" t="s">
        <v>211</v>
      </c>
      <c r="D42" s="9" t="s">
        <v>2640</v>
      </c>
      <c r="E42" s="21" t="s">
        <v>2561</v>
      </c>
      <c r="F42" s="22" t="str">
        <f t="shared" si="1"/>
        <v>tcpconnectstate</v>
      </c>
      <c r="G42" s="22" t="s">
        <v>2335</v>
      </c>
      <c r="H42" s="21"/>
      <c r="I42" s="145"/>
      <c r="J42" s="25" t="s">
        <v>2562</v>
      </c>
      <c r="K42" s="25" t="s">
        <v>2341</v>
      </c>
      <c r="L42" s="25" t="s">
        <v>2341</v>
      </c>
    </row>
    <row r="43" spans="1:13" s="136" customFormat="1">
      <c r="A43" s="137"/>
      <c r="B43" s="138" t="s">
        <v>566</v>
      </c>
      <c r="C43" s="26" t="s">
        <v>281</v>
      </c>
      <c r="D43" s="9" t="s">
        <v>567</v>
      </c>
      <c r="E43" s="21" t="s">
        <v>2561</v>
      </c>
      <c r="F43" s="22" t="str">
        <f t="shared" si="1"/>
        <v>ul_data_transduration</v>
      </c>
      <c r="G43" s="22" t="s">
        <v>2335</v>
      </c>
      <c r="H43" s="21"/>
      <c r="I43" s="145"/>
      <c r="J43" s="25" t="s">
        <v>2562</v>
      </c>
      <c r="K43" s="25" t="s">
        <v>2341</v>
      </c>
      <c r="L43" s="25" t="s">
        <v>2341</v>
      </c>
    </row>
    <row r="44" spans="1:13" s="136" customFormat="1">
      <c r="A44" s="137"/>
      <c r="B44" s="138" t="s">
        <v>2641</v>
      </c>
      <c r="C44" s="26" t="s">
        <v>281</v>
      </c>
      <c r="D44" s="9" t="s">
        <v>570</v>
      </c>
      <c r="E44" s="21" t="s">
        <v>2561</v>
      </c>
      <c r="F44" s="22" t="str">
        <f t="shared" si="1"/>
        <v>dl_datatransduration</v>
      </c>
      <c r="G44" s="22" t="s">
        <v>2335</v>
      </c>
      <c r="H44" s="21"/>
      <c r="I44" s="145"/>
      <c r="J44" s="25" t="s">
        <v>2562</v>
      </c>
      <c r="K44" s="25" t="s">
        <v>2341</v>
      </c>
      <c r="L44" s="25" t="s">
        <v>2341</v>
      </c>
    </row>
    <row r="45" spans="1:13" s="136" customFormat="1">
      <c r="A45" s="137"/>
      <c r="B45" s="138" t="s">
        <v>2642</v>
      </c>
      <c r="C45" s="26" t="s">
        <v>281</v>
      </c>
      <c r="D45" s="9" t="s">
        <v>2643</v>
      </c>
      <c r="E45" s="21" t="s">
        <v>2561</v>
      </c>
      <c r="F45" s="22" t="str">
        <f t="shared" si="1"/>
        <v>ul_average_packet_size</v>
      </c>
      <c r="G45" s="22" t="s">
        <v>2335</v>
      </c>
      <c r="H45" s="21"/>
      <c r="I45" s="145"/>
      <c r="J45" s="25" t="s">
        <v>2562</v>
      </c>
      <c r="K45" s="25" t="s">
        <v>2341</v>
      </c>
      <c r="L45" s="25" t="s">
        <v>2341</v>
      </c>
    </row>
    <row r="46" spans="1:13" s="136" customFormat="1">
      <c r="A46" s="137"/>
      <c r="B46" s="138" t="s">
        <v>2644</v>
      </c>
      <c r="C46" s="26" t="s">
        <v>281</v>
      </c>
      <c r="D46" s="9" t="s">
        <v>2645</v>
      </c>
      <c r="E46" s="21" t="s">
        <v>2561</v>
      </c>
      <c r="F46" s="22" t="str">
        <f t="shared" si="1"/>
        <v>dl_average_packet_size</v>
      </c>
      <c r="G46" s="22" t="s">
        <v>2335</v>
      </c>
      <c r="H46" s="21"/>
      <c r="I46" s="145"/>
      <c r="J46" s="25" t="s">
        <v>2562</v>
      </c>
      <c r="K46" s="25" t="s">
        <v>2341</v>
      </c>
      <c r="L46" s="25" t="s">
        <v>2341</v>
      </c>
    </row>
    <row r="47" spans="1:13" s="136" customFormat="1">
      <c r="A47" s="137"/>
      <c r="B47" s="138" t="s">
        <v>2646</v>
      </c>
      <c r="C47" s="26" t="s">
        <v>281</v>
      </c>
      <c r="D47" s="9" t="s">
        <v>2647</v>
      </c>
      <c r="E47" s="21" t="s">
        <v>2561</v>
      </c>
      <c r="F47" s="22" t="str">
        <f t="shared" si="1"/>
        <v>ul_average_interval</v>
      </c>
      <c r="G47" s="22" t="s">
        <v>2335</v>
      </c>
      <c r="H47" s="21"/>
      <c r="I47" s="145"/>
      <c r="J47" s="25" t="s">
        <v>2562</v>
      </c>
      <c r="K47" s="25" t="s">
        <v>2341</v>
      </c>
      <c r="L47" s="25" t="s">
        <v>2341</v>
      </c>
    </row>
    <row r="48" spans="1:13" s="136" customFormat="1">
      <c r="A48" s="137"/>
      <c r="B48" s="138" t="s">
        <v>2648</v>
      </c>
      <c r="C48" s="26" t="s">
        <v>281</v>
      </c>
      <c r="D48" s="9" t="s">
        <v>2649</v>
      </c>
      <c r="E48" s="21" t="s">
        <v>2561</v>
      </c>
      <c r="F48" s="22" t="str">
        <f t="shared" si="1"/>
        <v>dl_average_interval</v>
      </c>
      <c r="G48" s="22" t="s">
        <v>2335</v>
      </c>
      <c r="H48" s="21"/>
      <c r="I48" s="145"/>
      <c r="J48" s="25" t="s">
        <v>2562</v>
      </c>
      <c r="K48" s="25" t="s">
        <v>2341</v>
      </c>
      <c r="L48" s="25" t="s">
        <v>2341</v>
      </c>
    </row>
    <row r="49" spans="1:12" s="136" customFormat="1">
      <c r="A49" s="137"/>
      <c r="B49" s="138" t="s">
        <v>2650</v>
      </c>
      <c r="C49" s="26" t="s">
        <v>281</v>
      </c>
      <c r="D49" s="9" t="s">
        <v>2651</v>
      </c>
      <c r="E49" s="21" t="s">
        <v>2561</v>
      </c>
      <c r="F49" s="22" t="str">
        <f t="shared" si="1"/>
        <v>ul_average_jitter</v>
      </c>
      <c r="G49" s="22" t="s">
        <v>2335</v>
      </c>
      <c r="H49" s="21"/>
      <c r="I49" s="145"/>
      <c r="J49" s="25" t="s">
        <v>2562</v>
      </c>
      <c r="K49" s="25" t="s">
        <v>2341</v>
      </c>
      <c r="L49" s="25" t="s">
        <v>2341</v>
      </c>
    </row>
    <row r="50" spans="1:12" s="136" customFormat="1">
      <c r="A50" s="137"/>
      <c r="B50" s="138" t="s">
        <v>2652</v>
      </c>
      <c r="C50" s="26" t="s">
        <v>281</v>
      </c>
      <c r="D50" s="9" t="s">
        <v>2653</v>
      </c>
      <c r="E50" s="21" t="s">
        <v>2561</v>
      </c>
      <c r="F50" s="22" t="str">
        <f t="shared" si="1"/>
        <v>dl_average_jitter</v>
      </c>
      <c r="G50" s="22" t="s">
        <v>2335</v>
      </c>
      <c r="H50" s="21"/>
      <c r="I50" s="145"/>
      <c r="J50" s="25" t="s">
        <v>2562</v>
      </c>
      <c r="K50" s="25" t="s">
        <v>2341</v>
      </c>
      <c r="L50" s="25" t="s">
        <v>2341</v>
      </c>
    </row>
    <row r="51" spans="1:12" s="136" customFormat="1">
      <c r="A51" s="137"/>
      <c r="B51" s="138" t="s">
        <v>2654</v>
      </c>
      <c r="C51" s="26" t="s">
        <v>281</v>
      </c>
      <c r="D51" s="9" t="s">
        <v>2655</v>
      </c>
      <c r="E51" s="21" t="s">
        <v>2561</v>
      </c>
      <c r="F51" s="22" t="str">
        <f t="shared" si="1"/>
        <v>flowid</v>
      </c>
      <c r="G51" s="22" t="s">
        <v>2335</v>
      </c>
      <c r="H51" s="21"/>
      <c r="I51" s="145"/>
      <c r="J51" s="25" t="s">
        <v>2562</v>
      </c>
      <c r="K51" s="25" t="s">
        <v>2341</v>
      </c>
      <c r="L51" s="25" t="s">
        <v>2341</v>
      </c>
    </row>
    <row r="52" spans="1:12" s="136" customFormat="1">
      <c r="A52" s="137"/>
      <c r="B52" s="138" t="s">
        <v>254</v>
      </c>
      <c r="C52" s="26" t="s">
        <v>206</v>
      </c>
      <c r="D52" s="9" t="s">
        <v>1236</v>
      </c>
      <c r="E52" s="21" t="s">
        <v>2561</v>
      </c>
      <c r="F52" s="22" t="str">
        <f t="shared" si="1"/>
        <v>pei</v>
      </c>
      <c r="G52" s="22" t="s">
        <v>2335</v>
      </c>
      <c r="H52" s="21"/>
      <c r="I52" s="145"/>
      <c r="J52" s="25" t="s">
        <v>2562</v>
      </c>
      <c r="K52" s="25" t="s">
        <v>2341</v>
      </c>
      <c r="L52" s="25" t="s">
        <v>2341</v>
      </c>
    </row>
    <row r="53" spans="1:12" s="136" customFormat="1">
      <c r="A53" s="137"/>
      <c r="B53" s="138" t="s">
        <v>256</v>
      </c>
      <c r="C53" s="26" t="s">
        <v>206</v>
      </c>
      <c r="D53" s="9" t="s">
        <v>743</v>
      </c>
      <c r="E53" s="21" t="s">
        <v>2561</v>
      </c>
      <c r="F53" s="22" t="str">
        <f t="shared" si="1"/>
        <v>dnn_apn</v>
      </c>
      <c r="G53" s="22" t="s">
        <v>2335</v>
      </c>
      <c r="H53" s="21"/>
      <c r="I53" s="145"/>
      <c r="J53" s="25" t="s">
        <v>2562</v>
      </c>
      <c r="K53" s="25" t="s">
        <v>2341</v>
      </c>
      <c r="L53" s="25" t="s">
        <v>2341</v>
      </c>
    </row>
    <row r="54" spans="1:12" s="136" customFormat="1">
      <c r="A54" s="137"/>
      <c r="B54" s="138" t="s">
        <v>260</v>
      </c>
      <c r="C54" s="26" t="s">
        <v>206</v>
      </c>
      <c r="D54" s="9" t="s">
        <v>795</v>
      </c>
      <c r="E54" s="21" t="s">
        <v>2561</v>
      </c>
      <c r="F54" s="22" t="str">
        <f t="shared" si="1"/>
        <v>servicetype</v>
      </c>
      <c r="G54" s="22" t="s">
        <v>2335</v>
      </c>
      <c r="H54" s="21"/>
      <c r="I54" s="145"/>
      <c r="J54" s="25" t="s">
        <v>2562</v>
      </c>
      <c r="K54" s="25" t="s">
        <v>2341</v>
      </c>
      <c r="L54" s="25" t="s">
        <v>2341</v>
      </c>
    </row>
    <row r="55" spans="1:12" s="136" customFormat="1">
      <c r="A55" s="137"/>
      <c r="B55" s="138" t="s">
        <v>2656</v>
      </c>
      <c r="C55" s="26" t="s">
        <v>281</v>
      </c>
      <c r="D55" s="9" t="s">
        <v>2657</v>
      </c>
      <c r="E55" s="21" t="s">
        <v>2561</v>
      </c>
      <c r="F55" s="22" t="str">
        <f t="shared" si="1"/>
        <v>delay_setup_firsttransaction</v>
      </c>
      <c r="G55" s="22" t="s">
        <v>2335</v>
      </c>
      <c r="H55" s="21"/>
      <c r="I55" s="145"/>
      <c r="J55" s="25" t="s">
        <v>2562</v>
      </c>
      <c r="K55" s="25" t="s">
        <v>2341</v>
      </c>
      <c r="L55" s="25" t="s">
        <v>2341</v>
      </c>
    </row>
    <row r="56" spans="1:12" s="136" customFormat="1" ht="26.4">
      <c r="A56" s="137"/>
      <c r="B56" s="138" t="s">
        <v>2658</v>
      </c>
      <c r="C56" s="26" t="s">
        <v>281</v>
      </c>
      <c r="D56" s="9" t="s">
        <v>2659</v>
      </c>
      <c r="E56" s="21" t="s">
        <v>2561</v>
      </c>
      <c r="F56" s="22" t="str">
        <f t="shared" si="1"/>
        <v>delay_firsttransaction_firstrespackt</v>
      </c>
      <c r="G56" s="22" t="s">
        <v>2335</v>
      </c>
      <c r="H56" s="21"/>
      <c r="I56" s="145"/>
      <c r="J56" s="25" t="s">
        <v>2562</v>
      </c>
      <c r="K56" s="25" t="s">
        <v>2341</v>
      </c>
      <c r="L56" s="25" t="s">
        <v>2341</v>
      </c>
    </row>
    <row r="57" spans="1:12" s="136" customFormat="1">
      <c r="A57" s="137"/>
      <c r="B57" s="138" t="s">
        <v>2660</v>
      </c>
      <c r="C57" s="26" t="s">
        <v>211</v>
      </c>
      <c r="D57" s="9" t="s">
        <v>2661</v>
      </c>
      <c r="E57" s="21" t="s">
        <v>2561</v>
      </c>
      <c r="F57" s="22" t="str">
        <f t="shared" si="1"/>
        <v>tcpsynnumber</v>
      </c>
      <c r="G57" s="22" t="s">
        <v>2335</v>
      </c>
      <c r="H57" s="21"/>
      <c r="I57" s="145"/>
      <c r="J57" s="25" t="s">
        <v>2562</v>
      </c>
      <c r="K57" s="25" t="s">
        <v>2341</v>
      </c>
      <c r="L57" s="25" t="s">
        <v>2341</v>
      </c>
    </row>
    <row r="58" spans="1:12" s="136" customFormat="1">
      <c r="A58" s="137"/>
      <c r="B58" s="138" t="s">
        <v>1321</v>
      </c>
      <c r="C58" s="26" t="s">
        <v>281</v>
      </c>
      <c r="D58" s="9" t="s">
        <v>1322</v>
      </c>
      <c r="E58" s="21" t="s">
        <v>2561</v>
      </c>
      <c r="F58" s="22" t="str">
        <f t="shared" si="1"/>
        <v>ul_session_ambr</v>
      </c>
      <c r="G58" s="22" t="s">
        <v>2335</v>
      </c>
      <c r="H58" s="21"/>
      <c r="I58" s="145"/>
      <c r="J58" s="25" t="s">
        <v>2562</v>
      </c>
      <c r="K58" s="25" t="s">
        <v>2341</v>
      </c>
      <c r="L58" s="25" t="s">
        <v>2341</v>
      </c>
    </row>
    <row r="59" spans="1:12" s="136" customFormat="1">
      <c r="A59" s="137"/>
      <c r="B59" s="138" t="s">
        <v>1323</v>
      </c>
      <c r="C59" s="26" t="s">
        <v>281</v>
      </c>
      <c r="D59" s="9" t="s">
        <v>1324</v>
      </c>
      <c r="E59" s="21" t="s">
        <v>2561</v>
      </c>
      <c r="F59" s="22" t="str">
        <f t="shared" si="1"/>
        <v>dl_session_ambr</v>
      </c>
      <c r="G59" s="22" t="s">
        <v>2335</v>
      </c>
      <c r="H59" s="21"/>
      <c r="I59" s="145"/>
      <c r="J59" s="25" t="s">
        <v>2562</v>
      </c>
      <c r="K59" s="25" t="s">
        <v>2341</v>
      </c>
      <c r="L59" s="25" t="s">
        <v>2341</v>
      </c>
    </row>
    <row r="60" spans="1:12" s="136" customFormat="1">
      <c r="A60" s="137"/>
      <c r="B60" s="138" t="s">
        <v>2662</v>
      </c>
      <c r="C60" s="26" t="s">
        <v>206</v>
      </c>
      <c r="D60" s="9" t="s">
        <v>2663</v>
      </c>
      <c r="E60" s="21" t="s">
        <v>2561</v>
      </c>
      <c r="F60" s="22" t="str">
        <f t="shared" si="1"/>
        <v>destination_url</v>
      </c>
      <c r="G60" s="22" t="s">
        <v>2335</v>
      </c>
      <c r="H60" s="21"/>
      <c r="I60" s="145"/>
      <c r="J60" s="25" t="s">
        <v>2562</v>
      </c>
      <c r="K60" s="25" t="s">
        <v>2341</v>
      </c>
      <c r="L60" s="25" t="s">
        <v>2341</v>
      </c>
    </row>
    <row r="61" spans="1:12" s="136" customFormat="1">
      <c r="A61" s="137"/>
      <c r="B61" s="138" t="s">
        <v>2664</v>
      </c>
      <c r="C61" s="26" t="s">
        <v>206</v>
      </c>
      <c r="D61" s="9" t="s">
        <v>2665</v>
      </c>
      <c r="E61" s="21" t="s">
        <v>2561</v>
      </c>
      <c r="F61" s="22" t="str">
        <f t="shared" si="1"/>
        <v>domain_name</v>
      </c>
      <c r="G61" s="22" t="s">
        <v>2335</v>
      </c>
      <c r="H61" s="21"/>
      <c r="I61" s="145"/>
      <c r="J61" s="25" t="s">
        <v>2562</v>
      </c>
      <c r="K61" s="25" t="s">
        <v>2341</v>
      </c>
      <c r="L61" s="25" t="s">
        <v>2341</v>
      </c>
    </row>
    <row r="62" spans="1:12" s="136" customFormat="1">
      <c r="A62" s="137"/>
      <c r="B62" s="138" t="s">
        <v>2666</v>
      </c>
      <c r="C62" s="26" t="s">
        <v>281</v>
      </c>
      <c r="D62" s="9" t="s">
        <v>2667</v>
      </c>
      <c r="E62" s="21" t="s">
        <v>2561</v>
      </c>
      <c r="F62" s="22" t="str">
        <f t="shared" si="1"/>
        <v>syntime</v>
      </c>
      <c r="G62" s="22" t="s">
        <v>2335</v>
      </c>
      <c r="H62" s="21"/>
      <c r="I62" s="145"/>
      <c r="J62" s="25" t="s">
        <v>2562</v>
      </c>
      <c r="K62" s="25" t="s">
        <v>2341</v>
      </c>
      <c r="L62" s="25" t="s">
        <v>2341</v>
      </c>
    </row>
    <row r="63" spans="1:12" s="136" customFormat="1">
      <c r="A63" s="137"/>
      <c r="B63" s="138" t="s">
        <v>2668</v>
      </c>
      <c r="C63" s="26" t="s">
        <v>281</v>
      </c>
      <c r="D63" s="9" t="s">
        <v>2669</v>
      </c>
      <c r="E63" s="21" t="s">
        <v>2561</v>
      </c>
      <c r="F63" s="22" t="str">
        <f t="shared" si="1"/>
        <v>first_fin_ack_time</v>
      </c>
      <c r="G63" s="22" t="s">
        <v>2335</v>
      </c>
      <c r="H63" s="21"/>
      <c r="I63" s="145"/>
      <c r="J63" s="25" t="s">
        <v>2562</v>
      </c>
      <c r="K63" s="25" t="s">
        <v>2341</v>
      </c>
      <c r="L63" s="25" t="s">
        <v>2341</v>
      </c>
    </row>
    <row r="64" spans="1:12" s="136" customFormat="1">
      <c r="A64" s="137"/>
      <c r="B64" s="138" t="s">
        <v>2670</v>
      </c>
      <c r="C64" s="26" t="s">
        <v>281</v>
      </c>
      <c r="D64" s="9" t="s">
        <v>2671</v>
      </c>
      <c r="E64" s="21" t="s">
        <v>2561</v>
      </c>
      <c r="F64" s="22" t="str">
        <f t="shared" si="1"/>
        <v>dnsquery_time</v>
      </c>
      <c r="G64" s="22" t="s">
        <v>2335</v>
      </c>
      <c r="H64" s="21"/>
      <c r="I64" s="145"/>
      <c r="J64" s="25" t="s">
        <v>2562</v>
      </c>
      <c r="K64" s="25" t="s">
        <v>2341</v>
      </c>
      <c r="L64" s="25" t="s">
        <v>2341</v>
      </c>
    </row>
    <row r="65" spans="1:17" s="136" customFormat="1">
      <c r="A65" s="137"/>
      <c r="B65" s="138" t="s">
        <v>2672</v>
      </c>
      <c r="C65" s="26" t="s">
        <v>281</v>
      </c>
      <c r="D65" s="9" t="s">
        <v>2673</v>
      </c>
      <c r="E65" s="21" t="s">
        <v>2561</v>
      </c>
      <c r="F65" s="22" t="str">
        <f t="shared" si="1"/>
        <v>dnsflow_id</v>
      </c>
      <c r="G65" s="22" t="s">
        <v>2335</v>
      </c>
      <c r="H65" s="21"/>
      <c r="I65" s="145"/>
      <c r="J65" s="25" t="s">
        <v>2562</v>
      </c>
      <c r="K65" s="25" t="s">
        <v>2341</v>
      </c>
      <c r="L65" s="25" t="s">
        <v>2341</v>
      </c>
    </row>
    <row r="66" spans="1:17" s="136" customFormat="1">
      <c r="A66" s="137"/>
      <c r="B66" s="138" t="s">
        <v>2674</v>
      </c>
      <c r="C66" s="26" t="s">
        <v>281</v>
      </c>
      <c r="D66" s="9" t="s">
        <v>2675</v>
      </c>
      <c r="E66" s="21" t="s">
        <v>2561</v>
      </c>
      <c r="F66" s="22" t="str">
        <f t="shared" ref="F66" si="2">B66</f>
        <v>sum_hand_shake_delay</v>
      </c>
      <c r="G66" s="22" t="s">
        <v>2335</v>
      </c>
      <c r="H66" s="21"/>
      <c r="I66" s="145"/>
      <c r="J66" s="25" t="s">
        <v>2562</v>
      </c>
      <c r="K66" s="25" t="s">
        <v>2341</v>
      </c>
      <c r="L66" s="25" t="s">
        <v>2341</v>
      </c>
    </row>
    <row r="67" spans="1:17" s="2" customFormat="1">
      <c r="B67" s="14" t="s">
        <v>222</v>
      </c>
      <c r="C67" s="15" t="s">
        <v>211</v>
      </c>
      <c r="D67" s="16" t="s">
        <v>344</v>
      </c>
      <c r="E67" s="69"/>
      <c r="F67" s="14"/>
      <c r="G67" s="14"/>
      <c r="H67" s="14"/>
      <c r="I67" s="123"/>
      <c r="J67" s="14"/>
      <c r="K67" s="14"/>
      <c r="L67" s="14"/>
      <c r="M67" s="14"/>
      <c r="N67" s="14"/>
      <c r="O67" s="14"/>
      <c r="P67" s="14"/>
      <c r="Q67" s="14"/>
    </row>
    <row r="68" spans="1:17" s="2" customFormat="1">
      <c r="B68" s="14" t="s">
        <v>0</v>
      </c>
      <c r="C68" s="15" t="s">
        <v>206</v>
      </c>
      <c r="D68" s="16" t="s">
        <v>345</v>
      </c>
      <c r="E68" s="69"/>
      <c r="F68" s="14"/>
      <c r="G68" s="14"/>
      <c r="H68" s="14"/>
      <c r="I68" s="123"/>
      <c r="J68" s="14"/>
      <c r="K68" s="14"/>
      <c r="L68" s="14"/>
      <c r="M68" s="14"/>
      <c r="N68" s="14"/>
      <c r="O68" s="14"/>
      <c r="P68" s="14"/>
      <c r="Q68" s="14"/>
    </row>
    <row r="69" spans="1:17" s="2" customFormat="1">
      <c r="B69" s="14" t="s">
        <v>1</v>
      </c>
      <c r="C69" s="15" t="s">
        <v>211</v>
      </c>
      <c r="D69" s="16" t="s">
        <v>346</v>
      </c>
      <c r="E69" s="69"/>
      <c r="F69" s="14"/>
      <c r="G69" s="14"/>
      <c r="H69" s="14"/>
      <c r="I69" s="123"/>
      <c r="J69" s="14"/>
      <c r="K69" s="14"/>
      <c r="L69" s="14"/>
      <c r="M69" s="14"/>
      <c r="N69" s="14"/>
      <c r="O69" s="14"/>
      <c r="P69" s="14"/>
      <c r="Q69" s="14"/>
    </row>
  </sheetData>
  <autoFilter ref="A13:Q69" xr:uid="{00000000-0009-0000-0000-000003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D8A97-2884-4290-8B2C-E42C4C6D4E27}">
  <dimension ref="A1:Q70"/>
  <sheetViews>
    <sheetView zoomScale="85" zoomScaleNormal="85" workbookViewId="0">
      <pane ySplit="5" topLeftCell="A51" activePane="bottomLeft" state="frozen"/>
      <selection activeCell="C18" sqref="C18"/>
      <selection pane="bottomLeft" activeCell="A68" sqref="A68:XFD175"/>
    </sheetView>
  </sheetViews>
  <sheetFormatPr defaultColWidth="9" defaultRowHeight="13.2"/>
  <cols>
    <col min="1" max="1" width="1.33203125" style="3" customWidth="1"/>
    <col min="2" max="2" width="23.6640625" style="3" customWidth="1"/>
    <col min="3" max="3" width="26.88671875" style="3" bestFit="1"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58"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c r="C5" s="145" t="s">
        <v>2532</v>
      </c>
      <c r="D5" s="145" t="s">
        <v>2566</v>
      </c>
      <c r="E5" s="12" t="s">
        <v>2547</v>
      </c>
      <c r="F5" s="61"/>
      <c r="G5" s="9"/>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145" t="s">
        <v>2567</v>
      </c>
      <c r="D9" s="10" t="s">
        <v>2568</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214</v>
      </c>
      <c r="C14" s="13" t="s">
        <v>211</v>
      </c>
      <c r="D14" s="9" t="s">
        <v>1232</v>
      </c>
      <c r="E14" s="21" t="s">
        <v>2561</v>
      </c>
      <c r="F14" s="22" t="str">
        <f>B14</f>
        <v>interface</v>
      </c>
      <c r="G14" s="22" t="s">
        <v>2335</v>
      </c>
      <c r="H14" s="23"/>
      <c r="I14" s="64"/>
      <c r="J14" s="25" t="s">
        <v>2562</v>
      </c>
      <c r="K14" s="25" t="s">
        <v>2341</v>
      </c>
      <c r="L14" s="25" t="s">
        <v>2341</v>
      </c>
    </row>
    <row r="15" spans="1:14" s="1" customFormat="1">
      <c r="B15" s="13" t="s">
        <v>249</v>
      </c>
      <c r="C15" s="13" t="s">
        <v>206</v>
      </c>
      <c r="D15" s="9" t="s">
        <v>2605</v>
      </c>
      <c r="E15" s="21" t="s">
        <v>2561</v>
      </c>
      <c r="F15" s="22" t="str">
        <f t="shared" ref="F15:F35" si="0">B15</f>
        <v>supi</v>
      </c>
      <c r="G15" s="22" t="s">
        <v>2335</v>
      </c>
      <c r="H15" s="23"/>
      <c r="I15" s="64"/>
      <c r="J15" s="25" t="s">
        <v>2562</v>
      </c>
      <c r="K15" s="25" t="s">
        <v>2341</v>
      </c>
      <c r="L15" s="25" t="s">
        <v>2341</v>
      </c>
    </row>
    <row r="16" spans="1:14" s="1" customFormat="1">
      <c r="A16" s="132"/>
      <c r="B16" s="13" t="s">
        <v>251</v>
      </c>
      <c r="C16" s="13" t="s">
        <v>206</v>
      </c>
      <c r="D16" s="9" t="s">
        <v>252</v>
      </c>
      <c r="E16" s="21" t="s">
        <v>2561</v>
      </c>
      <c r="F16" s="22" t="str">
        <f t="shared" si="0"/>
        <v>msisdn</v>
      </c>
      <c r="G16" s="22" t="s">
        <v>2335</v>
      </c>
      <c r="H16" s="23"/>
      <c r="I16" s="64"/>
      <c r="J16" s="25" t="s">
        <v>2562</v>
      </c>
      <c r="K16" s="25" t="s">
        <v>2341</v>
      </c>
      <c r="L16" s="25" t="s">
        <v>2341</v>
      </c>
    </row>
    <row r="17" spans="1:13" s="1" customFormat="1">
      <c r="A17" s="132"/>
      <c r="B17" s="13" t="s">
        <v>2606</v>
      </c>
      <c r="C17" s="13" t="s">
        <v>206</v>
      </c>
      <c r="D17" s="9" t="s">
        <v>2607</v>
      </c>
      <c r="E17" s="21" t="s">
        <v>2561</v>
      </c>
      <c r="F17" s="22" t="str">
        <f t="shared" si="0"/>
        <v>destinationip</v>
      </c>
      <c r="G17" s="22" t="s">
        <v>2335</v>
      </c>
      <c r="H17" s="23"/>
      <c r="I17" s="64"/>
      <c r="J17" s="25" t="s">
        <v>2562</v>
      </c>
      <c r="K17" s="25" t="s">
        <v>2341</v>
      </c>
      <c r="L17" s="25" t="s">
        <v>2341</v>
      </c>
    </row>
    <row r="18" spans="1:13" s="1" customFormat="1">
      <c r="A18" s="132"/>
      <c r="B18" s="13" t="s">
        <v>2608</v>
      </c>
      <c r="C18" s="13" t="s">
        <v>211</v>
      </c>
      <c r="D18" s="9" t="s">
        <v>2609</v>
      </c>
      <c r="E18" s="21" t="s">
        <v>2561</v>
      </c>
      <c r="F18" s="22" t="str">
        <f t="shared" si="0"/>
        <v>destinationport</v>
      </c>
      <c r="G18" s="22" t="s">
        <v>2335</v>
      </c>
      <c r="H18" s="23"/>
      <c r="I18" s="64"/>
      <c r="J18" s="25" t="s">
        <v>2562</v>
      </c>
      <c r="K18" s="25" t="s">
        <v>2341</v>
      </c>
      <c r="L18" s="25" t="s">
        <v>2341</v>
      </c>
    </row>
    <row r="19" spans="1:13" s="1" customFormat="1">
      <c r="A19" s="132"/>
      <c r="B19" s="12" t="s">
        <v>2610</v>
      </c>
      <c r="C19" s="13" t="s">
        <v>206</v>
      </c>
      <c r="D19" s="9" t="s">
        <v>2611</v>
      </c>
      <c r="E19" s="21" t="s">
        <v>2561</v>
      </c>
      <c r="F19" s="22" t="str">
        <f t="shared" si="0"/>
        <v>sourceip</v>
      </c>
      <c r="G19" s="22" t="s">
        <v>2335</v>
      </c>
      <c r="H19" s="23"/>
      <c r="I19" s="64"/>
      <c r="J19" s="25" t="s">
        <v>2562</v>
      </c>
      <c r="K19" s="25" t="s">
        <v>2341</v>
      </c>
      <c r="L19" s="25" t="s">
        <v>2341</v>
      </c>
    </row>
    <row r="20" spans="1:13" s="1" customFormat="1">
      <c r="A20" s="132"/>
      <c r="B20" s="12" t="s">
        <v>2612</v>
      </c>
      <c r="C20" s="13" t="s">
        <v>211</v>
      </c>
      <c r="D20" s="9" t="s">
        <v>2613</v>
      </c>
      <c r="E20" s="21" t="s">
        <v>2561</v>
      </c>
      <c r="F20" s="22" t="str">
        <f t="shared" si="0"/>
        <v>sourceport</v>
      </c>
      <c r="G20" s="22" t="s">
        <v>2335</v>
      </c>
      <c r="H20" s="23"/>
      <c r="I20" s="64"/>
      <c r="J20" s="25" t="s">
        <v>2562</v>
      </c>
      <c r="K20" s="25" t="s">
        <v>2341</v>
      </c>
      <c r="L20" s="25" t="s">
        <v>2341</v>
      </c>
    </row>
    <row r="21" spans="1:13" s="1" customFormat="1">
      <c r="A21" s="132"/>
      <c r="B21" s="12" t="s">
        <v>258</v>
      </c>
      <c r="C21" s="13" t="s">
        <v>206</v>
      </c>
      <c r="D21" s="9" t="s">
        <v>259</v>
      </c>
      <c r="E21" s="21" t="s">
        <v>2561</v>
      </c>
      <c r="F21" s="22" t="str">
        <f t="shared" si="0"/>
        <v>upfip</v>
      </c>
      <c r="G21" s="22" t="s">
        <v>2335</v>
      </c>
      <c r="H21" s="23"/>
      <c r="I21" s="64"/>
      <c r="J21" s="25" t="s">
        <v>2562</v>
      </c>
      <c r="K21" s="25" t="s">
        <v>2341</v>
      </c>
      <c r="L21" s="25" t="s">
        <v>2341</v>
      </c>
    </row>
    <row r="22" spans="1:13" s="1" customFormat="1">
      <c r="A22" s="132"/>
      <c r="B22" s="12" t="s">
        <v>2614</v>
      </c>
      <c r="C22" s="13" t="s">
        <v>206</v>
      </c>
      <c r="D22" s="9" t="s">
        <v>2615</v>
      </c>
      <c r="E22" s="21" t="s">
        <v>2561</v>
      </c>
      <c r="F22" s="22" t="str">
        <f t="shared" si="0"/>
        <v>ncgi_ecgi</v>
      </c>
      <c r="G22" s="22" t="s">
        <v>2335</v>
      </c>
      <c r="H22" s="23"/>
      <c r="I22" s="64"/>
      <c r="J22" s="25" t="s">
        <v>2562</v>
      </c>
      <c r="K22" s="25" t="s">
        <v>2341</v>
      </c>
      <c r="L22" s="25" t="s">
        <v>2341</v>
      </c>
    </row>
    <row r="23" spans="1:13" s="1" customFormat="1">
      <c r="A23" s="132"/>
      <c r="B23" s="12" t="s">
        <v>2616</v>
      </c>
      <c r="C23" s="12" t="s">
        <v>211</v>
      </c>
      <c r="D23" s="9" t="s">
        <v>2617</v>
      </c>
      <c r="E23" s="21" t="s">
        <v>2561</v>
      </c>
      <c r="F23" s="22" t="str">
        <f t="shared" si="0"/>
        <v>protocolid</v>
      </c>
      <c r="G23" s="22" t="s">
        <v>2335</v>
      </c>
      <c r="H23" s="23"/>
      <c r="I23" s="64"/>
      <c r="J23" s="25" t="s">
        <v>2562</v>
      </c>
      <c r="K23" s="25" t="s">
        <v>2341</v>
      </c>
      <c r="L23" s="25" t="s">
        <v>2341</v>
      </c>
    </row>
    <row r="24" spans="1:13" s="1" customFormat="1">
      <c r="A24" s="132"/>
      <c r="B24" s="12" t="s">
        <v>2618</v>
      </c>
      <c r="C24" s="12" t="s">
        <v>206</v>
      </c>
      <c r="D24" s="9" t="s">
        <v>2619</v>
      </c>
      <c r="E24" s="21" t="s">
        <v>2561</v>
      </c>
      <c r="F24" s="22" t="str">
        <f t="shared" si="0"/>
        <v>starttime</v>
      </c>
      <c r="G24" s="22" t="s">
        <v>2335</v>
      </c>
      <c r="H24" s="23"/>
      <c r="I24" s="64"/>
      <c r="J24" s="25" t="s">
        <v>2562</v>
      </c>
      <c r="K24" s="25" t="s">
        <v>2341</v>
      </c>
      <c r="L24" s="25" t="s">
        <v>2341</v>
      </c>
    </row>
    <row r="25" spans="1:13" s="1" customFormat="1">
      <c r="A25" s="132"/>
      <c r="B25" s="12" t="s">
        <v>2620</v>
      </c>
      <c r="C25" s="12" t="s">
        <v>206</v>
      </c>
      <c r="D25" s="9" t="s">
        <v>2621</v>
      </c>
      <c r="E25" s="21" t="s">
        <v>2561</v>
      </c>
      <c r="F25" s="22" t="str">
        <f t="shared" si="0"/>
        <v>endtime</v>
      </c>
      <c r="G25" s="22" t="s">
        <v>2335</v>
      </c>
      <c r="H25" s="23"/>
      <c r="I25" s="64"/>
      <c r="J25" s="25" t="s">
        <v>2562</v>
      </c>
      <c r="K25" s="25" t="s">
        <v>2341</v>
      </c>
      <c r="L25" s="25" t="s">
        <v>2341</v>
      </c>
    </row>
    <row r="26" spans="1:13" s="1" customFormat="1">
      <c r="A26" s="132"/>
      <c r="B26" s="12" t="s">
        <v>468</v>
      </c>
      <c r="C26" s="12" t="s">
        <v>281</v>
      </c>
      <c r="D26" s="9" t="s">
        <v>2622</v>
      </c>
      <c r="E26" s="21" t="s">
        <v>2561</v>
      </c>
      <c r="F26" s="22" t="str">
        <f t="shared" si="0"/>
        <v>duration</v>
      </c>
      <c r="G26" s="22" t="s">
        <v>2335</v>
      </c>
      <c r="H26" s="23"/>
      <c r="I26" s="64"/>
      <c r="J26" s="25" t="s">
        <v>2562</v>
      </c>
      <c r="K26" s="25" t="s">
        <v>2341</v>
      </c>
      <c r="L26" s="25" t="s">
        <v>2341</v>
      </c>
    </row>
    <row r="27" spans="1:13" s="1" customFormat="1">
      <c r="B27" s="13" t="s">
        <v>539</v>
      </c>
      <c r="C27" s="12" t="s">
        <v>281</v>
      </c>
      <c r="D27" s="9" t="s">
        <v>2623</v>
      </c>
      <c r="E27" s="21" t="s">
        <v>2561</v>
      </c>
      <c r="F27" s="22" t="str">
        <f t="shared" si="0"/>
        <v>inputoctets</v>
      </c>
      <c r="G27" s="22" t="s">
        <v>2335</v>
      </c>
      <c r="H27" s="23"/>
      <c r="I27" s="64"/>
      <c r="J27" s="25" t="s">
        <v>2562</v>
      </c>
      <c r="K27" s="25" t="s">
        <v>2341</v>
      </c>
      <c r="L27" s="25" t="s">
        <v>2341</v>
      </c>
    </row>
    <row r="28" spans="1:13" s="3" customFormat="1">
      <c r="B28" s="13" t="s">
        <v>535</v>
      </c>
      <c r="C28" s="13" t="s">
        <v>281</v>
      </c>
      <c r="D28" s="9" t="s">
        <v>2624</v>
      </c>
      <c r="E28" s="21" t="s">
        <v>2561</v>
      </c>
      <c r="F28" s="22" t="str">
        <f t="shared" si="0"/>
        <v>outputoctets</v>
      </c>
      <c r="G28" s="22" t="s">
        <v>2335</v>
      </c>
      <c r="H28" s="21"/>
      <c r="I28" s="64"/>
      <c r="J28" s="25" t="s">
        <v>2562</v>
      </c>
      <c r="K28" s="25" t="s">
        <v>2341</v>
      </c>
      <c r="L28" s="25" t="s">
        <v>2341</v>
      </c>
    </row>
    <row r="29" spans="1:13" s="136" customFormat="1">
      <c r="A29" s="137"/>
      <c r="B29" s="138" t="s">
        <v>542</v>
      </c>
      <c r="C29" s="13" t="s">
        <v>281</v>
      </c>
      <c r="D29" s="9" t="s">
        <v>543</v>
      </c>
      <c r="E29" s="21" t="s">
        <v>2561</v>
      </c>
      <c r="F29" s="22" t="str">
        <f t="shared" si="0"/>
        <v>inputpacket</v>
      </c>
      <c r="G29" s="22" t="s">
        <v>2335</v>
      </c>
      <c r="H29" s="23"/>
      <c r="I29" s="64"/>
      <c r="J29" s="25" t="s">
        <v>2562</v>
      </c>
      <c r="K29" s="25" t="s">
        <v>2341</v>
      </c>
      <c r="L29" s="25" t="s">
        <v>2341</v>
      </c>
      <c r="M29" s="1"/>
    </row>
    <row r="30" spans="1:13" s="136" customFormat="1">
      <c r="A30" s="137"/>
      <c r="B30" s="138" t="s">
        <v>545</v>
      </c>
      <c r="C30" s="13" t="s">
        <v>281</v>
      </c>
      <c r="D30" s="9" t="s">
        <v>546</v>
      </c>
      <c r="E30" s="21" t="s">
        <v>2561</v>
      </c>
      <c r="F30" s="22" t="str">
        <f t="shared" si="0"/>
        <v>outputpacket</v>
      </c>
      <c r="G30" s="22" t="s">
        <v>2335</v>
      </c>
      <c r="H30" s="23"/>
      <c r="I30" s="64"/>
      <c r="J30" s="25" t="s">
        <v>2562</v>
      </c>
      <c r="K30" s="25" t="s">
        <v>2341</v>
      </c>
      <c r="L30" s="25" t="s">
        <v>2341</v>
      </c>
      <c r="M30" s="1"/>
    </row>
    <row r="31" spans="1:13" s="136" customFormat="1">
      <c r="A31" s="137"/>
      <c r="B31" s="138" t="s">
        <v>2625</v>
      </c>
      <c r="C31" s="13" t="s">
        <v>206</v>
      </c>
      <c r="D31" s="9" t="s">
        <v>2626</v>
      </c>
      <c r="E31" s="21" t="s">
        <v>2561</v>
      </c>
      <c r="F31" s="22" t="str">
        <f t="shared" si="0"/>
        <v>pduconnectionid</v>
      </c>
      <c r="G31" s="22" t="s">
        <v>2335</v>
      </c>
      <c r="H31" s="23"/>
      <c r="I31" s="64"/>
      <c r="J31" s="25" t="s">
        <v>2562</v>
      </c>
      <c r="K31" s="25" t="s">
        <v>2341</v>
      </c>
      <c r="L31" s="25" t="s">
        <v>2341</v>
      </c>
      <c r="M31" s="1"/>
    </row>
    <row r="32" spans="1:13" s="136" customFormat="1">
      <c r="A32" s="137"/>
      <c r="B32" s="138" t="s">
        <v>2627</v>
      </c>
      <c r="C32" s="13" t="s">
        <v>211</v>
      </c>
      <c r="D32" s="9" t="s">
        <v>2628</v>
      </c>
      <c r="E32" s="21" t="s">
        <v>2561</v>
      </c>
      <c r="F32" s="22" t="str">
        <f t="shared" si="0"/>
        <v>recordclosecause</v>
      </c>
      <c r="G32" s="22" t="s">
        <v>2335</v>
      </c>
      <c r="H32" s="64"/>
      <c r="I32" s="64"/>
      <c r="J32" s="25" t="s">
        <v>2562</v>
      </c>
      <c r="K32" s="25" t="s">
        <v>2341</v>
      </c>
      <c r="L32" s="25" t="s">
        <v>2341</v>
      </c>
    </row>
    <row r="33" spans="1:13" s="136" customFormat="1">
      <c r="A33" s="137"/>
      <c r="B33" s="138" t="s">
        <v>262</v>
      </c>
      <c r="C33" s="13" t="s">
        <v>206</v>
      </c>
      <c r="D33" s="9" t="s">
        <v>263</v>
      </c>
      <c r="E33" s="21" t="s">
        <v>2561</v>
      </c>
      <c r="F33" s="22" t="str">
        <f t="shared" si="0"/>
        <v>gnbip</v>
      </c>
      <c r="G33" s="22" t="s">
        <v>2335</v>
      </c>
      <c r="H33" s="23"/>
      <c r="I33" s="64"/>
      <c r="J33" s="25" t="s">
        <v>2562</v>
      </c>
      <c r="K33" s="25" t="s">
        <v>2341</v>
      </c>
      <c r="L33" s="25" t="s">
        <v>2341</v>
      </c>
      <c r="M33" s="1"/>
    </row>
    <row r="34" spans="1:13" s="136" customFormat="1">
      <c r="A34" s="137"/>
      <c r="B34" s="138" t="s">
        <v>264</v>
      </c>
      <c r="C34" s="13" t="s">
        <v>206</v>
      </c>
      <c r="D34" s="9" t="s">
        <v>265</v>
      </c>
      <c r="E34" s="21" t="s">
        <v>2561</v>
      </c>
      <c r="F34" s="22" t="str">
        <f t="shared" si="0"/>
        <v>home_province</v>
      </c>
      <c r="G34" s="22" t="s">
        <v>2335</v>
      </c>
      <c r="H34" s="21"/>
      <c r="I34" s="145"/>
      <c r="J34" s="25" t="s">
        <v>2562</v>
      </c>
      <c r="K34" s="25" t="s">
        <v>2341</v>
      </c>
      <c r="L34" s="25" t="s">
        <v>2341</v>
      </c>
    </row>
    <row r="35" spans="1:13" s="136" customFormat="1">
      <c r="A35" s="137"/>
      <c r="B35" s="138" t="s">
        <v>270</v>
      </c>
      <c r="C35" s="13" t="s">
        <v>211</v>
      </c>
      <c r="D35" s="9" t="s">
        <v>745</v>
      </c>
      <c r="E35" s="21" t="s">
        <v>2561</v>
      </c>
      <c r="F35" s="22" t="str">
        <f t="shared" si="0"/>
        <v>l4protocol</v>
      </c>
      <c r="G35" s="22" t="s">
        <v>2335</v>
      </c>
      <c r="H35" s="21"/>
      <c r="I35" s="145"/>
      <c r="J35" s="25" t="s">
        <v>2562</v>
      </c>
      <c r="K35" s="25" t="s">
        <v>2341</v>
      </c>
      <c r="L35" s="25" t="s">
        <v>2341</v>
      </c>
    </row>
    <row r="36" spans="1:13" s="136" customFormat="1">
      <c r="A36" s="137"/>
      <c r="B36" s="138" t="s">
        <v>548</v>
      </c>
      <c r="C36" s="26" t="s">
        <v>281</v>
      </c>
      <c r="D36" s="9" t="s">
        <v>2629</v>
      </c>
      <c r="E36" s="21" t="s">
        <v>2561</v>
      </c>
      <c r="F36" s="22" t="str">
        <f t="shared" ref="F36:F67" si="1">B36</f>
        <v>ultcpreorderingpacket</v>
      </c>
      <c r="G36" s="22" t="s">
        <v>2335</v>
      </c>
      <c r="H36" s="21"/>
      <c r="I36" s="145"/>
      <c r="J36" s="25" t="s">
        <v>2562</v>
      </c>
      <c r="K36" s="25" t="s">
        <v>2341</v>
      </c>
      <c r="L36" s="25" t="s">
        <v>2341</v>
      </c>
    </row>
    <row r="37" spans="1:13" s="136" customFormat="1">
      <c r="A37" s="137"/>
      <c r="B37" s="138" t="s">
        <v>551</v>
      </c>
      <c r="C37" s="26" t="s">
        <v>281</v>
      </c>
      <c r="D37" s="9" t="s">
        <v>2630</v>
      </c>
      <c r="E37" s="21" t="s">
        <v>2561</v>
      </c>
      <c r="F37" s="22" t="str">
        <f t="shared" si="1"/>
        <v>dltcpreorderingpacket</v>
      </c>
      <c r="G37" s="22" t="s">
        <v>2335</v>
      </c>
      <c r="H37" s="21"/>
      <c r="I37" s="145"/>
      <c r="J37" s="25" t="s">
        <v>2562</v>
      </c>
      <c r="K37" s="25" t="s">
        <v>2341</v>
      </c>
      <c r="L37" s="25" t="s">
        <v>2341</v>
      </c>
    </row>
    <row r="38" spans="1:13" s="136" customFormat="1">
      <c r="A38" s="137"/>
      <c r="B38" s="138" t="s">
        <v>2631</v>
      </c>
      <c r="C38" s="26" t="s">
        <v>281</v>
      </c>
      <c r="D38" s="9" t="s">
        <v>2632</v>
      </c>
      <c r="E38" s="21" t="s">
        <v>2561</v>
      </c>
      <c r="F38" s="22" t="str">
        <f t="shared" si="1"/>
        <v>ultcp_retranspacket</v>
      </c>
      <c r="G38" s="22" t="s">
        <v>2335</v>
      </c>
      <c r="H38" s="21"/>
      <c r="I38" s="145"/>
      <c r="J38" s="25" t="s">
        <v>2562</v>
      </c>
      <c r="K38" s="25" t="s">
        <v>2341</v>
      </c>
      <c r="L38" s="25" t="s">
        <v>2341</v>
      </c>
    </row>
    <row r="39" spans="1:13" s="136" customFormat="1">
      <c r="A39" s="137"/>
      <c r="B39" s="138" t="s">
        <v>2633</v>
      </c>
      <c r="C39" s="26" t="s">
        <v>281</v>
      </c>
      <c r="D39" s="9" t="s">
        <v>2634</v>
      </c>
      <c r="E39" s="21" t="s">
        <v>2561</v>
      </c>
      <c r="F39" s="22" t="str">
        <f t="shared" si="1"/>
        <v>dltcp_retranspacket</v>
      </c>
      <c r="G39" s="22" t="s">
        <v>2335</v>
      </c>
      <c r="H39" s="21"/>
      <c r="I39" s="145"/>
      <c r="J39" s="25" t="s">
        <v>2562</v>
      </c>
      <c r="K39" s="25" t="s">
        <v>2341</v>
      </c>
      <c r="L39" s="25" t="s">
        <v>2341</v>
      </c>
    </row>
    <row r="40" spans="1:13" s="136" customFormat="1">
      <c r="A40" s="137"/>
      <c r="B40" s="138" t="s">
        <v>2635</v>
      </c>
      <c r="C40" s="26" t="s">
        <v>281</v>
      </c>
      <c r="D40" s="9" t="s">
        <v>2636</v>
      </c>
      <c r="E40" s="21" t="s">
        <v>2561</v>
      </c>
      <c r="F40" s="22" t="str">
        <f t="shared" si="1"/>
        <v>tcpsetupresponsedelay</v>
      </c>
      <c r="G40" s="22" t="s">
        <v>2335</v>
      </c>
      <c r="H40" s="21"/>
      <c r="I40" s="145"/>
      <c r="J40" s="25" t="s">
        <v>2562</v>
      </c>
      <c r="K40" s="25" t="s">
        <v>2341</v>
      </c>
      <c r="L40" s="25" t="s">
        <v>2341</v>
      </c>
    </row>
    <row r="41" spans="1:13" s="136" customFormat="1">
      <c r="A41" s="137"/>
      <c r="B41" s="138" t="s">
        <v>2637</v>
      </c>
      <c r="C41" s="26" t="s">
        <v>281</v>
      </c>
      <c r="D41" s="9" t="s">
        <v>2638</v>
      </c>
      <c r="E41" s="21" t="s">
        <v>2561</v>
      </c>
      <c r="F41" s="22" t="str">
        <f t="shared" si="1"/>
        <v>tcpsetupackdelay</v>
      </c>
      <c r="G41" s="22" t="s">
        <v>2335</v>
      </c>
      <c r="H41" s="21"/>
      <c r="I41" s="145"/>
      <c r="J41" s="25" t="s">
        <v>2562</v>
      </c>
      <c r="K41" s="25" t="s">
        <v>2341</v>
      </c>
      <c r="L41" s="25" t="s">
        <v>2341</v>
      </c>
    </row>
    <row r="42" spans="1:13" s="136" customFormat="1">
      <c r="A42" s="137"/>
      <c r="B42" s="138" t="s">
        <v>2639</v>
      </c>
      <c r="C42" s="26" t="s">
        <v>211</v>
      </c>
      <c r="D42" s="9" t="s">
        <v>2640</v>
      </c>
      <c r="E42" s="21" t="s">
        <v>2561</v>
      </c>
      <c r="F42" s="22" t="str">
        <f t="shared" si="1"/>
        <v>tcpconnectstate</v>
      </c>
      <c r="G42" s="22" t="s">
        <v>2335</v>
      </c>
      <c r="H42" s="21"/>
      <c r="I42" s="145"/>
      <c r="J42" s="25" t="s">
        <v>2562</v>
      </c>
      <c r="K42" s="25" t="s">
        <v>2341</v>
      </c>
      <c r="L42" s="25" t="s">
        <v>2341</v>
      </c>
    </row>
    <row r="43" spans="1:13" s="136" customFormat="1">
      <c r="A43" s="137"/>
      <c r="B43" s="138" t="s">
        <v>566</v>
      </c>
      <c r="C43" s="26" t="s">
        <v>281</v>
      </c>
      <c r="D43" s="9" t="s">
        <v>567</v>
      </c>
      <c r="E43" s="21" t="s">
        <v>2561</v>
      </c>
      <c r="F43" s="22" t="str">
        <f t="shared" si="1"/>
        <v>ul_data_transduration</v>
      </c>
      <c r="G43" s="22" t="s">
        <v>2335</v>
      </c>
      <c r="H43" s="21"/>
      <c r="I43" s="145"/>
      <c r="J43" s="25" t="s">
        <v>2562</v>
      </c>
      <c r="K43" s="25" t="s">
        <v>2341</v>
      </c>
      <c r="L43" s="25" t="s">
        <v>2341</v>
      </c>
    </row>
    <row r="44" spans="1:13" s="136" customFormat="1">
      <c r="A44" s="137"/>
      <c r="B44" s="138" t="s">
        <v>2641</v>
      </c>
      <c r="C44" s="26" t="s">
        <v>281</v>
      </c>
      <c r="D44" s="9" t="s">
        <v>570</v>
      </c>
      <c r="E44" s="21" t="s">
        <v>2561</v>
      </c>
      <c r="F44" s="22" t="str">
        <f t="shared" si="1"/>
        <v>dl_datatransduration</v>
      </c>
      <c r="G44" s="22" t="s">
        <v>2335</v>
      </c>
      <c r="H44" s="21"/>
      <c r="I44" s="145"/>
      <c r="J44" s="25" t="s">
        <v>2562</v>
      </c>
      <c r="K44" s="25" t="s">
        <v>2341</v>
      </c>
      <c r="L44" s="25" t="s">
        <v>2341</v>
      </c>
    </row>
    <row r="45" spans="1:13" s="136" customFormat="1">
      <c r="A45" s="137"/>
      <c r="B45" s="138" t="s">
        <v>2642</v>
      </c>
      <c r="C45" s="26" t="s">
        <v>281</v>
      </c>
      <c r="D45" s="9" t="s">
        <v>2643</v>
      </c>
      <c r="E45" s="21" t="s">
        <v>2561</v>
      </c>
      <c r="F45" s="22" t="str">
        <f t="shared" si="1"/>
        <v>ul_average_packet_size</v>
      </c>
      <c r="G45" s="22" t="s">
        <v>2335</v>
      </c>
      <c r="H45" s="21"/>
      <c r="I45" s="145"/>
      <c r="J45" s="25" t="s">
        <v>2562</v>
      </c>
      <c r="K45" s="25" t="s">
        <v>2341</v>
      </c>
      <c r="L45" s="25" t="s">
        <v>2341</v>
      </c>
    </row>
    <row r="46" spans="1:13" s="136" customFormat="1">
      <c r="A46" s="137"/>
      <c r="B46" s="138" t="s">
        <v>2644</v>
      </c>
      <c r="C46" s="26" t="s">
        <v>281</v>
      </c>
      <c r="D46" s="9" t="s">
        <v>2645</v>
      </c>
      <c r="E46" s="21" t="s">
        <v>2561</v>
      </c>
      <c r="F46" s="22" t="str">
        <f t="shared" si="1"/>
        <v>dl_average_packet_size</v>
      </c>
      <c r="G46" s="22" t="s">
        <v>2335</v>
      </c>
      <c r="H46" s="21"/>
      <c r="I46" s="145"/>
      <c r="J46" s="25" t="s">
        <v>2562</v>
      </c>
      <c r="K46" s="25" t="s">
        <v>2341</v>
      </c>
      <c r="L46" s="25" t="s">
        <v>2341</v>
      </c>
    </row>
    <row r="47" spans="1:13" s="136" customFormat="1">
      <c r="A47" s="137"/>
      <c r="B47" s="138" t="s">
        <v>2646</v>
      </c>
      <c r="C47" s="26" t="s">
        <v>281</v>
      </c>
      <c r="D47" s="9" t="s">
        <v>2647</v>
      </c>
      <c r="E47" s="21" t="s">
        <v>2561</v>
      </c>
      <c r="F47" s="22" t="str">
        <f t="shared" si="1"/>
        <v>ul_average_interval</v>
      </c>
      <c r="G47" s="22" t="s">
        <v>2335</v>
      </c>
      <c r="H47" s="21"/>
      <c r="I47" s="145"/>
      <c r="J47" s="25" t="s">
        <v>2562</v>
      </c>
      <c r="K47" s="25" t="s">
        <v>2341</v>
      </c>
      <c r="L47" s="25" t="s">
        <v>2341</v>
      </c>
    </row>
    <row r="48" spans="1:13" s="136" customFormat="1">
      <c r="A48" s="137"/>
      <c r="B48" s="138" t="s">
        <v>2648</v>
      </c>
      <c r="C48" s="26" t="s">
        <v>281</v>
      </c>
      <c r="D48" s="9" t="s">
        <v>2649</v>
      </c>
      <c r="E48" s="21" t="s">
        <v>2561</v>
      </c>
      <c r="F48" s="22" t="str">
        <f t="shared" si="1"/>
        <v>dl_average_interval</v>
      </c>
      <c r="G48" s="22" t="s">
        <v>2335</v>
      </c>
      <c r="H48" s="21"/>
      <c r="I48" s="145"/>
      <c r="J48" s="25" t="s">
        <v>2562</v>
      </c>
      <c r="K48" s="25" t="s">
        <v>2341</v>
      </c>
      <c r="L48" s="25" t="s">
        <v>2341</v>
      </c>
    </row>
    <row r="49" spans="1:12" s="136" customFormat="1">
      <c r="A49" s="137"/>
      <c r="B49" s="138" t="s">
        <v>2650</v>
      </c>
      <c r="C49" s="26" t="s">
        <v>281</v>
      </c>
      <c r="D49" s="9" t="s">
        <v>2651</v>
      </c>
      <c r="E49" s="21" t="s">
        <v>2561</v>
      </c>
      <c r="F49" s="22" t="str">
        <f t="shared" si="1"/>
        <v>ul_average_jitter</v>
      </c>
      <c r="G49" s="22" t="s">
        <v>2335</v>
      </c>
      <c r="H49" s="21"/>
      <c r="I49" s="145"/>
      <c r="J49" s="25" t="s">
        <v>2562</v>
      </c>
      <c r="K49" s="25" t="s">
        <v>2341</v>
      </c>
      <c r="L49" s="25" t="s">
        <v>2341</v>
      </c>
    </row>
    <row r="50" spans="1:12" s="136" customFormat="1">
      <c r="A50" s="137"/>
      <c r="B50" s="138" t="s">
        <v>2652</v>
      </c>
      <c r="C50" s="26" t="s">
        <v>281</v>
      </c>
      <c r="D50" s="9" t="s">
        <v>2653</v>
      </c>
      <c r="E50" s="21" t="s">
        <v>2561</v>
      </c>
      <c r="F50" s="22" t="str">
        <f t="shared" si="1"/>
        <v>dl_average_jitter</v>
      </c>
      <c r="G50" s="22" t="s">
        <v>2335</v>
      </c>
      <c r="H50" s="21"/>
      <c r="I50" s="145"/>
      <c r="J50" s="25" t="s">
        <v>2562</v>
      </c>
      <c r="K50" s="25" t="s">
        <v>2341</v>
      </c>
      <c r="L50" s="25" t="s">
        <v>2341</v>
      </c>
    </row>
    <row r="51" spans="1:12" s="136" customFormat="1">
      <c r="A51" s="137"/>
      <c r="B51" s="138" t="s">
        <v>2654</v>
      </c>
      <c r="C51" s="26" t="s">
        <v>281</v>
      </c>
      <c r="D51" s="9" t="s">
        <v>2655</v>
      </c>
      <c r="E51" s="21" t="s">
        <v>2561</v>
      </c>
      <c r="F51" s="22" t="str">
        <f t="shared" si="1"/>
        <v>flowid</v>
      </c>
      <c r="G51" s="22" t="s">
        <v>2335</v>
      </c>
      <c r="H51" s="21"/>
      <c r="I51" s="145"/>
      <c r="J51" s="25" t="s">
        <v>2562</v>
      </c>
      <c r="K51" s="25" t="s">
        <v>2341</v>
      </c>
      <c r="L51" s="25" t="s">
        <v>2341</v>
      </c>
    </row>
    <row r="52" spans="1:12" s="136" customFormat="1">
      <c r="A52" s="137"/>
      <c r="B52" s="138" t="s">
        <v>254</v>
      </c>
      <c r="C52" s="26" t="s">
        <v>206</v>
      </c>
      <c r="D52" s="9" t="s">
        <v>739</v>
      </c>
      <c r="E52" s="21" t="s">
        <v>2561</v>
      </c>
      <c r="F52" s="22" t="str">
        <f t="shared" si="1"/>
        <v>pei</v>
      </c>
      <c r="G52" s="22" t="s">
        <v>2335</v>
      </c>
      <c r="H52" s="21"/>
      <c r="I52" s="145"/>
      <c r="J52" s="25" t="s">
        <v>2562</v>
      </c>
      <c r="K52" s="25" t="s">
        <v>2341</v>
      </c>
      <c r="L52" s="25" t="s">
        <v>2341</v>
      </c>
    </row>
    <row r="53" spans="1:12" s="136" customFormat="1">
      <c r="A53" s="137"/>
      <c r="B53" s="138" t="s">
        <v>256</v>
      </c>
      <c r="C53" s="26" t="s">
        <v>206</v>
      </c>
      <c r="D53" s="9" t="s">
        <v>743</v>
      </c>
      <c r="E53" s="21" t="s">
        <v>2561</v>
      </c>
      <c r="F53" s="22" t="str">
        <f t="shared" si="1"/>
        <v>dnn_apn</v>
      </c>
      <c r="G53" s="22" t="s">
        <v>2335</v>
      </c>
      <c r="H53" s="21"/>
      <c r="I53" s="145"/>
      <c r="J53" s="25" t="s">
        <v>2562</v>
      </c>
      <c r="K53" s="25" t="s">
        <v>2341</v>
      </c>
      <c r="L53" s="25" t="s">
        <v>2341</v>
      </c>
    </row>
    <row r="54" spans="1:12" s="136" customFormat="1">
      <c r="A54" s="137"/>
      <c r="B54" s="138" t="s">
        <v>260</v>
      </c>
      <c r="C54" s="26" t="s">
        <v>206</v>
      </c>
      <c r="D54" s="9" t="s">
        <v>261</v>
      </c>
      <c r="E54" s="21" t="s">
        <v>2561</v>
      </c>
      <c r="F54" s="22" t="str">
        <f t="shared" si="1"/>
        <v>servicetype</v>
      </c>
      <c r="G54" s="22" t="s">
        <v>2335</v>
      </c>
      <c r="H54" s="21"/>
      <c r="I54" s="145"/>
      <c r="J54" s="25" t="s">
        <v>2562</v>
      </c>
      <c r="K54" s="25" t="s">
        <v>2341</v>
      </c>
      <c r="L54" s="25" t="s">
        <v>2341</v>
      </c>
    </row>
    <row r="55" spans="1:12" s="136" customFormat="1">
      <c r="A55" s="137"/>
      <c r="B55" s="138" t="s">
        <v>2656</v>
      </c>
      <c r="C55" s="26" t="s">
        <v>281</v>
      </c>
      <c r="D55" s="9" t="s">
        <v>2676</v>
      </c>
      <c r="E55" s="21" t="s">
        <v>2561</v>
      </c>
      <c r="F55" s="22" t="str">
        <f t="shared" si="1"/>
        <v>delay_setup_firsttransaction</v>
      </c>
      <c r="G55" s="22" t="s">
        <v>2335</v>
      </c>
      <c r="H55" s="21"/>
      <c r="I55" s="145"/>
      <c r="J55" s="25" t="s">
        <v>2562</v>
      </c>
      <c r="K55" s="25" t="s">
        <v>2341</v>
      </c>
      <c r="L55" s="25" t="s">
        <v>2341</v>
      </c>
    </row>
    <row r="56" spans="1:12" s="136" customFormat="1" ht="26.4">
      <c r="A56" s="137"/>
      <c r="B56" s="138" t="s">
        <v>2658</v>
      </c>
      <c r="C56" s="26" t="s">
        <v>281</v>
      </c>
      <c r="D56" s="9" t="s">
        <v>2677</v>
      </c>
      <c r="E56" s="21" t="s">
        <v>2561</v>
      </c>
      <c r="F56" s="22" t="str">
        <f t="shared" si="1"/>
        <v>delay_firsttransaction_firstrespackt</v>
      </c>
      <c r="G56" s="22" t="s">
        <v>2335</v>
      </c>
      <c r="H56" s="21"/>
      <c r="I56" s="145"/>
      <c r="J56" s="25" t="s">
        <v>2562</v>
      </c>
      <c r="K56" s="25" t="s">
        <v>2341</v>
      </c>
      <c r="L56" s="25" t="s">
        <v>2341</v>
      </c>
    </row>
    <row r="57" spans="1:12" s="136" customFormat="1">
      <c r="A57" s="137"/>
      <c r="B57" s="138" t="s">
        <v>2660</v>
      </c>
      <c r="C57" s="26" t="s">
        <v>211</v>
      </c>
      <c r="D57" s="9" t="s">
        <v>2678</v>
      </c>
      <c r="E57" s="21" t="s">
        <v>2561</v>
      </c>
      <c r="F57" s="22" t="str">
        <f t="shared" si="1"/>
        <v>tcpsynnumber</v>
      </c>
      <c r="G57" s="22" t="s">
        <v>2335</v>
      </c>
      <c r="H57" s="21"/>
      <c r="I57" s="145"/>
      <c r="J57" s="25" t="s">
        <v>2562</v>
      </c>
      <c r="K57" s="25" t="s">
        <v>2341</v>
      </c>
      <c r="L57" s="25" t="s">
        <v>2341</v>
      </c>
    </row>
    <row r="58" spans="1:12" s="136" customFormat="1">
      <c r="A58" s="137"/>
      <c r="B58" s="138" t="s">
        <v>1321</v>
      </c>
      <c r="C58" s="26" t="s">
        <v>281</v>
      </c>
      <c r="D58" s="9" t="s">
        <v>1321</v>
      </c>
      <c r="E58" s="21" t="s">
        <v>2561</v>
      </c>
      <c r="F58" s="22" t="str">
        <f t="shared" si="1"/>
        <v>ul_session_ambr</v>
      </c>
      <c r="G58" s="22" t="s">
        <v>2335</v>
      </c>
      <c r="H58" s="21"/>
      <c r="I58" s="145"/>
      <c r="J58" s="25" t="s">
        <v>2562</v>
      </c>
      <c r="K58" s="25" t="s">
        <v>2341</v>
      </c>
      <c r="L58" s="25" t="s">
        <v>2341</v>
      </c>
    </row>
    <row r="59" spans="1:12" s="136" customFormat="1">
      <c r="A59" s="137"/>
      <c r="B59" s="138" t="s">
        <v>1323</v>
      </c>
      <c r="C59" s="26" t="s">
        <v>281</v>
      </c>
      <c r="D59" s="9" t="s">
        <v>1323</v>
      </c>
      <c r="E59" s="21" t="s">
        <v>2561</v>
      </c>
      <c r="F59" s="22" t="str">
        <f t="shared" si="1"/>
        <v>dl_session_ambr</v>
      </c>
      <c r="G59" s="22" t="s">
        <v>2335</v>
      </c>
      <c r="H59" s="21"/>
      <c r="I59" s="145"/>
      <c r="J59" s="25" t="s">
        <v>2562</v>
      </c>
      <c r="K59" s="25" t="s">
        <v>2341</v>
      </c>
      <c r="L59" s="25" t="s">
        <v>2341</v>
      </c>
    </row>
    <row r="60" spans="1:12" s="136" customFormat="1">
      <c r="A60" s="137"/>
      <c r="B60" s="138" t="s">
        <v>2662</v>
      </c>
      <c r="C60" s="26" t="s">
        <v>206</v>
      </c>
      <c r="D60" s="9" t="s">
        <v>2663</v>
      </c>
      <c r="E60" s="21" t="s">
        <v>2561</v>
      </c>
      <c r="F60" s="22" t="str">
        <f t="shared" si="1"/>
        <v>destination_url</v>
      </c>
      <c r="G60" s="22" t="s">
        <v>2335</v>
      </c>
      <c r="H60" s="21"/>
      <c r="I60" s="145"/>
      <c r="J60" s="25" t="s">
        <v>2562</v>
      </c>
      <c r="K60" s="25" t="s">
        <v>2341</v>
      </c>
      <c r="L60" s="25" t="s">
        <v>2341</v>
      </c>
    </row>
    <row r="61" spans="1:12" s="136" customFormat="1">
      <c r="A61" s="137"/>
      <c r="B61" s="138" t="s">
        <v>2664</v>
      </c>
      <c r="C61" s="26" t="s">
        <v>206</v>
      </c>
      <c r="D61" s="9" t="s">
        <v>2665</v>
      </c>
      <c r="E61" s="21" t="s">
        <v>2561</v>
      </c>
      <c r="F61" s="22" t="str">
        <f t="shared" si="1"/>
        <v>domain_name</v>
      </c>
      <c r="G61" s="22" t="s">
        <v>2335</v>
      </c>
      <c r="H61" s="21"/>
      <c r="I61" s="145"/>
      <c r="J61" s="25" t="s">
        <v>2562</v>
      </c>
      <c r="K61" s="25" t="s">
        <v>2341</v>
      </c>
      <c r="L61" s="25" t="s">
        <v>2341</v>
      </c>
    </row>
    <row r="62" spans="1:12" s="136" customFormat="1">
      <c r="A62" s="137"/>
      <c r="B62" s="138" t="s">
        <v>2679</v>
      </c>
      <c r="C62" s="26" t="s">
        <v>211</v>
      </c>
      <c r="D62" s="9" t="s">
        <v>2680</v>
      </c>
      <c r="E62" s="21" t="s">
        <v>2561</v>
      </c>
      <c r="F62" s="22" t="str">
        <f t="shared" si="1"/>
        <v>httpstatus</v>
      </c>
      <c r="G62" s="22" t="s">
        <v>2335</v>
      </c>
      <c r="H62" s="21"/>
      <c r="I62" s="145"/>
      <c r="J62" s="25" t="s">
        <v>2562</v>
      </c>
      <c r="K62" s="25" t="s">
        <v>2341</v>
      </c>
      <c r="L62" s="25" t="s">
        <v>2341</v>
      </c>
    </row>
    <row r="63" spans="1:12" s="136" customFormat="1">
      <c r="A63" s="137"/>
      <c r="B63" s="138" t="s">
        <v>2681</v>
      </c>
      <c r="C63" s="26" t="s">
        <v>281</v>
      </c>
      <c r="D63" s="9" t="s">
        <v>2682</v>
      </c>
      <c r="E63" s="21" t="s">
        <v>2561</v>
      </c>
      <c r="F63" s="22" t="str">
        <f t="shared" si="1"/>
        <v>resp_delay</v>
      </c>
      <c r="G63" s="22" t="s">
        <v>2335</v>
      </c>
      <c r="H63" s="21"/>
      <c r="I63" s="145"/>
      <c r="J63" s="25" t="s">
        <v>2562</v>
      </c>
      <c r="K63" s="25" t="s">
        <v>2341</v>
      </c>
      <c r="L63" s="25" t="s">
        <v>2341</v>
      </c>
    </row>
    <row r="64" spans="1:12" s="136" customFormat="1">
      <c r="A64" s="137"/>
      <c r="B64" s="138" t="s">
        <v>2666</v>
      </c>
      <c r="C64" s="26" t="s">
        <v>281</v>
      </c>
      <c r="D64" s="9" t="s">
        <v>2683</v>
      </c>
      <c r="E64" s="21" t="s">
        <v>2561</v>
      </c>
      <c r="F64" s="22" t="str">
        <f t="shared" si="1"/>
        <v>syntime</v>
      </c>
      <c r="G64" s="22" t="s">
        <v>2335</v>
      </c>
      <c r="H64" s="21"/>
      <c r="I64" s="145"/>
      <c r="J64" s="25" t="s">
        <v>2562</v>
      </c>
      <c r="K64" s="25" t="s">
        <v>2341</v>
      </c>
      <c r="L64" s="25" t="s">
        <v>2341</v>
      </c>
    </row>
    <row r="65" spans="1:17" s="136" customFormat="1">
      <c r="A65" s="137"/>
      <c r="B65" s="138" t="s">
        <v>2668</v>
      </c>
      <c r="C65" s="26" t="s">
        <v>281</v>
      </c>
      <c r="D65" s="9" t="s">
        <v>2669</v>
      </c>
      <c r="E65" s="21" t="s">
        <v>2561</v>
      </c>
      <c r="F65" s="22" t="str">
        <f t="shared" si="1"/>
        <v>first_fin_ack_time</v>
      </c>
      <c r="G65" s="22" t="s">
        <v>2335</v>
      </c>
      <c r="H65" s="21"/>
      <c r="I65" s="145"/>
      <c r="J65" s="25" t="s">
        <v>2562</v>
      </c>
      <c r="K65" s="25" t="s">
        <v>2341</v>
      </c>
      <c r="L65" s="25" t="s">
        <v>2341</v>
      </c>
    </row>
    <row r="66" spans="1:17" s="136" customFormat="1">
      <c r="A66" s="137"/>
      <c r="B66" s="138" t="s">
        <v>2670</v>
      </c>
      <c r="C66" s="26" t="s">
        <v>281</v>
      </c>
      <c r="D66" s="9" t="s">
        <v>2671</v>
      </c>
      <c r="E66" s="21" t="s">
        <v>2561</v>
      </c>
      <c r="F66" s="22" t="str">
        <f t="shared" si="1"/>
        <v>dnsquery_time</v>
      </c>
      <c r="G66" s="22" t="s">
        <v>2335</v>
      </c>
      <c r="H66" s="21"/>
      <c r="I66" s="145"/>
      <c r="J66" s="25" t="s">
        <v>2562</v>
      </c>
      <c r="K66" s="25" t="s">
        <v>2341</v>
      </c>
      <c r="L66" s="25" t="s">
        <v>2341</v>
      </c>
    </row>
    <row r="67" spans="1:17" s="136" customFormat="1">
      <c r="A67" s="137"/>
      <c r="B67" s="138" t="s">
        <v>2672</v>
      </c>
      <c r="C67" s="26" t="s">
        <v>281</v>
      </c>
      <c r="D67" s="9" t="s">
        <v>2673</v>
      </c>
      <c r="E67" s="21" t="s">
        <v>2561</v>
      </c>
      <c r="F67" s="22" t="str">
        <f t="shared" si="1"/>
        <v>dnsflow_id</v>
      </c>
      <c r="G67" s="22" t="s">
        <v>2335</v>
      </c>
      <c r="H67" s="21"/>
      <c r="I67" s="145"/>
      <c r="J67" s="25" t="s">
        <v>2562</v>
      </c>
      <c r="K67" s="25" t="s">
        <v>2341</v>
      </c>
      <c r="L67" s="25" t="s">
        <v>2341</v>
      </c>
    </row>
    <row r="68" spans="1:17" s="2" customFormat="1">
      <c r="B68" s="14" t="s">
        <v>222</v>
      </c>
      <c r="C68" s="15" t="s">
        <v>211</v>
      </c>
      <c r="D68" s="16" t="s">
        <v>344</v>
      </c>
      <c r="E68" s="69"/>
      <c r="F68" s="14"/>
      <c r="G68" s="14"/>
      <c r="H68" s="14"/>
      <c r="I68" s="123"/>
      <c r="J68" s="14"/>
      <c r="K68" s="14"/>
      <c r="L68" s="14"/>
      <c r="M68" s="14"/>
      <c r="N68" s="14"/>
      <c r="O68" s="14"/>
      <c r="P68" s="14"/>
      <c r="Q68" s="14"/>
    </row>
    <row r="69" spans="1:17" s="2" customFormat="1">
      <c r="B69" s="14" t="s">
        <v>0</v>
      </c>
      <c r="C69" s="15" t="s">
        <v>206</v>
      </c>
      <c r="D69" s="16" t="s">
        <v>345</v>
      </c>
      <c r="E69" s="69"/>
      <c r="F69" s="14"/>
      <c r="G69" s="14"/>
      <c r="H69" s="14"/>
      <c r="I69" s="123"/>
      <c r="J69" s="14"/>
      <c r="K69" s="14"/>
      <c r="L69" s="14"/>
      <c r="M69" s="14"/>
      <c r="N69" s="14"/>
      <c r="O69" s="14"/>
      <c r="P69" s="14"/>
      <c r="Q69" s="14"/>
    </row>
    <row r="70" spans="1:17" s="2" customFormat="1">
      <c r="B70" s="14" t="s">
        <v>1</v>
      </c>
      <c r="C70" s="15" t="s">
        <v>211</v>
      </c>
      <c r="D70" s="16" t="s">
        <v>346</v>
      </c>
      <c r="E70" s="69"/>
      <c r="F70" s="14"/>
      <c r="G70" s="14"/>
      <c r="H70" s="14"/>
      <c r="I70" s="123"/>
      <c r="J70" s="14"/>
      <c r="K70" s="14"/>
      <c r="L70" s="14"/>
      <c r="M70" s="14"/>
      <c r="N70" s="14"/>
      <c r="O70" s="14"/>
      <c r="P70" s="14"/>
      <c r="Q70" s="14"/>
    </row>
  </sheetData>
  <autoFilter ref="A13:Q70" xr:uid="{00000000-0009-0000-0000-000003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B55F6-FAF9-4D9C-8A5F-7AB932894246}">
  <dimension ref="A1:Q61"/>
  <sheetViews>
    <sheetView zoomScale="85" zoomScaleNormal="85" workbookViewId="0">
      <pane ySplit="5" topLeftCell="A6" activePane="bottomLeft" state="frozen"/>
      <selection activeCell="C18" sqref="C18"/>
      <selection pane="bottomLeft" activeCell="A59" sqref="A59:XFD74"/>
    </sheetView>
  </sheetViews>
  <sheetFormatPr defaultColWidth="9" defaultRowHeight="13.2"/>
  <cols>
    <col min="1" max="1" width="1.33203125" style="3" customWidth="1"/>
    <col min="2" max="2" width="23.6640625" style="3" customWidth="1"/>
    <col min="3" max="3" width="26.88671875" style="3" bestFit="1"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58"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c r="C5" s="145" t="s">
        <v>2540</v>
      </c>
      <c r="D5" s="145" t="s">
        <v>2569</v>
      </c>
      <c r="E5" s="12" t="s">
        <v>2547</v>
      </c>
      <c r="F5" s="61"/>
      <c r="G5" s="9"/>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145" t="s">
        <v>2570</v>
      </c>
      <c r="D9" s="10" t="s">
        <v>2571</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214</v>
      </c>
      <c r="C14" s="13" t="s">
        <v>211</v>
      </c>
      <c r="D14" s="9" t="s">
        <v>1232</v>
      </c>
      <c r="E14" s="21" t="s">
        <v>2561</v>
      </c>
      <c r="F14" s="22" t="str">
        <f>B14</f>
        <v>interface</v>
      </c>
      <c r="G14" s="22" t="s">
        <v>2335</v>
      </c>
      <c r="H14" s="23"/>
      <c r="I14" s="64"/>
      <c r="J14" s="25" t="s">
        <v>2562</v>
      </c>
      <c r="K14" s="25" t="s">
        <v>2341</v>
      </c>
      <c r="L14" s="25" t="s">
        <v>2341</v>
      </c>
    </row>
    <row r="15" spans="1:14" s="1" customFormat="1">
      <c r="B15" s="13" t="s">
        <v>249</v>
      </c>
      <c r="C15" s="13" t="s">
        <v>206</v>
      </c>
      <c r="D15" s="9" t="s">
        <v>2605</v>
      </c>
      <c r="E15" s="21" t="s">
        <v>2561</v>
      </c>
      <c r="F15" s="22" t="str">
        <f t="shared" ref="F15:F35" si="0">B15</f>
        <v>supi</v>
      </c>
      <c r="G15" s="22" t="s">
        <v>2335</v>
      </c>
      <c r="H15" s="23"/>
      <c r="I15" s="64"/>
      <c r="J15" s="25" t="s">
        <v>2562</v>
      </c>
      <c r="K15" s="25" t="s">
        <v>2341</v>
      </c>
      <c r="L15" s="25" t="s">
        <v>2341</v>
      </c>
    </row>
    <row r="16" spans="1:14" s="1" customFormat="1">
      <c r="A16" s="132"/>
      <c r="B16" s="13" t="s">
        <v>251</v>
      </c>
      <c r="C16" s="13" t="s">
        <v>206</v>
      </c>
      <c r="D16" s="9" t="s">
        <v>252</v>
      </c>
      <c r="E16" s="21" t="s">
        <v>2561</v>
      </c>
      <c r="F16" s="22" t="str">
        <f t="shared" si="0"/>
        <v>msisdn</v>
      </c>
      <c r="G16" s="22" t="s">
        <v>2335</v>
      </c>
      <c r="H16" s="23"/>
      <c r="I16" s="64"/>
      <c r="J16" s="25" t="s">
        <v>2562</v>
      </c>
      <c r="K16" s="25" t="s">
        <v>2341</v>
      </c>
      <c r="L16" s="25" t="s">
        <v>2341</v>
      </c>
    </row>
    <row r="17" spans="1:13" s="1" customFormat="1">
      <c r="A17" s="132"/>
      <c r="B17" s="13" t="s">
        <v>2606</v>
      </c>
      <c r="C17" s="13" t="s">
        <v>206</v>
      </c>
      <c r="D17" s="9" t="s">
        <v>2607</v>
      </c>
      <c r="E17" s="21" t="s">
        <v>2561</v>
      </c>
      <c r="F17" s="22" t="str">
        <f t="shared" si="0"/>
        <v>destinationip</v>
      </c>
      <c r="G17" s="22" t="s">
        <v>2335</v>
      </c>
      <c r="H17" s="23"/>
      <c r="I17" s="64"/>
      <c r="J17" s="25" t="s">
        <v>2562</v>
      </c>
      <c r="K17" s="25" t="s">
        <v>2341</v>
      </c>
      <c r="L17" s="25" t="s">
        <v>2341</v>
      </c>
    </row>
    <row r="18" spans="1:13" s="1" customFormat="1">
      <c r="A18" s="132"/>
      <c r="B18" s="13" t="s">
        <v>2608</v>
      </c>
      <c r="C18" s="13" t="s">
        <v>211</v>
      </c>
      <c r="D18" s="9" t="s">
        <v>2609</v>
      </c>
      <c r="E18" s="21" t="s">
        <v>2561</v>
      </c>
      <c r="F18" s="22" t="str">
        <f t="shared" si="0"/>
        <v>destinationport</v>
      </c>
      <c r="G18" s="22" t="s">
        <v>2335</v>
      </c>
      <c r="H18" s="23"/>
      <c r="I18" s="64"/>
      <c r="J18" s="25" t="s">
        <v>2562</v>
      </c>
      <c r="K18" s="25" t="s">
        <v>2341</v>
      </c>
      <c r="L18" s="25" t="s">
        <v>2341</v>
      </c>
    </row>
    <row r="19" spans="1:13" s="1" customFormat="1">
      <c r="A19" s="132"/>
      <c r="B19" s="12" t="s">
        <v>2610</v>
      </c>
      <c r="C19" s="13" t="s">
        <v>206</v>
      </c>
      <c r="D19" s="9" t="s">
        <v>2611</v>
      </c>
      <c r="E19" s="21" t="s">
        <v>2561</v>
      </c>
      <c r="F19" s="22" t="str">
        <f t="shared" si="0"/>
        <v>sourceip</v>
      </c>
      <c r="G19" s="22" t="s">
        <v>2335</v>
      </c>
      <c r="H19" s="23"/>
      <c r="I19" s="64"/>
      <c r="J19" s="25" t="s">
        <v>2562</v>
      </c>
      <c r="K19" s="25" t="s">
        <v>2341</v>
      </c>
      <c r="L19" s="25" t="s">
        <v>2341</v>
      </c>
    </row>
    <row r="20" spans="1:13" s="1" customFormat="1">
      <c r="A20" s="132"/>
      <c r="B20" s="12" t="s">
        <v>2612</v>
      </c>
      <c r="C20" s="13" t="s">
        <v>211</v>
      </c>
      <c r="D20" s="9" t="s">
        <v>2613</v>
      </c>
      <c r="E20" s="21" t="s">
        <v>2561</v>
      </c>
      <c r="F20" s="22" t="str">
        <f t="shared" si="0"/>
        <v>sourceport</v>
      </c>
      <c r="G20" s="22" t="s">
        <v>2335</v>
      </c>
      <c r="H20" s="23"/>
      <c r="I20" s="64"/>
      <c r="J20" s="25" t="s">
        <v>2562</v>
      </c>
      <c r="K20" s="25" t="s">
        <v>2341</v>
      </c>
      <c r="L20" s="25" t="s">
        <v>2341</v>
      </c>
    </row>
    <row r="21" spans="1:13" s="1" customFormat="1">
      <c r="A21" s="132"/>
      <c r="B21" s="12" t="s">
        <v>258</v>
      </c>
      <c r="C21" s="13" t="s">
        <v>206</v>
      </c>
      <c r="D21" s="9" t="s">
        <v>259</v>
      </c>
      <c r="E21" s="21" t="s">
        <v>2561</v>
      </c>
      <c r="F21" s="22" t="str">
        <f t="shared" si="0"/>
        <v>upfip</v>
      </c>
      <c r="G21" s="22" t="s">
        <v>2335</v>
      </c>
      <c r="H21" s="23"/>
      <c r="I21" s="64"/>
      <c r="J21" s="25" t="s">
        <v>2562</v>
      </c>
      <c r="K21" s="25" t="s">
        <v>2341</v>
      </c>
      <c r="L21" s="25" t="s">
        <v>2341</v>
      </c>
    </row>
    <row r="22" spans="1:13" s="1" customFormat="1">
      <c r="A22" s="132"/>
      <c r="B22" s="12" t="s">
        <v>2614</v>
      </c>
      <c r="C22" s="13" t="s">
        <v>206</v>
      </c>
      <c r="D22" s="9" t="s">
        <v>2615</v>
      </c>
      <c r="E22" s="21" t="s">
        <v>2561</v>
      </c>
      <c r="F22" s="22" t="str">
        <f t="shared" si="0"/>
        <v>ncgi_ecgi</v>
      </c>
      <c r="G22" s="22" t="s">
        <v>2335</v>
      </c>
      <c r="H22" s="23"/>
      <c r="I22" s="64"/>
      <c r="J22" s="25" t="s">
        <v>2562</v>
      </c>
      <c r="K22" s="25" t="s">
        <v>2341</v>
      </c>
      <c r="L22" s="25" t="s">
        <v>2341</v>
      </c>
    </row>
    <row r="23" spans="1:13" s="1" customFormat="1">
      <c r="A23" s="132"/>
      <c r="B23" s="12" t="s">
        <v>2616</v>
      </c>
      <c r="C23" s="12" t="s">
        <v>211</v>
      </c>
      <c r="D23" s="9" t="s">
        <v>2617</v>
      </c>
      <c r="E23" s="21" t="s">
        <v>2561</v>
      </c>
      <c r="F23" s="22" t="str">
        <f t="shared" si="0"/>
        <v>protocolid</v>
      </c>
      <c r="G23" s="22" t="s">
        <v>2335</v>
      </c>
      <c r="H23" s="23"/>
      <c r="I23" s="64"/>
      <c r="J23" s="25" t="s">
        <v>2562</v>
      </c>
      <c r="K23" s="25" t="s">
        <v>2341</v>
      </c>
      <c r="L23" s="25" t="s">
        <v>2341</v>
      </c>
    </row>
    <row r="24" spans="1:13" s="1" customFormat="1">
      <c r="A24" s="132"/>
      <c r="B24" s="12" t="s">
        <v>2618</v>
      </c>
      <c r="C24" s="12" t="s">
        <v>206</v>
      </c>
      <c r="D24" s="9" t="s">
        <v>2619</v>
      </c>
      <c r="E24" s="21" t="s">
        <v>2561</v>
      </c>
      <c r="F24" s="22" t="str">
        <f t="shared" si="0"/>
        <v>starttime</v>
      </c>
      <c r="G24" s="22" t="s">
        <v>2335</v>
      </c>
      <c r="H24" s="23"/>
      <c r="I24" s="64"/>
      <c r="J24" s="25" t="s">
        <v>2562</v>
      </c>
      <c r="K24" s="25" t="s">
        <v>2341</v>
      </c>
      <c r="L24" s="25" t="s">
        <v>2341</v>
      </c>
    </row>
    <row r="25" spans="1:13" s="1" customFormat="1">
      <c r="A25" s="132"/>
      <c r="B25" s="12" t="s">
        <v>2620</v>
      </c>
      <c r="C25" s="12" t="s">
        <v>206</v>
      </c>
      <c r="D25" s="9" t="s">
        <v>2621</v>
      </c>
      <c r="E25" s="21" t="s">
        <v>2561</v>
      </c>
      <c r="F25" s="22" t="str">
        <f t="shared" si="0"/>
        <v>endtime</v>
      </c>
      <c r="G25" s="22" t="s">
        <v>2335</v>
      </c>
      <c r="H25" s="23"/>
      <c r="I25" s="64"/>
      <c r="J25" s="25" t="s">
        <v>2562</v>
      </c>
      <c r="K25" s="25" t="s">
        <v>2341</v>
      </c>
      <c r="L25" s="25" t="s">
        <v>2341</v>
      </c>
    </row>
    <row r="26" spans="1:13" s="1" customFormat="1">
      <c r="A26" s="132"/>
      <c r="B26" s="12" t="s">
        <v>468</v>
      </c>
      <c r="C26" s="12" t="s">
        <v>281</v>
      </c>
      <c r="D26" s="9" t="s">
        <v>2622</v>
      </c>
      <c r="E26" s="21" t="s">
        <v>2561</v>
      </c>
      <c r="F26" s="22" t="str">
        <f t="shared" si="0"/>
        <v>duration</v>
      </c>
      <c r="G26" s="22" t="s">
        <v>2335</v>
      </c>
      <c r="H26" s="23"/>
      <c r="I26" s="64"/>
      <c r="J26" s="25" t="s">
        <v>2562</v>
      </c>
      <c r="K26" s="25" t="s">
        <v>2341</v>
      </c>
      <c r="L26" s="25" t="s">
        <v>2341</v>
      </c>
    </row>
    <row r="27" spans="1:13" s="1" customFormat="1">
      <c r="B27" s="13" t="s">
        <v>539</v>
      </c>
      <c r="C27" s="12" t="s">
        <v>281</v>
      </c>
      <c r="D27" s="9" t="s">
        <v>2623</v>
      </c>
      <c r="E27" s="21" t="s">
        <v>2561</v>
      </c>
      <c r="F27" s="22" t="str">
        <f t="shared" si="0"/>
        <v>inputoctets</v>
      </c>
      <c r="G27" s="22" t="s">
        <v>2335</v>
      </c>
      <c r="H27" s="23"/>
      <c r="I27" s="64"/>
      <c r="J27" s="25" t="s">
        <v>2562</v>
      </c>
      <c r="K27" s="25" t="s">
        <v>2341</v>
      </c>
      <c r="L27" s="25" t="s">
        <v>2341</v>
      </c>
    </row>
    <row r="28" spans="1:13" s="3" customFormat="1">
      <c r="B28" s="13" t="s">
        <v>535</v>
      </c>
      <c r="C28" s="13" t="s">
        <v>281</v>
      </c>
      <c r="D28" s="9" t="s">
        <v>2624</v>
      </c>
      <c r="E28" s="21" t="s">
        <v>2561</v>
      </c>
      <c r="F28" s="22" t="str">
        <f t="shared" si="0"/>
        <v>outputoctets</v>
      </c>
      <c r="G28" s="22" t="s">
        <v>2335</v>
      </c>
      <c r="H28" s="21"/>
      <c r="I28" s="64"/>
      <c r="J28" s="25" t="s">
        <v>2562</v>
      </c>
      <c r="K28" s="25" t="s">
        <v>2341</v>
      </c>
      <c r="L28" s="25" t="s">
        <v>2341</v>
      </c>
    </row>
    <row r="29" spans="1:13" s="136" customFormat="1">
      <c r="A29" s="137"/>
      <c r="B29" s="138" t="s">
        <v>542</v>
      </c>
      <c r="C29" s="13" t="s">
        <v>281</v>
      </c>
      <c r="D29" s="9" t="s">
        <v>543</v>
      </c>
      <c r="E29" s="21" t="s">
        <v>2561</v>
      </c>
      <c r="F29" s="22" t="str">
        <f t="shared" si="0"/>
        <v>inputpacket</v>
      </c>
      <c r="G29" s="22" t="s">
        <v>2335</v>
      </c>
      <c r="H29" s="23"/>
      <c r="I29" s="64"/>
      <c r="J29" s="25" t="s">
        <v>2562</v>
      </c>
      <c r="K29" s="25" t="s">
        <v>2341</v>
      </c>
      <c r="L29" s="25" t="s">
        <v>2341</v>
      </c>
      <c r="M29" s="1"/>
    </row>
    <row r="30" spans="1:13" s="136" customFormat="1">
      <c r="A30" s="137"/>
      <c r="B30" s="138" t="s">
        <v>545</v>
      </c>
      <c r="C30" s="13" t="s">
        <v>281</v>
      </c>
      <c r="D30" s="9" t="s">
        <v>546</v>
      </c>
      <c r="E30" s="21" t="s">
        <v>2561</v>
      </c>
      <c r="F30" s="22" t="str">
        <f t="shared" si="0"/>
        <v>outputpacket</v>
      </c>
      <c r="G30" s="22" t="s">
        <v>2335</v>
      </c>
      <c r="H30" s="23"/>
      <c r="I30" s="64"/>
      <c r="J30" s="25" t="s">
        <v>2562</v>
      </c>
      <c r="K30" s="25" t="s">
        <v>2341</v>
      </c>
      <c r="L30" s="25" t="s">
        <v>2341</v>
      </c>
      <c r="M30" s="1"/>
    </row>
    <row r="31" spans="1:13" s="136" customFormat="1">
      <c r="A31" s="137"/>
      <c r="B31" s="138" t="s">
        <v>2625</v>
      </c>
      <c r="C31" s="13" t="s">
        <v>206</v>
      </c>
      <c r="D31" s="9" t="s">
        <v>2626</v>
      </c>
      <c r="E31" s="21" t="s">
        <v>2561</v>
      </c>
      <c r="F31" s="22" t="str">
        <f t="shared" si="0"/>
        <v>pduconnectionid</v>
      </c>
      <c r="G31" s="22" t="s">
        <v>2335</v>
      </c>
      <c r="H31" s="23"/>
      <c r="I31" s="64"/>
      <c r="J31" s="25" t="s">
        <v>2562</v>
      </c>
      <c r="K31" s="25" t="s">
        <v>2341</v>
      </c>
      <c r="L31" s="25" t="s">
        <v>2341</v>
      </c>
      <c r="M31" s="1"/>
    </row>
    <row r="32" spans="1:13" s="136" customFormat="1">
      <c r="A32" s="137"/>
      <c r="B32" s="138" t="s">
        <v>2627</v>
      </c>
      <c r="C32" s="13" t="s">
        <v>211</v>
      </c>
      <c r="D32" s="9" t="s">
        <v>2628</v>
      </c>
      <c r="E32" s="21" t="s">
        <v>2561</v>
      </c>
      <c r="F32" s="22" t="str">
        <f t="shared" si="0"/>
        <v>recordclosecause</v>
      </c>
      <c r="G32" s="22" t="s">
        <v>2335</v>
      </c>
      <c r="H32" s="64"/>
      <c r="I32" s="64"/>
      <c r="J32" s="25" t="s">
        <v>2562</v>
      </c>
      <c r="K32" s="25" t="s">
        <v>2341</v>
      </c>
      <c r="L32" s="25" t="s">
        <v>2341</v>
      </c>
    </row>
    <row r="33" spans="1:13" s="136" customFormat="1">
      <c r="A33" s="137"/>
      <c r="B33" s="138" t="s">
        <v>262</v>
      </c>
      <c r="C33" s="13" t="s">
        <v>206</v>
      </c>
      <c r="D33" s="9" t="s">
        <v>263</v>
      </c>
      <c r="E33" s="21" t="s">
        <v>2561</v>
      </c>
      <c r="F33" s="22" t="str">
        <f t="shared" si="0"/>
        <v>gnbip</v>
      </c>
      <c r="G33" s="22" t="s">
        <v>2335</v>
      </c>
      <c r="H33" s="23"/>
      <c r="I33" s="64"/>
      <c r="J33" s="25" t="s">
        <v>2562</v>
      </c>
      <c r="K33" s="25" t="s">
        <v>2341</v>
      </c>
      <c r="L33" s="25" t="s">
        <v>2341</v>
      </c>
      <c r="M33" s="1"/>
    </row>
    <row r="34" spans="1:13" s="136" customFormat="1">
      <c r="A34" s="137"/>
      <c r="B34" s="138" t="s">
        <v>264</v>
      </c>
      <c r="C34" s="13" t="s">
        <v>206</v>
      </c>
      <c r="D34" s="9" t="s">
        <v>265</v>
      </c>
      <c r="E34" s="21" t="s">
        <v>2561</v>
      </c>
      <c r="F34" s="22" t="str">
        <f t="shared" si="0"/>
        <v>home_province</v>
      </c>
      <c r="G34" s="22" t="s">
        <v>2335</v>
      </c>
      <c r="H34" s="21"/>
      <c r="I34" s="145"/>
      <c r="J34" s="25" t="s">
        <v>2562</v>
      </c>
      <c r="K34" s="25" t="s">
        <v>2341</v>
      </c>
      <c r="L34" s="25" t="s">
        <v>2341</v>
      </c>
    </row>
    <row r="35" spans="1:13" s="136" customFormat="1">
      <c r="A35" s="137"/>
      <c r="B35" s="138" t="s">
        <v>270</v>
      </c>
      <c r="C35" s="13" t="s">
        <v>211</v>
      </c>
      <c r="D35" s="9" t="s">
        <v>745</v>
      </c>
      <c r="E35" s="21" t="s">
        <v>2561</v>
      </c>
      <c r="F35" s="22" t="str">
        <f t="shared" si="0"/>
        <v>l4protocol</v>
      </c>
      <c r="G35" s="22" t="s">
        <v>2335</v>
      </c>
      <c r="H35" s="21"/>
      <c r="I35" s="145"/>
      <c r="J35" s="25" t="s">
        <v>2562</v>
      </c>
      <c r="K35" s="25" t="s">
        <v>2341</v>
      </c>
      <c r="L35" s="25" t="s">
        <v>2341</v>
      </c>
    </row>
    <row r="36" spans="1:13" s="136" customFormat="1">
      <c r="A36" s="137"/>
      <c r="B36" s="138" t="s">
        <v>548</v>
      </c>
      <c r="C36" s="26" t="s">
        <v>281</v>
      </c>
      <c r="D36" s="9" t="s">
        <v>2629</v>
      </c>
      <c r="E36" s="21" t="s">
        <v>2561</v>
      </c>
      <c r="F36" s="22" t="str">
        <f t="shared" ref="F36:F58" si="1">B36</f>
        <v>ultcpreorderingpacket</v>
      </c>
      <c r="G36" s="22" t="s">
        <v>2335</v>
      </c>
      <c r="H36" s="21"/>
      <c r="I36" s="145"/>
      <c r="J36" s="25" t="s">
        <v>2562</v>
      </c>
      <c r="K36" s="25" t="s">
        <v>2341</v>
      </c>
      <c r="L36" s="25" t="s">
        <v>2341</v>
      </c>
    </row>
    <row r="37" spans="1:13" s="136" customFormat="1">
      <c r="A37" s="137"/>
      <c r="B37" s="138" t="s">
        <v>551</v>
      </c>
      <c r="C37" s="26" t="s">
        <v>281</v>
      </c>
      <c r="D37" s="9" t="s">
        <v>2630</v>
      </c>
      <c r="E37" s="21" t="s">
        <v>2561</v>
      </c>
      <c r="F37" s="22" t="str">
        <f t="shared" si="1"/>
        <v>dltcpreorderingpacket</v>
      </c>
      <c r="G37" s="22" t="s">
        <v>2335</v>
      </c>
      <c r="H37" s="21"/>
      <c r="I37" s="145"/>
      <c r="J37" s="25" t="s">
        <v>2562</v>
      </c>
      <c r="K37" s="25" t="s">
        <v>2341</v>
      </c>
      <c r="L37" s="25" t="s">
        <v>2341</v>
      </c>
    </row>
    <row r="38" spans="1:13" s="136" customFormat="1">
      <c r="A38" s="137"/>
      <c r="B38" s="138" t="s">
        <v>2631</v>
      </c>
      <c r="C38" s="26" t="s">
        <v>281</v>
      </c>
      <c r="D38" s="9" t="s">
        <v>2632</v>
      </c>
      <c r="E38" s="21" t="s">
        <v>2561</v>
      </c>
      <c r="F38" s="22" t="str">
        <f t="shared" si="1"/>
        <v>ultcp_retranspacket</v>
      </c>
      <c r="G38" s="22" t="s">
        <v>2335</v>
      </c>
      <c r="H38" s="21"/>
      <c r="I38" s="145"/>
      <c r="J38" s="25" t="s">
        <v>2562</v>
      </c>
      <c r="K38" s="25" t="s">
        <v>2341</v>
      </c>
      <c r="L38" s="25" t="s">
        <v>2341</v>
      </c>
    </row>
    <row r="39" spans="1:13" s="136" customFormat="1">
      <c r="A39" s="137"/>
      <c r="B39" s="138" t="s">
        <v>2633</v>
      </c>
      <c r="C39" s="26" t="s">
        <v>281</v>
      </c>
      <c r="D39" s="9" t="s">
        <v>2634</v>
      </c>
      <c r="E39" s="21" t="s">
        <v>2561</v>
      </c>
      <c r="F39" s="22" t="str">
        <f t="shared" si="1"/>
        <v>dltcp_retranspacket</v>
      </c>
      <c r="G39" s="22" t="s">
        <v>2335</v>
      </c>
      <c r="H39" s="21"/>
      <c r="I39" s="145"/>
      <c r="J39" s="25" t="s">
        <v>2562</v>
      </c>
      <c r="K39" s="25" t="s">
        <v>2341</v>
      </c>
      <c r="L39" s="25" t="s">
        <v>2341</v>
      </c>
    </row>
    <row r="40" spans="1:13" s="136" customFormat="1">
      <c r="A40" s="137"/>
      <c r="B40" s="138" t="s">
        <v>2635</v>
      </c>
      <c r="C40" s="26" t="s">
        <v>281</v>
      </c>
      <c r="D40" s="9" t="s">
        <v>2636</v>
      </c>
      <c r="E40" s="21" t="s">
        <v>2561</v>
      </c>
      <c r="F40" s="22" t="str">
        <f t="shared" si="1"/>
        <v>tcpsetupresponsedelay</v>
      </c>
      <c r="G40" s="22" t="s">
        <v>2335</v>
      </c>
      <c r="H40" s="21"/>
      <c r="I40" s="145"/>
      <c r="J40" s="25" t="s">
        <v>2562</v>
      </c>
      <c r="K40" s="25" t="s">
        <v>2341</v>
      </c>
      <c r="L40" s="25" t="s">
        <v>2341</v>
      </c>
    </row>
    <row r="41" spans="1:13" s="136" customFormat="1">
      <c r="A41" s="137"/>
      <c r="B41" s="138" t="s">
        <v>2637</v>
      </c>
      <c r="C41" s="26" t="s">
        <v>281</v>
      </c>
      <c r="D41" s="9" t="s">
        <v>2638</v>
      </c>
      <c r="E41" s="21" t="s">
        <v>2561</v>
      </c>
      <c r="F41" s="22" t="str">
        <f t="shared" si="1"/>
        <v>tcpsetupackdelay</v>
      </c>
      <c r="G41" s="22" t="s">
        <v>2335</v>
      </c>
      <c r="H41" s="21"/>
      <c r="I41" s="145"/>
      <c r="J41" s="25" t="s">
        <v>2562</v>
      </c>
      <c r="K41" s="25" t="s">
        <v>2341</v>
      </c>
      <c r="L41" s="25" t="s">
        <v>2341</v>
      </c>
    </row>
    <row r="42" spans="1:13" s="136" customFormat="1">
      <c r="A42" s="137"/>
      <c r="B42" s="138" t="s">
        <v>2639</v>
      </c>
      <c r="C42" s="26" t="s">
        <v>211</v>
      </c>
      <c r="D42" s="9" t="s">
        <v>2640</v>
      </c>
      <c r="E42" s="21" t="s">
        <v>2561</v>
      </c>
      <c r="F42" s="22" t="str">
        <f t="shared" si="1"/>
        <v>tcpconnectstate</v>
      </c>
      <c r="G42" s="22" t="s">
        <v>2335</v>
      </c>
      <c r="H42" s="21"/>
      <c r="I42" s="145"/>
      <c r="J42" s="25" t="s">
        <v>2562</v>
      </c>
      <c r="K42" s="25" t="s">
        <v>2341</v>
      </c>
      <c r="L42" s="25" t="s">
        <v>2341</v>
      </c>
    </row>
    <row r="43" spans="1:13" s="136" customFormat="1">
      <c r="A43" s="137"/>
      <c r="B43" s="138" t="s">
        <v>566</v>
      </c>
      <c r="C43" s="26" t="s">
        <v>281</v>
      </c>
      <c r="D43" s="9" t="s">
        <v>567</v>
      </c>
      <c r="E43" s="21" t="s">
        <v>2561</v>
      </c>
      <c r="F43" s="22" t="str">
        <f t="shared" si="1"/>
        <v>ul_data_transduration</v>
      </c>
      <c r="G43" s="22" t="s">
        <v>2335</v>
      </c>
      <c r="H43" s="21"/>
      <c r="I43" s="145"/>
      <c r="J43" s="25" t="s">
        <v>2562</v>
      </c>
      <c r="K43" s="25" t="s">
        <v>2341</v>
      </c>
      <c r="L43" s="25" t="s">
        <v>2341</v>
      </c>
    </row>
    <row r="44" spans="1:13" s="136" customFormat="1">
      <c r="A44" s="137"/>
      <c r="B44" s="138" t="s">
        <v>2641</v>
      </c>
      <c r="C44" s="26" t="s">
        <v>281</v>
      </c>
      <c r="D44" s="9" t="s">
        <v>570</v>
      </c>
      <c r="E44" s="21" t="s">
        <v>2561</v>
      </c>
      <c r="F44" s="22" t="str">
        <f t="shared" si="1"/>
        <v>dl_datatransduration</v>
      </c>
      <c r="G44" s="22" t="s">
        <v>2335</v>
      </c>
      <c r="H44" s="21"/>
      <c r="I44" s="145"/>
      <c r="J44" s="25" t="s">
        <v>2562</v>
      </c>
      <c r="K44" s="25" t="s">
        <v>2341</v>
      </c>
      <c r="L44" s="25" t="s">
        <v>2341</v>
      </c>
    </row>
    <row r="45" spans="1:13" s="136" customFormat="1">
      <c r="A45" s="137"/>
      <c r="B45" s="138" t="s">
        <v>2642</v>
      </c>
      <c r="C45" s="26" t="s">
        <v>281</v>
      </c>
      <c r="D45" s="9" t="s">
        <v>2643</v>
      </c>
      <c r="E45" s="21" t="s">
        <v>2561</v>
      </c>
      <c r="F45" s="22" t="str">
        <f t="shared" si="1"/>
        <v>ul_average_packet_size</v>
      </c>
      <c r="G45" s="22" t="s">
        <v>2335</v>
      </c>
      <c r="H45" s="21"/>
      <c r="I45" s="145"/>
      <c r="J45" s="25" t="s">
        <v>2562</v>
      </c>
      <c r="K45" s="25" t="s">
        <v>2341</v>
      </c>
      <c r="L45" s="25" t="s">
        <v>2341</v>
      </c>
    </row>
    <row r="46" spans="1:13" s="136" customFormat="1">
      <c r="A46" s="137"/>
      <c r="B46" s="138" t="s">
        <v>2644</v>
      </c>
      <c r="C46" s="26" t="s">
        <v>281</v>
      </c>
      <c r="D46" s="9" t="s">
        <v>2645</v>
      </c>
      <c r="E46" s="21" t="s">
        <v>2561</v>
      </c>
      <c r="F46" s="22" t="str">
        <f t="shared" si="1"/>
        <v>dl_average_packet_size</v>
      </c>
      <c r="G46" s="22" t="s">
        <v>2335</v>
      </c>
      <c r="H46" s="21"/>
      <c r="I46" s="145"/>
      <c r="J46" s="25" t="s">
        <v>2562</v>
      </c>
      <c r="K46" s="25" t="s">
        <v>2341</v>
      </c>
      <c r="L46" s="25" t="s">
        <v>2341</v>
      </c>
    </row>
    <row r="47" spans="1:13" s="136" customFormat="1">
      <c r="A47" s="137"/>
      <c r="B47" s="138" t="s">
        <v>2646</v>
      </c>
      <c r="C47" s="26" t="s">
        <v>281</v>
      </c>
      <c r="D47" s="9" t="s">
        <v>2647</v>
      </c>
      <c r="E47" s="21" t="s">
        <v>2561</v>
      </c>
      <c r="F47" s="22" t="str">
        <f t="shared" si="1"/>
        <v>ul_average_interval</v>
      </c>
      <c r="G47" s="22" t="s">
        <v>2335</v>
      </c>
      <c r="H47" s="21"/>
      <c r="I47" s="145"/>
      <c r="J47" s="25" t="s">
        <v>2562</v>
      </c>
      <c r="K47" s="25" t="s">
        <v>2341</v>
      </c>
      <c r="L47" s="25" t="s">
        <v>2341</v>
      </c>
    </row>
    <row r="48" spans="1:13" s="136" customFormat="1">
      <c r="A48" s="137"/>
      <c r="B48" s="138" t="s">
        <v>2648</v>
      </c>
      <c r="C48" s="26" t="s">
        <v>281</v>
      </c>
      <c r="D48" s="9" t="s">
        <v>2649</v>
      </c>
      <c r="E48" s="21" t="s">
        <v>2561</v>
      </c>
      <c r="F48" s="22" t="str">
        <f t="shared" si="1"/>
        <v>dl_average_interval</v>
      </c>
      <c r="G48" s="22" t="s">
        <v>2335</v>
      </c>
      <c r="H48" s="21"/>
      <c r="I48" s="145"/>
      <c r="J48" s="25" t="s">
        <v>2562</v>
      </c>
      <c r="K48" s="25" t="s">
        <v>2341</v>
      </c>
      <c r="L48" s="25" t="s">
        <v>2341</v>
      </c>
    </row>
    <row r="49" spans="1:17" s="136" customFormat="1">
      <c r="A49" s="137"/>
      <c r="B49" s="138" t="s">
        <v>2650</v>
      </c>
      <c r="C49" s="26" t="s">
        <v>281</v>
      </c>
      <c r="D49" s="9" t="s">
        <v>2651</v>
      </c>
      <c r="E49" s="21" t="s">
        <v>2561</v>
      </c>
      <c r="F49" s="22" t="str">
        <f t="shared" si="1"/>
        <v>ul_average_jitter</v>
      </c>
      <c r="G49" s="22" t="s">
        <v>2335</v>
      </c>
      <c r="H49" s="21"/>
      <c r="I49" s="145"/>
      <c r="J49" s="25" t="s">
        <v>2562</v>
      </c>
      <c r="K49" s="25" t="s">
        <v>2341</v>
      </c>
      <c r="L49" s="25" t="s">
        <v>2341</v>
      </c>
    </row>
    <row r="50" spans="1:17" s="136" customFormat="1">
      <c r="A50" s="137"/>
      <c r="B50" s="138" t="s">
        <v>2652</v>
      </c>
      <c r="C50" s="26" t="s">
        <v>281</v>
      </c>
      <c r="D50" s="9" t="s">
        <v>2653</v>
      </c>
      <c r="E50" s="21" t="s">
        <v>2561</v>
      </c>
      <c r="F50" s="22" t="str">
        <f t="shared" si="1"/>
        <v>dl_average_jitter</v>
      </c>
      <c r="G50" s="22" t="s">
        <v>2335</v>
      </c>
      <c r="H50" s="21"/>
      <c r="I50" s="145"/>
      <c r="J50" s="25" t="s">
        <v>2562</v>
      </c>
      <c r="K50" s="25" t="s">
        <v>2341</v>
      </c>
      <c r="L50" s="25" t="s">
        <v>2341</v>
      </c>
    </row>
    <row r="51" spans="1:17" s="136" customFormat="1">
      <c r="A51" s="137"/>
      <c r="B51" s="138" t="s">
        <v>2654</v>
      </c>
      <c r="C51" s="26" t="s">
        <v>281</v>
      </c>
      <c r="D51" s="9" t="s">
        <v>2655</v>
      </c>
      <c r="E51" s="21" t="s">
        <v>2561</v>
      </c>
      <c r="F51" s="22" t="str">
        <f t="shared" si="1"/>
        <v>flowid</v>
      </c>
      <c r="G51" s="22" t="s">
        <v>2335</v>
      </c>
      <c r="H51" s="21"/>
      <c r="I51" s="145"/>
      <c r="J51" s="25" t="s">
        <v>2562</v>
      </c>
      <c r="K51" s="25" t="s">
        <v>2341</v>
      </c>
      <c r="L51" s="25" t="s">
        <v>2341</v>
      </c>
    </row>
    <row r="52" spans="1:17" s="136" customFormat="1">
      <c r="A52" s="137"/>
      <c r="B52" s="138" t="s">
        <v>254</v>
      </c>
      <c r="C52" s="26" t="s">
        <v>206</v>
      </c>
      <c r="D52" s="9" t="s">
        <v>1236</v>
      </c>
      <c r="E52" s="21" t="s">
        <v>2561</v>
      </c>
      <c r="F52" s="22" t="str">
        <f t="shared" si="1"/>
        <v>pei</v>
      </c>
      <c r="G52" s="22" t="s">
        <v>2335</v>
      </c>
      <c r="H52" s="21"/>
      <c r="I52" s="145"/>
      <c r="J52" s="25" t="s">
        <v>2562</v>
      </c>
      <c r="K52" s="25" t="s">
        <v>2341</v>
      </c>
      <c r="L52" s="25" t="s">
        <v>2341</v>
      </c>
    </row>
    <row r="53" spans="1:17" s="136" customFormat="1">
      <c r="A53" s="137"/>
      <c r="B53" s="138" t="s">
        <v>256</v>
      </c>
      <c r="C53" s="26" t="s">
        <v>206</v>
      </c>
      <c r="D53" s="9" t="s">
        <v>743</v>
      </c>
      <c r="E53" s="21" t="s">
        <v>2561</v>
      </c>
      <c r="F53" s="22" t="str">
        <f t="shared" si="1"/>
        <v>dnn_apn</v>
      </c>
      <c r="G53" s="22" t="s">
        <v>2335</v>
      </c>
      <c r="H53" s="21"/>
      <c r="I53" s="145"/>
      <c r="J53" s="25" t="s">
        <v>2562</v>
      </c>
      <c r="K53" s="25" t="s">
        <v>2341</v>
      </c>
      <c r="L53" s="25" t="s">
        <v>2341</v>
      </c>
    </row>
    <row r="54" spans="1:17" s="136" customFormat="1">
      <c r="A54" s="137"/>
      <c r="B54" s="138" t="s">
        <v>260</v>
      </c>
      <c r="C54" s="26" t="s">
        <v>206</v>
      </c>
      <c r="D54" s="9" t="s">
        <v>795</v>
      </c>
      <c r="E54" s="21" t="s">
        <v>2561</v>
      </c>
      <c r="F54" s="22" t="str">
        <f t="shared" si="1"/>
        <v>servicetype</v>
      </c>
      <c r="G54" s="22" t="s">
        <v>2335</v>
      </c>
      <c r="H54" s="21"/>
      <c r="I54" s="145"/>
      <c r="J54" s="25" t="s">
        <v>2562</v>
      </c>
      <c r="K54" s="25" t="s">
        <v>2341</v>
      </c>
      <c r="L54" s="25" t="s">
        <v>2341</v>
      </c>
    </row>
    <row r="55" spans="1:17" s="136" customFormat="1">
      <c r="A55" s="137"/>
      <c r="B55" s="138" t="s">
        <v>2660</v>
      </c>
      <c r="C55" s="26" t="s">
        <v>211</v>
      </c>
      <c r="D55" s="9" t="s">
        <v>2661</v>
      </c>
      <c r="E55" s="21" t="s">
        <v>2561</v>
      </c>
      <c r="F55" s="22" t="str">
        <f t="shared" si="1"/>
        <v>tcpsynnumber</v>
      </c>
      <c r="G55" s="22" t="s">
        <v>2335</v>
      </c>
      <c r="H55" s="21"/>
      <c r="I55" s="145"/>
      <c r="J55" s="25" t="s">
        <v>2562</v>
      </c>
      <c r="K55" s="25" t="s">
        <v>2341</v>
      </c>
      <c r="L55" s="25" t="s">
        <v>2341</v>
      </c>
    </row>
    <row r="56" spans="1:17" s="136" customFormat="1">
      <c r="A56" s="137"/>
      <c r="B56" s="138" t="s">
        <v>1321</v>
      </c>
      <c r="C56" s="26" t="s">
        <v>281</v>
      </c>
      <c r="D56" s="9" t="s">
        <v>1322</v>
      </c>
      <c r="E56" s="21" t="s">
        <v>2561</v>
      </c>
      <c r="F56" s="22" t="str">
        <f t="shared" si="1"/>
        <v>ul_session_ambr</v>
      </c>
      <c r="G56" s="22" t="s">
        <v>2335</v>
      </c>
      <c r="H56" s="21"/>
      <c r="I56" s="145"/>
      <c r="J56" s="25" t="s">
        <v>2562</v>
      </c>
      <c r="K56" s="25" t="s">
        <v>2341</v>
      </c>
      <c r="L56" s="25" t="s">
        <v>2341</v>
      </c>
    </row>
    <row r="57" spans="1:17" s="136" customFormat="1">
      <c r="A57" s="137"/>
      <c r="B57" s="138" t="s">
        <v>1323</v>
      </c>
      <c r="C57" s="26" t="s">
        <v>281</v>
      </c>
      <c r="D57" s="9" t="s">
        <v>1324</v>
      </c>
      <c r="E57" s="21" t="s">
        <v>2561</v>
      </c>
      <c r="F57" s="22" t="str">
        <f t="shared" si="1"/>
        <v>dl_session_ambr</v>
      </c>
      <c r="G57" s="22" t="s">
        <v>2335</v>
      </c>
      <c r="H57" s="21"/>
      <c r="I57" s="145"/>
      <c r="J57" s="25" t="s">
        <v>2562</v>
      </c>
      <c r="K57" s="25" t="s">
        <v>2341</v>
      </c>
      <c r="L57" s="25" t="s">
        <v>2341</v>
      </c>
    </row>
    <row r="58" spans="1:17" s="136" customFormat="1">
      <c r="A58" s="137"/>
      <c r="B58" s="138" t="s">
        <v>2684</v>
      </c>
      <c r="C58" s="26" t="s">
        <v>211</v>
      </c>
      <c r="D58" s="9" t="s">
        <v>2685</v>
      </c>
      <c r="E58" s="21" t="s">
        <v>2561</v>
      </c>
      <c r="F58" s="22" t="str">
        <f t="shared" si="1"/>
        <v>status</v>
      </c>
      <c r="G58" s="22" t="s">
        <v>2335</v>
      </c>
      <c r="H58" s="21"/>
      <c r="I58" s="145"/>
      <c r="J58" s="25" t="s">
        <v>2562</v>
      </c>
      <c r="K58" s="25" t="s">
        <v>2341</v>
      </c>
      <c r="L58" s="25" t="s">
        <v>2341</v>
      </c>
    </row>
    <row r="59" spans="1:17" s="2" customFormat="1">
      <c r="B59" s="14" t="s">
        <v>222</v>
      </c>
      <c r="C59" s="15" t="s">
        <v>211</v>
      </c>
      <c r="D59" s="16" t="s">
        <v>344</v>
      </c>
      <c r="E59" s="69"/>
      <c r="F59" s="14"/>
      <c r="G59" s="14"/>
      <c r="H59" s="14"/>
      <c r="I59" s="123"/>
      <c r="J59" s="14"/>
      <c r="K59" s="14"/>
      <c r="L59" s="14"/>
      <c r="M59" s="14"/>
      <c r="N59" s="14"/>
      <c r="O59" s="14"/>
      <c r="P59" s="14"/>
      <c r="Q59" s="14"/>
    </row>
    <row r="60" spans="1:17" s="2" customFormat="1">
      <c r="B60" s="14" t="s">
        <v>0</v>
      </c>
      <c r="C60" s="15" t="s">
        <v>206</v>
      </c>
      <c r="D60" s="16" t="s">
        <v>345</v>
      </c>
      <c r="E60" s="69"/>
      <c r="F60" s="14"/>
      <c r="G60" s="14"/>
      <c r="H60" s="14"/>
      <c r="I60" s="123"/>
      <c r="J60" s="14"/>
      <c r="K60" s="14"/>
      <c r="L60" s="14"/>
      <c r="M60" s="14"/>
      <c r="N60" s="14"/>
      <c r="O60" s="14"/>
      <c r="P60" s="14"/>
      <c r="Q60" s="14"/>
    </row>
    <row r="61" spans="1:17" s="2" customFormat="1">
      <c r="B61" s="14" t="s">
        <v>1</v>
      </c>
      <c r="C61" s="15" t="s">
        <v>211</v>
      </c>
      <c r="D61" s="16" t="s">
        <v>346</v>
      </c>
      <c r="E61" s="69"/>
      <c r="F61" s="14"/>
      <c r="G61" s="14"/>
      <c r="H61" s="14"/>
      <c r="I61" s="123"/>
      <c r="J61" s="14"/>
      <c r="K61" s="14"/>
      <c r="L61" s="14"/>
      <c r="M61" s="14"/>
      <c r="N61" s="14"/>
      <c r="O61" s="14"/>
      <c r="P61" s="14"/>
      <c r="Q61" s="14"/>
    </row>
  </sheetData>
  <autoFilter ref="A13:Q61" xr:uid="{00000000-0009-0000-0000-000003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2861A-E657-4661-B613-742108DD69F1}">
  <dimension ref="A1:Q68"/>
  <sheetViews>
    <sheetView zoomScale="85" zoomScaleNormal="85" workbookViewId="0">
      <pane ySplit="5" topLeftCell="A6" activePane="bottomLeft" state="frozen"/>
      <selection activeCell="C18" sqref="C18"/>
      <selection pane="bottomLeft" activeCell="D57" sqref="D57"/>
    </sheetView>
  </sheetViews>
  <sheetFormatPr defaultColWidth="9" defaultRowHeight="13.2"/>
  <cols>
    <col min="1" max="1" width="1.33203125" style="3" customWidth="1"/>
    <col min="2" max="2" width="23.6640625" style="3" customWidth="1"/>
    <col min="3" max="3" width="26.88671875" style="3" bestFit="1"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58"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c r="C5" s="145" t="s">
        <v>2511</v>
      </c>
      <c r="D5" s="145" t="s">
        <v>2572</v>
      </c>
      <c r="E5" s="12" t="s">
        <v>2547</v>
      </c>
      <c r="F5" s="61"/>
      <c r="G5" s="9"/>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145" t="s">
        <v>2485</v>
      </c>
      <c r="D9" s="10" t="s">
        <v>2573</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214</v>
      </c>
      <c r="C14" s="13" t="s">
        <v>211</v>
      </c>
      <c r="D14" s="9" t="s">
        <v>1232</v>
      </c>
      <c r="E14" s="21" t="s">
        <v>2561</v>
      </c>
      <c r="F14" s="22" t="str">
        <f>B14</f>
        <v>interface</v>
      </c>
      <c r="G14" s="22" t="s">
        <v>2335</v>
      </c>
      <c r="H14" s="23"/>
      <c r="I14" s="64"/>
      <c r="J14" s="25" t="s">
        <v>2562</v>
      </c>
      <c r="K14" s="25" t="s">
        <v>2341</v>
      </c>
      <c r="L14" s="25" t="s">
        <v>2341</v>
      </c>
    </row>
    <row r="15" spans="1:14" s="1" customFormat="1">
      <c r="B15" s="13" t="s">
        <v>249</v>
      </c>
      <c r="C15" s="13" t="s">
        <v>206</v>
      </c>
      <c r="D15" s="9" t="s">
        <v>2605</v>
      </c>
      <c r="E15" s="21" t="s">
        <v>2561</v>
      </c>
      <c r="F15" s="22" t="str">
        <f t="shared" ref="F15:F35" si="0">B15</f>
        <v>supi</v>
      </c>
      <c r="G15" s="22" t="s">
        <v>2335</v>
      </c>
      <c r="H15" s="23"/>
      <c r="I15" s="64"/>
      <c r="J15" s="25" t="s">
        <v>2562</v>
      </c>
      <c r="K15" s="25" t="s">
        <v>2341</v>
      </c>
      <c r="L15" s="25" t="s">
        <v>2341</v>
      </c>
    </row>
    <row r="16" spans="1:14" s="1" customFormat="1">
      <c r="A16" s="132"/>
      <c r="B16" s="13" t="s">
        <v>251</v>
      </c>
      <c r="C16" s="13" t="s">
        <v>206</v>
      </c>
      <c r="D16" s="9" t="s">
        <v>252</v>
      </c>
      <c r="E16" s="21" t="s">
        <v>2561</v>
      </c>
      <c r="F16" s="22" t="str">
        <f t="shared" si="0"/>
        <v>msisdn</v>
      </c>
      <c r="G16" s="22" t="s">
        <v>2335</v>
      </c>
      <c r="H16" s="23"/>
      <c r="I16" s="64"/>
      <c r="J16" s="25" t="s">
        <v>2562</v>
      </c>
      <c r="K16" s="25" t="s">
        <v>2341</v>
      </c>
      <c r="L16" s="25" t="s">
        <v>2341</v>
      </c>
    </row>
    <row r="17" spans="1:13" s="1" customFormat="1">
      <c r="A17" s="132"/>
      <c r="B17" s="13" t="s">
        <v>2606</v>
      </c>
      <c r="C17" s="13" t="s">
        <v>206</v>
      </c>
      <c r="D17" s="9" t="s">
        <v>2607</v>
      </c>
      <c r="E17" s="21" t="s">
        <v>2561</v>
      </c>
      <c r="F17" s="22" t="str">
        <f t="shared" si="0"/>
        <v>destinationip</v>
      </c>
      <c r="G17" s="22" t="s">
        <v>2335</v>
      </c>
      <c r="H17" s="23"/>
      <c r="I17" s="64"/>
      <c r="J17" s="25" t="s">
        <v>2562</v>
      </c>
      <c r="K17" s="25" t="s">
        <v>2341</v>
      </c>
      <c r="L17" s="25" t="s">
        <v>2341</v>
      </c>
    </row>
    <row r="18" spans="1:13" s="1" customFormat="1">
      <c r="A18" s="132"/>
      <c r="B18" s="13" t="s">
        <v>2608</v>
      </c>
      <c r="C18" s="13" t="s">
        <v>211</v>
      </c>
      <c r="D18" s="9" t="s">
        <v>2609</v>
      </c>
      <c r="E18" s="21" t="s">
        <v>2561</v>
      </c>
      <c r="F18" s="22" t="str">
        <f t="shared" si="0"/>
        <v>destinationport</v>
      </c>
      <c r="G18" s="22" t="s">
        <v>2335</v>
      </c>
      <c r="H18" s="23"/>
      <c r="I18" s="64"/>
      <c r="J18" s="25" t="s">
        <v>2562</v>
      </c>
      <c r="K18" s="25" t="s">
        <v>2341</v>
      </c>
      <c r="L18" s="25" t="s">
        <v>2341</v>
      </c>
    </row>
    <row r="19" spans="1:13" s="1" customFormat="1">
      <c r="A19" s="132"/>
      <c r="B19" s="12" t="s">
        <v>2610</v>
      </c>
      <c r="C19" s="13" t="s">
        <v>206</v>
      </c>
      <c r="D19" s="9" t="s">
        <v>2611</v>
      </c>
      <c r="E19" s="21" t="s">
        <v>2561</v>
      </c>
      <c r="F19" s="22" t="str">
        <f t="shared" si="0"/>
        <v>sourceip</v>
      </c>
      <c r="G19" s="22" t="s">
        <v>2335</v>
      </c>
      <c r="H19" s="23"/>
      <c r="I19" s="64"/>
      <c r="J19" s="25" t="s">
        <v>2562</v>
      </c>
      <c r="K19" s="25" t="s">
        <v>2341</v>
      </c>
      <c r="L19" s="25" t="s">
        <v>2341</v>
      </c>
    </row>
    <row r="20" spans="1:13" s="1" customFormat="1">
      <c r="A20" s="132"/>
      <c r="B20" s="12" t="s">
        <v>2612</v>
      </c>
      <c r="C20" s="13" t="s">
        <v>211</v>
      </c>
      <c r="D20" s="9" t="s">
        <v>2613</v>
      </c>
      <c r="E20" s="21" t="s">
        <v>2561</v>
      </c>
      <c r="F20" s="22" t="str">
        <f t="shared" si="0"/>
        <v>sourceport</v>
      </c>
      <c r="G20" s="22" t="s">
        <v>2335</v>
      </c>
      <c r="H20" s="23"/>
      <c r="I20" s="64"/>
      <c r="J20" s="25" t="s">
        <v>2562</v>
      </c>
      <c r="K20" s="25" t="s">
        <v>2341</v>
      </c>
      <c r="L20" s="25" t="s">
        <v>2341</v>
      </c>
    </row>
    <row r="21" spans="1:13" s="1" customFormat="1">
      <c r="A21" s="132"/>
      <c r="B21" s="12" t="s">
        <v>258</v>
      </c>
      <c r="C21" s="13" t="s">
        <v>206</v>
      </c>
      <c r="D21" s="9" t="s">
        <v>259</v>
      </c>
      <c r="E21" s="21" t="s">
        <v>2561</v>
      </c>
      <c r="F21" s="22" t="str">
        <f t="shared" si="0"/>
        <v>upfip</v>
      </c>
      <c r="G21" s="22" t="s">
        <v>2335</v>
      </c>
      <c r="H21" s="23"/>
      <c r="I21" s="64"/>
      <c r="J21" s="25" t="s">
        <v>2562</v>
      </c>
      <c r="K21" s="25" t="s">
        <v>2341</v>
      </c>
      <c r="L21" s="25" t="s">
        <v>2341</v>
      </c>
    </row>
    <row r="22" spans="1:13" s="1" customFormat="1">
      <c r="A22" s="132"/>
      <c r="B22" s="12" t="s">
        <v>2614</v>
      </c>
      <c r="C22" s="13" t="s">
        <v>206</v>
      </c>
      <c r="D22" s="9" t="s">
        <v>2615</v>
      </c>
      <c r="E22" s="21" t="s">
        <v>2561</v>
      </c>
      <c r="F22" s="22" t="str">
        <f t="shared" si="0"/>
        <v>ncgi_ecgi</v>
      </c>
      <c r="G22" s="22" t="s">
        <v>2335</v>
      </c>
      <c r="H22" s="23"/>
      <c r="I22" s="64"/>
      <c r="J22" s="25" t="s">
        <v>2562</v>
      </c>
      <c r="K22" s="25" t="s">
        <v>2341</v>
      </c>
      <c r="L22" s="25" t="s">
        <v>2341</v>
      </c>
    </row>
    <row r="23" spans="1:13" s="1" customFormat="1">
      <c r="A23" s="132"/>
      <c r="B23" s="12" t="s">
        <v>2616</v>
      </c>
      <c r="C23" s="12" t="s">
        <v>211</v>
      </c>
      <c r="D23" s="9" t="s">
        <v>2617</v>
      </c>
      <c r="E23" s="21" t="s">
        <v>2561</v>
      </c>
      <c r="F23" s="22" t="str">
        <f t="shared" si="0"/>
        <v>protocolid</v>
      </c>
      <c r="G23" s="22" t="s">
        <v>2335</v>
      </c>
      <c r="H23" s="23"/>
      <c r="I23" s="64"/>
      <c r="J23" s="25" t="s">
        <v>2562</v>
      </c>
      <c r="K23" s="25" t="s">
        <v>2341</v>
      </c>
      <c r="L23" s="25" t="s">
        <v>2341</v>
      </c>
    </row>
    <row r="24" spans="1:13" s="1" customFormat="1">
      <c r="A24" s="132"/>
      <c r="B24" s="12" t="s">
        <v>2618</v>
      </c>
      <c r="C24" s="12" t="s">
        <v>206</v>
      </c>
      <c r="D24" s="9" t="s">
        <v>2619</v>
      </c>
      <c r="E24" s="21" t="s">
        <v>2561</v>
      </c>
      <c r="F24" s="22" t="str">
        <f t="shared" si="0"/>
        <v>starttime</v>
      </c>
      <c r="G24" s="22" t="s">
        <v>2335</v>
      </c>
      <c r="H24" s="23"/>
      <c r="I24" s="64"/>
      <c r="J24" s="25" t="s">
        <v>2562</v>
      </c>
      <c r="K24" s="25" t="s">
        <v>2341</v>
      </c>
      <c r="L24" s="25" t="s">
        <v>2341</v>
      </c>
    </row>
    <row r="25" spans="1:13" s="1" customFormat="1">
      <c r="A25" s="132"/>
      <c r="B25" s="12" t="s">
        <v>2620</v>
      </c>
      <c r="C25" s="12" t="s">
        <v>206</v>
      </c>
      <c r="D25" s="9" t="s">
        <v>2621</v>
      </c>
      <c r="E25" s="21" t="s">
        <v>2561</v>
      </c>
      <c r="F25" s="22" t="str">
        <f t="shared" si="0"/>
        <v>endtime</v>
      </c>
      <c r="G25" s="22" t="s">
        <v>2335</v>
      </c>
      <c r="H25" s="23"/>
      <c r="I25" s="64"/>
      <c r="J25" s="25" t="s">
        <v>2562</v>
      </c>
      <c r="K25" s="25" t="s">
        <v>2341</v>
      </c>
      <c r="L25" s="25" t="s">
        <v>2341</v>
      </c>
    </row>
    <row r="26" spans="1:13" s="1" customFormat="1">
      <c r="A26" s="132"/>
      <c r="B26" s="12" t="s">
        <v>468</v>
      </c>
      <c r="C26" s="12" t="s">
        <v>281</v>
      </c>
      <c r="D26" s="9" t="s">
        <v>2622</v>
      </c>
      <c r="E26" s="21" t="s">
        <v>2561</v>
      </c>
      <c r="F26" s="22" t="str">
        <f t="shared" si="0"/>
        <v>duration</v>
      </c>
      <c r="G26" s="22" t="s">
        <v>2335</v>
      </c>
      <c r="H26" s="23"/>
      <c r="I26" s="64"/>
      <c r="J26" s="25" t="s">
        <v>2562</v>
      </c>
      <c r="K26" s="25" t="s">
        <v>2341</v>
      </c>
      <c r="L26" s="25" t="s">
        <v>2341</v>
      </c>
    </row>
    <row r="27" spans="1:13" s="1" customFormat="1">
      <c r="B27" s="13" t="s">
        <v>539</v>
      </c>
      <c r="C27" s="12" t="s">
        <v>281</v>
      </c>
      <c r="D27" s="9" t="s">
        <v>2623</v>
      </c>
      <c r="E27" s="21" t="s">
        <v>2561</v>
      </c>
      <c r="F27" s="22" t="str">
        <f t="shared" si="0"/>
        <v>inputoctets</v>
      </c>
      <c r="G27" s="22" t="s">
        <v>2335</v>
      </c>
      <c r="H27" s="23"/>
      <c r="I27" s="64"/>
      <c r="J27" s="25" t="s">
        <v>2562</v>
      </c>
      <c r="K27" s="25" t="s">
        <v>2341</v>
      </c>
      <c r="L27" s="25" t="s">
        <v>2341</v>
      </c>
    </row>
    <row r="28" spans="1:13" s="3" customFormat="1">
      <c r="B28" s="13" t="s">
        <v>535</v>
      </c>
      <c r="C28" s="13" t="s">
        <v>281</v>
      </c>
      <c r="D28" s="9" t="s">
        <v>2624</v>
      </c>
      <c r="E28" s="21" t="s">
        <v>2561</v>
      </c>
      <c r="F28" s="22" t="str">
        <f t="shared" si="0"/>
        <v>outputoctets</v>
      </c>
      <c r="G28" s="22" t="s">
        <v>2335</v>
      </c>
      <c r="H28" s="21"/>
      <c r="I28" s="64"/>
      <c r="J28" s="25" t="s">
        <v>2562</v>
      </c>
      <c r="K28" s="25" t="s">
        <v>2341</v>
      </c>
      <c r="L28" s="25" t="s">
        <v>2341</v>
      </c>
    </row>
    <row r="29" spans="1:13" s="136" customFormat="1">
      <c r="A29" s="137"/>
      <c r="B29" s="138" t="s">
        <v>542</v>
      </c>
      <c r="C29" s="13" t="s">
        <v>281</v>
      </c>
      <c r="D29" s="9" t="s">
        <v>543</v>
      </c>
      <c r="E29" s="21" t="s">
        <v>2561</v>
      </c>
      <c r="F29" s="22" t="str">
        <f t="shared" si="0"/>
        <v>inputpacket</v>
      </c>
      <c r="G29" s="22" t="s">
        <v>2335</v>
      </c>
      <c r="H29" s="23"/>
      <c r="I29" s="64"/>
      <c r="J29" s="25" t="s">
        <v>2562</v>
      </c>
      <c r="K29" s="25" t="s">
        <v>2341</v>
      </c>
      <c r="L29" s="25" t="s">
        <v>2341</v>
      </c>
      <c r="M29" s="1"/>
    </row>
    <row r="30" spans="1:13" s="136" customFormat="1">
      <c r="A30" s="137"/>
      <c r="B30" s="138" t="s">
        <v>545</v>
      </c>
      <c r="C30" s="13" t="s">
        <v>281</v>
      </c>
      <c r="D30" s="9" t="s">
        <v>546</v>
      </c>
      <c r="E30" s="21" t="s">
        <v>2561</v>
      </c>
      <c r="F30" s="22" t="str">
        <f t="shared" si="0"/>
        <v>outputpacket</v>
      </c>
      <c r="G30" s="22" t="s">
        <v>2335</v>
      </c>
      <c r="H30" s="23"/>
      <c r="I30" s="64"/>
      <c r="J30" s="25" t="s">
        <v>2562</v>
      </c>
      <c r="K30" s="25" t="s">
        <v>2341</v>
      </c>
      <c r="L30" s="25" t="s">
        <v>2341</v>
      </c>
      <c r="M30" s="1"/>
    </row>
    <row r="31" spans="1:13" s="136" customFormat="1">
      <c r="A31" s="137"/>
      <c r="B31" s="138" t="s">
        <v>2625</v>
      </c>
      <c r="C31" s="13" t="s">
        <v>206</v>
      </c>
      <c r="D31" s="9" t="s">
        <v>2626</v>
      </c>
      <c r="E31" s="21" t="s">
        <v>2561</v>
      </c>
      <c r="F31" s="22" t="str">
        <f t="shared" si="0"/>
        <v>pduconnectionid</v>
      </c>
      <c r="G31" s="22" t="s">
        <v>2335</v>
      </c>
      <c r="H31" s="23"/>
      <c r="I31" s="64"/>
      <c r="J31" s="25" t="s">
        <v>2562</v>
      </c>
      <c r="K31" s="25" t="s">
        <v>2341</v>
      </c>
      <c r="L31" s="25" t="s">
        <v>2341</v>
      </c>
      <c r="M31" s="1"/>
    </row>
    <row r="32" spans="1:13" s="136" customFormat="1">
      <c r="A32" s="137"/>
      <c r="B32" s="138" t="s">
        <v>2627</v>
      </c>
      <c r="C32" s="13" t="s">
        <v>211</v>
      </c>
      <c r="D32" s="9" t="s">
        <v>2628</v>
      </c>
      <c r="E32" s="21" t="s">
        <v>2561</v>
      </c>
      <c r="F32" s="22" t="str">
        <f t="shared" si="0"/>
        <v>recordclosecause</v>
      </c>
      <c r="G32" s="22" t="s">
        <v>2335</v>
      </c>
      <c r="H32" s="64"/>
      <c r="I32" s="64"/>
      <c r="J32" s="25" t="s">
        <v>2562</v>
      </c>
      <c r="K32" s="25" t="s">
        <v>2341</v>
      </c>
      <c r="L32" s="25" t="s">
        <v>2341</v>
      </c>
    </row>
    <row r="33" spans="1:13" s="136" customFormat="1">
      <c r="A33" s="137"/>
      <c r="B33" s="138" t="s">
        <v>262</v>
      </c>
      <c r="C33" s="13" t="s">
        <v>206</v>
      </c>
      <c r="D33" s="9" t="s">
        <v>263</v>
      </c>
      <c r="E33" s="21" t="s">
        <v>2561</v>
      </c>
      <c r="F33" s="22" t="str">
        <f t="shared" si="0"/>
        <v>gnbip</v>
      </c>
      <c r="G33" s="22" t="s">
        <v>2335</v>
      </c>
      <c r="H33" s="23"/>
      <c r="I33" s="64"/>
      <c r="J33" s="25" t="s">
        <v>2562</v>
      </c>
      <c r="K33" s="25" t="s">
        <v>2341</v>
      </c>
      <c r="L33" s="25" t="s">
        <v>2341</v>
      </c>
      <c r="M33" s="1"/>
    </row>
    <row r="34" spans="1:13" s="136" customFormat="1">
      <c r="A34" s="137"/>
      <c r="B34" s="138" t="s">
        <v>264</v>
      </c>
      <c r="C34" s="13" t="s">
        <v>206</v>
      </c>
      <c r="D34" s="9" t="s">
        <v>265</v>
      </c>
      <c r="E34" s="21" t="s">
        <v>2561</v>
      </c>
      <c r="F34" s="22" t="str">
        <f t="shared" si="0"/>
        <v>home_province</v>
      </c>
      <c r="G34" s="22" t="s">
        <v>2335</v>
      </c>
      <c r="H34" s="21"/>
      <c r="I34" s="145"/>
      <c r="J34" s="25" t="s">
        <v>2562</v>
      </c>
      <c r="K34" s="25" t="s">
        <v>2341</v>
      </c>
      <c r="L34" s="25" t="s">
        <v>2341</v>
      </c>
    </row>
    <row r="35" spans="1:13" s="136" customFormat="1">
      <c r="A35" s="137"/>
      <c r="B35" s="138" t="s">
        <v>270</v>
      </c>
      <c r="C35" s="13" t="s">
        <v>211</v>
      </c>
      <c r="D35" s="9" t="s">
        <v>745</v>
      </c>
      <c r="E35" s="21" t="s">
        <v>2561</v>
      </c>
      <c r="F35" s="22" t="str">
        <f t="shared" si="0"/>
        <v>l4protocol</v>
      </c>
      <c r="G35" s="22" t="s">
        <v>2335</v>
      </c>
      <c r="H35" s="21"/>
      <c r="I35" s="145"/>
      <c r="J35" s="25" t="s">
        <v>2562</v>
      </c>
      <c r="K35" s="25" t="s">
        <v>2341</v>
      </c>
      <c r="L35" s="25" t="s">
        <v>2341</v>
      </c>
    </row>
    <row r="36" spans="1:13" s="136" customFormat="1">
      <c r="A36" s="137"/>
      <c r="B36" s="138" t="s">
        <v>548</v>
      </c>
      <c r="C36" s="26" t="s">
        <v>281</v>
      </c>
      <c r="D36" s="9" t="s">
        <v>2629</v>
      </c>
      <c r="E36" s="21" t="s">
        <v>2561</v>
      </c>
      <c r="F36" s="22" t="str">
        <f t="shared" ref="F36:F65" si="1">B36</f>
        <v>ultcpreorderingpacket</v>
      </c>
      <c r="G36" s="22" t="s">
        <v>2335</v>
      </c>
      <c r="H36" s="21"/>
      <c r="I36" s="145"/>
      <c r="J36" s="25" t="s">
        <v>2562</v>
      </c>
      <c r="K36" s="25" t="s">
        <v>2341</v>
      </c>
      <c r="L36" s="25" t="s">
        <v>2341</v>
      </c>
    </row>
    <row r="37" spans="1:13" s="136" customFormat="1">
      <c r="A37" s="137"/>
      <c r="B37" s="138" t="s">
        <v>551</v>
      </c>
      <c r="C37" s="26" t="s">
        <v>281</v>
      </c>
      <c r="D37" s="9" t="s">
        <v>2630</v>
      </c>
      <c r="E37" s="21" t="s">
        <v>2561</v>
      </c>
      <c r="F37" s="22" t="str">
        <f t="shared" si="1"/>
        <v>dltcpreorderingpacket</v>
      </c>
      <c r="G37" s="22" t="s">
        <v>2335</v>
      </c>
      <c r="H37" s="21"/>
      <c r="I37" s="145"/>
      <c r="J37" s="25" t="s">
        <v>2562</v>
      </c>
      <c r="K37" s="25" t="s">
        <v>2341</v>
      </c>
      <c r="L37" s="25" t="s">
        <v>2341</v>
      </c>
    </row>
    <row r="38" spans="1:13" s="136" customFormat="1">
      <c r="A38" s="137"/>
      <c r="B38" s="138" t="s">
        <v>2631</v>
      </c>
      <c r="C38" s="26" t="s">
        <v>281</v>
      </c>
      <c r="D38" s="9" t="s">
        <v>2632</v>
      </c>
      <c r="E38" s="21" t="s">
        <v>2561</v>
      </c>
      <c r="F38" s="22" t="str">
        <f t="shared" si="1"/>
        <v>ultcp_retranspacket</v>
      </c>
      <c r="G38" s="22" t="s">
        <v>2335</v>
      </c>
      <c r="H38" s="21"/>
      <c r="I38" s="145"/>
      <c r="J38" s="25" t="s">
        <v>2562</v>
      </c>
      <c r="K38" s="25" t="s">
        <v>2341</v>
      </c>
      <c r="L38" s="25" t="s">
        <v>2341</v>
      </c>
    </row>
    <row r="39" spans="1:13" s="136" customFormat="1">
      <c r="A39" s="137"/>
      <c r="B39" s="138" t="s">
        <v>2633</v>
      </c>
      <c r="C39" s="26" t="s">
        <v>281</v>
      </c>
      <c r="D39" s="9" t="s">
        <v>2634</v>
      </c>
      <c r="E39" s="21" t="s">
        <v>2561</v>
      </c>
      <c r="F39" s="22" t="str">
        <f t="shared" si="1"/>
        <v>dltcp_retranspacket</v>
      </c>
      <c r="G39" s="22" t="s">
        <v>2335</v>
      </c>
      <c r="H39" s="21"/>
      <c r="I39" s="145"/>
      <c r="J39" s="25" t="s">
        <v>2562</v>
      </c>
      <c r="K39" s="25" t="s">
        <v>2341</v>
      </c>
      <c r="L39" s="25" t="s">
        <v>2341</v>
      </c>
    </row>
    <row r="40" spans="1:13" s="136" customFormat="1">
      <c r="A40" s="137"/>
      <c r="B40" s="138" t="s">
        <v>2635</v>
      </c>
      <c r="C40" s="26" t="s">
        <v>281</v>
      </c>
      <c r="D40" s="9" t="s">
        <v>2636</v>
      </c>
      <c r="E40" s="21" t="s">
        <v>2561</v>
      </c>
      <c r="F40" s="22" t="str">
        <f t="shared" si="1"/>
        <v>tcpsetupresponsedelay</v>
      </c>
      <c r="G40" s="22" t="s">
        <v>2335</v>
      </c>
      <c r="H40" s="21"/>
      <c r="I40" s="145"/>
      <c r="J40" s="25" t="s">
        <v>2562</v>
      </c>
      <c r="K40" s="25" t="s">
        <v>2341</v>
      </c>
      <c r="L40" s="25" t="s">
        <v>2341</v>
      </c>
    </row>
    <row r="41" spans="1:13" s="136" customFormat="1">
      <c r="A41" s="137"/>
      <c r="B41" s="138" t="s">
        <v>2637</v>
      </c>
      <c r="C41" s="26" t="s">
        <v>281</v>
      </c>
      <c r="D41" s="9" t="s">
        <v>2638</v>
      </c>
      <c r="E41" s="21" t="s">
        <v>2561</v>
      </c>
      <c r="F41" s="22" t="str">
        <f t="shared" si="1"/>
        <v>tcpsetupackdelay</v>
      </c>
      <c r="G41" s="22" t="s">
        <v>2335</v>
      </c>
      <c r="H41" s="21"/>
      <c r="I41" s="145"/>
      <c r="J41" s="25" t="s">
        <v>2562</v>
      </c>
      <c r="K41" s="25" t="s">
        <v>2341</v>
      </c>
      <c r="L41" s="25" t="s">
        <v>2341</v>
      </c>
    </row>
    <row r="42" spans="1:13" s="136" customFormat="1">
      <c r="A42" s="137"/>
      <c r="B42" s="138" t="s">
        <v>2639</v>
      </c>
      <c r="C42" s="26" t="s">
        <v>211</v>
      </c>
      <c r="D42" s="9" t="s">
        <v>2640</v>
      </c>
      <c r="E42" s="21" t="s">
        <v>2561</v>
      </c>
      <c r="F42" s="22" t="str">
        <f t="shared" si="1"/>
        <v>tcpconnectstate</v>
      </c>
      <c r="G42" s="22" t="s">
        <v>2335</v>
      </c>
      <c r="H42" s="21"/>
      <c r="I42" s="145"/>
      <c r="J42" s="25" t="s">
        <v>2562</v>
      </c>
      <c r="K42" s="25" t="s">
        <v>2341</v>
      </c>
      <c r="L42" s="25" t="s">
        <v>2341</v>
      </c>
    </row>
    <row r="43" spans="1:13" s="136" customFormat="1">
      <c r="A43" s="137"/>
      <c r="B43" s="138" t="s">
        <v>566</v>
      </c>
      <c r="C43" s="26" t="s">
        <v>281</v>
      </c>
      <c r="D43" s="9" t="s">
        <v>567</v>
      </c>
      <c r="E43" s="21" t="s">
        <v>2561</v>
      </c>
      <c r="F43" s="22" t="str">
        <f t="shared" si="1"/>
        <v>ul_data_transduration</v>
      </c>
      <c r="G43" s="22" t="s">
        <v>2335</v>
      </c>
      <c r="H43" s="21"/>
      <c r="I43" s="145"/>
      <c r="J43" s="25" t="s">
        <v>2562</v>
      </c>
      <c r="K43" s="25" t="s">
        <v>2341</v>
      </c>
      <c r="L43" s="25" t="s">
        <v>2341</v>
      </c>
    </row>
    <row r="44" spans="1:13" s="136" customFormat="1">
      <c r="A44" s="137"/>
      <c r="B44" s="138" t="s">
        <v>2641</v>
      </c>
      <c r="C44" s="26" t="s">
        <v>281</v>
      </c>
      <c r="D44" s="9" t="s">
        <v>570</v>
      </c>
      <c r="E44" s="21" t="s">
        <v>2561</v>
      </c>
      <c r="F44" s="22" t="str">
        <f t="shared" si="1"/>
        <v>dl_datatransduration</v>
      </c>
      <c r="G44" s="22" t="s">
        <v>2335</v>
      </c>
      <c r="H44" s="21"/>
      <c r="I44" s="145"/>
      <c r="J44" s="25" t="s">
        <v>2562</v>
      </c>
      <c r="K44" s="25" t="s">
        <v>2341</v>
      </c>
      <c r="L44" s="25" t="s">
        <v>2341</v>
      </c>
    </row>
    <row r="45" spans="1:13" s="136" customFormat="1">
      <c r="A45" s="137"/>
      <c r="B45" s="138" t="s">
        <v>2642</v>
      </c>
      <c r="C45" s="26" t="s">
        <v>281</v>
      </c>
      <c r="D45" s="9" t="s">
        <v>2643</v>
      </c>
      <c r="E45" s="21" t="s">
        <v>2561</v>
      </c>
      <c r="F45" s="22" t="str">
        <f t="shared" si="1"/>
        <v>ul_average_packet_size</v>
      </c>
      <c r="G45" s="22" t="s">
        <v>2335</v>
      </c>
      <c r="H45" s="21"/>
      <c r="I45" s="145"/>
      <c r="J45" s="25" t="s">
        <v>2562</v>
      </c>
      <c r="K45" s="25" t="s">
        <v>2341</v>
      </c>
      <c r="L45" s="25" t="s">
        <v>2341</v>
      </c>
    </row>
    <row r="46" spans="1:13" s="136" customFormat="1">
      <c r="A46" s="137"/>
      <c r="B46" s="138" t="s">
        <v>2644</v>
      </c>
      <c r="C46" s="26" t="s">
        <v>281</v>
      </c>
      <c r="D46" s="9" t="s">
        <v>2645</v>
      </c>
      <c r="E46" s="21" t="s">
        <v>2561</v>
      </c>
      <c r="F46" s="22" t="str">
        <f t="shared" si="1"/>
        <v>dl_average_packet_size</v>
      </c>
      <c r="G46" s="22" t="s">
        <v>2335</v>
      </c>
      <c r="H46" s="21"/>
      <c r="I46" s="145"/>
      <c r="J46" s="25" t="s">
        <v>2562</v>
      </c>
      <c r="K46" s="25" t="s">
        <v>2341</v>
      </c>
      <c r="L46" s="25" t="s">
        <v>2341</v>
      </c>
    </row>
    <row r="47" spans="1:13" s="136" customFormat="1">
      <c r="A47" s="137"/>
      <c r="B47" s="138" t="s">
        <v>2646</v>
      </c>
      <c r="C47" s="26" t="s">
        <v>281</v>
      </c>
      <c r="D47" s="9" t="s">
        <v>2647</v>
      </c>
      <c r="E47" s="21" t="s">
        <v>2561</v>
      </c>
      <c r="F47" s="22" t="str">
        <f t="shared" si="1"/>
        <v>ul_average_interval</v>
      </c>
      <c r="G47" s="22" t="s">
        <v>2335</v>
      </c>
      <c r="H47" s="21"/>
      <c r="I47" s="145"/>
      <c r="J47" s="25" t="s">
        <v>2562</v>
      </c>
      <c r="K47" s="25" t="s">
        <v>2341</v>
      </c>
      <c r="L47" s="25" t="s">
        <v>2341</v>
      </c>
    </row>
    <row r="48" spans="1:13" s="136" customFormat="1">
      <c r="A48" s="137"/>
      <c r="B48" s="138" t="s">
        <v>2648</v>
      </c>
      <c r="C48" s="26" t="s">
        <v>281</v>
      </c>
      <c r="D48" s="9" t="s">
        <v>2649</v>
      </c>
      <c r="E48" s="21" t="s">
        <v>2561</v>
      </c>
      <c r="F48" s="22" t="str">
        <f t="shared" si="1"/>
        <v>dl_average_interval</v>
      </c>
      <c r="G48" s="22" t="s">
        <v>2335</v>
      </c>
      <c r="H48" s="21"/>
      <c r="I48" s="145"/>
      <c r="J48" s="25" t="s">
        <v>2562</v>
      </c>
      <c r="K48" s="25" t="s">
        <v>2341</v>
      </c>
      <c r="L48" s="25" t="s">
        <v>2341</v>
      </c>
    </row>
    <row r="49" spans="1:12" s="136" customFormat="1">
      <c r="A49" s="137"/>
      <c r="B49" s="138" t="s">
        <v>2650</v>
      </c>
      <c r="C49" s="26" t="s">
        <v>281</v>
      </c>
      <c r="D49" s="9" t="s">
        <v>2651</v>
      </c>
      <c r="E49" s="21" t="s">
        <v>2561</v>
      </c>
      <c r="F49" s="22" t="str">
        <f t="shared" si="1"/>
        <v>ul_average_jitter</v>
      </c>
      <c r="G49" s="22" t="s">
        <v>2335</v>
      </c>
      <c r="H49" s="21"/>
      <c r="I49" s="145"/>
      <c r="J49" s="25" t="s">
        <v>2562</v>
      </c>
      <c r="K49" s="25" t="s">
        <v>2341</v>
      </c>
      <c r="L49" s="25" t="s">
        <v>2341</v>
      </c>
    </row>
    <row r="50" spans="1:12" s="136" customFormat="1">
      <c r="A50" s="137"/>
      <c r="B50" s="138" t="s">
        <v>2652</v>
      </c>
      <c r="C50" s="26" t="s">
        <v>281</v>
      </c>
      <c r="D50" s="9" t="s">
        <v>2653</v>
      </c>
      <c r="E50" s="21" t="s">
        <v>2561</v>
      </c>
      <c r="F50" s="22" t="str">
        <f t="shared" si="1"/>
        <v>dl_average_jitter</v>
      </c>
      <c r="G50" s="22" t="s">
        <v>2335</v>
      </c>
      <c r="H50" s="21"/>
      <c r="I50" s="145"/>
      <c r="J50" s="25" t="s">
        <v>2562</v>
      </c>
      <c r="K50" s="25" t="s">
        <v>2341</v>
      </c>
      <c r="L50" s="25" t="s">
        <v>2341</v>
      </c>
    </row>
    <row r="51" spans="1:12" s="136" customFormat="1">
      <c r="A51" s="137"/>
      <c r="B51" s="138" t="s">
        <v>2654</v>
      </c>
      <c r="C51" s="26" t="s">
        <v>281</v>
      </c>
      <c r="D51" s="9" t="s">
        <v>2655</v>
      </c>
      <c r="E51" s="21" t="s">
        <v>2561</v>
      </c>
      <c r="F51" s="22" t="str">
        <f t="shared" si="1"/>
        <v>flowid</v>
      </c>
      <c r="G51" s="22" t="s">
        <v>2335</v>
      </c>
      <c r="H51" s="21"/>
      <c r="I51" s="145"/>
      <c r="J51" s="25" t="s">
        <v>2562</v>
      </c>
      <c r="K51" s="25" t="s">
        <v>2341</v>
      </c>
      <c r="L51" s="25" t="s">
        <v>2341</v>
      </c>
    </row>
    <row r="52" spans="1:12" s="136" customFormat="1">
      <c r="A52" s="137"/>
      <c r="B52" s="138" t="s">
        <v>254</v>
      </c>
      <c r="C52" s="26" t="s">
        <v>206</v>
      </c>
      <c r="D52" s="9" t="s">
        <v>739</v>
      </c>
      <c r="E52" s="21" t="s">
        <v>2561</v>
      </c>
      <c r="F52" s="22" t="str">
        <f t="shared" si="1"/>
        <v>pei</v>
      </c>
      <c r="G52" s="22" t="s">
        <v>2335</v>
      </c>
      <c r="H52" s="21"/>
      <c r="I52" s="145"/>
      <c r="J52" s="25" t="s">
        <v>2562</v>
      </c>
      <c r="K52" s="25" t="s">
        <v>2341</v>
      </c>
      <c r="L52" s="25" t="s">
        <v>2341</v>
      </c>
    </row>
    <row r="53" spans="1:12" s="136" customFormat="1">
      <c r="A53" s="137"/>
      <c r="B53" s="138" t="s">
        <v>256</v>
      </c>
      <c r="C53" s="26" t="s">
        <v>206</v>
      </c>
      <c r="D53" s="9" t="s">
        <v>743</v>
      </c>
      <c r="E53" s="21" t="s">
        <v>2561</v>
      </c>
      <c r="F53" s="22" t="str">
        <f t="shared" si="1"/>
        <v>dnn_apn</v>
      </c>
      <c r="G53" s="22" t="s">
        <v>2335</v>
      </c>
      <c r="H53" s="21"/>
      <c r="I53" s="145"/>
      <c r="J53" s="25" t="s">
        <v>2562</v>
      </c>
      <c r="K53" s="25" t="s">
        <v>2341</v>
      </c>
      <c r="L53" s="25" t="s">
        <v>2341</v>
      </c>
    </row>
    <row r="54" spans="1:12" s="136" customFormat="1">
      <c r="A54" s="137"/>
      <c r="B54" s="138" t="s">
        <v>260</v>
      </c>
      <c r="C54" s="26" t="s">
        <v>206</v>
      </c>
      <c r="D54" s="9" t="s">
        <v>261</v>
      </c>
      <c r="E54" s="21" t="s">
        <v>2561</v>
      </c>
      <c r="F54" s="22" t="str">
        <f t="shared" si="1"/>
        <v>servicetype</v>
      </c>
      <c r="G54" s="22" t="s">
        <v>2335</v>
      </c>
      <c r="H54" s="21"/>
      <c r="I54" s="145"/>
      <c r="J54" s="25" t="s">
        <v>2562</v>
      </c>
      <c r="K54" s="25" t="s">
        <v>2341</v>
      </c>
      <c r="L54" s="25" t="s">
        <v>2341</v>
      </c>
    </row>
    <row r="55" spans="1:12" s="136" customFormat="1">
      <c r="A55" s="137"/>
      <c r="B55" s="138" t="s">
        <v>2656</v>
      </c>
      <c r="C55" s="26" t="s">
        <v>281</v>
      </c>
      <c r="D55" s="9" t="s">
        <v>2676</v>
      </c>
      <c r="E55" s="21" t="s">
        <v>2561</v>
      </c>
      <c r="F55" s="22" t="str">
        <f t="shared" si="1"/>
        <v>delay_setup_firsttransaction</v>
      </c>
      <c r="G55" s="22" t="s">
        <v>2335</v>
      </c>
      <c r="H55" s="21"/>
      <c r="I55" s="145"/>
      <c r="J55" s="25" t="s">
        <v>2562</v>
      </c>
      <c r="K55" s="25" t="s">
        <v>2341</v>
      </c>
      <c r="L55" s="25" t="s">
        <v>2341</v>
      </c>
    </row>
    <row r="56" spans="1:12" s="136" customFormat="1" ht="26.4">
      <c r="A56" s="137"/>
      <c r="B56" s="138" t="s">
        <v>2658</v>
      </c>
      <c r="C56" s="26" t="s">
        <v>281</v>
      </c>
      <c r="D56" s="9" t="s">
        <v>2677</v>
      </c>
      <c r="E56" s="21" t="s">
        <v>2561</v>
      </c>
      <c r="F56" s="22" t="str">
        <f t="shared" si="1"/>
        <v>delay_firsttransaction_firstrespackt</v>
      </c>
      <c r="G56" s="22" t="s">
        <v>2335</v>
      </c>
      <c r="H56" s="21"/>
      <c r="I56" s="145"/>
      <c r="J56" s="25" t="s">
        <v>2562</v>
      </c>
      <c r="K56" s="25" t="s">
        <v>2341</v>
      </c>
      <c r="L56" s="25" t="s">
        <v>2341</v>
      </c>
    </row>
    <row r="57" spans="1:12" s="136" customFormat="1">
      <c r="A57" s="137"/>
      <c r="B57" s="138" t="s">
        <v>2660</v>
      </c>
      <c r="C57" s="26" t="s">
        <v>211</v>
      </c>
      <c r="D57" s="9" t="s">
        <v>2678</v>
      </c>
      <c r="E57" s="21" t="s">
        <v>2561</v>
      </c>
      <c r="F57" s="22" t="str">
        <f t="shared" si="1"/>
        <v>tcpsynnumber</v>
      </c>
      <c r="G57" s="22" t="s">
        <v>2335</v>
      </c>
      <c r="H57" s="21"/>
      <c r="I57" s="145"/>
      <c r="J57" s="25" t="s">
        <v>2562</v>
      </c>
      <c r="K57" s="25" t="s">
        <v>2341</v>
      </c>
      <c r="L57" s="25" t="s">
        <v>2341</v>
      </c>
    </row>
    <row r="58" spans="1:12" s="136" customFormat="1">
      <c r="A58" s="137"/>
      <c r="B58" s="138" t="s">
        <v>1321</v>
      </c>
      <c r="C58" s="26" t="s">
        <v>281</v>
      </c>
      <c r="D58" s="9" t="s">
        <v>1321</v>
      </c>
      <c r="E58" s="21" t="s">
        <v>2561</v>
      </c>
      <c r="F58" s="22" t="str">
        <f t="shared" si="1"/>
        <v>ul_session_ambr</v>
      </c>
      <c r="G58" s="22" t="s">
        <v>2335</v>
      </c>
      <c r="H58" s="21"/>
      <c r="I58" s="145"/>
      <c r="J58" s="25" t="s">
        <v>2562</v>
      </c>
      <c r="K58" s="25" t="s">
        <v>2341</v>
      </c>
      <c r="L58" s="25" t="s">
        <v>2341</v>
      </c>
    </row>
    <row r="59" spans="1:12" s="136" customFormat="1">
      <c r="A59" s="137"/>
      <c r="B59" s="138" t="s">
        <v>1323</v>
      </c>
      <c r="C59" s="26" t="s">
        <v>281</v>
      </c>
      <c r="D59" s="9" t="s">
        <v>1323</v>
      </c>
      <c r="E59" s="21" t="s">
        <v>2561</v>
      </c>
      <c r="F59" s="22" t="str">
        <f t="shared" si="1"/>
        <v>dl_session_ambr</v>
      </c>
      <c r="G59" s="22" t="s">
        <v>2335</v>
      </c>
      <c r="H59" s="21"/>
      <c r="I59" s="145"/>
      <c r="J59" s="25" t="s">
        <v>2562</v>
      </c>
      <c r="K59" s="25" t="s">
        <v>2341</v>
      </c>
      <c r="L59" s="25" t="s">
        <v>2341</v>
      </c>
    </row>
    <row r="60" spans="1:12" s="136" customFormat="1">
      <c r="A60" s="137"/>
      <c r="B60" s="138" t="s">
        <v>2686</v>
      </c>
      <c r="C60" s="26" t="s">
        <v>206</v>
      </c>
      <c r="D60" s="9" t="s">
        <v>2686</v>
      </c>
      <c r="E60" s="21" t="s">
        <v>2561</v>
      </c>
      <c r="F60" s="22" t="str">
        <f t="shared" si="1"/>
        <v>query_domain_name</v>
      </c>
      <c r="G60" s="22" t="s">
        <v>2335</v>
      </c>
      <c r="H60" s="21"/>
      <c r="I60" s="145"/>
      <c r="J60" s="25" t="s">
        <v>2562</v>
      </c>
      <c r="K60" s="25" t="s">
        <v>2341</v>
      </c>
      <c r="L60" s="25" t="s">
        <v>2341</v>
      </c>
    </row>
    <row r="61" spans="1:12" s="136" customFormat="1">
      <c r="A61" s="137"/>
      <c r="B61" s="138" t="s">
        <v>2687</v>
      </c>
      <c r="C61" s="26" t="s">
        <v>211</v>
      </c>
      <c r="D61" s="9" t="s">
        <v>2687</v>
      </c>
      <c r="E61" s="21" t="s">
        <v>2561</v>
      </c>
      <c r="F61" s="22" t="str">
        <f t="shared" si="1"/>
        <v>reply_code</v>
      </c>
      <c r="G61" s="22" t="s">
        <v>2335</v>
      </c>
      <c r="H61" s="21"/>
      <c r="I61" s="145"/>
      <c r="J61" s="25" t="s">
        <v>2562</v>
      </c>
      <c r="K61" s="25" t="s">
        <v>2341</v>
      </c>
      <c r="L61" s="25" t="s">
        <v>2341</v>
      </c>
    </row>
    <row r="62" spans="1:12" s="136" customFormat="1">
      <c r="A62" s="137"/>
      <c r="B62" s="138" t="s">
        <v>2688</v>
      </c>
      <c r="C62" s="26" t="s">
        <v>281</v>
      </c>
      <c r="D62" s="9" t="s">
        <v>2688</v>
      </c>
      <c r="E62" s="21" t="s">
        <v>2561</v>
      </c>
      <c r="F62" s="22" t="str">
        <f t="shared" si="1"/>
        <v>query_time</v>
      </c>
      <c r="G62" s="22" t="s">
        <v>2335</v>
      </c>
      <c r="H62" s="21"/>
      <c r="I62" s="145"/>
      <c r="J62" s="25" t="s">
        <v>2562</v>
      </c>
      <c r="K62" s="25" t="s">
        <v>2341</v>
      </c>
      <c r="L62" s="25" t="s">
        <v>2341</v>
      </c>
    </row>
    <row r="63" spans="1:12" s="136" customFormat="1">
      <c r="A63" s="137"/>
      <c r="B63" s="138" t="s">
        <v>2689</v>
      </c>
      <c r="C63" s="26" t="s">
        <v>281</v>
      </c>
      <c r="D63" s="9" t="s">
        <v>2689</v>
      </c>
      <c r="E63" s="21" t="s">
        <v>2561</v>
      </c>
      <c r="F63" s="22" t="str">
        <f t="shared" si="1"/>
        <v>response_time</v>
      </c>
      <c r="G63" s="22" t="s">
        <v>2335</v>
      </c>
      <c r="H63" s="21"/>
      <c r="I63" s="145"/>
      <c r="J63" s="25" t="s">
        <v>2562</v>
      </c>
      <c r="K63" s="25" t="s">
        <v>2341</v>
      </c>
      <c r="L63" s="25" t="s">
        <v>2341</v>
      </c>
    </row>
    <row r="64" spans="1:12" s="136" customFormat="1">
      <c r="A64" s="137"/>
      <c r="B64" s="138" t="s">
        <v>2690</v>
      </c>
      <c r="C64" s="26" t="s">
        <v>211</v>
      </c>
      <c r="D64" s="9" t="s">
        <v>2690</v>
      </c>
      <c r="E64" s="21" t="s">
        <v>2561</v>
      </c>
      <c r="F64" s="22" t="str">
        <f t="shared" si="1"/>
        <v>request_number</v>
      </c>
      <c r="G64" s="22" t="s">
        <v>2335</v>
      </c>
      <c r="H64" s="21"/>
      <c r="I64" s="145"/>
      <c r="J64" s="25" t="s">
        <v>2562</v>
      </c>
      <c r="K64" s="25" t="s">
        <v>2341</v>
      </c>
      <c r="L64" s="25" t="s">
        <v>2341</v>
      </c>
    </row>
    <row r="65" spans="1:17" s="136" customFormat="1">
      <c r="A65" s="137"/>
      <c r="B65" s="138" t="s">
        <v>2691</v>
      </c>
      <c r="C65" s="26" t="s">
        <v>211</v>
      </c>
      <c r="D65" s="9" t="s">
        <v>2691</v>
      </c>
      <c r="E65" s="21" t="s">
        <v>2561</v>
      </c>
      <c r="F65" s="22" t="str">
        <f t="shared" si="1"/>
        <v>response_number</v>
      </c>
      <c r="G65" s="22" t="s">
        <v>2335</v>
      </c>
      <c r="H65" s="21"/>
      <c r="I65" s="145"/>
      <c r="J65" s="25" t="s">
        <v>2562</v>
      </c>
      <c r="K65" s="25" t="s">
        <v>2341</v>
      </c>
      <c r="L65" s="25" t="s">
        <v>2341</v>
      </c>
    </row>
    <row r="66" spans="1:17" s="2" customFormat="1">
      <c r="B66" s="14" t="s">
        <v>222</v>
      </c>
      <c r="C66" s="15" t="s">
        <v>211</v>
      </c>
      <c r="D66" s="16" t="s">
        <v>344</v>
      </c>
      <c r="E66" s="69"/>
      <c r="F66" s="14"/>
      <c r="G66" s="14"/>
      <c r="H66" s="14"/>
      <c r="I66" s="123"/>
      <c r="J66" s="14"/>
      <c r="K66" s="14"/>
      <c r="L66" s="14"/>
      <c r="M66" s="14"/>
      <c r="N66" s="14"/>
      <c r="O66" s="14"/>
      <c r="P66" s="14"/>
      <c r="Q66" s="14"/>
    </row>
    <row r="67" spans="1:17" s="2" customFormat="1">
      <c r="B67" s="14" t="s">
        <v>0</v>
      </c>
      <c r="C67" s="15" t="s">
        <v>206</v>
      </c>
      <c r="D67" s="16" t="s">
        <v>345</v>
      </c>
      <c r="E67" s="69"/>
      <c r="F67" s="14"/>
      <c r="G67" s="14"/>
      <c r="H67" s="14"/>
      <c r="I67" s="123"/>
      <c r="J67" s="14"/>
      <c r="K67" s="14"/>
      <c r="L67" s="14"/>
      <c r="M67" s="14"/>
      <c r="N67" s="14"/>
      <c r="O67" s="14"/>
      <c r="P67" s="14"/>
      <c r="Q67" s="14"/>
    </row>
    <row r="68" spans="1:17" s="2" customFormat="1">
      <c r="B68" s="14" t="s">
        <v>1</v>
      </c>
      <c r="C68" s="15" t="s">
        <v>211</v>
      </c>
      <c r="D68" s="16" t="s">
        <v>346</v>
      </c>
      <c r="E68" s="69"/>
      <c r="F68" s="14"/>
      <c r="G68" s="14"/>
      <c r="H68" s="14"/>
      <c r="I68" s="123"/>
      <c r="J68" s="14"/>
      <c r="K68" s="14"/>
      <c r="L68" s="14"/>
      <c r="M68" s="14"/>
      <c r="N68" s="14"/>
      <c r="O68" s="14"/>
      <c r="P68" s="14"/>
      <c r="Q68" s="14"/>
    </row>
  </sheetData>
  <autoFilter ref="A13:Q68" xr:uid="{00000000-0009-0000-0000-000003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5BA8B-E173-419D-BD96-0EEE0FA42069}">
  <dimension ref="A1:Q67"/>
  <sheetViews>
    <sheetView zoomScale="85" zoomScaleNormal="85" workbookViewId="0">
      <pane ySplit="5" topLeftCell="A35" activePane="bottomLeft" state="frozen"/>
      <selection activeCell="C18" sqref="C18"/>
      <selection pane="bottomLeft" activeCell="B61" sqref="B61"/>
    </sheetView>
  </sheetViews>
  <sheetFormatPr defaultColWidth="9" defaultRowHeight="13.2"/>
  <cols>
    <col min="1" max="1" width="1.33203125" style="3" customWidth="1"/>
    <col min="2" max="2" width="23.6640625" style="3" customWidth="1"/>
    <col min="3" max="3" width="26.88671875" style="3" bestFit="1"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58"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c r="C5" s="145" t="s">
        <v>2541</v>
      </c>
      <c r="D5" s="145" t="s">
        <v>2574</v>
      </c>
      <c r="E5" s="12" t="s">
        <v>2547</v>
      </c>
      <c r="F5" s="61"/>
      <c r="G5" s="9"/>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145" t="s">
        <v>2575</v>
      </c>
      <c r="D9" s="10" t="s">
        <v>2576</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214</v>
      </c>
      <c r="C14" s="13" t="s">
        <v>211</v>
      </c>
      <c r="D14" s="9" t="s">
        <v>1232</v>
      </c>
      <c r="E14" s="21" t="s">
        <v>2561</v>
      </c>
      <c r="F14" s="22" t="str">
        <f>B14</f>
        <v>interface</v>
      </c>
      <c r="G14" s="22" t="s">
        <v>2335</v>
      </c>
      <c r="H14" s="23"/>
      <c r="I14" s="64"/>
      <c r="J14" s="25" t="s">
        <v>2562</v>
      </c>
      <c r="K14" s="25" t="s">
        <v>2341</v>
      </c>
      <c r="L14" s="25" t="s">
        <v>2341</v>
      </c>
    </row>
    <row r="15" spans="1:14" s="1" customFormat="1">
      <c r="B15" s="13" t="s">
        <v>249</v>
      </c>
      <c r="C15" s="13" t="s">
        <v>206</v>
      </c>
      <c r="D15" s="9" t="s">
        <v>2605</v>
      </c>
      <c r="E15" s="21" t="s">
        <v>2561</v>
      </c>
      <c r="F15" s="22" t="str">
        <f t="shared" ref="F15:F35" si="0">B15</f>
        <v>supi</v>
      </c>
      <c r="G15" s="22" t="s">
        <v>2335</v>
      </c>
      <c r="H15" s="23"/>
      <c r="I15" s="64"/>
      <c r="J15" s="25" t="s">
        <v>2562</v>
      </c>
      <c r="K15" s="25" t="s">
        <v>2341</v>
      </c>
      <c r="L15" s="25" t="s">
        <v>2341</v>
      </c>
    </row>
    <row r="16" spans="1:14" s="1" customFormat="1">
      <c r="A16" s="132"/>
      <c r="B16" s="13" t="s">
        <v>251</v>
      </c>
      <c r="C16" s="13" t="s">
        <v>206</v>
      </c>
      <c r="D16" s="9" t="s">
        <v>252</v>
      </c>
      <c r="E16" s="21" t="s">
        <v>2561</v>
      </c>
      <c r="F16" s="22" t="str">
        <f t="shared" si="0"/>
        <v>msisdn</v>
      </c>
      <c r="G16" s="22" t="s">
        <v>2335</v>
      </c>
      <c r="H16" s="23"/>
      <c r="I16" s="64"/>
      <c r="J16" s="25" t="s">
        <v>2562</v>
      </c>
      <c r="K16" s="25" t="s">
        <v>2341</v>
      </c>
      <c r="L16" s="25" t="s">
        <v>2341</v>
      </c>
    </row>
    <row r="17" spans="1:13" s="1" customFormat="1">
      <c r="A17" s="132"/>
      <c r="B17" s="13" t="s">
        <v>2606</v>
      </c>
      <c r="C17" s="13" t="s">
        <v>206</v>
      </c>
      <c r="D17" s="9" t="s">
        <v>2607</v>
      </c>
      <c r="E17" s="21" t="s">
        <v>2561</v>
      </c>
      <c r="F17" s="22" t="str">
        <f t="shared" si="0"/>
        <v>destinationip</v>
      </c>
      <c r="G17" s="22" t="s">
        <v>2335</v>
      </c>
      <c r="H17" s="23"/>
      <c r="I17" s="64"/>
      <c r="J17" s="25" t="s">
        <v>2562</v>
      </c>
      <c r="K17" s="25" t="s">
        <v>2341</v>
      </c>
      <c r="L17" s="25" t="s">
        <v>2341</v>
      </c>
    </row>
    <row r="18" spans="1:13" s="1" customFormat="1">
      <c r="A18" s="132"/>
      <c r="B18" s="13" t="s">
        <v>2608</v>
      </c>
      <c r="C18" s="13" t="s">
        <v>211</v>
      </c>
      <c r="D18" s="9" t="s">
        <v>2609</v>
      </c>
      <c r="E18" s="21" t="s">
        <v>2561</v>
      </c>
      <c r="F18" s="22" t="str">
        <f t="shared" si="0"/>
        <v>destinationport</v>
      </c>
      <c r="G18" s="22" t="s">
        <v>2335</v>
      </c>
      <c r="H18" s="23"/>
      <c r="I18" s="64"/>
      <c r="J18" s="25" t="s">
        <v>2562</v>
      </c>
      <c r="K18" s="25" t="s">
        <v>2341</v>
      </c>
      <c r="L18" s="25" t="s">
        <v>2341</v>
      </c>
    </row>
    <row r="19" spans="1:13" s="1" customFormat="1">
      <c r="A19" s="132"/>
      <c r="B19" s="12" t="s">
        <v>2610</v>
      </c>
      <c r="C19" s="13" t="s">
        <v>206</v>
      </c>
      <c r="D19" s="9" t="s">
        <v>2611</v>
      </c>
      <c r="E19" s="21" t="s">
        <v>2561</v>
      </c>
      <c r="F19" s="22" t="str">
        <f t="shared" si="0"/>
        <v>sourceip</v>
      </c>
      <c r="G19" s="22" t="s">
        <v>2335</v>
      </c>
      <c r="H19" s="23"/>
      <c r="I19" s="64"/>
      <c r="J19" s="25" t="s">
        <v>2562</v>
      </c>
      <c r="K19" s="25" t="s">
        <v>2341</v>
      </c>
      <c r="L19" s="25" t="s">
        <v>2341</v>
      </c>
    </row>
    <row r="20" spans="1:13" s="1" customFormat="1">
      <c r="A20" s="132"/>
      <c r="B20" s="12" t="s">
        <v>2612</v>
      </c>
      <c r="C20" s="13" t="s">
        <v>211</v>
      </c>
      <c r="D20" s="9" t="s">
        <v>2613</v>
      </c>
      <c r="E20" s="21" t="s">
        <v>2561</v>
      </c>
      <c r="F20" s="22" t="str">
        <f t="shared" si="0"/>
        <v>sourceport</v>
      </c>
      <c r="G20" s="22" t="s">
        <v>2335</v>
      </c>
      <c r="H20" s="23"/>
      <c r="I20" s="64"/>
      <c r="J20" s="25" t="s">
        <v>2562</v>
      </c>
      <c r="K20" s="25" t="s">
        <v>2341</v>
      </c>
      <c r="L20" s="25" t="s">
        <v>2341</v>
      </c>
    </row>
    <row r="21" spans="1:13" s="1" customFormat="1">
      <c r="A21" s="132"/>
      <c r="B21" s="12" t="s">
        <v>258</v>
      </c>
      <c r="C21" s="13" t="s">
        <v>206</v>
      </c>
      <c r="D21" s="9" t="s">
        <v>259</v>
      </c>
      <c r="E21" s="21" t="s">
        <v>2561</v>
      </c>
      <c r="F21" s="22" t="str">
        <f t="shared" si="0"/>
        <v>upfip</v>
      </c>
      <c r="G21" s="22" t="s">
        <v>2335</v>
      </c>
      <c r="H21" s="23"/>
      <c r="I21" s="64"/>
      <c r="J21" s="25" t="s">
        <v>2562</v>
      </c>
      <c r="K21" s="25" t="s">
        <v>2341</v>
      </c>
      <c r="L21" s="25" t="s">
        <v>2341</v>
      </c>
    </row>
    <row r="22" spans="1:13" s="1" customFormat="1">
      <c r="A22" s="132"/>
      <c r="B22" s="12" t="s">
        <v>2614</v>
      </c>
      <c r="C22" s="13" t="s">
        <v>206</v>
      </c>
      <c r="D22" s="9" t="s">
        <v>2615</v>
      </c>
      <c r="E22" s="21" t="s">
        <v>2561</v>
      </c>
      <c r="F22" s="22" t="str">
        <f t="shared" si="0"/>
        <v>ncgi_ecgi</v>
      </c>
      <c r="G22" s="22" t="s">
        <v>2335</v>
      </c>
      <c r="H22" s="23"/>
      <c r="I22" s="64"/>
      <c r="J22" s="25" t="s">
        <v>2562</v>
      </c>
      <c r="K22" s="25" t="s">
        <v>2341</v>
      </c>
      <c r="L22" s="25" t="s">
        <v>2341</v>
      </c>
    </row>
    <row r="23" spans="1:13" s="1" customFormat="1">
      <c r="A23" s="132"/>
      <c r="B23" s="12" t="s">
        <v>2616</v>
      </c>
      <c r="C23" s="12" t="s">
        <v>211</v>
      </c>
      <c r="D23" s="9" t="s">
        <v>2617</v>
      </c>
      <c r="E23" s="21" t="s">
        <v>2561</v>
      </c>
      <c r="F23" s="22" t="str">
        <f t="shared" si="0"/>
        <v>protocolid</v>
      </c>
      <c r="G23" s="22" t="s">
        <v>2335</v>
      </c>
      <c r="H23" s="23"/>
      <c r="I23" s="64"/>
      <c r="J23" s="25" t="s">
        <v>2562</v>
      </c>
      <c r="K23" s="25" t="s">
        <v>2341</v>
      </c>
      <c r="L23" s="25" t="s">
        <v>2341</v>
      </c>
    </row>
    <row r="24" spans="1:13" s="1" customFormat="1">
      <c r="A24" s="132"/>
      <c r="B24" s="12" t="s">
        <v>2618</v>
      </c>
      <c r="C24" s="12" t="s">
        <v>206</v>
      </c>
      <c r="D24" s="9" t="s">
        <v>2619</v>
      </c>
      <c r="E24" s="21" t="s">
        <v>2561</v>
      </c>
      <c r="F24" s="22" t="str">
        <f t="shared" si="0"/>
        <v>starttime</v>
      </c>
      <c r="G24" s="22" t="s">
        <v>2335</v>
      </c>
      <c r="H24" s="23"/>
      <c r="I24" s="64"/>
      <c r="J24" s="25" t="s">
        <v>2562</v>
      </c>
      <c r="K24" s="25" t="s">
        <v>2341</v>
      </c>
      <c r="L24" s="25" t="s">
        <v>2341</v>
      </c>
    </row>
    <row r="25" spans="1:13" s="1" customFormat="1">
      <c r="A25" s="132"/>
      <c r="B25" s="12" t="s">
        <v>2620</v>
      </c>
      <c r="C25" s="12" t="s">
        <v>206</v>
      </c>
      <c r="D25" s="9" t="s">
        <v>2621</v>
      </c>
      <c r="E25" s="21" t="s">
        <v>2561</v>
      </c>
      <c r="F25" s="22" t="str">
        <f t="shared" si="0"/>
        <v>endtime</v>
      </c>
      <c r="G25" s="22" t="s">
        <v>2335</v>
      </c>
      <c r="H25" s="23"/>
      <c r="I25" s="64"/>
      <c r="J25" s="25" t="s">
        <v>2562</v>
      </c>
      <c r="K25" s="25" t="s">
        <v>2341</v>
      </c>
      <c r="L25" s="25" t="s">
        <v>2341</v>
      </c>
    </row>
    <row r="26" spans="1:13" s="1" customFormat="1">
      <c r="A26" s="132"/>
      <c r="B26" s="12" t="s">
        <v>468</v>
      </c>
      <c r="C26" s="12" t="s">
        <v>281</v>
      </c>
      <c r="D26" s="9" t="s">
        <v>2622</v>
      </c>
      <c r="E26" s="21" t="s">
        <v>2561</v>
      </c>
      <c r="F26" s="22" t="str">
        <f t="shared" si="0"/>
        <v>duration</v>
      </c>
      <c r="G26" s="22" t="s">
        <v>2335</v>
      </c>
      <c r="H26" s="23"/>
      <c r="I26" s="64"/>
      <c r="J26" s="25" t="s">
        <v>2562</v>
      </c>
      <c r="K26" s="25" t="s">
        <v>2341</v>
      </c>
      <c r="L26" s="25" t="s">
        <v>2341</v>
      </c>
    </row>
    <row r="27" spans="1:13" s="1" customFormat="1">
      <c r="B27" s="13" t="s">
        <v>539</v>
      </c>
      <c r="C27" s="12" t="s">
        <v>281</v>
      </c>
      <c r="D27" s="9" t="s">
        <v>2623</v>
      </c>
      <c r="E27" s="21" t="s">
        <v>2561</v>
      </c>
      <c r="F27" s="22" t="str">
        <f t="shared" si="0"/>
        <v>inputoctets</v>
      </c>
      <c r="G27" s="22" t="s">
        <v>2335</v>
      </c>
      <c r="H27" s="23"/>
      <c r="I27" s="64"/>
      <c r="J27" s="25" t="s">
        <v>2562</v>
      </c>
      <c r="K27" s="25" t="s">
        <v>2341</v>
      </c>
      <c r="L27" s="25" t="s">
        <v>2341</v>
      </c>
    </row>
    <row r="28" spans="1:13" s="3" customFormat="1">
      <c r="B28" s="13" t="s">
        <v>535</v>
      </c>
      <c r="C28" s="13" t="s">
        <v>281</v>
      </c>
      <c r="D28" s="9" t="s">
        <v>2624</v>
      </c>
      <c r="E28" s="21" t="s">
        <v>2561</v>
      </c>
      <c r="F28" s="22" t="str">
        <f t="shared" si="0"/>
        <v>outputoctets</v>
      </c>
      <c r="G28" s="22" t="s">
        <v>2335</v>
      </c>
      <c r="H28" s="21"/>
      <c r="I28" s="64"/>
      <c r="J28" s="25" t="s">
        <v>2562</v>
      </c>
      <c r="K28" s="25" t="s">
        <v>2341</v>
      </c>
      <c r="L28" s="25" t="s">
        <v>2341</v>
      </c>
    </row>
    <row r="29" spans="1:13" s="136" customFormat="1">
      <c r="A29" s="137"/>
      <c r="B29" s="138" t="s">
        <v>542</v>
      </c>
      <c r="C29" s="13" t="s">
        <v>281</v>
      </c>
      <c r="D29" s="9" t="s">
        <v>543</v>
      </c>
      <c r="E29" s="21" t="s">
        <v>2561</v>
      </c>
      <c r="F29" s="22" t="str">
        <f t="shared" si="0"/>
        <v>inputpacket</v>
      </c>
      <c r="G29" s="22" t="s">
        <v>2335</v>
      </c>
      <c r="H29" s="23"/>
      <c r="I29" s="64"/>
      <c r="J29" s="25" t="s">
        <v>2562</v>
      </c>
      <c r="K29" s="25" t="s">
        <v>2341</v>
      </c>
      <c r="L29" s="25" t="s">
        <v>2341</v>
      </c>
      <c r="M29" s="1"/>
    </row>
    <row r="30" spans="1:13" s="136" customFormat="1">
      <c r="A30" s="137"/>
      <c r="B30" s="138" t="s">
        <v>545</v>
      </c>
      <c r="C30" s="13" t="s">
        <v>281</v>
      </c>
      <c r="D30" s="9" t="s">
        <v>546</v>
      </c>
      <c r="E30" s="21" t="s">
        <v>2561</v>
      </c>
      <c r="F30" s="22" t="str">
        <f t="shared" si="0"/>
        <v>outputpacket</v>
      </c>
      <c r="G30" s="22" t="s">
        <v>2335</v>
      </c>
      <c r="H30" s="23"/>
      <c r="I30" s="64"/>
      <c r="J30" s="25" t="s">
        <v>2562</v>
      </c>
      <c r="K30" s="25" t="s">
        <v>2341</v>
      </c>
      <c r="L30" s="25" t="s">
        <v>2341</v>
      </c>
      <c r="M30" s="1"/>
    </row>
    <row r="31" spans="1:13" s="136" customFormat="1">
      <c r="A31" s="137"/>
      <c r="B31" s="138" t="s">
        <v>2625</v>
      </c>
      <c r="C31" s="13" t="s">
        <v>206</v>
      </c>
      <c r="D31" s="9" t="s">
        <v>2626</v>
      </c>
      <c r="E31" s="21" t="s">
        <v>2561</v>
      </c>
      <c r="F31" s="22" t="str">
        <f t="shared" si="0"/>
        <v>pduconnectionid</v>
      </c>
      <c r="G31" s="22" t="s">
        <v>2335</v>
      </c>
      <c r="H31" s="23"/>
      <c r="I31" s="64"/>
      <c r="J31" s="25" t="s">
        <v>2562</v>
      </c>
      <c r="K31" s="25" t="s">
        <v>2341</v>
      </c>
      <c r="L31" s="25" t="s">
        <v>2341</v>
      </c>
      <c r="M31" s="1"/>
    </row>
    <row r="32" spans="1:13" s="136" customFormat="1">
      <c r="A32" s="137"/>
      <c r="B32" s="138" t="s">
        <v>2627</v>
      </c>
      <c r="C32" s="13" t="s">
        <v>211</v>
      </c>
      <c r="D32" s="9" t="s">
        <v>2628</v>
      </c>
      <c r="E32" s="21" t="s">
        <v>2561</v>
      </c>
      <c r="F32" s="22" t="str">
        <f t="shared" si="0"/>
        <v>recordclosecause</v>
      </c>
      <c r="G32" s="22" t="s">
        <v>2335</v>
      </c>
      <c r="H32" s="64"/>
      <c r="I32" s="64"/>
      <c r="J32" s="25" t="s">
        <v>2562</v>
      </c>
      <c r="K32" s="25" t="s">
        <v>2341</v>
      </c>
      <c r="L32" s="25" t="s">
        <v>2341</v>
      </c>
    </row>
    <row r="33" spans="1:13" s="136" customFormat="1">
      <c r="A33" s="137"/>
      <c r="B33" s="138" t="s">
        <v>262</v>
      </c>
      <c r="C33" s="13" t="s">
        <v>206</v>
      </c>
      <c r="D33" s="9" t="s">
        <v>263</v>
      </c>
      <c r="E33" s="21" t="s">
        <v>2561</v>
      </c>
      <c r="F33" s="22" t="str">
        <f t="shared" si="0"/>
        <v>gnbip</v>
      </c>
      <c r="G33" s="22" t="s">
        <v>2335</v>
      </c>
      <c r="H33" s="23"/>
      <c r="I33" s="64"/>
      <c r="J33" s="25" t="s">
        <v>2562</v>
      </c>
      <c r="K33" s="25" t="s">
        <v>2341</v>
      </c>
      <c r="L33" s="25" t="s">
        <v>2341</v>
      </c>
      <c r="M33" s="1"/>
    </row>
    <row r="34" spans="1:13" s="136" customFormat="1">
      <c r="A34" s="137"/>
      <c r="B34" s="138" t="s">
        <v>264</v>
      </c>
      <c r="C34" s="13" t="s">
        <v>206</v>
      </c>
      <c r="D34" s="9" t="s">
        <v>265</v>
      </c>
      <c r="E34" s="21" t="s">
        <v>2561</v>
      </c>
      <c r="F34" s="22" t="str">
        <f t="shared" si="0"/>
        <v>home_province</v>
      </c>
      <c r="G34" s="22" t="s">
        <v>2335</v>
      </c>
      <c r="H34" s="21"/>
      <c r="I34" s="145"/>
      <c r="J34" s="25" t="s">
        <v>2562</v>
      </c>
      <c r="K34" s="25" t="s">
        <v>2341</v>
      </c>
      <c r="L34" s="25" t="s">
        <v>2341</v>
      </c>
    </row>
    <row r="35" spans="1:13" s="136" customFormat="1">
      <c r="A35" s="137"/>
      <c r="B35" s="138" t="s">
        <v>270</v>
      </c>
      <c r="C35" s="13" t="s">
        <v>211</v>
      </c>
      <c r="D35" s="9" t="s">
        <v>745</v>
      </c>
      <c r="E35" s="21" t="s">
        <v>2561</v>
      </c>
      <c r="F35" s="22" t="str">
        <f t="shared" si="0"/>
        <v>l4protocol</v>
      </c>
      <c r="G35" s="22" t="s">
        <v>2335</v>
      </c>
      <c r="H35" s="21"/>
      <c r="I35" s="145"/>
      <c r="J35" s="25" t="s">
        <v>2562</v>
      </c>
      <c r="K35" s="25" t="s">
        <v>2341</v>
      </c>
      <c r="L35" s="25" t="s">
        <v>2341</v>
      </c>
    </row>
    <row r="36" spans="1:13" s="136" customFormat="1">
      <c r="A36" s="137"/>
      <c r="B36" s="138" t="s">
        <v>548</v>
      </c>
      <c r="C36" s="26" t="s">
        <v>281</v>
      </c>
      <c r="D36" s="9" t="s">
        <v>2629</v>
      </c>
      <c r="E36" s="21" t="s">
        <v>2561</v>
      </c>
      <c r="F36" s="22" t="str">
        <f t="shared" ref="F36:F64" si="1">B36</f>
        <v>ultcpreorderingpacket</v>
      </c>
      <c r="G36" s="22" t="s">
        <v>2335</v>
      </c>
      <c r="H36" s="21"/>
      <c r="I36" s="145"/>
      <c r="J36" s="25" t="s">
        <v>2562</v>
      </c>
      <c r="K36" s="25" t="s">
        <v>2341</v>
      </c>
      <c r="L36" s="25" t="s">
        <v>2341</v>
      </c>
    </row>
    <row r="37" spans="1:13" s="136" customFormat="1">
      <c r="A37" s="137"/>
      <c r="B37" s="138" t="s">
        <v>551</v>
      </c>
      <c r="C37" s="26" t="s">
        <v>281</v>
      </c>
      <c r="D37" s="9" t="s">
        <v>2630</v>
      </c>
      <c r="E37" s="21" t="s">
        <v>2561</v>
      </c>
      <c r="F37" s="22" t="str">
        <f t="shared" si="1"/>
        <v>dltcpreorderingpacket</v>
      </c>
      <c r="G37" s="22" t="s">
        <v>2335</v>
      </c>
      <c r="H37" s="21"/>
      <c r="I37" s="145"/>
      <c r="J37" s="25" t="s">
        <v>2562</v>
      </c>
      <c r="K37" s="25" t="s">
        <v>2341</v>
      </c>
      <c r="L37" s="25" t="s">
        <v>2341</v>
      </c>
    </row>
    <row r="38" spans="1:13" s="136" customFormat="1">
      <c r="A38" s="137"/>
      <c r="B38" s="138" t="s">
        <v>2631</v>
      </c>
      <c r="C38" s="26" t="s">
        <v>281</v>
      </c>
      <c r="D38" s="9" t="s">
        <v>2632</v>
      </c>
      <c r="E38" s="21" t="s">
        <v>2561</v>
      </c>
      <c r="F38" s="22" t="str">
        <f t="shared" si="1"/>
        <v>ultcp_retranspacket</v>
      </c>
      <c r="G38" s="22" t="s">
        <v>2335</v>
      </c>
      <c r="H38" s="21"/>
      <c r="I38" s="145"/>
      <c r="J38" s="25" t="s">
        <v>2562</v>
      </c>
      <c r="K38" s="25" t="s">
        <v>2341</v>
      </c>
      <c r="L38" s="25" t="s">
        <v>2341</v>
      </c>
    </row>
    <row r="39" spans="1:13" s="136" customFormat="1">
      <c r="A39" s="137"/>
      <c r="B39" s="138" t="s">
        <v>2633</v>
      </c>
      <c r="C39" s="26" t="s">
        <v>281</v>
      </c>
      <c r="D39" s="9" t="s">
        <v>2634</v>
      </c>
      <c r="E39" s="21" t="s">
        <v>2561</v>
      </c>
      <c r="F39" s="22" t="str">
        <f t="shared" si="1"/>
        <v>dltcp_retranspacket</v>
      </c>
      <c r="G39" s="22" t="s">
        <v>2335</v>
      </c>
      <c r="H39" s="21"/>
      <c r="I39" s="145"/>
      <c r="J39" s="25" t="s">
        <v>2562</v>
      </c>
      <c r="K39" s="25" t="s">
        <v>2341</v>
      </c>
      <c r="L39" s="25" t="s">
        <v>2341</v>
      </c>
    </row>
    <row r="40" spans="1:13" s="136" customFormat="1">
      <c r="A40" s="137"/>
      <c r="B40" s="138" t="s">
        <v>2635</v>
      </c>
      <c r="C40" s="26" t="s">
        <v>281</v>
      </c>
      <c r="D40" s="9" t="s">
        <v>2636</v>
      </c>
      <c r="E40" s="21" t="s">
        <v>2561</v>
      </c>
      <c r="F40" s="22" t="str">
        <f t="shared" si="1"/>
        <v>tcpsetupresponsedelay</v>
      </c>
      <c r="G40" s="22" t="s">
        <v>2335</v>
      </c>
      <c r="H40" s="21"/>
      <c r="I40" s="145"/>
      <c r="J40" s="25" t="s">
        <v>2562</v>
      </c>
      <c r="K40" s="25" t="s">
        <v>2341</v>
      </c>
      <c r="L40" s="25" t="s">
        <v>2341</v>
      </c>
    </row>
    <row r="41" spans="1:13" s="136" customFormat="1">
      <c r="A41" s="137"/>
      <c r="B41" s="138" t="s">
        <v>2637</v>
      </c>
      <c r="C41" s="26" t="s">
        <v>281</v>
      </c>
      <c r="D41" s="9" t="s">
        <v>2638</v>
      </c>
      <c r="E41" s="21" t="s">
        <v>2561</v>
      </c>
      <c r="F41" s="22" t="str">
        <f t="shared" si="1"/>
        <v>tcpsetupackdelay</v>
      </c>
      <c r="G41" s="22" t="s">
        <v>2335</v>
      </c>
      <c r="H41" s="21"/>
      <c r="I41" s="145"/>
      <c r="J41" s="25" t="s">
        <v>2562</v>
      </c>
      <c r="K41" s="25" t="s">
        <v>2341</v>
      </c>
      <c r="L41" s="25" t="s">
        <v>2341</v>
      </c>
    </row>
    <row r="42" spans="1:13" s="136" customFormat="1">
      <c r="A42" s="137"/>
      <c r="B42" s="138" t="s">
        <v>2639</v>
      </c>
      <c r="C42" s="26" t="s">
        <v>211</v>
      </c>
      <c r="D42" s="9" t="s">
        <v>2640</v>
      </c>
      <c r="E42" s="21" t="s">
        <v>2561</v>
      </c>
      <c r="F42" s="22" t="str">
        <f t="shared" si="1"/>
        <v>tcpconnectstate</v>
      </c>
      <c r="G42" s="22" t="s">
        <v>2335</v>
      </c>
      <c r="H42" s="21"/>
      <c r="I42" s="145"/>
      <c r="J42" s="25" t="s">
        <v>2562</v>
      </c>
      <c r="K42" s="25" t="s">
        <v>2341</v>
      </c>
      <c r="L42" s="25" t="s">
        <v>2341</v>
      </c>
    </row>
    <row r="43" spans="1:13" s="136" customFormat="1">
      <c r="A43" s="137"/>
      <c r="B43" s="138" t="s">
        <v>566</v>
      </c>
      <c r="C43" s="26" t="s">
        <v>281</v>
      </c>
      <c r="D43" s="9" t="s">
        <v>567</v>
      </c>
      <c r="E43" s="21" t="s">
        <v>2561</v>
      </c>
      <c r="F43" s="22" t="str">
        <f t="shared" si="1"/>
        <v>ul_data_transduration</v>
      </c>
      <c r="G43" s="22" t="s">
        <v>2335</v>
      </c>
      <c r="H43" s="21"/>
      <c r="I43" s="145"/>
      <c r="J43" s="25" t="s">
        <v>2562</v>
      </c>
      <c r="K43" s="25" t="s">
        <v>2341</v>
      </c>
      <c r="L43" s="25" t="s">
        <v>2341</v>
      </c>
    </row>
    <row r="44" spans="1:13" s="136" customFormat="1">
      <c r="A44" s="137"/>
      <c r="B44" s="138" t="s">
        <v>2641</v>
      </c>
      <c r="C44" s="26" t="s">
        <v>281</v>
      </c>
      <c r="D44" s="9" t="s">
        <v>570</v>
      </c>
      <c r="E44" s="21" t="s">
        <v>2561</v>
      </c>
      <c r="F44" s="22" t="str">
        <f t="shared" si="1"/>
        <v>dl_datatransduration</v>
      </c>
      <c r="G44" s="22" t="s">
        <v>2335</v>
      </c>
      <c r="H44" s="21"/>
      <c r="I44" s="145"/>
      <c r="J44" s="25" t="s">
        <v>2562</v>
      </c>
      <c r="K44" s="25" t="s">
        <v>2341</v>
      </c>
      <c r="L44" s="25" t="s">
        <v>2341</v>
      </c>
    </row>
    <row r="45" spans="1:13" s="136" customFormat="1">
      <c r="A45" s="137"/>
      <c r="B45" s="138" t="s">
        <v>2642</v>
      </c>
      <c r="C45" s="26" t="s">
        <v>281</v>
      </c>
      <c r="D45" s="9" t="s">
        <v>2643</v>
      </c>
      <c r="E45" s="21" t="s">
        <v>2561</v>
      </c>
      <c r="F45" s="22" t="str">
        <f t="shared" si="1"/>
        <v>ul_average_packet_size</v>
      </c>
      <c r="G45" s="22" t="s">
        <v>2335</v>
      </c>
      <c r="H45" s="21"/>
      <c r="I45" s="145"/>
      <c r="J45" s="25" t="s">
        <v>2562</v>
      </c>
      <c r="K45" s="25" t="s">
        <v>2341</v>
      </c>
      <c r="L45" s="25" t="s">
        <v>2341</v>
      </c>
    </row>
    <row r="46" spans="1:13" s="136" customFormat="1">
      <c r="A46" s="137"/>
      <c r="B46" s="138" t="s">
        <v>2644</v>
      </c>
      <c r="C46" s="26" t="s">
        <v>281</v>
      </c>
      <c r="D46" s="9" t="s">
        <v>2645</v>
      </c>
      <c r="E46" s="21" t="s">
        <v>2561</v>
      </c>
      <c r="F46" s="22" t="str">
        <f t="shared" si="1"/>
        <v>dl_average_packet_size</v>
      </c>
      <c r="G46" s="22" t="s">
        <v>2335</v>
      </c>
      <c r="H46" s="21"/>
      <c r="I46" s="145"/>
      <c r="J46" s="25" t="s">
        <v>2562</v>
      </c>
      <c r="K46" s="25" t="s">
        <v>2341</v>
      </c>
      <c r="L46" s="25" t="s">
        <v>2341</v>
      </c>
    </row>
    <row r="47" spans="1:13" s="136" customFormat="1">
      <c r="A47" s="137"/>
      <c r="B47" s="138" t="s">
        <v>2646</v>
      </c>
      <c r="C47" s="26" t="s">
        <v>281</v>
      </c>
      <c r="D47" s="9" t="s">
        <v>2647</v>
      </c>
      <c r="E47" s="21" t="s">
        <v>2561</v>
      </c>
      <c r="F47" s="22" t="str">
        <f t="shared" si="1"/>
        <v>ul_average_interval</v>
      </c>
      <c r="G47" s="22" t="s">
        <v>2335</v>
      </c>
      <c r="H47" s="21"/>
      <c r="I47" s="145"/>
      <c r="J47" s="25" t="s">
        <v>2562</v>
      </c>
      <c r="K47" s="25" t="s">
        <v>2341</v>
      </c>
      <c r="L47" s="25" t="s">
        <v>2341</v>
      </c>
    </row>
    <row r="48" spans="1:13" s="136" customFormat="1">
      <c r="A48" s="137"/>
      <c r="B48" s="138" t="s">
        <v>2648</v>
      </c>
      <c r="C48" s="26" t="s">
        <v>281</v>
      </c>
      <c r="D48" s="9" t="s">
        <v>2649</v>
      </c>
      <c r="E48" s="21" t="s">
        <v>2561</v>
      </c>
      <c r="F48" s="22" t="str">
        <f t="shared" si="1"/>
        <v>dl_average_interval</v>
      </c>
      <c r="G48" s="22" t="s">
        <v>2335</v>
      </c>
      <c r="H48" s="21"/>
      <c r="I48" s="145"/>
      <c r="J48" s="25" t="s">
        <v>2562</v>
      </c>
      <c r="K48" s="25" t="s">
        <v>2341</v>
      </c>
      <c r="L48" s="25" t="s">
        <v>2341</v>
      </c>
    </row>
    <row r="49" spans="1:12" s="136" customFormat="1">
      <c r="A49" s="137"/>
      <c r="B49" s="138" t="s">
        <v>2650</v>
      </c>
      <c r="C49" s="26" t="s">
        <v>281</v>
      </c>
      <c r="D49" s="9" t="s">
        <v>2651</v>
      </c>
      <c r="E49" s="21" t="s">
        <v>2561</v>
      </c>
      <c r="F49" s="22" t="str">
        <f t="shared" si="1"/>
        <v>ul_average_jitter</v>
      </c>
      <c r="G49" s="22" t="s">
        <v>2335</v>
      </c>
      <c r="H49" s="21"/>
      <c r="I49" s="145"/>
      <c r="J49" s="25" t="s">
        <v>2562</v>
      </c>
      <c r="K49" s="25" t="s">
        <v>2341</v>
      </c>
      <c r="L49" s="25" t="s">
        <v>2341</v>
      </c>
    </row>
    <row r="50" spans="1:12" s="136" customFormat="1">
      <c r="A50" s="137"/>
      <c r="B50" s="138" t="s">
        <v>2652</v>
      </c>
      <c r="C50" s="26" t="s">
        <v>281</v>
      </c>
      <c r="D50" s="9" t="s">
        <v>2653</v>
      </c>
      <c r="E50" s="21" t="s">
        <v>2561</v>
      </c>
      <c r="F50" s="22" t="str">
        <f t="shared" si="1"/>
        <v>dl_average_jitter</v>
      </c>
      <c r="G50" s="22" t="s">
        <v>2335</v>
      </c>
      <c r="H50" s="21"/>
      <c r="I50" s="145"/>
      <c r="J50" s="25" t="s">
        <v>2562</v>
      </c>
      <c r="K50" s="25" t="s">
        <v>2341</v>
      </c>
      <c r="L50" s="25" t="s">
        <v>2341</v>
      </c>
    </row>
    <row r="51" spans="1:12" s="136" customFormat="1">
      <c r="A51" s="137"/>
      <c r="B51" s="138" t="s">
        <v>2654</v>
      </c>
      <c r="C51" s="26" t="s">
        <v>281</v>
      </c>
      <c r="D51" s="9" t="s">
        <v>2655</v>
      </c>
      <c r="E51" s="21" t="s">
        <v>2561</v>
      </c>
      <c r="F51" s="22" t="str">
        <f t="shared" si="1"/>
        <v>flowid</v>
      </c>
      <c r="G51" s="22" t="s">
        <v>2335</v>
      </c>
      <c r="H51" s="21"/>
      <c r="I51" s="145"/>
      <c r="J51" s="25" t="s">
        <v>2562</v>
      </c>
      <c r="K51" s="25" t="s">
        <v>2341</v>
      </c>
      <c r="L51" s="25" t="s">
        <v>2341</v>
      </c>
    </row>
    <row r="52" spans="1:12" s="136" customFormat="1">
      <c r="A52" s="137"/>
      <c r="B52" s="138" t="s">
        <v>254</v>
      </c>
      <c r="C52" s="26" t="s">
        <v>206</v>
      </c>
      <c r="D52" s="9" t="s">
        <v>1236</v>
      </c>
      <c r="E52" s="21" t="s">
        <v>2561</v>
      </c>
      <c r="F52" s="22" t="str">
        <f t="shared" si="1"/>
        <v>pei</v>
      </c>
      <c r="G52" s="22" t="s">
        <v>2335</v>
      </c>
      <c r="H52" s="21"/>
      <c r="I52" s="145"/>
      <c r="J52" s="25" t="s">
        <v>2562</v>
      </c>
      <c r="K52" s="25" t="s">
        <v>2341</v>
      </c>
      <c r="L52" s="25" t="s">
        <v>2341</v>
      </c>
    </row>
    <row r="53" spans="1:12" s="136" customFormat="1">
      <c r="A53" s="137"/>
      <c r="B53" s="138" t="s">
        <v>256</v>
      </c>
      <c r="C53" s="26" t="s">
        <v>206</v>
      </c>
      <c r="D53" s="9" t="s">
        <v>743</v>
      </c>
      <c r="E53" s="21" t="s">
        <v>2561</v>
      </c>
      <c r="F53" s="22" t="str">
        <f t="shared" si="1"/>
        <v>dnn_apn</v>
      </c>
      <c r="G53" s="22" t="s">
        <v>2335</v>
      </c>
      <c r="H53" s="21"/>
      <c r="I53" s="145"/>
      <c r="J53" s="25" t="s">
        <v>2562</v>
      </c>
      <c r="K53" s="25" t="s">
        <v>2341</v>
      </c>
      <c r="L53" s="25" t="s">
        <v>2341</v>
      </c>
    </row>
    <row r="54" spans="1:12" s="136" customFormat="1">
      <c r="A54" s="137"/>
      <c r="B54" s="138" t="s">
        <v>260</v>
      </c>
      <c r="C54" s="26" t="s">
        <v>206</v>
      </c>
      <c r="D54" s="9" t="s">
        <v>795</v>
      </c>
      <c r="E54" s="21" t="s">
        <v>2561</v>
      </c>
      <c r="F54" s="22" t="str">
        <f t="shared" si="1"/>
        <v>servicetype</v>
      </c>
      <c r="G54" s="22" t="s">
        <v>2335</v>
      </c>
      <c r="H54" s="21"/>
      <c r="I54" s="145"/>
      <c r="J54" s="25" t="s">
        <v>2562</v>
      </c>
      <c r="K54" s="25" t="s">
        <v>2341</v>
      </c>
      <c r="L54" s="25" t="s">
        <v>2341</v>
      </c>
    </row>
    <row r="55" spans="1:12" s="136" customFormat="1" ht="26.4">
      <c r="A55" s="137"/>
      <c r="B55" s="138" t="s">
        <v>2658</v>
      </c>
      <c r="C55" s="26" t="s">
        <v>281</v>
      </c>
      <c r="D55" s="9" t="s">
        <v>2659</v>
      </c>
      <c r="E55" s="21" t="s">
        <v>2561</v>
      </c>
      <c r="F55" s="22" t="str">
        <f t="shared" si="1"/>
        <v>delay_firsttransaction_firstrespackt</v>
      </c>
      <c r="G55" s="22" t="s">
        <v>2335</v>
      </c>
      <c r="H55" s="21"/>
      <c r="I55" s="145"/>
      <c r="J55" s="25" t="s">
        <v>2562</v>
      </c>
      <c r="K55" s="25" t="s">
        <v>2341</v>
      </c>
      <c r="L55" s="25" t="s">
        <v>2341</v>
      </c>
    </row>
    <row r="56" spans="1:12" s="136" customFormat="1">
      <c r="A56" s="137"/>
      <c r="B56" s="138" t="s">
        <v>2660</v>
      </c>
      <c r="C56" s="26" t="s">
        <v>211</v>
      </c>
      <c r="D56" s="9" t="s">
        <v>2661</v>
      </c>
      <c r="E56" s="21" t="s">
        <v>2561</v>
      </c>
      <c r="F56" s="22" t="str">
        <f t="shared" si="1"/>
        <v>tcpsynnumber</v>
      </c>
      <c r="G56" s="22" t="s">
        <v>2335</v>
      </c>
      <c r="H56" s="21"/>
      <c r="I56" s="145"/>
      <c r="J56" s="25" t="s">
        <v>2562</v>
      </c>
      <c r="K56" s="25" t="s">
        <v>2341</v>
      </c>
      <c r="L56" s="25" t="s">
        <v>2341</v>
      </c>
    </row>
    <row r="57" spans="1:12" s="136" customFormat="1">
      <c r="A57" s="137"/>
      <c r="B57" s="138" t="s">
        <v>1321</v>
      </c>
      <c r="C57" s="26" t="s">
        <v>281</v>
      </c>
      <c r="D57" s="9" t="s">
        <v>1322</v>
      </c>
      <c r="E57" s="21" t="s">
        <v>2561</v>
      </c>
      <c r="F57" s="22" t="str">
        <f t="shared" si="1"/>
        <v>ul_session_ambr</v>
      </c>
      <c r="G57" s="22" t="s">
        <v>2335</v>
      </c>
      <c r="H57" s="21"/>
      <c r="I57" s="145"/>
      <c r="J57" s="25" t="s">
        <v>2562</v>
      </c>
      <c r="K57" s="25" t="s">
        <v>2341</v>
      </c>
      <c r="L57" s="25" t="s">
        <v>2341</v>
      </c>
    </row>
    <row r="58" spans="1:12" s="136" customFormat="1">
      <c r="A58" s="137"/>
      <c r="B58" s="138" t="s">
        <v>1323</v>
      </c>
      <c r="C58" s="26" t="s">
        <v>281</v>
      </c>
      <c r="D58" s="9" t="s">
        <v>1324</v>
      </c>
      <c r="E58" s="21" t="s">
        <v>2561</v>
      </c>
      <c r="F58" s="22" t="str">
        <f t="shared" si="1"/>
        <v>dl_session_ambr</v>
      </c>
      <c r="G58" s="22" t="s">
        <v>2335</v>
      </c>
      <c r="H58" s="21"/>
      <c r="I58" s="145"/>
      <c r="J58" s="25" t="s">
        <v>2562</v>
      </c>
      <c r="K58" s="25" t="s">
        <v>2341</v>
      </c>
      <c r="L58" s="25" t="s">
        <v>2341</v>
      </c>
    </row>
    <row r="59" spans="1:12" s="136" customFormat="1">
      <c r="A59" s="137"/>
      <c r="B59" s="138" t="s">
        <v>2692</v>
      </c>
      <c r="C59" s="26" t="s">
        <v>211</v>
      </c>
      <c r="D59" s="9" t="s">
        <v>2693</v>
      </c>
      <c r="E59" s="21" t="s">
        <v>2561</v>
      </c>
      <c r="F59" s="22" t="str">
        <f t="shared" si="1"/>
        <v>proceduretype</v>
      </c>
      <c r="G59" s="22" t="s">
        <v>2335</v>
      </c>
      <c r="H59" s="21"/>
      <c r="I59" s="145"/>
      <c r="J59" s="25" t="s">
        <v>2562</v>
      </c>
      <c r="K59" s="25" t="s">
        <v>2341</v>
      </c>
      <c r="L59" s="25" t="s">
        <v>2341</v>
      </c>
    </row>
    <row r="60" spans="1:12" s="136" customFormat="1">
      <c r="A60" s="137"/>
      <c r="B60" s="138" t="s">
        <v>2684</v>
      </c>
      <c r="C60" s="26" t="s">
        <v>211</v>
      </c>
      <c r="D60" s="9" t="s">
        <v>2685</v>
      </c>
      <c r="E60" s="21" t="s">
        <v>2561</v>
      </c>
      <c r="F60" s="22" t="str">
        <f t="shared" si="1"/>
        <v>status</v>
      </c>
      <c r="G60" s="22" t="s">
        <v>2335</v>
      </c>
      <c r="H60" s="21"/>
      <c r="I60" s="145"/>
      <c r="J60" s="25" t="s">
        <v>2562</v>
      </c>
      <c r="K60" s="25" t="s">
        <v>2341</v>
      </c>
      <c r="L60" s="25" t="s">
        <v>2341</v>
      </c>
    </row>
    <row r="61" spans="1:12" s="136" customFormat="1">
      <c r="A61" s="137"/>
      <c r="B61" s="138" t="s">
        <v>2694</v>
      </c>
      <c r="C61" s="26" t="s">
        <v>281</v>
      </c>
      <c r="D61" s="9" t="s">
        <v>2695</v>
      </c>
      <c r="E61" s="21" t="s">
        <v>2561</v>
      </c>
      <c r="F61" s="22" t="str">
        <f t="shared" si="1"/>
        <v>retrans_ul_count</v>
      </c>
      <c r="G61" s="22" t="s">
        <v>2335</v>
      </c>
      <c r="H61" s="21"/>
      <c r="I61" s="145"/>
      <c r="J61" s="25" t="s">
        <v>2562</v>
      </c>
      <c r="K61" s="25" t="s">
        <v>2341</v>
      </c>
      <c r="L61" s="25" t="s">
        <v>2341</v>
      </c>
    </row>
    <row r="62" spans="1:12" s="136" customFormat="1">
      <c r="A62" s="137"/>
      <c r="B62" s="138" t="s">
        <v>2696</v>
      </c>
      <c r="C62" s="26" t="s">
        <v>281</v>
      </c>
      <c r="D62" s="9" t="s">
        <v>2697</v>
      </c>
      <c r="E62" s="21" t="s">
        <v>2561</v>
      </c>
      <c r="F62" s="22" t="str">
        <f t="shared" si="1"/>
        <v>retrans_dl_count</v>
      </c>
      <c r="G62" s="22" t="s">
        <v>2335</v>
      </c>
      <c r="H62" s="21"/>
      <c r="I62" s="145"/>
      <c r="J62" s="25" t="s">
        <v>2562</v>
      </c>
      <c r="K62" s="25" t="s">
        <v>2341</v>
      </c>
      <c r="L62" s="25" t="s">
        <v>2341</v>
      </c>
    </row>
    <row r="63" spans="1:12" s="136" customFormat="1">
      <c r="A63" s="137"/>
      <c r="B63" s="138" t="s">
        <v>2698</v>
      </c>
      <c r="C63" s="26" t="s">
        <v>211</v>
      </c>
      <c r="D63" s="9" t="s">
        <v>2699</v>
      </c>
      <c r="E63" s="21" t="s">
        <v>2561</v>
      </c>
      <c r="F63" s="22" t="str">
        <f t="shared" si="1"/>
        <v>direction</v>
      </c>
      <c r="G63" s="22" t="s">
        <v>2335</v>
      </c>
      <c r="H63" s="21"/>
      <c r="I63" s="145"/>
      <c r="J63" s="25" t="s">
        <v>2562</v>
      </c>
      <c r="K63" s="25" t="s">
        <v>2341</v>
      </c>
      <c r="L63" s="25" t="s">
        <v>2341</v>
      </c>
    </row>
    <row r="64" spans="1:12" s="136" customFormat="1">
      <c r="A64" s="137"/>
      <c r="B64" s="138" t="s">
        <v>2700</v>
      </c>
      <c r="C64" s="26" t="s">
        <v>206</v>
      </c>
      <c r="D64" s="9" t="s">
        <v>2701</v>
      </c>
      <c r="E64" s="21" t="s">
        <v>2561</v>
      </c>
      <c r="F64" s="22" t="str">
        <f t="shared" si="1"/>
        <v>destination_uri</v>
      </c>
      <c r="G64" s="22" t="s">
        <v>2335</v>
      </c>
      <c r="H64" s="21"/>
      <c r="I64" s="145"/>
      <c r="J64" s="25" t="s">
        <v>2562</v>
      </c>
      <c r="K64" s="25" t="s">
        <v>2341</v>
      </c>
      <c r="L64" s="25" t="s">
        <v>2341</v>
      </c>
    </row>
    <row r="65" spans="2:17" s="2" customFormat="1">
      <c r="B65" s="14" t="s">
        <v>222</v>
      </c>
      <c r="C65" s="15" t="s">
        <v>211</v>
      </c>
      <c r="D65" s="16" t="s">
        <v>344</v>
      </c>
      <c r="E65" s="69"/>
      <c r="F65" s="14"/>
      <c r="G65" s="14"/>
      <c r="H65" s="14"/>
      <c r="I65" s="123"/>
      <c r="J65" s="14"/>
      <c r="K65" s="14"/>
      <c r="L65" s="14"/>
      <c r="M65" s="14"/>
      <c r="N65" s="14"/>
      <c r="O65" s="14"/>
      <c r="P65" s="14"/>
      <c r="Q65" s="14"/>
    </row>
    <row r="66" spans="2:17" s="2" customFormat="1">
      <c r="B66" s="14" t="s">
        <v>0</v>
      </c>
      <c r="C66" s="15" t="s">
        <v>206</v>
      </c>
      <c r="D66" s="16" t="s">
        <v>345</v>
      </c>
      <c r="E66" s="69"/>
      <c r="F66" s="14"/>
      <c r="G66" s="14"/>
      <c r="H66" s="14"/>
      <c r="I66" s="123"/>
      <c r="J66" s="14"/>
      <c r="K66" s="14"/>
      <c r="L66" s="14"/>
      <c r="M66" s="14"/>
      <c r="N66" s="14"/>
      <c r="O66" s="14"/>
      <c r="P66" s="14"/>
      <c r="Q66" s="14"/>
    </row>
    <row r="67" spans="2:17" s="2" customFormat="1">
      <c r="B67" s="14" t="s">
        <v>1</v>
      </c>
      <c r="C67" s="15" t="s">
        <v>211</v>
      </c>
      <c r="D67" s="16" t="s">
        <v>346</v>
      </c>
      <c r="E67" s="69"/>
      <c r="F67" s="14"/>
      <c r="G67" s="14"/>
      <c r="H67" s="14"/>
      <c r="I67" s="123"/>
      <c r="J67" s="14"/>
      <c r="K67" s="14"/>
      <c r="L67" s="14"/>
      <c r="M67" s="14"/>
      <c r="N67" s="14"/>
      <c r="O67" s="14"/>
      <c r="P67" s="14"/>
      <c r="Q67" s="14"/>
    </row>
  </sheetData>
  <autoFilter ref="A13:Q67" xr:uid="{00000000-0009-0000-0000-000003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5B59D-3CD6-4E5B-ADCB-5A1CEDA1A73E}">
  <dimension ref="A1:Q64"/>
  <sheetViews>
    <sheetView zoomScale="85" zoomScaleNormal="85" workbookViewId="0">
      <pane ySplit="5" topLeftCell="A47" activePane="bottomLeft" state="frozen"/>
      <selection activeCell="C18" sqref="C18"/>
      <selection pane="bottomLeft" activeCell="A62" sqref="A62:XFD93"/>
    </sheetView>
  </sheetViews>
  <sheetFormatPr defaultColWidth="9" defaultRowHeight="13.2"/>
  <cols>
    <col min="1" max="1" width="1.33203125" style="3" customWidth="1"/>
    <col min="2" max="2" width="23.6640625" style="3" customWidth="1"/>
    <col min="3" max="3" width="26.88671875" style="3" bestFit="1"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58"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c r="C5" s="145" t="s">
        <v>2542</v>
      </c>
      <c r="D5" s="145" t="s">
        <v>2577</v>
      </c>
      <c r="E5" s="12" t="s">
        <v>2547</v>
      </c>
      <c r="F5" s="61"/>
      <c r="G5" s="9"/>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145" t="s">
        <v>2578</v>
      </c>
      <c r="D9" s="10" t="s">
        <v>2579</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214</v>
      </c>
      <c r="C14" s="13" t="s">
        <v>211</v>
      </c>
      <c r="D14" s="9" t="s">
        <v>1232</v>
      </c>
      <c r="E14" s="21" t="s">
        <v>2561</v>
      </c>
      <c r="F14" s="22" t="str">
        <f>B14</f>
        <v>interface</v>
      </c>
      <c r="G14" s="22" t="s">
        <v>2335</v>
      </c>
      <c r="H14" s="23"/>
      <c r="I14" s="64"/>
      <c r="J14" s="25" t="s">
        <v>2562</v>
      </c>
      <c r="K14" s="25" t="s">
        <v>2341</v>
      </c>
      <c r="L14" s="25" t="s">
        <v>2341</v>
      </c>
    </row>
    <row r="15" spans="1:14" s="1" customFormat="1">
      <c r="B15" s="13" t="s">
        <v>249</v>
      </c>
      <c r="C15" s="13" t="s">
        <v>206</v>
      </c>
      <c r="D15" s="9" t="s">
        <v>2605</v>
      </c>
      <c r="E15" s="21" t="s">
        <v>2561</v>
      </c>
      <c r="F15" s="22" t="str">
        <f t="shared" ref="F15:F35" si="0">B15</f>
        <v>supi</v>
      </c>
      <c r="G15" s="22" t="s">
        <v>2335</v>
      </c>
      <c r="H15" s="23"/>
      <c r="I15" s="64"/>
      <c r="J15" s="25" t="s">
        <v>2562</v>
      </c>
      <c r="K15" s="25" t="s">
        <v>2341</v>
      </c>
      <c r="L15" s="25" t="s">
        <v>2341</v>
      </c>
    </row>
    <row r="16" spans="1:14" s="1" customFormat="1">
      <c r="A16" s="132"/>
      <c r="B16" s="13" t="s">
        <v>251</v>
      </c>
      <c r="C16" s="13" t="s">
        <v>206</v>
      </c>
      <c r="D16" s="9" t="s">
        <v>252</v>
      </c>
      <c r="E16" s="21" t="s">
        <v>2561</v>
      </c>
      <c r="F16" s="22" t="str">
        <f t="shared" si="0"/>
        <v>msisdn</v>
      </c>
      <c r="G16" s="22" t="s">
        <v>2335</v>
      </c>
      <c r="H16" s="23"/>
      <c r="I16" s="64"/>
      <c r="J16" s="25" t="s">
        <v>2562</v>
      </c>
      <c r="K16" s="25" t="s">
        <v>2341</v>
      </c>
      <c r="L16" s="25" t="s">
        <v>2341</v>
      </c>
    </row>
    <row r="17" spans="1:13" s="1" customFormat="1">
      <c r="A17" s="132"/>
      <c r="B17" s="13" t="s">
        <v>2606</v>
      </c>
      <c r="C17" s="13" t="s">
        <v>206</v>
      </c>
      <c r="D17" s="9" t="s">
        <v>2607</v>
      </c>
      <c r="E17" s="21" t="s">
        <v>2561</v>
      </c>
      <c r="F17" s="22" t="str">
        <f t="shared" si="0"/>
        <v>destinationip</v>
      </c>
      <c r="G17" s="22" t="s">
        <v>2335</v>
      </c>
      <c r="H17" s="23"/>
      <c r="I17" s="64"/>
      <c r="J17" s="25" t="s">
        <v>2562</v>
      </c>
      <c r="K17" s="25" t="s">
        <v>2341</v>
      </c>
      <c r="L17" s="25" t="s">
        <v>2341</v>
      </c>
    </row>
    <row r="18" spans="1:13" s="1" customFormat="1">
      <c r="A18" s="132"/>
      <c r="B18" s="13" t="s">
        <v>2608</v>
      </c>
      <c r="C18" s="13" t="s">
        <v>211</v>
      </c>
      <c r="D18" s="9" t="s">
        <v>2609</v>
      </c>
      <c r="E18" s="21" t="s">
        <v>2561</v>
      </c>
      <c r="F18" s="22" t="str">
        <f t="shared" si="0"/>
        <v>destinationport</v>
      </c>
      <c r="G18" s="22" t="s">
        <v>2335</v>
      </c>
      <c r="H18" s="23"/>
      <c r="I18" s="64"/>
      <c r="J18" s="25" t="s">
        <v>2562</v>
      </c>
      <c r="K18" s="25" t="s">
        <v>2341</v>
      </c>
      <c r="L18" s="25" t="s">
        <v>2341</v>
      </c>
    </row>
    <row r="19" spans="1:13" s="1" customFormat="1">
      <c r="A19" s="132"/>
      <c r="B19" s="12" t="s">
        <v>2610</v>
      </c>
      <c r="C19" s="13" t="s">
        <v>206</v>
      </c>
      <c r="D19" s="9" t="s">
        <v>2611</v>
      </c>
      <c r="E19" s="21" t="s">
        <v>2561</v>
      </c>
      <c r="F19" s="22" t="str">
        <f t="shared" si="0"/>
        <v>sourceip</v>
      </c>
      <c r="G19" s="22" t="s">
        <v>2335</v>
      </c>
      <c r="H19" s="23"/>
      <c r="I19" s="64"/>
      <c r="J19" s="25" t="s">
        <v>2562</v>
      </c>
      <c r="K19" s="25" t="s">
        <v>2341</v>
      </c>
      <c r="L19" s="25" t="s">
        <v>2341</v>
      </c>
    </row>
    <row r="20" spans="1:13" s="1" customFormat="1">
      <c r="A20" s="132"/>
      <c r="B20" s="12" t="s">
        <v>2612</v>
      </c>
      <c r="C20" s="13" t="s">
        <v>211</v>
      </c>
      <c r="D20" s="9" t="s">
        <v>2613</v>
      </c>
      <c r="E20" s="21" t="s">
        <v>2561</v>
      </c>
      <c r="F20" s="22" t="str">
        <f t="shared" si="0"/>
        <v>sourceport</v>
      </c>
      <c r="G20" s="22" t="s">
        <v>2335</v>
      </c>
      <c r="H20" s="23"/>
      <c r="I20" s="64"/>
      <c r="J20" s="25" t="s">
        <v>2562</v>
      </c>
      <c r="K20" s="25" t="s">
        <v>2341</v>
      </c>
      <c r="L20" s="25" t="s">
        <v>2341</v>
      </c>
    </row>
    <row r="21" spans="1:13" s="1" customFormat="1">
      <c r="A21" s="132"/>
      <c r="B21" s="12" t="s">
        <v>258</v>
      </c>
      <c r="C21" s="13" t="s">
        <v>206</v>
      </c>
      <c r="D21" s="9" t="s">
        <v>259</v>
      </c>
      <c r="E21" s="21" t="s">
        <v>2561</v>
      </c>
      <c r="F21" s="22" t="str">
        <f t="shared" si="0"/>
        <v>upfip</v>
      </c>
      <c r="G21" s="22" t="s">
        <v>2335</v>
      </c>
      <c r="H21" s="23"/>
      <c r="I21" s="64"/>
      <c r="J21" s="25" t="s">
        <v>2562</v>
      </c>
      <c r="K21" s="25" t="s">
        <v>2341</v>
      </c>
      <c r="L21" s="25" t="s">
        <v>2341</v>
      </c>
    </row>
    <row r="22" spans="1:13" s="1" customFormat="1">
      <c r="A22" s="132"/>
      <c r="B22" s="12" t="s">
        <v>2614</v>
      </c>
      <c r="C22" s="13" t="s">
        <v>206</v>
      </c>
      <c r="D22" s="9" t="s">
        <v>2615</v>
      </c>
      <c r="E22" s="21" t="s">
        <v>2561</v>
      </c>
      <c r="F22" s="22" t="str">
        <f t="shared" si="0"/>
        <v>ncgi_ecgi</v>
      </c>
      <c r="G22" s="22" t="s">
        <v>2335</v>
      </c>
      <c r="H22" s="23"/>
      <c r="I22" s="64"/>
      <c r="J22" s="25" t="s">
        <v>2562</v>
      </c>
      <c r="K22" s="25" t="s">
        <v>2341</v>
      </c>
      <c r="L22" s="25" t="s">
        <v>2341</v>
      </c>
    </row>
    <row r="23" spans="1:13" s="1" customFormat="1">
      <c r="A23" s="132"/>
      <c r="B23" s="12" t="s">
        <v>2616</v>
      </c>
      <c r="C23" s="12" t="s">
        <v>211</v>
      </c>
      <c r="D23" s="9" t="s">
        <v>2617</v>
      </c>
      <c r="E23" s="21" t="s">
        <v>2561</v>
      </c>
      <c r="F23" s="22" t="str">
        <f t="shared" si="0"/>
        <v>protocolid</v>
      </c>
      <c r="G23" s="22" t="s">
        <v>2335</v>
      </c>
      <c r="H23" s="23"/>
      <c r="I23" s="64"/>
      <c r="J23" s="25" t="s">
        <v>2562</v>
      </c>
      <c r="K23" s="25" t="s">
        <v>2341</v>
      </c>
      <c r="L23" s="25" t="s">
        <v>2341</v>
      </c>
    </row>
    <row r="24" spans="1:13" s="1" customFormat="1">
      <c r="A24" s="132"/>
      <c r="B24" s="12" t="s">
        <v>2618</v>
      </c>
      <c r="C24" s="12" t="s">
        <v>206</v>
      </c>
      <c r="D24" s="9" t="s">
        <v>2619</v>
      </c>
      <c r="E24" s="21" t="s">
        <v>2561</v>
      </c>
      <c r="F24" s="22" t="str">
        <f t="shared" si="0"/>
        <v>starttime</v>
      </c>
      <c r="G24" s="22" t="s">
        <v>2335</v>
      </c>
      <c r="H24" s="23"/>
      <c r="I24" s="64"/>
      <c r="J24" s="25" t="s">
        <v>2562</v>
      </c>
      <c r="K24" s="25" t="s">
        <v>2341</v>
      </c>
      <c r="L24" s="25" t="s">
        <v>2341</v>
      </c>
    </row>
    <row r="25" spans="1:13" s="1" customFormat="1">
      <c r="A25" s="132"/>
      <c r="B25" s="12" t="s">
        <v>2620</v>
      </c>
      <c r="C25" s="12" t="s">
        <v>206</v>
      </c>
      <c r="D25" s="9" t="s">
        <v>2621</v>
      </c>
      <c r="E25" s="21" t="s">
        <v>2561</v>
      </c>
      <c r="F25" s="22" t="str">
        <f t="shared" si="0"/>
        <v>endtime</v>
      </c>
      <c r="G25" s="22" t="s">
        <v>2335</v>
      </c>
      <c r="H25" s="23"/>
      <c r="I25" s="64"/>
      <c r="J25" s="25" t="s">
        <v>2562</v>
      </c>
      <c r="K25" s="25" t="s">
        <v>2341</v>
      </c>
      <c r="L25" s="25" t="s">
        <v>2341</v>
      </c>
    </row>
    <row r="26" spans="1:13" s="1" customFormat="1">
      <c r="A26" s="132"/>
      <c r="B26" s="12" t="s">
        <v>468</v>
      </c>
      <c r="C26" s="12" t="s">
        <v>281</v>
      </c>
      <c r="D26" s="9" t="s">
        <v>2622</v>
      </c>
      <c r="E26" s="21" t="s">
        <v>2561</v>
      </c>
      <c r="F26" s="22" t="str">
        <f t="shared" si="0"/>
        <v>duration</v>
      </c>
      <c r="G26" s="22" t="s">
        <v>2335</v>
      </c>
      <c r="H26" s="23"/>
      <c r="I26" s="64"/>
      <c r="J26" s="25" t="s">
        <v>2562</v>
      </c>
      <c r="K26" s="25" t="s">
        <v>2341</v>
      </c>
      <c r="L26" s="25" t="s">
        <v>2341</v>
      </c>
    </row>
    <row r="27" spans="1:13" s="1" customFormat="1">
      <c r="B27" s="13" t="s">
        <v>539</v>
      </c>
      <c r="C27" s="12" t="s">
        <v>281</v>
      </c>
      <c r="D27" s="9" t="s">
        <v>2623</v>
      </c>
      <c r="E27" s="21" t="s">
        <v>2561</v>
      </c>
      <c r="F27" s="22" t="str">
        <f t="shared" si="0"/>
        <v>inputoctets</v>
      </c>
      <c r="G27" s="22" t="s">
        <v>2335</v>
      </c>
      <c r="H27" s="23"/>
      <c r="I27" s="64"/>
      <c r="J27" s="25" t="s">
        <v>2562</v>
      </c>
      <c r="K27" s="25" t="s">
        <v>2341</v>
      </c>
      <c r="L27" s="25" t="s">
        <v>2341</v>
      </c>
    </row>
    <row r="28" spans="1:13" s="3" customFormat="1">
      <c r="B28" s="13" t="s">
        <v>535</v>
      </c>
      <c r="C28" s="13" t="s">
        <v>281</v>
      </c>
      <c r="D28" s="9" t="s">
        <v>2624</v>
      </c>
      <c r="E28" s="21" t="s">
        <v>2561</v>
      </c>
      <c r="F28" s="22" t="str">
        <f t="shared" si="0"/>
        <v>outputoctets</v>
      </c>
      <c r="G28" s="22" t="s">
        <v>2335</v>
      </c>
      <c r="H28" s="21"/>
      <c r="I28" s="64"/>
      <c r="J28" s="25" t="s">
        <v>2562</v>
      </c>
      <c r="K28" s="25" t="s">
        <v>2341</v>
      </c>
      <c r="L28" s="25" t="s">
        <v>2341</v>
      </c>
    </row>
    <row r="29" spans="1:13" s="136" customFormat="1">
      <c r="A29" s="137"/>
      <c r="B29" s="138" t="s">
        <v>542</v>
      </c>
      <c r="C29" s="13" t="s">
        <v>281</v>
      </c>
      <c r="D29" s="9" t="s">
        <v>543</v>
      </c>
      <c r="E29" s="21" t="s">
        <v>2561</v>
      </c>
      <c r="F29" s="22" t="str">
        <f t="shared" si="0"/>
        <v>inputpacket</v>
      </c>
      <c r="G29" s="22" t="s">
        <v>2335</v>
      </c>
      <c r="H29" s="23"/>
      <c r="I29" s="64"/>
      <c r="J29" s="25" t="s">
        <v>2562</v>
      </c>
      <c r="K29" s="25" t="s">
        <v>2341</v>
      </c>
      <c r="L29" s="25" t="s">
        <v>2341</v>
      </c>
      <c r="M29" s="1"/>
    </row>
    <row r="30" spans="1:13" s="136" customFormat="1">
      <c r="A30" s="137"/>
      <c r="B30" s="138" t="s">
        <v>545</v>
      </c>
      <c r="C30" s="13" t="s">
        <v>281</v>
      </c>
      <c r="D30" s="9" t="s">
        <v>546</v>
      </c>
      <c r="E30" s="21" t="s">
        <v>2561</v>
      </c>
      <c r="F30" s="22" t="str">
        <f t="shared" si="0"/>
        <v>outputpacket</v>
      </c>
      <c r="G30" s="22" t="s">
        <v>2335</v>
      </c>
      <c r="H30" s="23"/>
      <c r="I30" s="64"/>
      <c r="J30" s="25" t="s">
        <v>2562</v>
      </c>
      <c r="K30" s="25" t="s">
        <v>2341</v>
      </c>
      <c r="L30" s="25" t="s">
        <v>2341</v>
      </c>
      <c r="M30" s="1"/>
    </row>
    <row r="31" spans="1:13" s="136" customFormat="1">
      <c r="A31" s="137"/>
      <c r="B31" s="138" t="s">
        <v>2625</v>
      </c>
      <c r="C31" s="13" t="s">
        <v>206</v>
      </c>
      <c r="D31" s="9" t="s">
        <v>2626</v>
      </c>
      <c r="E31" s="21" t="s">
        <v>2561</v>
      </c>
      <c r="F31" s="22" t="str">
        <f t="shared" si="0"/>
        <v>pduconnectionid</v>
      </c>
      <c r="G31" s="22" t="s">
        <v>2335</v>
      </c>
      <c r="H31" s="23"/>
      <c r="I31" s="64"/>
      <c r="J31" s="25" t="s">
        <v>2562</v>
      </c>
      <c r="K31" s="25" t="s">
        <v>2341</v>
      </c>
      <c r="L31" s="25" t="s">
        <v>2341</v>
      </c>
      <c r="M31" s="1"/>
    </row>
    <row r="32" spans="1:13" s="136" customFormat="1">
      <c r="A32" s="137"/>
      <c r="B32" s="138" t="s">
        <v>2627</v>
      </c>
      <c r="C32" s="13" t="s">
        <v>211</v>
      </c>
      <c r="D32" s="9" t="s">
        <v>2628</v>
      </c>
      <c r="E32" s="21" t="s">
        <v>2561</v>
      </c>
      <c r="F32" s="22" t="str">
        <f t="shared" si="0"/>
        <v>recordclosecause</v>
      </c>
      <c r="G32" s="22" t="s">
        <v>2335</v>
      </c>
      <c r="H32" s="64"/>
      <c r="I32" s="64"/>
      <c r="J32" s="25" t="s">
        <v>2562</v>
      </c>
      <c r="K32" s="25" t="s">
        <v>2341</v>
      </c>
      <c r="L32" s="25" t="s">
        <v>2341</v>
      </c>
    </row>
    <row r="33" spans="1:13" s="136" customFormat="1">
      <c r="A33" s="137"/>
      <c r="B33" s="138" t="s">
        <v>262</v>
      </c>
      <c r="C33" s="13" t="s">
        <v>206</v>
      </c>
      <c r="D33" s="9" t="s">
        <v>263</v>
      </c>
      <c r="E33" s="21" t="s">
        <v>2561</v>
      </c>
      <c r="F33" s="22" t="str">
        <f t="shared" si="0"/>
        <v>gnbip</v>
      </c>
      <c r="G33" s="22" t="s">
        <v>2335</v>
      </c>
      <c r="H33" s="23"/>
      <c r="I33" s="64"/>
      <c r="J33" s="25" t="s">
        <v>2562</v>
      </c>
      <c r="K33" s="25" t="s">
        <v>2341</v>
      </c>
      <c r="L33" s="25" t="s">
        <v>2341</v>
      </c>
      <c r="M33" s="1"/>
    </row>
    <row r="34" spans="1:13" s="136" customFormat="1">
      <c r="A34" s="137"/>
      <c r="B34" s="138" t="s">
        <v>264</v>
      </c>
      <c r="C34" s="13" t="s">
        <v>206</v>
      </c>
      <c r="D34" s="9" t="s">
        <v>265</v>
      </c>
      <c r="E34" s="21" t="s">
        <v>2561</v>
      </c>
      <c r="F34" s="22" t="str">
        <f t="shared" si="0"/>
        <v>home_province</v>
      </c>
      <c r="G34" s="22" t="s">
        <v>2335</v>
      </c>
      <c r="H34" s="21"/>
      <c r="I34" s="145"/>
      <c r="J34" s="25" t="s">
        <v>2562</v>
      </c>
      <c r="K34" s="25" t="s">
        <v>2341</v>
      </c>
      <c r="L34" s="25" t="s">
        <v>2341</v>
      </c>
    </row>
    <row r="35" spans="1:13" s="136" customFormat="1">
      <c r="A35" s="137"/>
      <c r="B35" s="138" t="s">
        <v>270</v>
      </c>
      <c r="C35" s="13" t="s">
        <v>211</v>
      </c>
      <c r="D35" s="9" t="s">
        <v>745</v>
      </c>
      <c r="E35" s="21" t="s">
        <v>2561</v>
      </c>
      <c r="F35" s="22" t="str">
        <f t="shared" si="0"/>
        <v>l4protocol</v>
      </c>
      <c r="G35" s="22" t="s">
        <v>2335</v>
      </c>
      <c r="H35" s="21"/>
      <c r="I35" s="145"/>
      <c r="J35" s="25" t="s">
        <v>2562</v>
      </c>
      <c r="K35" s="25" t="s">
        <v>2341</v>
      </c>
      <c r="L35" s="25" t="s">
        <v>2341</v>
      </c>
    </row>
    <row r="36" spans="1:13" s="136" customFormat="1">
      <c r="A36" s="137"/>
      <c r="B36" s="138" t="s">
        <v>548</v>
      </c>
      <c r="C36" s="26" t="s">
        <v>281</v>
      </c>
      <c r="D36" s="9" t="s">
        <v>2629</v>
      </c>
      <c r="E36" s="21" t="s">
        <v>2561</v>
      </c>
      <c r="F36" s="22" t="str">
        <f t="shared" ref="F36:F61" si="1">B36</f>
        <v>ultcpreorderingpacket</v>
      </c>
      <c r="G36" s="22" t="s">
        <v>2335</v>
      </c>
      <c r="H36" s="21"/>
      <c r="I36" s="145"/>
      <c r="J36" s="25" t="s">
        <v>2562</v>
      </c>
      <c r="K36" s="25" t="s">
        <v>2341</v>
      </c>
      <c r="L36" s="25" t="s">
        <v>2341</v>
      </c>
    </row>
    <row r="37" spans="1:13" s="136" customFormat="1">
      <c r="A37" s="137"/>
      <c r="B37" s="138" t="s">
        <v>551</v>
      </c>
      <c r="C37" s="26" t="s">
        <v>281</v>
      </c>
      <c r="D37" s="9" t="s">
        <v>2630</v>
      </c>
      <c r="E37" s="21" t="s">
        <v>2561</v>
      </c>
      <c r="F37" s="22" t="str">
        <f t="shared" si="1"/>
        <v>dltcpreorderingpacket</v>
      </c>
      <c r="G37" s="22" t="s">
        <v>2335</v>
      </c>
      <c r="H37" s="21"/>
      <c r="I37" s="145"/>
      <c r="J37" s="25" t="s">
        <v>2562</v>
      </c>
      <c r="K37" s="25" t="s">
        <v>2341</v>
      </c>
      <c r="L37" s="25" t="s">
        <v>2341</v>
      </c>
    </row>
    <row r="38" spans="1:13" s="136" customFormat="1">
      <c r="A38" s="137"/>
      <c r="B38" s="138" t="s">
        <v>2631</v>
      </c>
      <c r="C38" s="26" t="s">
        <v>281</v>
      </c>
      <c r="D38" s="9" t="s">
        <v>2632</v>
      </c>
      <c r="E38" s="21" t="s">
        <v>2561</v>
      </c>
      <c r="F38" s="22" t="str">
        <f t="shared" si="1"/>
        <v>ultcp_retranspacket</v>
      </c>
      <c r="G38" s="22" t="s">
        <v>2335</v>
      </c>
      <c r="H38" s="21"/>
      <c r="I38" s="145"/>
      <c r="J38" s="25" t="s">
        <v>2562</v>
      </c>
      <c r="K38" s="25" t="s">
        <v>2341</v>
      </c>
      <c r="L38" s="25" t="s">
        <v>2341</v>
      </c>
    </row>
    <row r="39" spans="1:13" s="136" customFormat="1">
      <c r="A39" s="137"/>
      <c r="B39" s="138" t="s">
        <v>2633</v>
      </c>
      <c r="C39" s="26" t="s">
        <v>281</v>
      </c>
      <c r="D39" s="9" t="s">
        <v>2634</v>
      </c>
      <c r="E39" s="21" t="s">
        <v>2561</v>
      </c>
      <c r="F39" s="22" t="str">
        <f t="shared" si="1"/>
        <v>dltcp_retranspacket</v>
      </c>
      <c r="G39" s="22" t="s">
        <v>2335</v>
      </c>
      <c r="H39" s="21"/>
      <c r="I39" s="145"/>
      <c r="J39" s="25" t="s">
        <v>2562</v>
      </c>
      <c r="K39" s="25" t="s">
        <v>2341</v>
      </c>
      <c r="L39" s="25" t="s">
        <v>2341</v>
      </c>
    </row>
    <row r="40" spans="1:13" s="136" customFormat="1">
      <c r="A40" s="137"/>
      <c r="B40" s="138" t="s">
        <v>2635</v>
      </c>
      <c r="C40" s="26" t="s">
        <v>281</v>
      </c>
      <c r="D40" s="9" t="s">
        <v>2636</v>
      </c>
      <c r="E40" s="21" t="s">
        <v>2561</v>
      </c>
      <c r="F40" s="22" t="str">
        <f t="shared" si="1"/>
        <v>tcpsetupresponsedelay</v>
      </c>
      <c r="G40" s="22" t="s">
        <v>2335</v>
      </c>
      <c r="H40" s="21"/>
      <c r="I40" s="145"/>
      <c r="J40" s="25" t="s">
        <v>2562</v>
      </c>
      <c r="K40" s="25" t="s">
        <v>2341</v>
      </c>
      <c r="L40" s="25" t="s">
        <v>2341</v>
      </c>
    </row>
    <row r="41" spans="1:13" s="136" customFormat="1">
      <c r="A41" s="137"/>
      <c r="B41" s="138" t="s">
        <v>2637</v>
      </c>
      <c r="C41" s="26" t="s">
        <v>281</v>
      </c>
      <c r="D41" s="9" t="s">
        <v>2638</v>
      </c>
      <c r="E41" s="21" t="s">
        <v>2561</v>
      </c>
      <c r="F41" s="22" t="str">
        <f t="shared" si="1"/>
        <v>tcpsetupackdelay</v>
      </c>
      <c r="G41" s="22" t="s">
        <v>2335</v>
      </c>
      <c r="H41" s="21"/>
      <c r="I41" s="145"/>
      <c r="J41" s="25" t="s">
        <v>2562</v>
      </c>
      <c r="K41" s="25" t="s">
        <v>2341</v>
      </c>
      <c r="L41" s="25" t="s">
        <v>2341</v>
      </c>
    </row>
    <row r="42" spans="1:13" s="136" customFormat="1">
      <c r="A42" s="137"/>
      <c r="B42" s="138" t="s">
        <v>2639</v>
      </c>
      <c r="C42" s="26" t="s">
        <v>211</v>
      </c>
      <c r="D42" s="9" t="s">
        <v>2640</v>
      </c>
      <c r="E42" s="21" t="s">
        <v>2561</v>
      </c>
      <c r="F42" s="22" t="str">
        <f t="shared" si="1"/>
        <v>tcpconnectstate</v>
      </c>
      <c r="G42" s="22" t="s">
        <v>2335</v>
      </c>
      <c r="H42" s="21"/>
      <c r="I42" s="145"/>
      <c r="J42" s="25" t="s">
        <v>2562</v>
      </c>
      <c r="K42" s="25" t="s">
        <v>2341</v>
      </c>
      <c r="L42" s="25" t="s">
        <v>2341</v>
      </c>
    </row>
    <row r="43" spans="1:13" s="136" customFormat="1">
      <c r="A43" s="137"/>
      <c r="B43" s="138" t="s">
        <v>566</v>
      </c>
      <c r="C43" s="26" t="s">
        <v>281</v>
      </c>
      <c r="D43" s="9" t="s">
        <v>567</v>
      </c>
      <c r="E43" s="21" t="s">
        <v>2561</v>
      </c>
      <c r="F43" s="22" t="str">
        <f t="shared" si="1"/>
        <v>ul_data_transduration</v>
      </c>
      <c r="G43" s="22" t="s">
        <v>2335</v>
      </c>
      <c r="H43" s="21"/>
      <c r="I43" s="145"/>
      <c r="J43" s="25" t="s">
        <v>2562</v>
      </c>
      <c r="K43" s="25" t="s">
        <v>2341</v>
      </c>
      <c r="L43" s="25" t="s">
        <v>2341</v>
      </c>
    </row>
    <row r="44" spans="1:13" s="136" customFormat="1">
      <c r="A44" s="137"/>
      <c r="B44" s="138" t="s">
        <v>2641</v>
      </c>
      <c r="C44" s="26" t="s">
        <v>281</v>
      </c>
      <c r="D44" s="9" t="s">
        <v>570</v>
      </c>
      <c r="E44" s="21" t="s">
        <v>2561</v>
      </c>
      <c r="F44" s="22" t="str">
        <f t="shared" si="1"/>
        <v>dl_datatransduration</v>
      </c>
      <c r="G44" s="22" t="s">
        <v>2335</v>
      </c>
      <c r="H44" s="21"/>
      <c r="I44" s="145"/>
      <c r="J44" s="25" t="s">
        <v>2562</v>
      </c>
      <c r="K44" s="25" t="s">
        <v>2341</v>
      </c>
      <c r="L44" s="25" t="s">
        <v>2341</v>
      </c>
    </row>
    <row r="45" spans="1:13" s="136" customFormat="1">
      <c r="A45" s="137"/>
      <c r="B45" s="138" t="s">
        <v>2642</v>
      </c>
      <c r="C45" s="26" t="s">
        <v>281</v>
      </c>
      <c r="D45" s="9" t="s">
        <v>2643</v>
      </c>
      <c r="E45" s="21" t="s">
        <v>2561</v>
      </c>
      <c r="F45" s="22" t="str">
        <f t="shared" si="1"/>
        <v>ul_average_packet_size</v>
      </c>
      <c r="G45" s="22" t="s">
        <v>2335</v>
      </c>
      <c r="H45" s="21"/>
      <c r="I45" s="145"/>
      <c r="J45" s="25" t="s">
        <v>2562</v>
      </c>
      <c r="K45" s="25" t="s">
        <v>2341</v>
      </c>
      <c r="L45" s="25" t="s">
        <v>2341</v>
      </c>
    </row>
    <row r="46" spans="1:13" s="136" customFormat="1">
      <c r="A46" s="137"/>
      <c r="B46" s="138" t="s">
        <v>2644</v>
      </c>
      <c r="C46" s="26" t="s">
        <v>281</v>
      </c>
      <c r="D46" s="9" t="s">
        <v>2645</v>
      </c>
      <c r="E46" s="21" t="s">
        <v>2561</v>
      </c>
      <c r="F46" s="22" t="str">
        <f t="shared" si="1"/>
        <v>dl_average_packet_size</v>
      </c>
      <c r="G46" s="22" t="s">
        <v>2335</v>
      </c>
      <c r="H46" s="21"/>
      <c r="I46" s="145"/>
      <c r="J46" s="25" t="s">
        <v>2562</v>
      </c>
      <c r="K46" s="25" t="s">
        <v>2341</v>
      </c>
      <c r="L46" s="25" t="s">
        <v>2341</v>
      </c>
    </row>
    <row r="47" spans="1:13" s="136" customFormat="1">
      <c r="A47" s="137"/>
      <c r="B47" s="138" t="s">
        <v>2646</v>
      </c>
      <c r="C47" s="26" t="s">
        <v>281</v>
      </c>
      <c r="D47" s="9" t="s">
        <v>2647</v>
      </c>
      <c r="E47" s="21" t="s">
        <v>2561</v>
      </c>
      <c r="F47" s="22" t="str">
        <f t="shared" si="1"/>
        <v>ul_average_interval</v>
      </c>
      <c r="G47" s="22" t="s">
        <v>2335</v>
      </c>
      <c r="H47" s="21"/>
      <c r="I47" s="145"/>
      <c r="J47" s="25" t="s">
        <v>2562</v>
      </c>
      <c r="K47" s="25" t="s">
        <v>2341</v>
      </c>
      <c r="L47" s="25" t="s">
        <v>2341</v>
      </c>
    </row>
    <row r="48" spans="1:13" s="136" customFormat="1">
      <c r="A48" s="137"/>
      <c r="B48" s="138" t="s">
        <v>2648</v>
      </c>
      <c r="C48" s="26" t="s">
        <v>281</v>
      </c>
      <c r="D48" s="9" t="s">
        <v>2649</v>
      </c>
      <c r="E48" s="21" t="s">
        <v>2561</v>
      </c>
      <c r="F48" s="22" t="str">
        <f t="shared" si="1"/>
        <v>dl_average_interval</v>
      </c>
      <c r="G48" s="22" t="s">
        <v>2335</v>
      </c>
      <c r="H48" s="21"/>
      <c r="I48" s="145"/>
      <c r="J48" s="25" t="s">
        <v>2562</v>
      </c>
      <c r="K48" s="25" t="s">
        <v>2341</v>
      </c>
      <c r="L48" s="25" t="s">
        <v>2341</v>
      </c>
    </row>
    <row r="49" spans="1:17" s="136" customFormat="1">
      <c r="A49" s="137"/>
      <c r="B49" s="138" t="s">
        <v>2650</v>
      </c>
      <c r="C49" s="26" t="s">
        <v>281</v>
      </c>
      <c r="D49" s="9" t="s">
        <v>2651</v>
      </c>
      <c r="E49" s="21" t="s">
        <v>2561</v>
      </c>
      <c r="F49" s="22" t="str">
        <f t="shared" si="1"/>
        <v>ul_average_jitter</v>
      </c>
      <c r="G49" s="22" t="s">
        <v>2335</v>
      </c>
      <c r="H49" s="21"/>
      <c r="I49" s="145"/>
      <c r="J49" s="25" t="s">
        <v>2562</v>
      </c>
      <c r="K49" s="25" t="s">
        <v>2341</v>
      </c>
      <c r="L49" s="25" t="s">
        <v>2341</v>
      </c>
    </row>
    <row r="50" spans="1:17" s="136" customFormat="1">
      <c r="A50" s="137"/>
      <c r="B50" s="138" t="s">
        <v>2652</v>
      </c>
      <c r="C50" s="26" t="s">
        <v>281</v>
      </c>
      <c r="D50" s="9" t="s">
        <v>2653</v>
      </c>
      <c r="E50" s="21" t="s">
        <v>2561</v>
      </c>
      <c r="F50" s="22" t="str">
        <f t="shared" si="1"/>
        <v>dl_average_jitter</v>
      </c>
      <c r="G50" s="22" t="s">
        <v>2335</v>
      </c>
      <c r="H50" s="21"/>
      <c r="I50" s="145"/>
      <c r="J50" s="25" t="s">
        <v>2562</v>
      </c>
      <c r="K50" s="25" t="s">
        <v>2341</v>
      </c>
      <c r="L50" s="25" t="s">
        <v>2341</v>
      </c>
    </row>
    <row r="51" spans="1:17" s="136" customFormat="1">
      <c r="A51" s="137"/>
      <c r="B51" s="138" t="s">
        <v>2654</v>
      </c>
      <c r="C51" s="26" t="s">
        <v>281</v>
      </c>
      <c r="D51" s="9" t="s">
        <v>2655</v>
      </c>
      <c r="E51" s="21" t="s">
        <v>2561</v>
      </c>
      <c r="F51" s="22" t="str">
        <f t="shared" si="1"/>
        <v>flowid</v>
      </c>
      <c r="G51" s="22" t="s">
        <v>2335</v>
      </c>
      <c r="H51" s="21"/>
      <c r="I51" s="145"/>
      <c r="J51" s="25" t="s">
        <v>2562</v>
      </c>
      <c r="K51" s="25" t="s">
        <v>2341</v>
      </c>
      <c r="L51" s="25" t="s">
        <v>2341</v>
      </c>
    </row>
    <row r="52" spans="1:17" s="136" customFormat="1">
      <c r="A52" s="137"/>
      <c r="B52" s="138" t="s">
        <v>254</v>
      </c>
      <c r="C52" s="26" t="s">
        <v>206</v>
      </c>
      <c r="D52" s="9" t="s">
        <v>1236</v>
      </c>
      <c r="E52" s="21" t="s">
        <v>2561</v>
      </c>
      <c r="F52" s="22" t="str">
        <f t="shared" si="1"/>
        <v>pei</v>
      </c>
      <c r="G52" s="22" t="s">
        <v>2335</v>
      </c>
      <c r="H52" s="21"/>
      <c r="I52" s="145"/>
      <c r="J52" s="25" t="s">
        <v>2562</v>
      </c>
      <c r="K52" s="25" t="s">
        <v>2341</v>
      </c>
      <c r="L52" s="25" t="s">
        <v>2341</v>
      </c>
    </row>
    <row r="53" spans="1:17" s="136" customFormat="1">
      <c r="A53" s="137"/>
      <c r="B53" s="138" t="s">
        <v>256</v>
      </c>
      <c r="C53" s="26" t="s">
        <v>206</v>
      </c>
      <c r="D53" s="9" t="s">
        <v>743</v>
      </c>
      <c r="E53" s="21" t="s">
        <v>2561</v>
      </c>
      <c r="F53" s="22" t="str">
        <f t="shared" si="1"/>
        <v>dnn_apn</v>
      </c>
      <c r="G53" s="22" t="s">
        <v>2335</v>
      </c>
      <c r="H53" s="21"/>
      <c r="I53" s="145"/>
      <c r="J53" s="25" t="s">
        <v>2562</v>
      </c>
      <c r="K53" s="25" t="s">
        <v>2341</v>
      </c>
      <c r="L53" s="25" t="s">
        <v>2341</v>
      </c>
    </row>
    <row r="54" spans="1:17" s="136" customFormat="1">
      <c r="A54" s="137"/>
      <c r="B54" s="138" t="s">
        <v>260</v>
      </c>
      <c r="C54" s="26" t="s">
        <v>206</v>
      </c>
      <c r="D54" s="9" t="s">
        <v>795</v>
      </c>
      <c r="E54" s="21" t="s">
        <v>2561</v>
      </c>
      <c r="F54" s="22" t="str">
        <f t="shared" si="1"/>
        <v>servicetype</v>
      </c>
      <c r="G54" s="22" t="s">
        <v>2335</v>
      </c>
      <c r="H54" s="21"/>
      <c r="I54" s="145"/>
      <c r="J54" s="25" t="s">
        <v>2562</v>
      </c>
      <c r="K54" s="25" t="s">
        <v>2341</v>
      </c>
      <c r="L54" s="25" t="s">
        <v>2341</v>
      </c>
    </row>
    <row r="55" spans="1:17" s="136" customFormat="1">
      <c r="A55" s="137"/>
      <c r="B55" s="138" t="s">
        <v>2660</v>
      </c>
      <c r="C55" s="26" t="s">
        <v>211</v>
      </c>
      <c r="D55" s="9" t="s">
        <v>2661</v>
      </c>
      <c r="E55" s="21" t="s">
        <v>2561</v>
      </c>
      <c r="F55" s="22" t="str">
        <f t="shared" si="1"/>
        <v>tcpsynnumber</v>
      </c>
      <c r="G55" s="22" t="s">
        <v>2335</v>
      </c>
      <c r="H55" s="21"/>
      <c r="I55" s="145"/>
      <c r="J55" s="25" t="s">
        <v>2562</v>
      </c>
      <c r="K55" s="25" t="s">
        <v>2341</v>
      </c>
      <c r="L55" s="25" t="s">
        <v>2341</v>
      </c>
    </row>
    <row r="56" spans="1:17" s="136" customFormat="1">
      <c r="A56" s="137"/>
      <c r="B56" s="138" t="s">
        <v>1321</v>
      </c>
      <c r="C56" s="26" t="s">
        <v>281</v>
      </c>
      <c r="D56" s="9" t="s">
        <v>1322</v>
      </c>
      <c r="E56" s="21" t="s">
        <v>2561</v>
      </c>
      <c r="F56" s="22" t="str">
        <f t="shared" si="1"/>
        <v>ul_session_ambr</v>
      </c>
      <c r="G56" s="22" t="s">
        <v>2335</v>
      </c>
      <c r="H56" s="21"/>
      <c r="I56" s="145"/>
      <c r="J56" s="25" t="s">
        <v>2562</v>
      </c>
      <c r="K56" s="25" t="s">
        <v>2341</v>
      </c>
      <c r="L56" s="25" t="s">
        <v>2341</v>
      </c>
    </row>
    <row r="57" spans="1:17" s="136" customFormat="1">
      <c r="A57" s="137"/>
      <c r="B57" s="138" t="s">
        <v>1323</v>
      </c>
      <c r="C57" s="26" t="s">
        <v>281</v>
      </c>
      <c r="D57" s="9" t="s">
        <v>1324</v>
      </c>
      <c r="E57" s="21" t="s">
        <v>2561</v>
      </c>
      <c r="F57" s="22" t="str">
        <f t="shared" si="1"/>
        <v>dl_session_ambr</v>
      </c>
      <c r="G57" s="22" t="s">
        <v>2335</v>
      </c>
      <c r="H57" s="21"/>
      <c r="I57" s="145"/>
      <c r="J57" s="25" t="s">
        <v>2562</v>
      </c>
      <c r="K57" s="25" t="s">
        <v>2341</v>
      </c>
      <c r="L57" s="25" t="s">
        <v>2341</v>
      </c>
    </row>
    <row r="58" spans="1:17" s="136" customFormat="1">
      <c r="A58" s="137"/>
      <c r="B58" s="138" t="s">
        <v>2702</v>
      </c>
      <c r="C58" s="26" t="s">
        <v>281</v>
      </c>
      <c r="D58" s="9" t="s">
        <v>2703</v>
      </c>
      <c r="E58" s="21" t="s">
        <v>2561</v>
      </c>
      <c r="F58" s="22" t="str">
        <f t="shared" si="1"/>
        <v>filesize</v>
      </c>
      <c r="G58" s="22" t="s">
        <v>2335</v>
      </c>
      <c r="H58" s="21"/>
      <c r="I58" s="145"/>
      <c r="J58" s="25" t="s">
        <v>2562</v>
      </c>
      <c r="K58" s="25" t="s">
        <v>2341</v>
      </c>
      <c r="L58" s="25" t="s">
        <v>2341</v>
      </c>
    </row>
    <row r="59" spans="1:17" s="136" customFormat="1">
      <c r="A59" s="137"/>
      <c r="B59" s="138" t="s">
        <v>2704</v>
      </c>
      <c r="C59" s="26" t="s">
        <v>211</v>
      </c>
      <c r="D59" s="9" t="s">
        <v>2705</v>
      </c>
      <c r="E59" s="21" t="s">
        <v>2561</v>
      </c>
      <c r="F59" s="22" t="str">
        <f t="shared" si="1"/>
        <v>transflag</v>
      </c>
      <c r="G59" s="22" t="s">
        <v>2335</v>
      </c>
      <c r="H59" s="21"/>
      <c r="I59" s="145"/>
      <c r="J59" s="25" t="s">
        <v>2562</v>
      </c>
      <c r="K59" s="25" t="s">
        <v>2341</v>
      </c>
      <c r="L59" s="25" t="s">
        <v>2341</v>
      </c>
    </row>
    <row r="60" spans="1:17" s="136" customFormat="1">
      <c r="A60" s="137"/>
      <c r="B60" s="138" t="s">
        <v>2706</v>
      </c>
      <c r="C60" s="26" t="s">
        <v>211</v>
      </c>
      <c r="D60" s="9" t="s">
        <v>2707</v>
      </c>
      <c r="E60" s="21" t="s">
        <v>2561</v>
      </c>
      <c r="F60" s="22" t="str">
        <f t="shared" si="1"/>
        <v>ftpstatus</v>
      </c>
      <c r="G60" s="22" t="s">
        <v>2335</v>
      </c>
      <c r="H60" s="21"/>
      <c r="I60" s="145"/>
      <c r="J60" s="25" t="s">
        <v>2562</v>
      </c>
      <c r="K60" s="25" t="s">
        <v>2341</v>
      </c>
      <c r="L60" s="25" t="s">
        <v>2341</v>
      </c>
    </row>
    <row r="61" spans="1:17" s="136" customFormat="1">
      <c r="A61" s="137"/>
      <c r="B61" s="138" t="s">
        <v>2708</v>
      </c>
      <c r="C61" s="26" t="s">
        <v>281</v>
      </c>
      <c r="D61" s="9" t="s">
        <v>2709</v>
      </c>
      <c r="E61" s="21" t="s">
        <v>2561</v>
      </c>
      <c r="F61" s="22" t="str">
        <f t="shared" si="1"/>
        <v>delay</v>
      </c>
      <c r="G61" s="22" t="s">
        <v>2335</v>
      </c>
      <c r="H61" s="21"/>
      <c r="I61" s="145"/>
      <c r="J61" s="25" t="s">
        <v>2562</v>
      </c>
      <c r="K61" s="25" t="s">
        <v>2341</v>
      </c>
      <c r="L61" s="25" t="s">
        <v>2341</v>
      </c>
    </row>
    <row r="62" spans="1:17" s="2" customFormat="1">
      <c r="B62" s="14" t="s">
        <v>222</v>
      </c>
      <c r="C62" s="15" t="s">
        <v>211</v>
      </c>
      <c r="D62" s="16" t="s">
        <v>344</v>
      </c>
      <c r="E62" s="69"/>
      <c r="F62" s="14"/>
      <c r="G62" s="14"/>
      <c r="H62" s="14"/>
      <c r="I62" s="123"/>
      <c r="J62" s="14"/>
      <c r="K62" s="14"/>
      <c r="L62" s="14"/>
      <c r="M62" s="14"/>
      <c r="N62" s="14"/>
      <c r="O62" s="14"/>
      <c r="P62" s="14"/>
      <c r="Q62" s="14"/>
    </row>
    <row r="63" spans="1:17" s="2" customFormat="1">
      <c r="B63" s="14" t="s">
        <v>0</v>
      </c>
      <c r="C63" s="15" t="s">
        <v>206</v>
      </c>
      <c r="D63" s="16" t="s">
        <v>345</v>
      </c>
      <c r="E63" s="69"/>
      <c r="F63" s="14"/>
      <c r="G63" s="14"/>
      <c r="H63" s="14"/>
      <c r="I63" s="123"/>
      <c r="J63" s="14"/>
      <c r="K63" s="14"/>
      <c r="L63" s="14"/>
      <c r="M63" s="14"/>
      <c r="N63" s="14"/>
      <c r="O63" s="14"/>
      <c r="P63" s="14"/>
      <c r="Q63" s="14"/>
    </row>
    <row r="64" spans="1:17" s="2" customFormat="1">
      <c r="B64" s="14" t="s">
        <v>1</v>
      </c>
      <c r="C64" s="15" t="s">
        <v>211</v>
      </c>
      <c r="D64" s="16" t="s">
        <v>346</v>
      </c>
      <c r="E64" s="69"/>
      <c r="F64" s="14"/>
      <c r="G64" s="14"/>
      <c r="H64" s="14"/>
      <c r="I64" s="123"/>
      <c r="J64" s="14"/>
      <c r="K64" s="14"/>
      <c r="L64" s="14"/>
      <c r="M64" s="14"/>
      <c r="N64" s="14"/>
      <c r="O64" s="14"/>
      <c r="P64" s="14"/>
      <c r="Q64" s="14"/>
    </row>
  </sheetData>
  <autoFilter ref="A13:Q64" xr:uid="{00000000-0009-0000-0000-000003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3363C-60B3-4426-881A-B9E0950841F9}">
  <dimension ref="A1:Q65"/>
  <sheetViews>
    <sheetView zoomScale="85" zoomScaleNormal="85" workbookViewId="0">
      <pane ySplit="5" topLeftCell="A6" activePane="bottomLeft" state="frozen"/>
      <selection activeCell="C18" sqref="C18"/>
      <selection pane="bottomLeft" activeCell="A63" sqref="A63:XFD76"/>
    </sheetView>
  </sheetViews>
  <sheetFormatPr defaultColWidth="9" defaultRowHeight="13.2"/>
  <cols>
    <col min="1" max="1" width="1.33203125" style="3" customWidth="1"/>
    <col min="2" max="2" width="23.6640625" style="3" customWidth="1"/>
    <col min="3" max="3" width="26.88671875" style="3" bestFit="1"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58"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c r="C5" s="145" t="s">
        <v>2543</v>
      </c>
      <c r="D5" s="145" t="s">
        <v>2580</v>
      </c>
      <c r="E5" s="12" t="s">
        <v>2547</v>
      </c>
      <c r="F5" s="61"/>
      <c r="G5" s="9"/>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145" t="s">
        <v>2581</v>
      </c>
      <c r="D9" s="10" t="s">
        <v>2582</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214</v>
      </c>
      <c r="C14" s="13" t="s">
        <v>211</v>
      </c>
      <c r="D14" s="9" t="s">
        <v>1232</v>
      </c>
      <c r="E14" s="21" t="s">
        <v>2561</v>
      </c>
      <c r="F14" s="22" t="str">
        <f>B14</f>
        <v>interface</v>
      </c>
      <c r="G14" s="22" t="s">
        <v>2335</v>
      </c>
      <c r="H14" s="23"/>
      <c r="I14" s="64"/>
      <c r="J14" s="25" t="s">
        <v>2562</v>
      </c>
      <c r="K14" s="25" t="s">
        <v>2341</v>
      </c>
      <c r="L14" s="25" t="s">
        <v>2341</v>
      </c>
    </row>
    <row r="15" spans="1:14" s="1" customFormat="1">
      <c r="B15" s="13" t="s">
        <v>249</v>
      </c>
      <c r="C15" s="13" t="s">
        <v>206</v>
      </c>
      <c r="D15" s="9" t="s">
        <v>2605</v>
      </c>
      <c r="E15" s="21" t="s">
        <v>2561</v>
      </c>
      <c r="F15" s="22" t="str">
        <f t="shared" ref="F15:F35" si="0">B15</f>
        <v>supi</v>
      </c>
      <c r="G15" s="22" t="s">
        <v>2335</v>
      </c>
      <c r="H15" s="23"/>
      <c r="I15" s="64"/>
      <c r="J15" s="25" t="s">
        <v>2562</v>
      </c>
      <c r="K15" s="25" t="s">
        <v>2341</v>
      </c>
      <c r="L15" s="25" t="s">
        <v>2341</v>
      </c>
    </row>
    <row r="16" spans="1:14" s="1" customFormat="1">
      <c r="A16" s="132"/>
      <c r="B16" s="13" t="s">
        <v>251</v>
      </c>
      <c r="C16" s="13" t="s">
        <v>206</v>
      </c>
      <c r="D16" s="9" t="s">
        <v>252</v>
      </c>
      <c r="E16" s="21" t="s">
        <v>2561</v>
      </c>
      <c r="F16" s="22" t="str">
        <f t="shared" si="0"/>
        <v>msisdn</v>
      </c>
      <c r="G16" s="22" t="s">
        <v>2335</v>
      </c>
      <c r="H16" s="23"/>
      <c r="I16" s="64"/>
      <c r="J16" s="25" t="s">
        <v>2562</v>
      </c>
      <c r="K16" s="25" t="s">
        <v>2341</v>
      </c>
      <c r="L16" s="25" t="s">
        <v>2341</v>
      </c>
    </row>
    <row r="17" spans="1:13" s="1" customFormat="1">
      <c r="A17" s="132"/>
      <c r="B17" s="13" t="s">
        <v>2606</v>
      </c>
      <c r="C17" s="13" t="s">
        <v>206</v>
      </c>
      <c r="D17" s="9" t="s">
        <v>2607</v>
      </c>
      <c r="E17" s="21" t="s">
        <v>2561</v>
      </c>
      <c r="F17" s="22" t="str">
        <f t="shared" si="0"/>
        <v>destinationip</v>
      </c>
      <c r="G17" s="22" t="s">
        <v>2335</v>
      </c>
      <c r="H17" s="23"/>
      <c r="I17" s="64"/>
      <c r="J17" s="25" t="s">
        <v>2562</v>
      </c>
      <c r="K17" s="25" t="s">
        <v>2341</v>
      </c>
      <c r="L17" s="25" t="s">
        <v>2341</v>
      </c>
    </row>
    <row r="18" spans="1:13" s="1" customFormat="1">
      <c r="A18" s="132"/>
      <c r="B18" s="13" t="s">
        <v>2608</v>
      </c>
      <c r="C18" s="13" t="s">
        <v>211</v>
      </c>
      <c r="D18" s="9" t="s">
        <v>2609</v>
      </c>
      <c r="E18" s="21" t="s">
        <v>2561</v>
      </c>
      <c r="F18" s="22" t="str">
        <f t="shared" si="0"/>
        <v>destinationport</v>
      </c>
      <c r="G18" s="22" t="s">
        <v>2335</v>
      </c>
      <c r="H18" s="23"/>
      <c r="I18" s="64"/>
      <c r="J18" s="25" t="s">
        <v>2562</v>
      </c>
      <c r="K18" s="25" t="s">
        <v>2341</v>
      </c>
      <c r="L18" s="25" t="s">
        <v>2341</v>
      </c>
    </row>
    <row r="19" spans="1:13" s="1" customFormat="1">
      <c r="A19" s="132"/>
      <c r="B19" s="12" t="s">
        <v>2610</v>
      </c>
      <c r="C19" s="13" t="s">
        <v>206</v>
      </c>
      <c r="D19" s="9" t="s">
        <v>2611</v>
      </c>
      <c r="E19" s="21" t="s">
        <v>2561</v>
      </c>
      <c r="F19" s="22" t="str">
        <f t="shared" si="0"/>
        <v>sourceip</v>
      </c>
      <c r="G19" s="22" t="s">
        <v>2335</v>
      </c>
      <c r="H19" s="23"/>
      <c r="I19" s="64"/>
      <c r="J19" s="25" t="s">
        <v>2562</v>
      </c>
      <c r="K19" s="25" t="s">
        <v>2341</v>
      </c>
      <c r="L19" s="25" t="s">
        <v>2341</v>
      </c>
    </row>
    <row r="20" spans="1:13" s="1" customFormat="1">
      <c r="A20" s="132"/>
      <c r="B20" s="12" t="s">
        <v>2612</v>
      </c>
      <c r="C20" s="13" t="s">
        <v>211</v>
      </c>
      <c r="D20" s="9" t="s">
        <v>2613</v>
      </c>
      <c r="E20" s="21" t="s">
        <v>2561</v>
      </c>
      <c r="F20" s="22" t="str">
        <f t="shared" si="0"/>
        <v>sourceport</v>
      </c>
      <c r="G20" s="22" t="s">
        <v>2335</v>
      </c>
      <c r="H20" s="23"/>
      <c r="I20" s="64"/>
      <c r="J20" s="25" t="s">
        <v>2562</v>
      </c>
      <c r="K20" s="25" t="s">
        <v>2341</v>
      </c>
      <c r="L20" s="25" t="s">
        <v>2341</v>
      </c>
    </row>
    <row r="21" spans="1:13" s="1" customFormat="1">
      <c r="A21" s="132"/>
      <c r="B21" s="12" t="s">
        <v>258</v>
      </c>
      <c r="C21" s="13" t="s">
        <v>206</v>
      </c>
      <c r="D21" s="9" t="s">
        <v>259</v>
      </c>
      <c r="E21" s="21" t="s">
        <v>2561</v>
      </c>
      <c r="F21" s="22" t="str">
        <f t="shared" si="0"/>
        <v>upfip</v>
      </c>
      <c r="G21" s="22" t="s">
        <v>2335</v>
      </c>
      <c r="H21" s="23"/>
      <c r="I21" s="64"/>
      <c r="J21" s="25" t="s">
        <v>2562</v>
      </c>
      <c r="K21" s="25" t="s">
        <v>2341</v>
      </c>
      <c r="L21" s="25" t="s">
        <v>2341</v>
      </c>
    </row>
    <row r="22" spans="1:13" s="1" customFormat="1">
      <c r="A22" s="132"/>
      <c r="B22" s="12" t="s">
        <v>2614</v>
      </c>
      <c r="C22" s="13" t="s">
        <v>206</v>
      </c>
      <c r="D22" s="9" t="s">
        <v>2615</v>
      </c>
      <c r="E22" s="21" t="s">
        <v>2561</v>
      </c>
      <c r="F22" s="22" t="str">
        <f t="shared" si="0"/>
        <v>ncgi_ecgi</v>
      </c>
      <c r="G22" s="22" t="s">
        <v>2335</v>
      </c>
      <c r="H22" s="23"/>
      <c r="I22" s="64"/>
      <c r="J22" s="25" t="s">
        <v>2562</v>
      </c>
      <c r="K22" s="25" t="s">
        <v>2341</v>
      </c>
      <c r="L22" s="25" t="s">
        <v>2341</v>
      </c>
    </row>
    <row r="23" spans="1:13" s="1" customFormat="1">
      <c r="A23" s="132"/>
      <c r="B23" s="12" t="s">
        <v>2616</v>
      </c>
      <c r="C23" s="12" t="s">
        <v>211</v>
      </c>
      <c r="D23" s="9" t="s">
        <v>2617</v>
      </c>
      <c r="E23" s="21" t="s">
        <v>2561</v>
      </c>
      <c r="F23" s="22" t="str">
        <f t="shared" si="0"/>
        <v>protocolid</v>
      </c>
      <c r="G23" s="22" t="s">
        <v>2335</v>
      </c>
      <c r="H23" s="23"/>
      <c r="I23" s="64"/>
      <c r="J23" s="25" t="s">
        <v>2562</v>
      </c>
      <c r="K23" s="25" t="s">
        <v>2341</v>
      </c>
      <c r="L23" s="25" t="s">
        <v>2341</v>
      </c>
    </row>
    <row r="24" spans="1:13" s="1" customFormat="1">
      <c r="A24" s="132"/>
      <c r="B24" s="12" t="s">
        <v>2618</v>
      </c>
      <c r="C24" s="12" t="s">
        <v>206</v>
      </c>
      <c r="D24" s="9" t="s">
        <v>2619</v>
      </c>
      <c r="E24" s="21" t="s">
        <v>2561</v>
      </c>
      <c r="F24" s="22" t="str">
        <f t="shared" si="0"/>
        <v>starttime</v>
      </c>
      <c r="G24" s="22" t="s">
        <v>2335</v>
      </c>
      <c r="H24" s="23"/>
      <c r="I24" s="64"/>
      <c r="J24" s="25" t="s">
        <v>2562</v>
      </c>
      <c r="K24" s="25" t="s">
        <v>2341</v>
      </c>
      <c r="L24" s="25" t="s">
        <v>2341</v>
      </c>
    </row>
    <row r="25" spans="1:13" s="1" customFormat="1">
      <c r="A25" s="132"/>
      <c r="B25" s="12" t="s">
        <v>2620</v>
      </c>
      <c r="C25" s="12" t="s">
        <v>206</v>
      </c>
      <c r="D25" s="9" t="s">
        <v>2621</v>
      </c>
      <c r="E25" s="21" t="s">
        <v>2561</v>
      </c>
      <c r="F25" s="22" t="str">
        <f t="shared" si="0"/>
        <v>endtime</v>
      </c>
      <c r="G25" s="22" t="s">
        <v>2335</v>
      </c>
      <c r="H25" s="23"/>
      <c r="I25" s="64"/>
      <c r="J25" s="25" t="s">
        <v>2562</v>
      </c>
      <c r="K25" s="25" t="s">
        <v>2341</v>
      </c>
      <c r="L25" s="25" t="s">
        <v>2341</v>
      </c>
    </row>
    <row r="26" spans="1:13" s="1" customFormat="1">
      <c r="A26" s="132"/>
      <c r="B26" s="12" t="s">
        <v>468</v>
      </c>
      <c r="C26" s="12" t="s">
        <v>281</v>
      </c>
      <c r="D26" s="9" t="s">
        <v>2622</v>
      </c>
      <c r="E26" s="21" t="s">
        <v>2561</v>
      </c>
      <c r="F26" s="22" t="str">
        <f t="shared" si="0"/>
        <v>duration</v>
      </c>
      <c r="G26" s="22" t="s">
        <v>2335</v>
      </c>
      <c r="H26" s="23"/>
      <c r="I26" s="64"/>
      <c r="J26" s="25" t="s">
        <v>2562</v>
      </c>
      <c r="K26" s="25" t="s">
        <v>2341</v>
      </c>
      <c r="L26" s="25" t="s">
        <v>2341</v>
      </c>
    </row>
    <row r="27" spans="1:13" s="1" customFormat="1">
      <c r="B27" s="13" t="s">
        <v>539</v>
      </c>
      <c r="C27" s="12" t="s">
        <v>281</v>
      </c>
      <c r="D27" s="9" t="s">
        <v>2623</v>
      </c>
      <c r="E27" s="21" t="s">
        <v>2561</v>
      </c>
      <c r="F27" s="22" t="str">
        <f t="shared" si="0"/>
        <v>inputoctets</v>
      </c>
      <c r="G27" s="22" t="s">
        <v>2335</v>
      </c>
      <c r="H27" s="23"/>
      <c r="I27" s="64"/>
      <c r="J27" s="25" t="s">
        <v>2562</v>
      </c>
      <c r="K27" s="25" t="s">
        <v>2341</v>
      </c>
      <c r="L27" s="25" t="s">
        <v>2341</v>
      </c>
    </row>
    <row r="28" spans="1:13" s="3" customFormat="1">
      <c r="B28" s="13" t="s">
        <v>535</v>
      </c>
      <c r="C28" s="13" t="s">
        <v>281</v>
      </c>
      <c r="D28" s="9" t="s">
        <v>2624</v>
      </c>
      <c r="E28" s="21" t="s">
        <v>2561</v>
      </c>
      <c r="F28" s="22" t="str">
        <f t="shared" si="0"/>
        <v>outputoctets</v>
      </c>
      <c r="G28" s="22" t="s">
        <v>2335</v>
      </c>
      <c r="H28" s="21"/>
      <c r="I28" s="64"/>
      <c r="J28" s="25" t="s">
        <v>2562</v>
      </c>
      <c r="K28" s="25" t="s">
        <v>2341</v>
      </c>
      <c r="L28" s="25" t="s">
        <v>2341</v>
      </c>
    </row>
    <row r="29" spans="1:13" s="136" customFormat="1">
      <c r="A29" s="137"/>
      <c r="B29" s="138" t="s">
        <v>542</v>
      </c>
      <c r="C29" s="13" t="s">
        <v>281</v>
      </c>
      <c r="D29" s="9" t="s">
        <v>543</v>
      </c>
      <c r="E29" s="21" t="s">
        <v>2561</v>
      </c>
      <c r="F29" s="22" t="str">
        <f t="shared" si="0"/>
        <v>inputpacket</v>
      </c>
      <c r="G29" s="22" t="s">
        <v>2335</v>
      </c>
      <c r="H29" s="23"/>
      <c r="I29" s="64"/>
      <c r="J29" s="25" t="s">
        <v>2562</v>
      </c>
      <c r="K29" s="25" t="s">
        <v>2341</v>
      </c>
      <c r="L29" s="25" t="s">
        <v>2341</v>
      </c>
      <c r="M29" s="1"/>
    </row>
    <row r="30" spans="1:13" s="136" customFormat="1">
      <c r="A30" s="137"/>
      <c r="B30" s="138" t="s">
        <v>545</v>
      </c>
      <c r="C30" s="13" t="s">
        <v>281</v>
      </c>
      <c r="D30" s="9" t="s">
        <v>546</v>
      </c>
      <c r="E30" s="21" t="s">
        <v>2561</v>
      </c>
      <c r="F30" s="22" t="str">
        <f t="shared" si="0"/>
        <v>outputpacket</v>
      </c>
      <c r="G30" s="22" t="s">
        <v>2335</v>
      </c>
      <c r="H30" s="23"/>
      <c r="I30" s="64"/>
      <c r="J30" s="25" t="s">
        <v>2562</v>
      </c>
      <c r="K30" s="25" t="s">
        <v>2341</v>
      </c>
      <c r="L30" s="25" t="s">
        <v>2341</v>
      </c>
      <c r="M30" s="1"/>
    </row>
    <row r="31" spans="1:13" s="136" customFormat="1">
      <c r="A31" s="137"/>
      <c r="B31" s="138" t="s">
        <v>2625</v>
      </c>
      <c r="C31" s="13" t="s">
        <v>206</v>
      </c>
      <c r="D31" s="9" t="s">
        <v>2626</v>
      </c>
      <c r="E31" s="21" t="s">
        <v>2561</v>
      </c>
      <c r="F31" s="22" t="str">
        <f t="shared" si="0"/>
        <v>pduconnectionid</v>
      </c>
      <c r="G31" s="22" t="s">
        <v>2335</v>
      </c>
      <c r="H31" s="23"/>
      <c r="I31" s="64"/>
      <c r="J31" s="25" t="s">
        <v>2562</v>
      </c>
      <c r="K31" s="25" t="s">
        <v>2341</v>
      </c>
      <c r="L31" s="25" t="s">
        <v>2341</v>
      </c>
      <c r="M31" s="1"/>
    </row>
    <row r="32" spans="1:13" s="136" customFormat="1">
      <c r="A32" s="137"/>
      <c r="B32" s="138" t="s">
        <v>2627</v>
      </c>
      <c r="C32" s="13" t="s">
        <v>211</v>
      </c>
      <c r="D32" s="9" t="s">
        <v>2628</v>
      </c>
      <c r="E32" s="21" t="s">
        <v>2561</v>
      </c>
      <c r="F32" s="22" t="str">
        <f t="shared" si="0"/>
        <v>recordclosecause</v>
      </c>
      <c r="G32" s="22" t="s">
        <v>2335</v>
      </c>
      <c r="H32" s="64"/>
      <c r="I32" s="64"/>
      <c r="J32" s="25" t="s">
        <v>2562</v>
      </c>
      <c r="K32" s="25" t="s">
        <v>2341</v>
      </c>
      <c r="L32" s="25" t="s">
        <v>2341</v>
      </c>
    </row>
    <row r="33" spans="1:13" s="136" customFormat="1">
      <c r="A33" s="137"/>
      <c r="B33" s="138" t="s">
        <v>262</v>
      </c>
      <c r="C33" s="13" t="s">
        <v>206</v>
      </c>
      <c r="D33" s="9" t="s">
        <v>263</v>
      </c>
      <c r="E33" s="21" t="s">
        <v>2561</v>
      </c>
      <c r="F33" s="22" t="str">
        <f t="shared" si="0"/>
        <v>gnbip</v>
      </c>
      <c r="G33" s="22" t="s">
        <v>2335</v>
      </c>
      <c r="H33" s="23"/>
      <c r="I33" s="64"/>
      <c r="J33" s="25" t="s">
        <v>2562</v>
      </c>
      <c r="K33" s="25" t="s">
        <v>2341</v>
      </c>
      <c r="L33" s="25" t="s">
        <v>2341</v>
      </c>
      <c r="M33" s="1"/>
    </row>
    <row r="34" spans="1:13" s="136" customFormat="1">
      <c r="A34" s="137"/>
      <c r="B34" s="138" t="s">
        <v>264</v>
      </c>
      <c r="C34" s="13" t="s">
        <v>206</v>
      </c>
      <c r="D34" s="9" t="s">
        <v>265</v>
      </c>
      <c r="E34" s="21" t="s">
        <v>2561</v>
      </c>
      <c r="F34" s="22" t="str">
        <f t="shared" si="0"/>
        <v>home_province</v>
      </c>
      <c r="G34" s="22" t="s">
        <v>2335</v>
      </c>
      <c r="H34" s="21"/>
      <c r="I34" s="145"/>
      <c r="J34" s="25" t="s">
        <v>2562</v>
      </c>
      <c r="K34" s="25" t="s">
        <v>2341</v>
      </c>
      <c r="L34" s="25" t="s">
        <v>2341</v>
      </c>
    </row>
    <row r="35" spans="1:13" s="136" customFormat="1">
      <c r="A35" s="137"/>
      <c r="B35" s="138" t="s">
        <v>270</v>
      </c>
      <c r="C35" s="13" t="s">
        <v>211</v>
      </c>
      <c r="D35" s="9" t="s">
        <v>745</v>
      </c>
      <c r="E35" s="21" t="s">
        <v>2561</v>
      </c>
      <c r="F35" s="22" t="str">
        <f t="shared" si="0"/>
        <v>l4protocol</v>
      </c>
      <c r="G35" s="22" t="s">
        <v>2335</v>
      </c>
      <c r="H35" s="21"/>
      <c r="I35" s="145"/>
      <c r="J35" s="25" t="s">
        <v>2562</v>
      </c>
      <c r="K35" s="25" t="s">
        <v>2341</v>
      </c>
      <c r="L35" s="25" t="s">
        <v>2341</v>
      </c>
    </row>
    <row r="36" spans="1:13" s="136" customFormat="1">
      <c r="A36" s="137"/>
      <c r="B36" s="138" t="s">
        <v>548</v>
      </c>
      <c r="C36" s="26" t="s">
        <v>281</v>
      </c>
      <c r="D36" s="9" t="s">
        <v>2629</v>
      </c>
      <c r="E36" s="21" t="s">
        <v>2561</v>
      </c>
      <c r="F36" s="22" t="str">
        <f t="shared" ref="F36:F62" si="1">B36</f>
        <v>ultcpreorderingpacket</v>
      </c>
      <c r="G36" s="22" t="s">
        <v>2335</v>
      </c>
      <c r="H36" s="21"/>
      <c r="I36" s="145"/>
      <c r="J36" s="25" t="s">
        <v>2562</v>
      </c>
      <c r="K36" s="25" t="s">
        <v>2341</v>
      </c>
      <c r="L36" s="25" t="s">
        <v>2341</v>
      </c>
    </row>
    <row r="37" spans="1:13" s="136" customFormat="1">
      <c r="A37" s="137"/>
      <c r="B37" s="138" t="s">
        <v>551</v>
      </c>
      <c r="C37" s="26" t="s">
        <v>281</v>
      </c>
      <c r="D37" s="9" t="s">
        <v>2630</v>
      </c>
      <c r="E37" s="21" t="s">
        <v>2561</v>
      </c>
      <c r="F37" s="22" t="str">
        <f t="shared" si="1"/>
        <v>dltcpreorderingpacket</v>
      </c>
      <c r="G37" s="22" t="s">
        <v>2335</v>
      </c>
      <c r="H37" s="21"/>
      <c r="I37" s="145"/>
      <c r="J37" s="25" t="s">
        <v>2562</v>
      </c>
      <c r="K37" s="25" t="s">
        <v>2341</v>
      </c>
      <c r="L37" s="25" t="s">
        <v>2341</v>
      </c>
    </row>
    <row r="38" spans="1:13" s="136" customFormat="1">
      <c r="A38" s="137"/>
      <c r="B38" s="138" t="s">
        <v>2631</v>
      </c>
      <c r="C38" s="26" t="s">
        <v>281</v>
      </c>
      <c r="D38" s="9" t="s">
        <v>2632</v>
      </c>
      <c r="E38" s="21" t="s">
        <v>2561</v>
      </c>
      <c r="F38" s="22" t="str">
        <f t="shared" si="1"/>
        <v>ultcp_retranspacket</v>
      </c>
      <c r="G38" s="22" t="s">
        <v>2335</v>
      </c>
      <c r="H38" s="21"/>
      <c r="I38" s="145"/>
      <c r="J38" s="25" t="s">
        <v>2562</v>
      </c>
      <c r="K38" s="25" t="s">
        <v>2341</v>
      </c>
      <c r="L38" s="25" t="s">
        <v>2341</v>
      </c>
    </row>
    <row r="39" spans="1:13" s="136" customFormat="1">
      <c r="A39" s="137"/>
      <c r="B39" s="138" t="s">
        <v>2633</v>
      </c>
      <c r="C39" s="26" t="s">
        <v>281</v>
      </c>
      <c r="D39" s="9" t="s">
        <v>2634</v>
      </c>
      <c r="E39" s="21" t="s">
        <v>2561</v>
      </c>
      <c r="F39" s="22" t="str">
        <f t="shared" si="1"/>
        <v>dltcp_retranspacket</v>
      </c>
      <c r="G39" s="22" t="s">
        <v>2335</v>
      </c>
      <c r="H39" s="21"/>
      <c r="I39" s="145"/>
      <c r="J39" s="25" t="s">
        <v>2562</v>
      </c>
      <c r="K39" s="25" t="s">
        <v>2341</v>
      </c>
      <c r="L39" s="25" t="s">
        <v>2341</v>
      </c>
    </row>
    <row r="40" spans="1:13" s="136" customFormat="1">
      <c r="A40" s="137"/>
      <c r="B40" s="138" t="s">
        <v>2635</v>
      </c>
      <c r="C40" s="26" t="s">
        <v>281</v>
      </c>
      <c r="D40" s="9" t="s">
        <v>2636</v>
      </c>
      <c r="E40" s="21" t="s">
        <v>2561</v>
      </c>
      <c r="F40" s="22" t="str">
        <f t="shared" si="1"/>
        <v>tcpsetupresponsedelay</v>
      </c>
      <c r="G40" s="22" t="s">
        <v>2335</v>
      </c>
      <c r="H40" s="21"/>
      <c r="I40" s="145"/>
      <c r="J40" s="25" t="s">
        <v>2562</v>
      </c>
      <c r="K40" s="25" t="s">
        <v>2341</v>
      </c>
      <c r="L40" s="25" t="s">
        <v>2341</v>
      </c>
    </row>
    <row r="41" spans="1:13" s="136" customFormat="1">
      <c r="A41" s="137"/>
      <c r="B41" s="138" t="s">
        <v>2637</v>
      </c>
      <c r="C41" s="26" t="s">
        <v>281</v>
      </c>
      <c r="D41" s="9" t="s">
        <v>2638</v>
      </c>
      <c r="E41" s="21" t="s">
        <v>2561</v>
      </c>
      <c r="F41" s="22" t="str">
        <f t="shared" si="1"/>
        <v>tcpsetupackdelay</v>
      </c>
      <c r="G41" s="22" t="s">
        <v>2335</v>
      </c>
      <c r="H41" s="21"/>
      <c r="I41" s="145"/>
      <c r="J41" s="25" t="s">
        <v>2562</v>
      </c>
      <c r="K41" s="25" t="s">
        <v>2341</v>
      </c>
      <c r="L41" s="25" t="s">
        <v>2341</v>
      </c>
    </row>
    <row r="42" spans="1:13" s="136" customFormat="1">
      <c r="A42" s="137"/>
      <c r="B42" s="138" t="s">
        <v>2639</v>
      </c>
      <c r="C42" s="26" t="s">
        <v>211</v>
      </c>
      <c r="D42" s="9" t="s">
        <v>2640</v>
      </c>
      <c r="E42" s="21" t="s">
        <v>2561</v>
      </c>
      <c r="F42" s="22" t="str">
        <f t="shared" si="1"/>
        <v>tcpconnectstate</v>
      </c>
      <c r="G42" s="22" t="s">
        <v>2335</v>
      </c>
      <c r="H42" s="21"/>
      <c r="I42" s="145"/>
      <c r="J42" s="25" t="s">
        <v>2562</v>
      </c>
      <c r="K42" s="25" t="s">
        <v>2341</v>
      </c>
      <c r="L42" s="25" t="s">
        <v>2341</v>
      </c>
    </row>
    <row r="43" spans="1:13" s="136" customFormat="1">
      <c r="A43" s="137"/>
      <c r="B43" s="138" t="s">
        <v>566</v>
      </c>
      <c r="C43" s="26" t="s">
        <v>281</v>
      </c>
      <c r="D43" s="9" t="s">
        <v>567</v>
      </c>
      <c r="E43" s="21" t="s">
        <v>2561</v>
      </c>
      <c r="F43" s="22" t="str">
        <f t="shared" si="1"/>
        <v>ul_data_transduration</v>
      </c>
      <c r="G43" s="22" t="s">
        <v>2335</v>
      </c>
      <c r="H43" s="21"/>
      <c r="I43" s="145"/>
      <c r="J43" s="25" t="s">
        <v>2562</v>
      </c>
      <c r="K43" s="25" t="s">
        <v>2341</v>
      </c>
      <c r="L43" s="25" t="s">
        <v>2341</v>
      </c>
    </row>
    <row r="44" spans="1:13" s="136" customFormat="1">
      <c r="A44" s="137"/>
      <c r="B44" s="138" t="s">
        <v>2641</v>
      </c>
      <c r="C44" s="26" t="s">
        <v>281</v>
      </c>
      <c r="D44" s="9" t="s">
        <v>570</v>
      </c>
      <c r="E44" s="21" t="s">
        <v>2561</v>
      </c>
      <c r="F44" s="22" t="str">
        <f t="shared" si="1"/>
        <v>dl_datatransduration</v>
      </c>
      <c r="G44" s="22" t="s">
        <v>2335</v>
      </c>
      <c r="H44" s="21"/>
      <c r="I44" s="145"/>
      <c r="J44" s="25" t="s">
        <v>2562</v>
      </c>
      <c r="K44" s="25" t="s">
        <v>2341</v>
      </c>
      <c r="L44" s="25" t="s">
        <v>2341</v>
      </c>
    </row>
    <row r="45" spans="1:13" s="136" customFormat="1">
      <c r="A45" s="137"/>
      <c r="B45" s="138" t="s">
        <v>2642</v>
      </c>
      <c r="C45" s="26" t="s">
        <v>281</v>
      </c>
      <c r="D45" s="9" t="s">
        <v>2643</v>
      </c>
      <c r="E45" s="21" t="s">
        <v>2561</v>
      </c>
      <c r="F45" s="22" t="str">
        <f t="shared" si="1"/>
        <v>ul_average_packet_size</v>
      </c>
      <c r="G45" s="22" t="s">
        <v>2335</v>
      </c>
      <c r="H45" s="21"/>
      <c r="I45" s="145"/>
      <c r="J45" s="25" t="s">
        <v>2562</v>
      </c>
      <c r="K45" s="25" t="s">
        <v>2341</v>
      </c>
      <c r="L45" s="25" t="s">
        <v>2341</v>
      </c>
    </row>
    <row r="46" spans="1:13" s="136" customFormat="1">
      <c r="A46" s="137"/>
      <c r="B46" s="138" t="s">
        <v>2644</v>
      </c>
      <c r="C46" s="26" t="s">
        <v>281</v>
      </c>
      <c r="D46" s="9" t="s">
        <v>2645</v>
      </c>
      <c r="E46" s="21" t="s">
        <v>2561</v>
      </c>
      <c r="F46" s="22" t="str">
        <f t="shared" si="1"/>
        <v>dl_average_packet_size</v>
      </c>
      <c r="G46" s="22" t="s">
        <v>2335</v>
      </c>
      <c r="H46" s="21"/>
      <c r="I46" s="145"/>
      <c r="J46" s="25" t="s">
        <v>2562</v>
      </c>
      <c r="K46" s="25" t="s">
        <v>2341</v>
      </c>
      <c r="L46" s="25" t="s">
        <v>2341</v>
      </c>
    </row>
    <row r="47" spans="1:13" s="136" customFormat="1">
      <c r="A47" s="137"/>
      <c r="B47" s="138" t="s">
        <v>2646</v>
      </c>
      <c r="C47" s="26" t="s">
        <v>281</v>
      </c>
      <c r="D47" s="9" t="s">
        <v>2647</v>
      </c>
      <c r="E47" s="21" t="s">
        <v>2561</v>
      </c>
      <c r="F47" s="22" t="str">
        <f t="shared" si="1"/>
        <v>ul_average_interval</v>
      </c>
      <c r="G47" s="22" t="s">
        <v>2335</v>
      </c>
      <c r="H47" s="21"/>
      <c r="I47" s="145"/>
      <c r="J47" s="25" t="s">
        <v>2562</v>
      </c>
      <c r="K47" s="25" t="s">
        <v>2341</v>
      </c>
      <c r="L47" s="25" t="s">
        <v>2341</v>
      </c>
    </row>
    <row r="48" spans="1:13" s="136" customFormat="1">
      <c r="A48" s="137"/>
      <c r="B48" s="138" t="s">
        <v>2648</v>
      </c>
      <c r="C48" s="26" t="s">
        <v>281</v>
      </c>
      <c r="D48" s="9" t="s">
        <v>2649</v>
      </c>
      <c r="E48" s="21" t="s">
        <v>2561</v>
      </c>
      <c r="F48" s="22" t="str">
        <f t="shared" si="1"/>
        <v>dl_average_interval</v>
      </c>
      <c r="G48" s="22" t="s">
        <v>2335</v>
      </c>
      <c r="H48" s="21"/>
      <c r="I48" s="145"/>
      <c r="J48" s="25" t="s">
        <v>2562</v>
      </c>
      <c r="K48" s="25" t="s">
        <v>2341</v>
      </c>
      <c r="L48" s="25" t="s">
        <v>2341</v>
      </c>
    </row>
    <row r="49" spans="1:17" s="136" customFormat="1">
      <c r="A49" s="137"/>
      <c r="B49" s="138" t="s">
        <v>2650</v>
      </c>
      <c r="C49" s="26" t="s">
        <v>281</v>
      </c>
      <c r="D49" s="9" t="s">
        <v>2651</v>
      </c>
      <c r="E49" s="21" t="s">
        <v>2561</v>
      </c>
      <c r="F49" s="22" t="str">
        <f t="shared" si="1"/>
        <v>ul_average_jitter</v>
      </c>
      <c r="G49" s="22" t="s">
        <v>2335</v>
      </c>
      <c r="H49" s="21"/>
      <c r="I49" s="145"/>
      <c r="J49" s="25" t="s">
        <v>2562</v>
      </c>
      <c r="K49" s="25" t="s">
        <v>2341</v>
      </c>
      <c r="L49" s="25" t="s">
        <v>2341</v>
      </c>
    </row>
    <row r="50" spans="1:17" s="136" customFormat="1">
      <c r="A50" s="137"/>
      <c r="B50" s="138" t="s">
        <v>2652</v>
      </c>
      <c r="C50" s="26" t="s">
        <v>281</v>
      </c>
      <c r="D50" s="9" t="s">
        <v>2653</v>
      </c>
      <c r="E50" s="21" t="s">
        <v>2561</v>
      </c>
      <c r="F50" s="22" t="str">
        <f t="shared" si="1"/>
        <v>dl_average_jitter</v>
      </c>
      <c r="G50" s="22" t="s">
        <v>2335</v>
      </c>
      <c r="H50" s="21"/>
      <c r="I50" s="145"/>
      <c r="J50" s="25" t="s">
        <v>2562</v>
      </c>
      <c r="K50" s="25" t="s">
        <v>2341</v>
      </c>
      <c r="L50" s="25" t="s">
        <v>2341</v>
      </c>
    </row>
    <row r="51" spans="1:17" s="136" customFormat="1">
      <c r="A51" s="137"/>
      <c r="B51" s="138" t="s">
        <v>2654</v>
      </c>
      <c r="C51" s="26" t="s">
        <v>281</v>
      </c>
      <c r="D51" s="9" t="s">
        <v>2655</v>
      </c>
      <c r="E51" s="21" t="s">
        <v>2561</v>
      </c>
      <c r="F51" s="22" t="str">
        <f t="shared" si="1"/>
        <v>flowid</v>
      </c>
      <c r="G51" s="22" t="s">
        <v>2335</v>
      </c>
      <c r="H51" s="21"/>
      <c r="I51" s="145"/>
      <c r="J51" s="25" t="s">
        <v>2562</v>
      </c>
      <c r="K51" s="25" t="s">
        <v>2341</v>
      </c>
      <c r="L51" s="25" t="s">
        <v>2341</v>
      </c>
    </row>
    <row r="52" spans="1:17" s="136" customFormat="1">
      <c r="A52" s="137"/>
      <c r="B52" s="138" t="s">
        <v>254</v>
      </c>
      <c r="C52" s="26" t="s">
        <v>206</v>
      </c>
      <c r="D52" s="9" t="s">
        <v>1236</v>
      </c>
      <c r="E52" s="21" t="s">
        <v>2561</v>
      </c>
      <c r="F52" s="22" t="str">
        <f t="shared" si="1"/>
        <v>pei</v>
      </c>
      <c r="G52" s="22" t="s">
        <v>2335</v>
      </c>
      <c r="H52" s="21"/>
      <c r="I52" s="145"/>
      <c r="J52" s="25" t="s">
        <v>2562</v>
      </c>
      <c r="K52" s="25" t="s">
        <v>2341</v>
      </c>
      <c r="L52" s="25" t="s">
        <v>2341</v>
      </c>
    </row>
    <row r="53" spans="1:17" s="136" customFormat="1">
      <c r="A53" s="137"/>
      <c r="B53" s="138" t="s">
        <v>256</v>
      </c>
      <c r="C53" s="26" t="s">
        <v>206</v>
      </c>
      <c r="D53" s="9" t="s">
        <v>743</v>
      </c>
      <c r="E53" s="21" t="s">
        <v>2561</v>
      </c>
      <c r="F53" s="22" t="str">
        <f t="shared" si="1"/>
        <v>dnn_apn</v>
      </c>
      <c r="G53" s="22" t="s">
        <v>2335</v>
      </c>
      <c r="H53" s="21"/>
      <c r="I53" s="145"/>
      <c r="J53" s="25" t="s">
        <v>2562</v>
      </c>
      <c r="K53" s="25" t="s">
        <v>2341</v>
      </c>
      <c r="L53" s="25" t="s">
        <v>2341</v>
      </c>
    </row>
    <row r="54" spans="1:17" s="136" customFormat="1">
      <c r="A54" s="137"/>
      <c r="B54" s="138" t="s">
        <v>260</v>
      </c>
      <c r="C54" s="26" t="s">
        <v>206</v>
      </c>
      <c r="D54" s="9" t="s">
        <v>795</v>
      </c>
      <c r="E54" s="21" t="s">
        <v>2561</v>
      </c>
      <c r="F54" s="22" t="str">
        <f t="shared" si="1"/>
        <v>servicetype</v>
      </c>
      <c r="G54" s="22" t="s">
        <v>2335</v>
      </c>
      <c r="H54" s="21"/>
      <c r="I54" s="145"/>
      <c r="J54" s="25" t="s">
        <v>2562</v>
      </c>
      <c r="K54" s="25" t="s">
        <v>2341</v>
      </c>
      <c r="L54" s="25" t="s">
        <v>2341</v>
      </c>
    </row>
    <row r="55" spans="1:17" s="136" customFormat="1">
      <c r="A55" s="137"/>
      <c r="B55" s="138" t="s">
        <v>2660</v>
      </c>
      <c r="C55" s="26" t="s">
        <v>211</v>
      </c>
      <c r="D55" s="9" t="s">
        <v>2661</v>
      </c>
      <c r="E55" s="21" t="s">
        <v>2561</v>
      </c>
      <c r="F55" s="22" t="str">
        <f t="shared" si="1"/>
        <v>tcpsynnumber</v>
      </c>
      <c r="G55" s="22" t="s">
        <v>2335</v>
      </c>
      <c r="H55" s="21"/>
      <c r="I55" s="145"/>
      <c r="J55" s="25" t="s">
        <v>2562</v>
      </c>
      <c r="K55" s="25" t="s">
        <v>2341</v>
      </c>
      <c r="L55" s="25" t="s">
        <v>2341</v>
      </c>
    </row>
    <row r="56" spans="1:17" s="136" customFormat="1">
      <c r="A56" s="137"/>
      <c r="B56" s="138" t="s">
        <v>1321</v>
      </c>
      <c r="C56" s="26" t="s">
        <v>281</v>
      </c>
      <c r="D56" s="9" t="s">
        <v>1322</v>
      </c>
      <c r="E56" s="21" t="s">
        <v>2561</v>
      </c>
      <c r="F56" s="22" t="str">
        <f t="shared" si="1"/>
        <v>ul_session_ambr</v>
      </c>
      <c r="G56" s="22" t="s">
        <v>2335</v>
      </c>
      <c r="H56" s="21"/>
      <c r="I56" s="145"/>
      <c r="J56" s="25" t="s">
        <v>2562</v>
      </c>
      <c r="K56" s="25" t="s">
        <v>2341</v>
      </c>
      <c r="L56" s="25" t="s">
        <v>2341</v>
      </c>
    </row>
    <row r="57" spans="1:17" s="136" customFormat="1">
      <c r="A57" s="137"/>
      <c r="B57" s="138" t="s">
        <v>1323</v>
      </c>
      <c r="C57" s="26" t="s">
        <v>281</v>
      </c>
      <c r="D57" s="9" t="s">
        <v>1324</v>
      </c>
      <c r="E57" s="21" t="s">
        <v>2561</v>
      </c>
      <c r="F57" s="22" t="str">
        <f t="shared" si="1"/>
        <v>dl_session_ambr</v>
      </c>
      <c r="G57" s="22" t="s">
        <v>2335</v>
      </c>
      <c r="H57" s="21"/>
      <c r="I57" s="145"/>
      <c r="J57" s="25" t="s">
        <v>2562</v>
      </c>
      <c r="K57" s="25" t="s">
        <v>2341</v>
      </c>
      <c r="L57" s="25" t="s">
        <v>2341</v>
      </c>
    </row>
    <row r="58" spans="1:17" s="136" customFormat="1">
      <c r="A58" s="137"/>
      <c r="B58" s="138" t="s">
        <v>2710</v>
      </c>
      <c r="C58" s="26" t="s">
        <v>211</v>
      </c>
      <c r="D58" s="9" t="s">
        <v>2711</v>
      </c>
      <c r="E58" s="21" t="s">
        <v>2561</v>
      </c>
      <c r="F58" s="22" t="str">
        <f t="shared" si="1"/>
        <v>message_type</v>
      </c>
      <c r="G58" s="22" t="s">
        <v>2335</v>
      </c>
      <c r="H58" s="21"/>
      <c r="I58" s="145"/>
      <c r="J58" s="25" t="s">
        <v>2562</v>
      </c>
      <c r="K58" s="25" t="s">
        <v>2341</v>
      </c>
      <c r="L58" s="25" t="s">
        <v>2341</v>
      </c>
    </row>
    <row r="59" spans="1:17" s="136" customFormat="1">
      <c r="A59" s="137"/>
      <c r="B59" s="138" t="s">
        <v>2712</v>
      </c>
      <c r="C59" s="26" t="s">
        <v>211</v>
      </c>
      <c r="D59" s="9" t="s">
        <v>2713</v>
      </c>
      <c r="E59" s="21" t="s">
        <v>2561</v>
      </c>
      <c r="F59" s="22" t="str">
        <f t="shared" si="1"/>
        <v>connect_return_code</v>
      </c>
      <c r="G59" s="22" t="s">
        <v>2335</v>
      </c>
      <c r="H59" s="21"/>
      <c r="I59" s="145"/>
      <c r="J59" s="25" t="s">
        <v>2562</v>
      </c>
      <c r="K59" s="25" t="s">
        <v>2341</v>
      </c>
      <c r="L59" s="25" t="s">
        <v>2341</v>
      </c>
    </row>
    <row r="60" spans="1:17" s="136" customFormat="1">
      <c r="A60" s="137"/>
      <c r="B60" s="138" t="s">
        <v>2714</v>
      </c>
      <c r="C60" s="26" t="s">
        <v>211</v>
      </c>
      <c r="D60" s="9" t="s">
        <v>2715</v>
      </c>
      <c r="E60" s="21" t="s">
        <v>2561</v>
      </c>
      <c r="F60" s="22" t="str">
        <f t="shared" si="1"/>
        <v>retain</v>
      </c>
      <c r="G60" s="22" t="s">
        <v>2335</v>
      </c>
      <c r="H60" s="21"/>
      <c r="I60" s="145"/>
      <c r="J60" s="25" t="s">
        <v>2562</v>
      </c>
      <c r="K60" s="25" t="s">
        <v>2341</v>
      </c>
      <c r="L60" s="25" t="s">
        <v>2341</v>
      </c>
    </row>
    <row r="61" spans="1:17" s="136" customFormat="1">
      <c r="A61" s="137"/>
      <c r="B61" s="138" t="s">
        <v>2716</v>
      </c>
      <c r="C61" s="26" t="s">
        <v>211</v>
      </c>
      <c r="D61" s="9" t="s">
        <v>2717</v>
      </c>
      <c r="E61" s="21" t="s">
        <v>2561</v>
      </c>
      <c r="F61" s="22" t="str">
        <f t="shared" si="1"/>
        <v>keepalive</v>
      </c>
      <c r="G61" s="22" t="s">
        <v>2335</v>
      </c>
      <c r="H61" s="21"/>
      <c r="I61" s="145"/>
      <c r="J61" s="25" t="s">
        <v>2562</v>
      </c>
      <c r="K61" s="25" t="s">
        <v>2341</v>
      </c>
      <c r="L61" s="25" t="s">
        <v>2341</v>
      </c>
    </row>
    <row r="62" spans="1:17" s="136" customFormat="1">
      <c r="A62" s="137"/>
      <c r="B62" s="138" t="s">
        <v>2718</v>
      </c>
      <c r="C62" s="26" t="s">
        <v>281</v>
      </c>
      <c r="D62" s="9" t="s">
        <v>2682</v>
      </c>
      <c r="E62" s="21" t="s">
        <v>2561</v>
      </c>
      <c r="F62" s="22" t="str">
        <f t="shared" si="1"/>
        <v>respdelay</v>
      </c>
      <c r="G62" s="22" t="s">
        <v>2335</v>
      </c>
      <c r="H62" s="21"/>
      <c r="I62" s="145"/>
      <c r="J62" s="25" t="s">
        <v>2562</v>
      </c>
      <c r="K62" s="25" t="s">
        <v>2341</v>
      </c>
      <c r="L62" s="25" t="s">
        <v>2341</v>
      </c>
    </row>
    <row r="63" spans="1:17" s="2" customFormat="1">
      <c r="B63" s="14" t="s">
        <v>222</v>
      </c>
      <c r="C63" s="15" t="s">
        <v>211</v>
      </c>
      <c r="D63" s="16" t="s">
        <v>344</v>
      </c>
      <c r="E63" s="69"/>
      <c r="F63" s="14"/>
      <c r="G63" s="14"/>
      <c r="H63" s="14"/>
      <c r="I63" s="123"/>
      <c r="J63" s="14"/>
      <c r="K63" s="14"/>
      <c r="L63" s="14"/>
      <c r="M63" s="14"/>
      <c r="N63" s="14"/>
      <c r="O63" s="14"/>
      <c r="P63" s="14"/>
      <c r="Q63" s="14"/>
    </row>
    <row r="64" spans="1:17" s="2" customFormat="1">
      <c r="B64" s="14" t="s">
        <v>0</v>
      </c>
      <c r="C64" s="15" t="s">
        <v>206</v>
      </c>
      <c r="D64" s="16" t="s">
        <v>345</v>
      </c>
      <c r="E64" s="69"/>
      <c r="F64" s="14"/>
      <c r="G64" s="14"/>
      <c r="H64" s="14"/>
      <c r="I64" s="123"/>
      <c r="J64" s="14"/>
      <c r="K64" s="14"/>
      <c r="L64" s="14"/>
      <c r="M64" s="14"/>
      <c r="N64" s="14"/>
      <c r="O64" s="14"/>
      <c r="P64" s="14"/>
      <c r="Q64" s="14"/>
    </row>
    <row r="65" spans="2:17" s="2" customFormat="1">
      <c r="B65" s="14" t="s">
        <v>1</v>
      </c>
      <c r="C65" s="15" t="s">
        <v>211</v>
      </c>
      <c r="D65" s="16" t="s">
        <v>346</v>
      </c>
      <c r="E65" s="69"/>
      <c r="F65" s="14"/>
      <c r="G65" s="14"/>
      <c r="H65" s="14"/>
      <c r="I65" s="123"/>
      <c r="J65" s="14"/>
      <c r="K65" s="14"/>
      <c r="L65" s="14"/>
      <c r="M65" s="14"/>
      <c r="N65" s="14"/>
      <c r="O65" s="14"/>
      <c r="P65" s="14"/>
      <c r="Q65" s="14"/>
    </row>
  </sheetData>
  <autoFilter ref="A13:Q65" xr:uid="{00000000-0009-0000-0000-000003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A866F-B5BF-4826-8191-46E562B746C0}">
  <dimension ref="A1:Q60"/>
  <sheetViews>
    <sheetView zoomScale="85" zoomScaleNormal="85" workbookViewId="0">
      <pane ySplit="5" topLeftCell="A6" activePane="bottomLeft" state="frozen"/>
      <selection activeCell="C18" sqref="C18"/>
      <selection pane="bottomLeft" activeCell="D20" sqref="D20"/>
    </sheetView>
  </sheetViews>
  <sheetFormatPr defaultColWidth="9" defaultRowHeight="13.2"/>
  <cols>
    <col min="1" max="1" width="1.33203125" style="3" customWidth="1"/>
    <col min="2" max="2" width="23.6640625" style="3" customWidth="1"/>
    <col min="3" max="3" width="26.88671875" style="3" bestFit="1"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58"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c r="C5" s="145" t="s">
        <v>2544</v>
      </c>
      <c r="D5" s="145" t="s">
        <v>2583</v>
      </c>
      <c r="E5" s="12" t="s">
        <v>2547</v>
      </c>
      <c r="F5" s="61"/>
      <c r="G5" s="9"/>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145" t="s">
        <v>2584</v>
      </c>
      <c r="D9" s="10" t="s">
        <v>2585</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214</v>
      </c>
      <c r="C14" s="13" t="s">
        <v>211</v>
      </c>
      <c r="D14" s="9" t="s">
        <v>1232</v>
      </c>
      <c r="E14" s="21" t="s">
        <v>2561</v>
      </c>
      <c r="F14" s="22" t="str">
        <f>B14</f>
        <v>interface</v>
      </c>
      <c r="G14" s="22" t="s">
        <v>2335</v>
      </c>
      <c r="H14" s="23"/>
      <c r="I14" s="64"/>
      <c r="J14" s="25" t="s">
        <v>2562</v>
      </c>
      <c r="K14" s="25" t="s">
        <v>2341</v>
      </c>
      <c r="L14" s="25" t="s">
        <v>2341</v>
      </c>
    </row>
    <row r="15" spans="1:14" s="1" customFormat="1">
      <c r="B15" s="13" t="s">
        <v>249</v>
      </c>
      <c r="C15" s="13" t="s">
        <v>206</v>
      </c>
      <c r="D15" s="9" t="s">
        <v>2605</v>
      </c>
      <c r="E15" s="21" t="s">
        <v>2561</v>
      </c>
      <c r="F15" s="22" t="str">
        <f t="shared" ref="F15:F35" si="0">B15</f>
        <v>supi</v>
      </c>
      <c r="G15" s="22" t="s">
        <v>2335</v>
      </c>
      <c r="H15" s="23"/>
      <c r="I15" s="64"/>
      <c r="J15" s="25" t="s">
        <v>2562</v>
      </c>
      <c r="K15" s="25" t="s">
        <v>2341</v>
      </c>
      <c r="L15" s="25" t="s">
        <v>2341</v>
      </c>
    </row>
    <row r="16" spans="1:14" s="1" customFormat="1">
      <c r="A16" s="132"/>
      <c r="B16" s="13" t="s">
        <v>251</v>
      </c>
      <c r="C16" s="13" t="s">
        <v>206</v>
      </c>
      <c r="D16" s="9" t="s">
        <v>252</v>
      </c>
      <c r="E16" s="21" t="s">
        <v>2561</v>
      </c>
      <c r="F16" s="22" t="str">
        <f t="shared" si="0"/>
        <v>msisdn</v>
      </c>
      <c r="G16" s="22" t="s">
        <v>2335</v>
      </c>
      <c r="H16" s="23"/>
      <c r="I16" s="64"/>
      <c r="J16" s="25" t="s">
        <v>2562</v>
      </c>
      <c r="K16" s="25" t="s">
        <v>2341</v>
      </c>
      <c r="L16" s="25" t="s">
        <v>2341</v>
      </c>
    </row>
    <row r="17" spans="1:13" s="1" customFormat="1">
      <c r="A17" s="132"/>
      <c r="B17" s="13" t="s">
        <v>2606</v>
      </c>
      <c r="C17" s="13" t="s">
        <v>206</v>
      </c>
      <c r="D17" s="9" t="s">
        <v>2607</v>
      </c>
      <c r="E17" s="21" t="s">
        <v>2561</v>
      </c>
      <c r="F17" s="22" t="str">
        <f t="shared" si="0"/>
        <v>destinationip</v>
      </c>
      <c r="G17" s="22" t="s">
        <v>2335</v>
      </c>
      <c r="H17" s="23"/>
      <c r="I17" s="64"/>
      <c r="J17" s="25" t="s">
        <v>2562</v>
      </c>
      <c r="K17" s="25" t="s">
        <v>2341</v>
      </c>
      <c r="L17" s="25" t="s">
        <v>2341</v>
      </c>
    </row>
    <row r="18" spans="1:13" s="1" customFormat="1">
      <c r="A18" s="132"/>
      <c r="B18" s="13" t="s">
        <v>2608</v>
      </c>
      <c r="C18" s="13" t="s">
        <v>211</v>
      </c>
      <c r="D18" s="9" t="s">
        <v>2609</v>
      </c>
      <c r="E18" s="21" t="s">
        <v>2561</v>
      </c>
      <c r="F18" s="22" t="str">
        <f t="shared" si="0"/>
        <v>destinationport</v>
      </c>
      <c r="G18" s="22" t="s">
        <v>2335</v>
      </c>
      <c r="H18" s="23"/>
      <c r="I18" s="64"/>
      <c r="J18" s="25" t="s">
        <v>2562</v>
      </c>
      <c r="K18" s="25" t="s">
        <v>2341</v>
      </c>
      <c r="L18" s="25" t="s">
        <v>2341</v>
      </c>
    </row>
    <row r="19" spans="1:13" s="1" customFormat="1">
      <c r="A19" s="132"/>
      <c r="B19" s="12" t="s">
        <v>2610</v>
      </c>
      <c r="C19" s="13" t="s">
        <v>206</v>
      </c>
      <c r="D19" s="9" t="s">
        <v>2611</v>
      </c>
      <c r="E19" s="21" t="s">
        <v>2561</v>
      </c>
      <c r="F19" s="22" t="str">
        <f t="shared" si="0"/>
        <v>sourceip</v>
      </c>
      <c r="G19" s="22" t="s">
        <v>2335</v>
      </c>
      <c r="H19" s="23"/>
      <c r="I19" s="64"/>
      <c r="J19" s="25" t="s">
        <v>2562</v>
      </c>
      <c r="K19" s="25" t="s">
        <v>2341</v>
      </c>
      <c r="L19" s="25" t="s">
        <v>2341</v>
      </c>
    </row>
    <row r="20" spans="1:13" s="1" customFormat="1">
      <c r="A20" s="132"/>
      <c r="B20" s="12" t="s">
        <v>2612</v>
      </c>
      <c r="C20" s="13" t="s">
        <v>211</v>
      </c>
      <c r="D20" s="9" t="s">
        <v>2613</v>
      </c>
      <c r="E20" s="21" t="s">
        <v>2561</v>
      </c>
      <c r="F20" s="22" t="str">
        <f t="shared" si="0"/>
        <v>sourceport</v>
      </c>
      <c r="G20" s="22" t="s">
        <v>2335</v>
      </c>
      <c r="H20" s="23"/>
      <c r="I20" s="64"/>
      <c r="J20" s="25" t="s">
        <v>2562</v>
      </c>
      <c r="K20" s="25" t="s">
        <v>2341</v>
      </c>
      <c r="L20" s="25" t="s">
        <v>2341</v>
      </c>
    </row>
    <row r="21" spans="1:13" s="1" customFormat="1">
      <c r="A21" s="132"/>
      <c r="B21" s="12" t="s">
        <v>258</v>
      </c>
      <c r="C21" s="13" t="s">
        <v>206</v>
      </c>
      <c r="D21" s="9" t="s">
        <v>259</v>
      </c>
      <c r="E21" s="21" t="s">
        <v>2561</v>
      </c>
      <c r="F21" s="22" t="str">
        <f t="shared" si="0"/>
        <v>upfip</v>
      </c>
      <c r="G21" s="22" t="s">
        <v>2335</v>
      </c>
      <c r="H21" s="23"/>
      <c r="I21" s="64"/>
      <c r="J21" s="25" t="s">
        <v>2562</v>
      </c>
      <c r="K21" s="25" t="s">
        <v>2341</v>
      </c>
      <c r="L21" s="25" t="s">
        <v>2341</v>
      </c>
    </row>
    <row r="22" spans="1:13" s="1" customFormat="1">
      <c r="A22" s="132"/>
      <c r="B22" s="12" t="s">
        <v>2614</v>
      </c>
      <c r="C22" s="13" t="s">
        <v>206</v>
      </c>
      <c r="D22" s="9" t="s">
        <v>2615</v>
      </c>
      <c r="E22" s="21" t="s">
        <v>2561</v>
      </c>
      <c r="F22" s="22" t="str">
        <f t="shared" si="0"/>
        <v>ncgi_ecgi</v>
      </c>
      <c r="G22" s="22" t="s">
        <v>2335</v>
      </c>
      <c r="H22" s="23"/>
      <c r="I22" s="64"/>
      <c r="J22" s="25" t="s">
        <v>2562</v>
      </c>
      <c r="K22" s="25" t="s">
        <v>2341</v>
      </c>
      <c r="L22" s="25" t="s">
        <v>2341</v>
      </c>
    </row>
    <row r="23" spans="1:13" s="1" customFormat="1">
      <c r="A23" s="132"/>
      <c r="B23" s="12" t="s">
        <v>2616</v>
      </c>
      <c r="C23" s="12" t="s">
        <v>211</v>
      </c>
      <c r="D23" s="9" t="s">
        <v>2617</v>
      </c>
      <c r="E23" s="21" t="s">
        <v>2561</v>
      </c>
      <c r="F23" s="22" t="str">
        <f t="shared" si="0"/>
        <v>protocolid</v>
      </c>
      <c r="G23" s="22" t="s">
        <v>2335</v>
      </c>
      <c r="H23" s="23"/>
      <c r="I23" s="64"/>
      <c r="J23" s="25" t="s">
        <v>2562</v>
      </c>
      <c r="K23" s="25" t="s">
        <v>2341</v>
      </c>
      <c r="L23" s="25" t="s">
        <v>2341</v>
      </c>
    </row>
    <row r="24" spans="1:13" s="1" customFormat="1">
      <c r="A24" s="132"/>
      <c r="B24" s="12" t="s">
        <v>2618</v>
      </c>
      <c r="C24" s="12" t="s">
        <v>206</v>
      </c>
      <c r="D24" s="9" t="s">
        <v>2619</v>
      </c>
      <c r="E24" s="21" t="s">
        <v>2561</v>
      </c>
      <c r="F24" s="22" t="str">
        <f t="shared" si="0"/>
        <v>starttime</v>
      </c>
      <c r="G24" s="22" t="s">
        <v>2335</v>
      </c>
      <c r="H24" s="23"/>
      <c r="I24" s="64"/>
      <c r="J24" s="25" t="s">
        <v>2562</v>
      </c>
      <c r="K24" s="25" t="s">
        <v>2341</v>
      </c>
      <c r="L24" s="25" t="s">
        <v>2341</v>
      </c>
    </row>
    <row r="25" spans="1:13" s="1" customFormat="1">
      <c r="A25" s="132"/>
      <c r="B25" s="12" t="s">
        <v>2620</v>
      </c>
      <c r="C25" s="12" t="s">
        <v>206</v>
      </c>
      <c r="D25" s="9" t="s">
        <v>2621</v>
      </c>
      <c r="E25" s="21" t="s">
        <v>2561</v>
      </c>
      <c r="F25" s="22" t="str">
        <f t="shared" si="0"/>
        <v>endtime</v>
      </c>
      <c r="G25" s="22" t="s">
        <v>2335</v>
      </c>
      <c r="H25" s="23"/>
      <c r="I25" s="64"/>
      <c r="J25" s="25" t="s">
        <v>2562</v>
      </c>
      <c r="K25" s="25" t="s">
        <v>2341</v>
      </c>
      <c r="L25" s="25" t="s">
        <v>2341</v>
      </c>
    </row>
    <row r="26" spans="1:13" s="1" customFormat="1">
      <c r="A26" s="132"/>
      <c r="B26" s="12" t="s">
        <v>468</v>
      </c>
      <c r="C26" s="12" t="s">
        <v>281</v>
      </c>
      <c r="D26" s="9" t="s">
        <v>2622</v>
      </c>
      <c r="E26" s="21" t="s">
        <v>2561</v>
      </c>
      <c r="F26" s="22" t="str">
        <f t="shared" si="0"/>
        <v>duration</v>
      </c>
      <c r="G26" s="22" t="s">
        <v>2335</v>
      </c>
      <c r="H26" s="23"/>
      <c r="I26" s="64"/>
      <c r="J26" s="25" t="s">
        <v>2562</v>
      </c>
      <c r="K26" s="25" t="s">
        <v>2341</v>
      </c>
      <c r="L26" s="25" t="s">
        <v>2341</v>
      </c>
    </row>
    <row r="27" spans="1:13" s="1" customFormat="1">
      <c r="B27" s="13" t="s">
        <v>539</v>
      </c>
      <c r="C27" s="12" t="s">
        <v>281</v>
      </c>
      <c r="D27" s="9" t="s">
        <v>2623</v>
      </c>
      <c r="E27" s="21" t="s">
        <v>2561</v>
      </c>
      <c r="F27" s="22" t="str">
        <f t="shared" si="0"/>
        <v>inputoctets</v>
      </c>
      <c r="G27" s="22" t="s">
        <v>2335</v>
      </c>
      <c r="H27" s="23"/>
      <c r="I27" s="64"/>
      <c r="J27" s="25" t="s">
        <v>2562</v>
      </c>
      <c r="K27" s="25" t="s">
        <v>2341</v>
      </c>
      <c r="L27" s="25" t="s">
        <v>2341</v>
      </c>
    </row>
    <row r="28" spans="1:13" s="3" customFormat="1">
      <c r="B28" s="13" t="s">
        <v>535</v>
      </c>
      <c r="C28" s="13" t="s">
        <v>281</v>
      </c>
      <c r="D28" s="9" t="s">
        <v>2624</v>
      </c>
      <c r="E28" s="21" t="s">
        <v>2561</v>
      </c>
      <c r="F28" s="22" t="str">
        <f t="shared" si="0"/>
        <v>outputoctets</v>
      </c>
      <c r="G28" s="22" t="s">
        <v>2335</v>
      </c>
      <c r="H28" s="21"/>
      <c r="I28" s="64"/>
      <c r="J28" s="25" t="s">
        <v>2562</v>
      </c>
      <c r="K28" s="25" t="s">
        <v>2341</v>
      </c>
      <c r="L28" s="25" t="s">
        <v>2341</v>
      </c>
    </row>
    <row r="29" spans="1:13" s="136" customFormat="1">
      <c r="A29" s="137"/>
      <c r="B29" s="138" t="s">
        <v>542</v>
      </c>
      <c r="C29" s="13" t="s">
        <v>281</v>
      </c>
      <c r="D29" s="9" t="s">
        <v>543</v>
      </c>
      <c r="E29" s="21" t="s">
        <v>2561</v>
      </c>
      <c r="F29" s="22" t="str">
        <f t="shared" si="0"/>
        <v>inputpacket</v>
      </c>
      <c r="G29" s="22" t="s">
        <v>2335</v>
      </c>
      <c r="H29" s="23"/>
      <c r="I29" s="64"/>
      <c r="J29" s="25" t="s">
        <v>2562</v>
      </c>
      <c r="K29" s="25" t="s">
        <v>2341</v>
      </c>
      <c r="L29" s="25" t="s">
        <v>2341</v>
      </c>
      <c r="M29" s="1"/>
    </row>
    <row r="30" spans="1:13" s="136" customFormat="1">
      <c r="A30" s="137"/>
      <c r="B30" s="138" t="s">
        <v>545</v>
      </c>
      <c r="C30" s="13" t="s">
        <v>281</v>
      </c>
      <c r="D30" s="9" t="s">
        <v>546</v>
      </c>
      <c r="E30" s="21" t="s">
        <v>2561</v>
      </c>
      <c r="F30" s="22" t="str">
        <f t="shared" si="0"/>
        <v>outputpacket</v>
      </c>
      <c r="G30" s="22" t="s">
        <v>2335</v>
      </c>
      <c r="H30" s="23"/>
      <c r="I30" s="64"/>
      <c r="J30" s="25" t="s">
        <v>2562</v>
      </c>
      <c r="K30" s="25" t="s">
        <v>2341</v>
      </c>
      <c r="L30" s="25" t="s">
        <v>2341</v>
      </c>
      <c r="M30" s="1"/>
    </row>
    <row r="31" spans="1:13" s="136" customFormat="1">
      <c r="A31" s="137"/>
      <c r="B31" s="138" t="s">
        <v>2625</v>
      </c>
      <c r="C31" s="13" t="s">
        <v>206</v>
      </c>
      <c r="D31" s="9" t="s">
        <v>2626</v>
      </c>
      <c r="E31" s="21" t="s">
        <v>2561</v>
      </c>
      <c r="F31" s="22" t="str">
        <f t="shared" si="0"/>
        <v>pduconnectionid</v>
      </c>
      <c r="G31" s="22" t="s">
        <v>2335</v>
      </c>
      <c r="H31" s="23"/>
      <c r="I31" s="64"/>
      <c r="J31" s="25" t="s">
        <v>2562</v>
      </c>
      <c r="K31" s="25" t="s">
        <v>2341</v>
      </c>
      <c r="L31" s="25" t="s">
        <v>2341</v>
      </c>
      <c r="M31" s="1"/>
    </row>
    <row r="32" spans="1:13" s="136" customFormat="1">
      <c r="A32" s="137"/>
      <c r="B32" s="138" t="s">
        <v>2627</v>
      </c>
      <c r="C32" s="13" t="s">
        <v>211</v>
      </c>
      <c r="D32" s="9" t="s">
        <v>2628</v>
      </c>
      <c r="E32" s="21" t="s">
        <v>2561</v>
      </c>
      <c r="F32" s="22" t="str">
        <f t="shared" si="0"/>
        <v>recordclosecause</v>
      </c>
      <c r="G32" s="22" t="s">
        <v>2335</v>
      </c>
      <c r="H32" s="64"/>
      <c r="I32" s="64"/>
      <c r="J32" s="25" t="s">
        <v>2562</v>
      </c>
      <c r="K32" s="25" t="s">
        <v>2341</v>
      </c>
      <c r="L32" s="25" t="s">
        <v>2341</v>
      </c>
    </row>
    <row r="33" spans="1:13" s="136" customFormat="1">
      <c r="A33" s="137"/>
      <c r="B33" s="138" t="s">
        <v>262</v>
      </c>
      <c r="C33" s="13" t="s">
        <v>206</v>
      </c>
      <c r="D33" s="9" t="s">
        <v>263</v>
      </c>
      <c r="E33" s="21" t="s">
        <v>2561</v>
      </c>
      <c r="F33" s="22" t="str">
        <f t="shared" si="0"/>
        <v>gnbip</v>
      </c>
      <c r="G33" s="22" t="s">
        <v>2335</v>
      </c>
      <c r="H33" s="23"/>
      <c r="I33" s="64"/>
      <c r="J33" s="25" t="s">
        <v>2562</v>
      </c>
      <c r="K33" s="25" t="s">
        <v>2341</v>
      </c>
      <c r="L33" s="25" t="s">
        <v>2341</v>
      </c>
      <c r="M33" s="1"/>
    </row>
    <row r="34" spans="1:13" s="136" customFormat="1">
      <c r="A34" s="137"/>
      <c r="B34" s="138" t="s">
        <v>264</v>
      </c>
      <c r="C34" s="13" t="s">
        <v>206</v>
      </c>
      <c r="D34" s="9" t="s">
        <v>265</v>
      </c>
      <c r="E34" s="21" t="s">
        <v>2561</v>
      </c>
      <c r="F34" s="22" t="str">
        <f t="shared" si="0"/>
        <v>home_province</v>
      </c>
      <c r="G34" s="22" t="s">
        <v>2335</v>
      </c>
      <c r="H34" s="21"/>
      <c r="I34" s="145"/>
      <c r="J34" s="25" t="s">
        <v>2562</v>
      </c>
      <c r="K34" s="25" t="s">
        <v>2341</v>
      </c>
      <c r="L34" s="25" t="s">
        <v>2341</v>
      </c>
    </row>
    <row r="35" spans="1:13" s="136" customFormat="1">
      <c r="A35" s="137"/>
      <c r="B35" s="138" t="s">
        <v>270</v>
      </c>
      <c r="C35" s="13" t="s">
        <v>211</v>
      </c>
      <c r="D35" s="9" t="s">
        <v>745</v>
      </c>
      <c r="E35" s="21" t="s">
        <v>2561</v>
      </c>
      <c r="F35" s="22" t="str">
        <f t="shared" si="0"/>
        <v>l4protocol</v>
      </c>
      <c r="G35" s="22" t="s">
        <v>2335</v>
      </c>
      <c r="H35" s="21"/>
      <c r="I35" s="145"/>
      <c r="J35" s="25" t="s">
        <v>2562</v>
      </c>
      <c r="K35" s="25" t="s">
        <v>2341</v>
      </c>
      <c r="L35" s="25" t="s">
        <v>2341</v>
      </c>
    </row>
    <row r="36" spans="1:13" s="136" customFormat="1">
      <c r="A36" s="137"/>
      <c r="B36" s="138" t="s">
        <v>548</v>
      </c>
      <c r="C36" s="26" t="s">
        <v>281</v>
      </c>
      <c r="D36" s="9" t="s">
        <v>2629</v>
      </c>
      <c r="E36" s="21" t="s">
        <v>2561</v>
      </c>
      <c r="F36" s="22" t="str">
        <f t="shared" ref="F36:F57" si="1">B36</f>
        <v>ultcpreorderingpacket</v>
      </c>
      <c r="G36" s="22" t="s">
        <v>2335</v>
      </c>
      <c r="H36" s="21"/>
      <c r="I36" s="145"/>
      <c r="J36" s="25" t="s">
        <v>2562</v>
      </c>
      <c r="K36" s="25" t="s">
        <v>2341</v>
      </c>
      <c r="L36" s="25" t="s">
        <v>2341</v>
      </c>
    </row>
    <row r="37" spans="1:13" s="136" customFormat="1">
      <c r="A37" s="137"/>
      <c r="B37" s="138" t="s">
        <v>551</v>
      </c>
      <c r="C37" s="26" t="s">
        <v>281</v>
      </c>
      <c r="D37" s="9" t="s">
        <v>2630</v>
      </c>
      <c r="E37" s="21" t="s">
        <v>2561</v>
      </c>
      <c r="F37" s="22" t="str">
        <f t="shared" si="1"/>
        <v>dltcpreorderingpacket</v>
      </c>
      <c r="G37" s="22" t="s">
        <v>2335</v>
      </c>
      <c r="H37" s="21"/>
      <c r="I37" s="145"/>
      <c r="J37" s="25" t="s">
        <v>2562</v>
      </c>
      <c r="K37" s="25" t="s">
        <v>2341</v>
      </c>
      <c r="L37" s="25" t="s">
        <v>2341</v>
      </c>
    </row>
    <row r="38" spans="1:13" s="136" customFormat="1">
      <c r="A38" s="137"/>
      <c r="B38" s="138" t="s">
        <v>2631</v>
      </c>
      <c r="C38" s="26" t="s">
        <v>281</v>
      </c>
      <c r="D38" s="9" t="s">
        <v>2632</v>
      </c>
      <c r="E38" s="21" t="s">
        <v>2561</v>
      </c>
      <c r="F38" s="22" t="str">
        <f t="shared" si="1"/>
        <v>ultcp_retranspacket</v>
      </c>
      <c r="G38" s="22" t="s">
        <v>2335</v>
      </c>
      <c r="H38" s="21"/>
      <c r="I38" s="145"/>
      <c r="J38" s="25" t="s">
        <v>2562</v>
      </c>
      <c r="K38" s="25" t="s">
        <v>2341</v>
      </c>
      <c r="L38" s="25" t="s">
        <v>2341</v>
      </c>
    </row>
    <row r="39" spans="1:13" s="136" customFormat="1">
      <c r="A39" s="137"/>
      <c r="B39" s="138" t="s">
        <v>2633</v>
      </c>
      <c r="C39" s="26" t="s">
        <v>281</v>
      </c>
      <c r="D39" s="9" t="s">
        <v>2634</v>
      </c>
      <c r="E39" s="21" t="s">
        <v>2561</v>
      </c>
      <c r="F39" s="22" t="str">
        <f t="shared" si="1"/>
        <v>dltcp_retranspacket</v>
      </c>
      <c r="G39" s="22" t="s">
        <v>2335</v>
      </c>
      <c r="H39" s="21"/>
      <c r="I39" s="145"/>
      <c r="J39" s="25" t="s">
        <v>2562</v>
      </c>
      <c r="K39" s="25" t="s">
        <v>2341</v>
      </c>
      <c r="L39" s="25" t="s">
        <v>2341</v>
      </c>
    </row>
    <row r="40" spans="1:13" s="136" customFormat="1">
      <c r="A40" s="137"/>
      <c r="B40" s="138" t="s">
        <v>2635</v>
      </c>
      <c r="C40" s="26" t="s">
        <v>281</v>
      </c>
      <c r="D40" s="9" t="s">
        <v>2636</v>
      </c>
      <c r="E40" s="21" t="s">
        <v>2561</v>
      </c>
      <c r="F40" s="22" t="str">
        <f t="shared" si="1"/>
        <v>tcpsetupresponsedelay</v>
      </c>
      <c r="G40" s="22" t="s">
        <v>2335</v>
      </c>
      <c r="H40" s="21"/>
      <c r="I40" s="145"/>
      <c r="J40" s="25" t="s">
        <v>2562</v>
      </c>
      <c r="K40" s="25" t="s">
        <v>2341</v>
      </c>
      <c r="L40" s="25" t="s">
        <v>2341</v>
      </c>
    </row>
    <row r="41" spans="1:13" s="136" customFormat="1">
      <c r="A41" s="137"/>
      <c r="B41" s="138" t="s">
        <v>2637</v>
      </c>
      <c r="C41" s="26" t="s">
        <v>281</v>
      </c>
      <c r="D41" s="9" t="s">
        <v>2638</v>
      </c>
      <c r="E41" s="21" t="s">
        <v>2561</v>
      </c>
      <c r="F41" s="22" t="str">
        <f t="shared" si="1"/>
        <v>tcpsetupackdelay</v>
      </c>
      <c r="G41" s="22" t="s">
        <v>2335</v>
      </c>
      <c r="H41" s="21"/>
      <c r="I41" s="145"/>
      <c r="J41" s="25" t="s">
        <v>2562</v>
      </c>
      <c r="K41" s="25" t="s">
        <v>2341</v>
      </c>
      <c r="L41" s="25" t="s">
        <v>2341</v>
      </c>
    </row>
    <row r="42" spans="1:13" s="136" customFormat="1">
      <c r="A42" s="137"/>
      <c r="B42" s="138" t="s">
        <v>2639</v>
      </c>
      <c r="C42" s="26" t="s">
        <v>211</v>
      </c>
      <c r="D42" s="9" t="s">
        <v>2640</v>
      </c>
      <c r="E42" s="21" t="s">
        <v>2561</v>
      </c>
      <c r="F42" s="22" t="str">
        <f t="shared" si="1"/>
        <v>tcpconnectstate</v>
      </c>
      <c r="G42" s="22" t="s">
        <v>2335</v>
      </c>
      <c r="H42" s="21"/>
      <c r="I42" s="145"/>
      <c r="J42" s="25" t="s">
        <v>2562</v>
      </c>
      <c r="K42" s="25" t="s">
        <v>2341</v>
      </c>
      <c r="L42" s="25" t="s">
        <v>2341</v>
      </c>
    </row>
    <row r="43" spans="1:13" s="136" customFormat="1">
      <c r="A43" s="137"/>
      <c r="B43" s="138" t="s">
        <v>566</v>
      </c>
      <c r="C43" s="26" t="s">
        <v>281</v>
      </c>
      <c r="D43" s="9" t="s">
        <v>567</v>
      </c>
      <c r="E43" s="21" t="s">
        <v>2561</v>
      </c>
      <c r="F43" s="22" t="str">
        <f t="shared" si="1"/>
        <v>ul_data_transduration</v>
      </c>
      <c r="G43" s="22" t="s">
        <v>2335</v>
      </c>
      <c r="H43" s="21"/>
      <c r="I43" s="145"/>
      <c r="J43" s="25" t="s">
        <v>2562</v>
      </c>
      <c r="K43" s="25" t="s">
        <v>2341</v>
      </c>
      <c r="L43" s="25" t="s">
        <v>2341</v>
      </c>
    </row>
    <row r="44" spans="1:13" s="136" customFormat="1">
      <c r="A44" s="137"/>
      <c r="B44" s="138" t="s">
        <v>2641</v>
      </c>
      <c r="C44" s="26" t="s">
        <v>281</v>
      </c>
      <c r="D44" s="9" t="s">
        <v>570</v>
      </c>
      <c r="E44" s="21" t="s">
        <v>2561</v>
      </c>
      <c r="F44" s="22" t="str">
        <f t="shared" si="1"/>
        <v>dl_datatransduration</v>
      </c>
      <c r="G44" s="22" t="s">
        <v>2335</v>
      </c>
      <c r="H44" s="21"/>
      <c r="I44" s="145"/>
      <c r="J44" s="25" t="s">
        <v>2562</v>
      </c>
      <c r="K44" s="25" t="s">
        <v>2341</v>
      </c>
      <c r="L44" s="25" t="s">
        <v>2341</v>
      </c>
    </row>
    <row r="45" spans="1:13" s="136" customFormat="1">
      <c r="A45" s="137"/>
      <c r="B45" s="138" t="s">
        <v>2642</v>
      </c>
      <c r="C45" s="26" t="s">
        <v>281</v>
      </c>
      <c r="D45" s="9" t="s">
        <v>2643</v>
      </c>
      <c r="E45" s="21" t="s">
        <v>2561</v>
      </c>
      <c r="F45" s="22" t="str">
        <f t="shared" si="1"/>
        <v>ul_average_packet_size</v>
      </c>
      <c r="G45" s="22" t="s">
        <v>2335</v>
      </c>
      <c r="H45" s="21"/>
      <c r="I45" s="145"/>
      <c r="J45" s="25" t="s">
        <v>2562</v>
      </c>
      <c r="K45" s="25" t="s">
        <v>2341</v>
      </c>
      <c r="L45" s="25" t="s">
        <v>2341</v>
      </c>
    </row>
    <row r="46" spans="1:13" s="136" customFormat="1">
      <c r="A46" s="137"/>
      <c r="B46" s="138" t="s">
        <v>2644</v>
      </c>
      <c r="C46" s="26" t="s">
        <v>281</v>
      </c>
      <c r="D46" s="9" t="s">
        <v>2645</v>
      </c>
      <c r="E46" s="21" t="s">
        <v>2561</v>
      </c>
      <c r="F46" s="22" t="str">
        <f t="shared" si="1"/>
        <v>dl_average_packet_size</v>
      </c>
      <c r="G46" s="22" t="s">
        <v>2335</v>
      </c>
      <c r="H46" s="21"/>
      <c r="I46" s="145"/>
      <c r="J46" s="25" t="s">
        <v>2562</v>
      </c>
      <c r="K46" s="25" t="s">
        <v>2341</v>
      </c>
      <c r="L46" s="25" t="s">
        <v>2341</v>
      </c>
    </row>
    <row r="47" spans="1:13" s="136" customFormat="1">
      <c r="A47" s="137"/>
      <c r="B47" s="138" t="s">
        <v>2646</v>
      </c>
      <c r="C47" s="26" t="s">
        <v>281</v>
      </c>
      <c r="D47" s="9" t="s">
        <v>2647</v>
      </c>
      <c r="E47" s="21" t="s">
        <v>2561</v>
      </c>
      <c r="F47" s="22" t="str">
        <f t="shared" si="1"/>
        <v>ul_average_interval</v>
      </c>
      <c r="G47" s="22" t="s">
        <v>2335</v>
      </c>
      <c r="H47" s="21"/>
      <c r="I47" s="145"/>
      <c r="J47" s="25" t="s">
        <v>2562</v>
      </c>
      <c r="K47" s="25" t="s">
        <v>2341</v>
      </c>
      <c r="L47" s="25" t="s">
        <v>2341</v>
      </c>
    </row>
    <row r="48" spans="1:13" s="136" customFormat="1">
      <c r="A48" s="137"/>
      <c r="B48" s="138" t="s">
        <v>2648</v>
      </c>
      <c r="C48" s="26" t="s">
        <v>281</v>
      </c>
      <c r="D48" s="9" t="s">
        <v>2649</v>
      </c>
      <c r="E48" s="21" t="s">
        <v>2561</v>
      </c>
      <c r="F48" s="22" t="str">
        <f t="shared" si="1"/>
        <v>dl_average_interval</v>
      </c>
      <c r="G48" s="22" t="s">
        <v>2335</v>
      </c>
      <c r="H48" s="21"/>
      <c r="I48" s="145"/>
      <c r="J48" s="25" t="s">
        <v>2562</v>
      </c>
      <c r="K48" s="25" t="s">
        <v>2341</v>
      </c>
      <c r="L48" s="25" t="s">
        <v>2341</v>
      </c>
    </row>
    <row r="49" spans="1:17" s="136" customFormat="1">
      <c r="A49" s="137"/>
      <c r="B49" s="138" t="s">
        <v>2650</v>
      </c>
      <c r="C49" s="26" t="s">
        <v>281</v>
      </c>
      <c r="D49" s="9" t="s">
        <v>2651</v>
      </c>
      <c r="E49" s="21" t="s">
        <v>2561</v>
      </c>
      <c r="F49" s="22" t="str">
        <f t="shared" si="1"/>
        <v>ul_average_jitter</v>
      </c>
      <c r="G49" s="22" t="s">
        <v>2335</v>
      </c>
      <c r="H49" s="21"/>
      <c r="I49" s="145"/>
      <c r="J49" s="25" t="s">
        <v>2562</v>
      </c>
      <c r="K49" s="25" t="s">
        <v>2341</v>
      </c>
      <c r="L49" s="25" t="s">
        <v>2341</v>
      </c>
    </row>
    <row r="50" spans="1:17" s="136" customFormat="1">
      <c r="A50" s="137"/>
      <c r="B50" s="138" t="s">
        <v>2652</v>
      </c>
      <c r="C50" s="26" t="s">
        <v>281</v>
      </c>
      <c r="D50" s="9" t="s">
        <v>2653</v>
      </c>
      <c r="E50" s="21" t="s">
        <v>2561</v>
      </c>
      <c r="F50" s="22" t="str">
        <f t="shared" si="1"/>
        <v>dl_average_jitter</v>
      </c>
      <c r="G50" s="22" t="s">
        <v>2335</v>
      </c>
      <c r="H50" s="21"/>
      <c r="I50" s="145"/>
      <c r="J50" s="25" t="s">
        <v>2562</v>
      </c>
      <c r="K50" s="25" t="s">
        <v>2341</v>
      </c>
      <c r="L50" s="25" t="s">
        <v>2341</v>
      </c>
    </row>
    <row r="51" spans="1:17" s="136" customFormat="1">
      <c r="A51" s="137"/>
      <c r="B51" s="138" t="s">
        <v>2654</v>
      </c>
      <c r="C51" s="26" t="s">
        <v>281</v>
      </c>
      <c r="D51" s="9" t="s">
        <v>2655</v>
      </c>
      <c r="E51" s="21" t="s">
        <v>2561</v>
      </c>
      <c r="F51" s="22" t="str">
        <f t="shared" si="1"/>
        <v>flowid</v>
      </c>
      <c r="G51" s="22" t="s">
        <v>2335</v>
      </c>
      <c r="H51" s="21"/>
      <c r="I51" s="145"/>
      <c r="J51" s="25" t="s">
        <v>2562</v>
      </c>
      <c r="K51" s="25" t="s">
        <v>2341</v>
      </c>
      <c r="L51" s="25" t="s">
        <v>2341</v>
      </c>
    </row>
    <row r="52" spans="1:17" s="136" customFormat="1">
      <c r="A52" s="137"/>
      <c r="B52" s="138" t="s">
        <v>254</v>
      </c>
      <c r="C52" s="26" t="s">
        <v>206</v>
      </c>
      <c r="D52" s="9" t="s">
        <v>1236</v>
      </c>
      <c r="E52" s="21" t="s">
        <v>2561</v>
      </c>
      <c r="F52" s="22" t="str">
        <f t="shared" si="1"/>
        <v>pei</v>
      </c>
      <c r="G52" s="22" t="s">
        <v>2335</v>
      </c>
      <c r="H52" s="21"/>
      <c r="I52" s="145"/>
      <c r="J52" s="25" t="s">
        <v>2562</v>
      </c>
      <c r="K52" s="25" t="s">
        <v>2341</v>
      </c>
      <c r="L52" s="25" t="s">
        <v>2341</v>
      </c>
    </row>
    <row r="53" spans="1:17" s="136" customFormat="1">
      <c r="A53" s="137"/>
      <c r="B53" s="138" t="s">
        <v>256</v>
      </c>
      <c r="C53" s="26" t="s">
        <v>206</v>
      </c>
      <c r="D53" s="9" t="s">
        <v>743</v>
      </c>
      <c r="E53" s="21" t="s">
        <v>2561</v>
      </c>
      <c r="F53" s="22" t="str">
        <f t="shared" si="1"/>
        <v>dnn_apn</v>
      </c>
      <c r="G53" s="22" t="s">
        <v>2335</v>
      </c>
      <c r="H53" s="21"/>
      <c r="I53" s="145"/>
      <c r="J53" s="25" t="s">
        <v>2562</v>
      </c>
      <c r="K53" s="25" t="s">
        <v>2341</v>
      </c>
      <c r="L53" s="25" t="s">
        <v>2341</v>
      </c>
    </row>
    <row r="54" spans="1:17" s="136" customFormat="1">
      <c r="A54" s="137"/>
      <c r="B54" s="138" t="s">
        <v>260</v>
      </c>
      <c r="C54" s="26" t="s">
        <v>206</v>
      </c>
      <c r="D54" s="9" t="s">
        <v>795</v>
      </c>
      <c r="E54" s="21" t="s">
        <v>2561</v>
      </c>
      <c r="F54" s="22" t="str">
        <f t="shared" si="1"/>
        <v>servicetype</v>
      </c>
      <c r="G54" s="22" t="s">
        <v>2335</v>
      </c>
      <c r="H54" s="21"/>
      <c r="I54" s="145"/>
      <c r="J54" s="25" t="s">
        <v>2562</v>
      </c>
      <c r="K54" s="25" t="s">
        <v>2341</v>
      </c>
      <c r="L54" s="25" t="s">
        <v>2341</v>
      </c>
    </row>
    <row r="55" spans="1:17" s="136" customFormat="1">
      <c r="A55" s="137"/>
      <c r="B55" s="138" t="s">
        <v>2660</v>
      </c>
      <c r="C55" s="26" t="s">
        <v>211</v>
      </c>
      <c r="D55" s="9" t="s">
        <v>2661</v>
      </c>
      <c r="E55" s="21" t="s">
        <v>2561</v>
      </c>
      <c r="F55" s="22" t="str">
        <f t="shared" si="1"/>
        <v>tcpsynnumber</v>
      </c>
      <c r="G55" s="22" t="s">
        <v>2335</v>
      </c>
      <c r="H55" s="21"/>
      <c r="I55" s="145"/>
      <c r="J55" s="25" t="s">
        <v>2562</v>
      </c>
      <c r="K55" s="25" t="s">
        <v>2341</v>
      </c>
      <c r="L55" s="25" t="s">
        <v>2341</v>
      </c>
    </row>
    <row r="56" spans="1:17" s="136" customFormat="1">
      <c r="A56" s="137"/>
      <c r="B56" s="138" t="s">
        <v>1321</v>
      </c>
      <c r="C56" s="26" t="s">
        <v>281</v>
      </c>
      <c r="D56" s="9" t="s">
        <v>1322</v>
      </c>
      <c r="E56" s="21" t="s">
        <v>2561</v>
      </c>
      <c r="F56" s="22" t="str">
        <f t="shared" si="1"/>
        <v>ul_session_ambr</v>
      </c>
      <c r="G56" s="22" t="s">
        <v>2335</v>
      </c>
      <c r="H56" s="21"/>
      <c r="I56" s="145"/>
      <c r="J56" s="25" t="s">
        <v>2562</v>
      </c>
      <c r="K56" s="25" t="s">
        <v>2341</v>
      </c>
      <c r="L56" s="25" t="s">
        <v>2341</v>
      </c>
    </row>
    <row r="57" spans="1:17" s="136" customFormat="1">
      <c r="A57" s="137"/>
      <c r="B57" s="138" t="s">
        <v>1323</v>
      </c>
      <c r="C57" s="26" t="s">
        <v>281</v>
      </c>
      <c r="D57" s="9" t="s">
        <v>1324</v>
      </c>
      <c r="E57" s="21" t="s">
        <v>2561</v>
      </c>
      <c r="F57" s="22" t="str">
        <f t="shared" si="1"/>
        <v>dl_session_ambr</v>
      </c>
      <c r="G57" s="22" t="s">
        <v>2335</v>
      </c>
      <c r="H57" s="21"/>
      <c r="I57" s="145"/>
      <c r="J57" s="25" t="s">
        <v>2562</v>
      </c>
      <c r="K57" s="25" t="s">
        <v>2341</v>
      </c>
      <c r="L57" s="25" t="s">
        <v>2341</v>
      </c>
    </row>
    <row r="58" spans="1:17" s="2" customFormat="1">
      <c r="B58" s="14" t="s">
        <v>222</v>
      </c>
      <c r="C58" s="15" t="s">
        <v>211</v>
      </c>
      <c r="D58" s="16" t="s">
        <v>344</v>
      </c>
      <c r="E58" s="69"/>
      <c r="F58" s="14"/>
      <c r="G58" s="14"/>
      <c r="H58" s="14"/>
      <c r="I58" s="123"/>
      <c r="J58" s="14"/>
      <c r="K58" s="14"/>
      <c r="L58" s="14"/>
      <c r="M58" s="14"/>
      <c r="N58" s="14"/>
      <c r="O58" s="14"/>
      <c r="P58" s="14"/>
      <c r="Q58" s="14"/>
    </row>
    <row r="59" spans="1:17" s="2" customFormat="1">
      <c r="B59" s="14" t="s">
        <v>0</v>
      </c>
      <c r="C59" s="15" t="s">
        <v>206</v>
      </c>
      <c r="D59" s="16" t="s">
        <v>345</v>
      </c>
      <c r="E59" s="69"/>
      <c r="F59" s="14"/>
      <c r="G59" s="14"/>
      <c r="H59" s="14"/>
      <c r="I59" s="123"/>
      <c r="J59" s="14"/>
      <c r="K59" s="14"/>
      <c r="L59" s="14"/>
      <c r="M59" s="14"/>
      <c r="N59" s="14"/>
      <c r="O59" s="14"/>
      <c r="P59" s="14"/>
      <c r="Q59" s="14"/>
    </row>
    <row r="60" spans="1:17" s="2" customFormat="1">
      <c r="B60" s="14" t="s">
        <v>1</v>
      </c>
      <c r="C60" s="15" t="s">
        <v>211</v>
      </c>
      <c r="D60" s="16" t="s">
        <v>346</v>
      </c>
      <c r="E60" s="69"/>
      <c r="F60" s="14"/>
      <c r="G60" s="14"/>
      <c r="H60" s="14"/>
      <c r="I60" s="123"/>
      <c r="J60" s="14"/>
      <c r="K60" s="14"/>
      <c r="L60" s="14"/>
      <c r="M60" s="14"/>
      <c r="N60" s="14"/>
      <c r="O60" s="14"/>
      <c r="P60" s="14"/>
      <c r="Q60" s="14"/>
    </row>
  </sheetData>
  <autoFilter ref="A13:Q60" xr:uid="{00000000-0009-0000-0000-000003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8B7AD-6A63-4543-963F-3E8E07FEDF85}">
  <dimension ref="A1:Q75"/>
  <sheetViews>
    <sheetView zoomScale="85" zoomScaleNormal="85" workbookViewId="0">
      <pane ySplit="5" topLeftCell="A6" activePane="bottomLeft" state="frozen"/>
      <selection activeCell="C18" sqref="C18"/>
      <selection pane="bottomLeft" activeCell="C15" sqref="C15"/>
    </sheetView>
  </sheetViews>
  <sheetFormatPr defaultColWidth="9" defaultRowHeight="13.2"/>
  <cols>
    <col min="1" max="1" width="1.33203125" style="3" customWidth="1"/>
    <col min="2" max="2" width="23.6640625" style="3" customWidth="1"/>
    <col min="3" max="3" width="26.88671875" style="3" bestFit="1"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58"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c r="C5" s="145" t="s">
        <v>2545</v>
      </c>
      <c r="D5" s="145" t="s">
        <v>2586</v>
      </c>
      <c r="E5" s="12" t="s">
        <v>2547</v>
      </c>
      <c r="F5" s="61"/>
      <c r="G5" s="9"/>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145" t="s">
        <v>2587</v>
      </c>
      <c r="D9" s="10" t="s">
        <v>2588</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214</v>
      </c>
      <c r="C14" s="13" t="s">
        <v>211</v>
      </c>
      <c r="D14" s="9" t="s">
        <v>1232</v>
      </c>
      <c r="E14" s="21" t="s">
        <v>2561</v>
      </c>
      <c r="F14" s="22" t="str">
        <f>B14</f>
        <v>interface</v>
      </c>
      <c r="G14" s="22" t="s">
        <v>2335</v>
      </c>
      <c r="H14" s="23"/>
      <c r="I14" s="64"/>
      <c r="J14" s="25" t="s">
        <v>2562</v>
      </c>
      <c r="K14" s="25" t="s">
        <v>2341</v>
      </c>
      <c r="L14" s="25" t="s">
        <v>2341</v>
      </c>
    </row>
    <row r="15" spans="1:14" s="1" customFormat="1">
      <c r="B15" s="13" t="s">
        <v>249</v>
      </c>
      <c r="C15" s="13" t="s">
        <v>206</v>
      </c>
      <c r="D15" s="9" t="s">
        <v>2605</v>
      </c>
      <c r="E15" s="21" t="s">
        <v>2561</v>
      </c>
      <c r="F15" s="22" t="str">
        <f t="shared" ref="F15:F35" si="0">B15</f>
        <v>supi</v>
      </c>
      <c r="G15" s="22" t="s">
        <v>2335</v>
      </c>
      <c r="H15" s="23"/>
      <c r="I15" s="64"/>
      <c r="J15" s="25" t="s">
        <v>2562</v>
      </c>
      <c r="K15" s="25" t="s">
        <v>2341</v>
      </c>
      <c r="L15" s="25" t="s">
        <v>2341</v>
      </c>
    </row>
    <row r="16" spans="1:14" s="1" customFormat="1">
      <c r="A16" s="132"/>
      <c r="B16" s="13" t="s">
        <v>251</v>
      </c>
      <c r="C16" s="13" t="s">
        <v>206</v>
      </c>
      <c r="D16" s="9" t="s">
        <v>252</v>
      </c>
      <c r="E16" s="21" t="s">
        <v>2561</v>
      </c>
      <c r="F16" s="22" t="str">
        <f t="shared" si="0"/>
        <v>msisdn</v>
      </c>
      <c r="G16" s="22" t="s">
        <v>2335</v>
      </c>
      <c r="H16" s="23"/>
      <c r="I16" s="64"/>
      <c r="J16" s="25" t="s">
        <v>2562</v>
      </c>
      <c r="K16" s="25" t="s">
        <v>2341</v>
      </c>
      <c r="L16" s="25" t="s">
        <v>2341</v>
      </c>
    </row>
    <row r="17" spans="1:13" s="1" customFormat="1">
      <c r="A17" s="132"/>
      <c r="B17" s="13" t="s">
        <v>2606</v>
      </c>
      <c r="C17" s="13" t="s">
        <v>206</v>
      </c>
      <c r="D17" s="9" t="s">
        <v>2607</v>
      </c>
      <c r="E17" s="21" t="s">
        <v>2561</v>
      </c>
      <c r="F17" s="22" t="str">
        <f t="shared" si="0"/>
        <v>destinationip</v>
      </c>
      <c r="G17" s="22" t="s">
        <v>2335</v>
      </c>
      <c r="H17" s="23"/>
      <c r="I17" s="64"/>
      <c r="J17" s="25" t="s">
        <v>2562</v>
      </c>
      <c r="K17" s="25" t="s">
        <v>2341</v>
      </c>
      <c r="L17" s="25" t="s">
        <v>2341</v>
      </c>
    </row>
    <row r="18" spans="1:13" s="1" customFormat="1">
      <c r="A18" s="132"/>
      <c r="B18" s="13" t="s">
        <v>2608</v>
      </c>
      <c r="C18" s="13" t="s">
        <v>211</v>
      </c>
      <c r="D18" s="9" t="s">
        <v>2609</v>
      </c>
      <c r="E18" s="21" t="s">
        <v>2561</v>
      </c>
      <c r="F18" s="22" t="str">
        <f t="shared" si="0"/>
        <v>destinationport</v>
      </c>
      <c r="G18" s="22" t="s">
        <v>2335</v>
      </c>
      <c r="H18" s="23"/>
      <c r="I18" s="64"/>
      <c r="J18" s="25" t="s">
        <v>2562</v>
      </c>
      <c r="K18" s="25" t="s">
        <v>2341</v>
      </c>
      <c r="L18" s="25" t="s">
        <v>2341</v>
      </c>
    </row>
    <row r="19" spans="1:13" s="1" customFormat="1">
      <c r="A19" s="132"/>
      <c r="B19" s="12" t="s">
        <v>2610</v>
      </c>
      <c r="C19" s="13" t="s">
        <v>206</v>
      </c>
      <c r="D19" s="9" t="s">
        <v>2611</v>
      </c>
      <c r="E19" s="21" t="s">
        <v>2561</v>
      </c>
      <c r="F19" s="22" t="str">
        <f t="shared" si="0"/>
        <v>sourceip</v>
      </c>
      <c r="G19" s="22" t="s">
        <v>2335</v>
      </c>
      <c r="H19" s="23"/>
      <c r="I19" s="64"/>
      <c r="J19" s="25" t="s">
        <v>2562</v>
      </c>
      <c r="K19" s="25" t="s">
        <v>2341</v>
      </c>
      <c r="L19" s="25" t="s">
        <v>2341</v>
      </c>
    </row>
    <row r="20" spans="1:13" s="1" customFormat="1">
      <c r="A20" s="132"/>
      <c r="B20" s="12" t="s">
        <v>2612</v>
      </c>
      <c r="C20" s="13" t="s">
        <v>211</v>
      </c>
      <c r="D20" s="9" t="s">
        <v>2613</v>
      </c>
      <c r="E20" s="21" t="s">
        <v>2561</v>
      </c>
      <c r="F20" s="22" t="str">
        <f t="shared" si="0"/>
        <v>sourceport</v>
      </c>
      <c r="G20" s="22" t="s">
        <v>2335</v>
      </c>
      <c r="H20" s="23"/>
      <c r="I20" s="64"/>
      <c r="J20" s="25" t="s">
        <v>2562</v>
      </c>
      <c r="K20" s="25" t="s">
        <v>2341</v>
      </c>
      <c r="L20" s="25" t="s">
        <v>2341</v>
      </c>
    </row>
    <row r="21" spans="1:13" s="1" customFormat="1">
      <c r="A21" s="132"/>
      <c r="B21" s="12" t="s">
        <v>258</v>
      </c>
      <c r="C21" s="13" t="s">
        <v>206</v>
      </c>
      <c r="D21" s="9" t="s">
        <v>259</v>
      </c>
      <c r="E21" s="21" t="s">
        <v>2561</v>
      </c>
      <c r="F21" s="22" t="str">
        <f t="shared" si="0"/>
        <v>upfip</v>
      </c>
      <c r="G21" s="22" t="s">
        <v>2335</v>
      </c>
      <c r="H21" s="23"/>
      <c r="I21" s="64"/>
      <c r="J21" s="25" t="s">
        <v>2562</v>
      </c>
      <c r="K21" s="25" t="s">
        <v>2341</v>
      </c>
      <c r="L21" s="25" t="s">
        <v>2341</v>
      </c>
    </row>
    <row r="22" spans="1:13" s="1" customFormat="1">
      <c r="A22" s="132"/>
      <c r="B22" s="12" t="s">
        <v>2614</v>
      </c>
      <c r="C22" s="13" t="s">
        <v>206</v>
      </c>
      <c r="D22" s="9" t="s">
        <v>2615</v>
      </c>
      <c r="E22" s="21" t="s">
        <v>2561</v>
      </c>
      <c r="F22" s="22" t="str">
        <f t="shared" si="0"/>
        <v>ncgi_ecgi</v>
      </c>
      <c r="G22" s="22" t="s">
        <v>2335</v>
      </c>
      <c r="H22" s="23"/>
      <c r="I22" s="64"/>
      <c r="J22" s="25" t="s">
        <v>2562</v>
      </c>
      <c r="K22" s="25" t="s">
        <v>2341</v>
      </c>
      <c r="L22" s="25" t="s">
        <v>2341</v>
      </c>
    </row>
    <row r="23" spans="1:13" s="1" customFormat="1">
      <c r="A23" s="132"/>
      <c r="B23" s="12" t="s">
        <v>2616</v>
      </c>
      <c r="C23" s="12" t="s">
        <v>211</v>
      </c>
      <c r="D23" s="9" t="s">
        <v>2617</v>
      </c>
      <c r="E23" s="21" t="s">
        <v>2561</v>
      </c>
      <c r="F23" s="22" t="str">
        <f t="shared" si="0"/>
        <v>protocolid</v>
      </c>
      <c r="G23" s="22" t="s">
        <v>2335</v>
      </c>
      <c r="H23" s="23"/>
      <c r="I23" s="64"/>
      <c r="J23" s="25" t="s">
        <v>2562</v>
      </c>
      <c r="K23" s="25" t="s">
        <v>2341</v>
      </c>
      <c r="L23" s="25" t="s">
        <v>2341</v>
      </c>
    </row>
    <row r="24" spans="1:13" s="1" customFormat="1">
      <c r="A24" s="132"/>
      <c r="B24" s="12" t="s">
        <v>2618</v>
      </c>
      <c r="C24" s="12" t="s">
        <v>206</v>
      </c>
      <c r="D24" s="9" t="s">
        <v>2619</v>
      </c>
      <c r="E24" s="21" t="s">
        <v>2561</v>
      </c>
      <c r="F24" s="22" t="str">
        <f t="shared" si="0"/>
        <v>starttime</v>
      </c>
      <c r="G24" s="22" t="s">
        <v>2335</v>
      </c>
      <c r="H24" s="23"/>
      <c r="I24" s="64"/>
      <c r="J24" s="25" t="s">
        <v>2562</v>
      </c>
      <c r="K24" s="25" t="s">
        <v>2341</v>
      </c>
      <c r="L24" s="25" t="s">
        <v>2341</v>
      </c>
    </row>
    <row r="25" spans="1:13" s="1" customFormat="1">
      <c r="A25" s="132"/>
      <c r="B25" s="12" t="s">
        <v>2620</v>
      </c>
      <c r="C25" s="12" t="s">
        <v>206</v>
      </c>
      <c r="D25" s="9" t="s">
        <v>2621</v>
      </c>
      <c r="E25" s="21" t="s">
        <v>2561</v>
      </c>
      <c r="F25" s="22" t="str">
        <f t="shared" si="0"/>
        <v>endtime</v>
      </c>
      <c r="G25" s="22" t="s">
        <v>2335</v>
      </c>
      <c r="H25" s="23"/>
      <c r="I25" s="64"/>
      <c r="J25" s="25" t="s">
        <v>2562</v>
      </c>
      <c r="K25" s="25" t="s">
        <v>2341</v>
      </c>
      <c r="L25" s="25" t="s">
        <v>2341</v>
      </c>
    </row>
    <row r="26" spans="1:13" s="1" customFormat="1">
      <c r="A26" s="132"/>
      <c r="B26" s="12" t="s">
        <v>468</v>
      </c>
      <c r="C26" s="12" t="s">
        <v>281</v>
      </c>
      <c r="D26" s="9" t="s">
        <v>2622</v>
      </c>
      <c r="E26" s="21" t="s">
        <v>2561</v>
      </c>
      <c r="F26" s="22" t="str">
        <f t="shared" si="0"/>
        <v>duration</v>
      </c>
      <c r="G26" s="22" t="s">
        <v>2335</v>
      </c>
      <c r="H26" s="23"/>
      <c r="I26" s="64"/>
      <c r="J26" s="25" t="s">
        <v>2562</v>
      </c>
      <c r="K26" s="25" t="s">
        <v>2341</v>
      </c>
      <c r="L26" s="25" t="s">
        <v>2341</v>
      </c>
    </row>
    <row r="27" spans="1:13" s="1" customFormat="1">
      <c r="B27" s="13" t="s">
        <v>539</v>
      </c>
      <c r="C27" s="12" t="s">
        <v>281</v>
      </c>
      <c r="D27" s="9" t="s">
        <v>2623</v>
      </c>
      <c r="E27" s="21" t="s">
        <v>2561</v>
      </c>
      <c r="F27" s="22" t="str">
        <f t="shared" si="0"/>
        <v>inputoctets</v>
      </c>
      <c r="G27" s="22" t="s">
        <v>2335</v>
      </c>
      <c r="H27" s="23"/>
      <c r="I27" s="64"/>
      <c r="J27" s="25" t="s">
        <v>2562</v>
      </c>
      <c r="K27" s="25" t="s">
        <v>2341</v>
      </c>
      <c r="L27" s="25" t="s">
        <v>2341</v>
      </c>
    </row>
    <row r="28" spans="1:13" s="3" customFormat="1">
      <c r="B28" s="13" t="s">
        <v>535</v>
      </c>
      <c r="C28" s="13" t="s">
        <v>281</v>
      </c>
      <c r="D28" s="9" t="s">
        <v>2624</v>
      </c>
      <c r="E28" s="21" t="s">
        <v>2561</v>
      </c>
      <c r="F28" s="22" t="str">
        <f t="shared" si="0"/>
        <v>outputoctets</v>
      </c>
      <c r="G28" s="22" t="s">
        <v>2335</v>
      </c>
      <c r="H28" s="21"/>
      <c r="I28" s="64"/>
      <c r="J28" s="25" t="s">
        <v>2562</v>
      </c>
      <c r="K28" s="25" t="s">
        <v>2341</v>
      </c>
      <c r="L28" s="25" t="s">
        <v>2341</v>
      </c>
    </row>
    <row r="29" spans="1:13" s="136" customFormat="1">
      <c r="A29" s="137"/>
      <c r="B29" s="138" t="s">
        <v>542</v>
      </c>
      <c r="C29" s="13" t="s">
        <v>281</v>
      </c>
      <c r="D29" s="9" t="s">
        <v>543</v>
      </c>
      <c r="E29" s="21" t="s">
        <v>2561</v>
      </c>
      <c r="F29" s="22" t="str">
        <f t="shared" si="0"/>
        <v>inputpacket</v>
      </c>
      <c r="G29" s="22" t="s">
        <v>2335</v>
      </c>
      <c r="H29" s="23"/>
      <c r="I29" s="64"/>
      <c r="J29" s="25" t="s">
        <v>2562</v>
      </c>
      <c r="K29" s="25" t="s">
        <v>2341</v>
      </c>
      <c r="L29" s="25" t="s">
        <v>2341</v>
      </c>
      <c r="M29" s="1"/>
    </row>
    <row r="30" spans="1:13" s="136" customFormat="1">
      <c r="A30" s="137"/>
      <c r="B30" s="138" t="s">
        <v>545</v>
      </c>
      <c r="C30" s="13" t="s">
        <v>281</v>
      </c>
      <c r="D30" s="9" t="s">
        <v>546</v>
      </c>
      <c r="E30" s="21" t="s">
        <v>2561</v>
      </c>
      <c r="F30" s="22" t="str">
        <f t="shared" si="0"/>
        <v>outputpacket</v>
      </c>
      <c r="G30" s="22" t="s">
        <v>2335</v>
      </c>
      <c r="H30" s="23"/>
      <c r="I30" s="64"/>
      <c r="J30" s="25" t="s">
        <v>2562</v>
      </c>
      <c r="K30" s="25" t="s">
        <v>2341</v>
      </c>
      <c r="L30" s="25" t="s">
        <v>2341</v>
      </c>
      <c r="M30" s="1"/>
    </row>
    <row r="31" spans="1:13" s="136" customFormat="1">
      <c r="A31" s="137"/>
      <c r="B31" s="138" t="s">
        <v>2625</v>
      </c>
      <c r="C31" s="13" t="s">
        <v>206</v>
      </c>
      <c r="D31" s="9" t="s">
        <v>2626</v>
      </c>
      <c r="E31" s="21" t="s">
        <v>2561</v>
      </c>
      <c r="F31" s="22" t="str">
        <f t="shared" si="0"/>
        <v>pduconnectionid</v>
      </c>
      <c r="G31" s="22" t="s">
        <v>2335</v>
      </c>
      <c r="H31" s="23"/>
      <c r="I31" s="64"/>
      <c r="J31" s="25" t="s">
        <v>2562</v>
      </c>
      <c r="K31" s="25" t="s">
        <v>2341</v>
      </c>
      <c r="L31" s="25" t="s">
        <v>2341</v>
      </c>
      <c r="M31" s="1"/>
    </row>
    <row r="32" spans="1:13" s="136" customFormat="1">
      <c r="A32" s="137"/>
      <c r="B32" s="138" t="s">
        <v>2627</v>
      </c>
      <c r="C32" s="13" t="s">
        <v>211</v>
      </c>
      <c r="D32" s="9" t="s">
        <v>2628</v>
      </c>
      <c r="E32" s="21" t="s">
        <v>2561</v>
      </c>
      <c r="F32" s="22" t="str">
        <f t="shared" si="0"/>
        <v>recordclosecause</v>
      </c>
      <c r="G32" s="22" t="s">
        <v>2335</v>
      </c>
      <c r="H32" s="64"/>
      <c r="I32" s="64"/>
      <c r="J32" s="25" t="s">
        <v>2562</v>
      </c>
      <c r="K32" s="25" t="s">
        <v>2341</v>
      </c>
      <c r="L32" s="25" t="s">
        <v>2341</v>
      </c>
    </row>
    <row r="33" spans="1:13" s="136" customFormat="1">
      <c r="A33" s="137"/>
      <c r="B33" s="138" t="s">
        <v>262</v>
      </c>
      <c r="C33" s="13" t="s">
        <v>206</v>
      </c>
      <c r="D33" s="9" t="s">
        <v>263</v>
      </c>
      <c r="E33" s="21" t="s">
        <v>2561</v>
      </c>
      <c r="F33" s="22" t="str">
        <f t="shared" si="0"/>
        <v>gnbip</v>
      </c>
      <c r="G33" s="22" t="s">
        <v>2335</v>
      </c>
      <c r="H33" s="23"/>
      <c r="I33" s="64"/>
      <c r="J33" s="25" t="s">
        <v>2562</v>
      </c>
      <c r="K33" s="25" t="s">
        <v>2341</v>
      </c>
      <c r="L33" s="25" t="s">
        <v>2341</v>
      </c>
      <c r="M33" s="1"/>
    </row>
    <row r="34" spans="1:13" s="136" customFormat="1">
      <c r="A34" s="137"/>
      <c r="B34" s="138" t="s">
        <v>264</v>
      </c>
      <c r="C34" s="13" t="s">
        <v>206</v>
      </c>
      <c r="D34" s="9" t="s">
        <v>265</v>
      </c>
      <c r="E34" s="21" t="s">
        <v>2561</v>
      </c>
      <c r="F34" s="22" t="str">
        <f t="shared" si="0"/>
        <v>home_province</v>
      </c>
      <c r="G34" s="22" t="s">
        <v>2335</v>
      </c>
      <c r="H34" s="21"/>
      <c r="I34" s="145"/>
      <c r="J34" s="25" t="s">
        <v>2562</v>
      </c>
      <c r="K34" s="25" t="s">
        <v>2341</v>
      </c>
      <c r="L34" s="25" t="s">
        <v>2341</v>
      </c>
    </row>
    <row r="35" spans="1:13" s="136" customFormat="1">
      <c r="A35" s="137"/>
      <c r="B35" s="138" t="s">
        <v>270</v>
      </c>
      <c r="C35" s="13" t="s">
        <v>211</v>
      </c>
      <c r="D35" s="9" t="s">
        <v>745</v>
      </c>
      <c r="E35" s="21" t="s">
        <v>2561</v>
      </c>
      <c r="F35" s="22" t="str">
        <f t="shared" si="0"/>
        <v>l4protocol</v>
      </c>
      <c r="G35" s="22" t="s">
        <v>2335</v>
      </c>
      <c r="H35" s="21"/>
      <c r="I35" s="145"/>
      <c r="J35" s="25" t="s">
        <v>2562</v>
      </c>
      <c r="K35" s="25" t="s">
        <v>2341</v>
      </c>
      <c r="L35" s="25" t="s">
        <v>2341</v>
      </c>
    </row>
    <row r="36" spans="1:13" s="136" customFormat="1">
      <c r="A36" s="137"/>
      <c r="B36" s="138" t="s">
        <v>548</v>
      </c>
      <c r="C36" s="26" t="s">
        <v>281</v>
      </c>
      <c r="D36" s="9" t="s">
        <v>2629</v>
      </c>
      <c r="E36" s="21" t="s">
        <v>2561</v>
      </c>
      <c r="F36" s="22" t="str">
        <f t="shared" ref="F36:F72" si="1">B36</f>
        <v>ultcpreorderingpacket</v>
      </c>
      <c r="G36" s="22" t="s">
        <v>2335</v>
      </c>
      <c r="H36" s="21"/>
      <c r="I36" s="145"/>
      <c r="J36" s="25" t="s">
        <v>2562</v>
      </c>
      <c r="K36" s="25" t="s">
        <v>2341</v>
      </c>
      <c r="L36" s="25" t="s">
        <v>2341</v>
      </c>
    </row>
    <row r="37" spans="1:13" s="136" customFormat="1">
      <c r="A37" s="137"/>
      <c r="B37" s="138" t="s">
        <v>551</v>
      </c>
      <c r="C37" s="26" t="s">
        <v>281</v>
      </c>
      <c r="D37" s="9" t="s">
        <v>2630</v>
      </c>
      <c r="E37" s="21" t="s">
        <v>2561</v>
      </c>
      <c r="F37" s="22" t="str">
        <f t="shared" si="1"/>
        <v>dltcpreorderingpacket</v>
      </c>
      <c r="G37" s="22" t="s">
        <v>2335</v>
      </c>
      <c r="H37" s="21"/>
      <c r="I37" s="145"/>
      <c r="J37" s="25" t="s">
        <v>2562</v>
      </c>
      <c r="K37" s="25" t="s">
        <v>2341</v>
      </c>
      <c r="L37" s="25" t="s">
        <v>2341</v>
      </c>
    </row>
    <row r="38" spans="1:13" s="136" customFormat="1">
      <c r="A38" s="137"/>
      <c r="B38" s="138" t="s">
        <v>2631</v>
      </c>
      <c r="C38" s="26" t="s">
        <v>281</v>
      </c>
      <c r="D38" s="9" t="s">
        <v>2632</v>
      </c>
      <c r="E38" s="21" t="s">
        <v>2561</v>
      </c>
      <c r="F38" s="22" t="str">
        <f t="shared" si="1"/>
        <v>ultcp_retranspacket</v>
      </c>
      <c r="G38" s="22" t="s">
        <v>2335</v>
      </c>
      <c r="H38" s="21"/>
      <c r="I38" s="145"/>
      <c r="J38" s="25" t="s">
        <v>2562</v>
      </c>
      <c r="K38" s="25" t="s">
        <v>2341</v>
      </c>
      <c r="L38" s="25" t="s">
        <v>2341</v>
      </c>
    </row>
    <row r="39" spans="1:13" s="136" customFormat="1">
      <c r="A39" s="137"/>
      <c r="B39" s="138" t="s">
        <v>2633</v>
      </c>
      <c r="C39" s="26" t="s">
        <v>281</v>
      </c>
      <c r="D39" s="9" t="s">
        <v>2634</v>
      </c>
      <c r="E39" s="21" t="s">
        <v>2561</v>
      </c>
      <c r="F39" s="22" t="str">
        <f t="shared" si="1"/>
        <v>dltcp_retranspacket</v>
      </c>
      <c r="G39" s="22" t="s">
        <v>2335</v>
      </c>
      <c r="H39" s="21"/>
      <c r="I39" s="145"/>
      <c r="J39" s="25" t="s">
        <v>2562</v>
      </c>
      <c r="K39" s="25" t="s">
        <v>2341</v>
      </c>
      <c r="L39" s="25" t="s">
        <v>2341</v>
      </c>
    </row>
    <row r="40" spans="1:13" s="136" customFormat="1">
      <c r="A40" s="137"/>
      <c r="B40" s="138" t="s">
        <v>2635</v>
      </c>
      <c r="C40" s="26" t="s">
        <v>281</v>
      </c>
      <c r="D40" s="9" t="s">
        <v>2636</v>
      </c>
      <c r="E40" s="21" t="s">
        <v>2561</v>
      </c>
      <c r="F40" s="22" t="str">
        <f t="shared" si="1"/>
        <v>tcpsetupresponsedelay</v>
      </c>
      <c r="G40" s="22" t="s">
        <v>2335</v>
      </c>
      <c r="H40" s="21"/>
      <c r="I40" s="145"/>
      <c r="J40" s="25" t="s">
        <v>2562</v>
      </c>
      <c r="K40" s="25" t="s">
        <v>2341</v>
      </c>
      <c r="L40" s="25" t="s">
        <v>2341</v>
      </c>
    </row>
    <row r="41" spans="1:13" s="136" customFormat="1">
      <c r="A41" s="137"/>
      <c r="B41" s="138" t="s">
        <v>2637</v>
      </c>
      <c r="C41" s="26" t="s">
        <v>281</v>
      </c>
      <c r="D41" s="9" t="s">
        <v>2638</v>
      </c>
      <c r="E41" s="21" t="s">
        <v>2561</v>
      </c>
      <c r="F41" s="22" t="str">
        <f t="shared" si="1"/>
        <v>tcpsetupackdelay</v>
      </c>
      <c r="G41" s="22" t="s">
        <v>2335</v>
      </c>
      <c r="H41" s="21"/>
      <c r="I41" s="145"/>
      <c r="J41" s="25" t="s">
        <v>2562</v>
      </c>
      <c r="K41" s="25" t="s">
        <v>2341</v>
      </c>
      <c r="L41" s="25" t="s">
        <v>2341</v>
      </c>
    </row>
    <row r="42" spans="1:13" s="136" customFormat="1">
      <c r="A42" s="137"/>
      <c r="B42" s="138" t="s">
        <v>2639</v>
      </c>
      <c r="C42" s="26" t="s">
        <v>211</v>
      </c>
      <c r="D42" s="9" t="s">
        <v>2640</v>
      </c>
      <c r="E42" s="21" t="s">
        <v>2561</v>
      </c>
      <c r="F42" s="22" t="str">
        <f t="shared" si="1"/>
        <v>tcpconnectstate</v>
      </c>
      <c r="G42" s="22" t="s">
        <v>2335</v>
      </c>
      <c r="H42" s="21"/>
      <c r="I42" s="145"/>
      <c r="J42" s="25" t="s">
        <v>2562</v>
      </c>
      <c r="K42" s="25" t="s">
        <v>2341</v>
      </c>
      <c r="L42" s="25" t="s">
        <v>2341</v>
      </c>
    </row>
    <row r="43" spans="1:13" s="136" customFormat="1">
      <c r="A43" s="137"/>
      <c r="B43" s="138" t="s">
        <v>566</v>
      </c>
      <c r="C43" s="26" t="s">
        <v>281</v>
      </c>
      <c r="D43" s="9" t="s">
        <v>567</v>
      </c>
      <c r="E43" s="21" t="s">
        <v>2561</v>
      </c>
      <c r="F43" s="22" t="str">
        <f t="shared" si="1"/>
        <v>ul_data_transduration</v>
      </c>
      <c r="G43" s="22" t="s">
        <v>2335</v>
      </c>
      <c r="H43" s="21"/>
      <c r="I43" s="145"/>
      <c r="J43" s="25" t="s">
        <v>2562</v>
      </c>
      <c r="K43" s="25" t="s">
        <v>2341</v>
      </c>
      <c r="L43" s="25" t="s">
        <v>2341</v>
      </c>
    </row>
    <row r="44" spans="1:13" s="136" customFormat="1">
      <c r="A44" s="137"/>
      <c r="B44" s="138" t="s">
        <v>2641</v>
      </c>
      <c r="C44" s="26" t="s">
        <v>281</v>
      </c>
      <c r="D44" s="9" t="s">
        <v>570</v>
      </c>
      <c r="E44" s="21" t="s">
        <v>2561</v>
      </c>
      <c r="F44" s="22" t="str">
        <f t="shared" si="1"/>
        <v>dl_datatransduration</v>
      </c>
      <c r="G44" s="22" t="s">
        <v>2335</v>
      </c>
      <c r="H44" s="21"/>
      <c r="I44" s="145"/>
      <c r="J44" s="25" t="s">
        <v>2562</v>
      </c>
      <c r="K44" s="25" t="s">
        <v>2341</v>
      </c>
      <c r="L44" s="25" t="s">
        <v>2341</v>
      </c>
    </row>
    <row r="45" spans="1:13" s="136" customFormat="1">
      <c r="A45" s="137"/>
      <c r="B45" s="138" t="s">
        <v>2642</v>
      </c>
      <c r="C45" s="26" t="s">
        <v>281</v>
      </c>
      <c r="D45" s="9" t="s">
        <v>2643</v>
      </c>
      <c r="E45" s="21" t="s">
        <v>2561</v>
      </c>
      <c r="F45" s="22" t="str">
        <f t="shared" si="1"/>
        <v>ul_average_packet_size</v>
      </c>
      <c r="G45" s="22" t="s">
        <v>2335</v>
      </c>
      <c r="H45" s="21"/>
      <c r="I45" s="145"/>
      <c r="J45" s="25" t="s">
        <v>2562</v>
      </c>
      <c r="K45" s="25" t="s">
        <v>2341</v>
      </c>
      <c r="L45" s="25" t="s">
        <v>2341</v>
      </c>
    </row>
    <row r="46" spans="1:13" s="136" customFormat="1">
      <c r="A46" s="137"/>
      <c r="B46" s="138" t="s">
        <v>2644</v>
      </c>
      <c r="C46" s="26" t="s">
        <v>281</v>
      </c>
      <c r="D46" s="9" t="s">
        <v>2645</v>
      </c>
      <c r="E46" s="21" t="s">
        <v>2561</v>
      </c>
      <c r="F46" s="22" t="str">
        <f t="shared" si="1"/>
        <v>dl_average_packet_size</v>
      </c>
      <c r="G46" s="22" t="s">
        <v>2335</v>
      </c>
      <c r="H46" s="21"/>
      <c r="I46" s="145"/>
      <c r="J46" s="25" t="s">
        <v>2562</v>
      </c>
      <c r="K46" s="25" t="s">
        <v>2341</v>
      </c>
      <c r="L46" s="25" t="s">
        <v>2341</v>
      </c>
    </row>
    <row r="47" spans="1:13" s="136" customFormat="1">
      <c r="A47" s="137"/>
      <c r="B47" s="138" t="s">
        <v>2646</v>
      </c>
      <c r="C47" s="26" t="s">
        <v>281</v>
      </c>
      <c r="D47" s="9" t="s">
        <v>2647</v>
      </c>
      <c r="E47" s="21" t="s">
        <v>2561</v>
      </c>
      <c r="F47" s="22" t="str">
        <f t="shared" si="1"/>
        <v>ul_average_interval</v>
      </c>
      <c r="G47" s="22" t="s">
        <v>2335</v>
      </c>
      <c r="H47" s="21"/>
      <c r="I47" s="145"/>
      <c r="J47" s="25" t="s">
        <v>2562</v>
      </c>
      <c r="K47" s="25" t="s">
        <v>2341</v>
      </c>
      <c r="L47" s="25" t="s">
        <v>2341</v>
      </c>
    </row>
    <row r="48" spans="1:13" s="136" customFormat="1">
      <c r="A48" s="137"/>
      <c r="B48" s="138" t="s">
        <v>2648</v>
      </c>
      <c r="C48" s="26" t="s">
        <v>281</v>
      </c>
      <c r="D48" s="9" t="s">
        <v>2649</v>
      </c>
      <c r="E48" s="21" t="s">
        <v>2561</v>
      </c>
      <c r="F48" s="22" t="str">
        <f t="shared" si="1"/>
        <v>dl_average_interval</v>
      </c>
      <c r="G48" s="22" t="s">
        <v>2335</v>
      </c>
      <c r="H48" s="21"/>
      <c r="I48" s="145"/>
      <c r="J48" s="25" t="s">
        <v>2562</v>
      </c>
      <c r="K48" s="25" t="s">
        <v>2341</v>
      </c>
      <c r="L48" s="25" t="s">
        <v>2341</v>
      </c>
    </row>
    <row r="49" spans="1:12" s="136" customFormat="1">
      <c r="A49" s="137"/>
      <c r="B49" s="138" t="s">
        <v>2650</v>
      </c>
      <c r="C49" s="26" t="s">
        <v>281</v>
      </c>
      <c r="D49" s="9" t="s">
        <v>2651</v>
      </c>
      <c r="E49" s="21" t="s">
        <v>2561</v>
      </c>
      <c r="F49" s="22" t="str">
        <f t="shared" si="1"/>
        <v>ul_average_jitter</v>
      </c>
      <c r="G49" s="22" t="s">
        <v>2335</v>
      </c>
      <c r="H49" s="21"/>
      <c r="I49" s="145"/>
      <c r="J49" s="25" t="s">
        <v>2562</v>
      </c>
      <c r="K49" s="25" t="s">
        <v>2341</v>
      </c>
      <c r="L49" s="25" t="s">
        <v>2341</v>
      </c>
    </row>
    <row r="50" spans="1:12" s="136" customFormat="1">
      <c r="A50" s="137"/>
      <c r="B50" s="138" t="s">
        <v>2652</v>
      </c>
      <c r="C50" s="26" t="s">
        <v>281</v>
      </c>
      <c r="D50" s="9" t="s">
        <v>2653</v>
      </c>
      <c r="E50" s="21" t="s">
        <v>2561</v>
      </c>
      <c r="F50" s="22" t="str">
        <f t="shared" si="1"/>
        <v>dl_average_jitter</v>
      </c>
      <c r="G50" s="22" t="s">
        <v>2335</v>
      </c>
      <c r="H50" s="21"/>
      <c r="I50" s="145"/>
      <c r="J50" s="25" t="s">
        <v>2562</v>
      </c>
      <c r="K50" s="25" t="s">
        <v>2341</v>
      </c>
      <c r="L50" s="25" t="s">
        <v>2341</v>
      </c>
    </row>
    <row r="51" spans="1:12" s="136" customFormat="1">
      <c r="A51" s="137"/>
      <c r="B51" s="138" t="s">
        <v>2654</v>
      </c>
      <c r="C51" s="26" t="s">
        <v>281</v>
      </c>
      <c r="D51" s="9" t="s">
        <v>2655</v>
      </c>
      <c r="E51" s="21" t="s">
        <v>2561</v>
      </c>
      <c r="F51" s="22" t="str">
        <f t="shared" si="1"/>
        <v>flowid</v>
      </c>
      <c r="G51" s="22" t="s">
        <v>2335</v>
      </c>
      <c r="H51" s="21"/>
      <c r="I51" s="145"/>
      <c r="J51" s="25" t="s">
        <v>2562</v>
      </c>
      <c r="K51" s="25" t="s">
        <v>2341</v>
      </c>
      <c r="L51" s="25" t="s">
        <v>2341</v>
      </c>
    </row>
    <row r="52" spans="1:12" s="136" customFormat="1">
      <c r="A52" s="137"/>
      <c r="B52" s="138" t="s">
        <v>254</v>
      </c>
      <c r="C52" s="26" t="s">
        <v>206</v>
      </c>
      <c r="D52" s="9" t="s">
        <v>739</v>
      </c>
      <c r="E52" s="21" t="s">
        <v>2561</v>
      </c>
      <c r="F52" s="22" t="str">
        <f t="shared" si="1"/>
        <v>pei</v>
      </c>
      <c r="G52" s="22" t="s">
        <v>2335</v>
      </c>
      <c r="H52" s="21"/>
      <c r="I52" s="145"/>
      <c r="J52" s="25" t="s">
        <v>2562</v>
      </c>
      <c r="K52" s="25" t="s">
        <v>2341</v>
      </c>
      <c r="L52" s="25" t="s">
        <v>2341</v>
      </c>
    </row>
    <row r="53" spans="1:12" s="136" customFormat="1">
      <c r="A53" s="137"/>
      <c r="B53" s="138" t="s">
        <v>256</v>
      </c>
      <c r="C53" s="26" t="s">
        <v>206</v>
      </c>
      <c r="D53" s="9" t="s">
        <v>743</v>
      </c>
      <c r="E53" s="21" t="s">
        <v>2561</v>
      </c>
      <c r="F53" s="22" t="str">
        <f t="shared" si="1"/>
        <v>dnn_apn</v>
      </c>
      <c r="G53" s="22" t="s">
        <v>2335</v>
      </c>
      <c r="H53" s="21"/>
      <c r="I53" s="145"/>
      <c r="J53" s="25" t="s">
        <v>2562</v>
      </c>
      <c r="K53" s="25" t="s">
        <v>2341</v>
      </c>
      <c r="L53" s="25" t="s">
        <v>2341</v>
      </c>
    </row>
    <row r="54" spans="1:12" s="136" customFormat="1">
      <c r="A54" s="137"/>
      <c r="B54" s="138" t="s">
        <v>260</v>
      </c>
      <c r="C54" s="26" t="s">
        <v>206</v>
      </c>
      <c r="D54" s="9" t="s">
        <v>261</v>
      </c>
      <c r="E54" s="21" t="s">
        <v>2561</v>
      </c>
      <c r="F54" s="22" t="str">
        <f t="shared" si="1"/>
        <v>servicetype</v>
      </c>
      <c r="G54" s="22" t="s">
        <v>2335</v>
      </c>
      <c r="H54" s="21"/>
      <c r="I54" s="145"/>
      <c r="J54" s="25" t="s">
        <v>2562</v>
      </c>
      <c r="K54" s="25" t="s">
        <v>2341</v>
      </c>
      <c r="L54" s="25" t="s">
        <v>2341</v>
      </c>
    </row>
    <row r="55" spans="1:12" s="136" customFormat="1">
      <c r="A55" s="137"/>
      <c r="B55" s="138" t="s">
        <v>2656</v>
      </c>
      <c r="C55" s="26" t="s">
        <v>281</v>
      </c>
      <c r="D55" s="9" t="s">
        <v>2676</v>
      </c>
      <c r="E55" s="21" t="s">
        <v>2561</v>
      </c>
      <c r="F55" s="22" t="str">
        <f t="shared" si="1"/>
        <v>delay_setup_firsttransaction</v>
      </c>
      <c r="G55" s="22" t="s">
        <v>2335</v>
      </c>
      <c r="H55" s="21"/>
      <c r="I55" s="145"/>
      <c r="J55" s="25" t="s">
        <v>2562</v>
      </c>
      <c r="K55" s="25" t="s">
        <v>2341</v>
      </c>
      <c r="L55" s="25" t="s">
        <v>2341</v>
      </c>
    </row>
    <row r="56" spans="1:12" s="136" customFormat="1" ht="26.4">
      <c r="A56" s="137"/>
      <c r="B56" s="138" t="s">
        <v>2658</v>
      </c>
      <c r="C56" s="26" t="s">
        <v>281</v>
      </c>
      <c r="D56" s="9" t="s">
        <v>2677</v>
      </c>
      <c r="E56" s="21" t="s">
        <v>2561</v>
      </c>
      <c r="F56" s="22" t="str">
        <f t="shared" si="1"/>
        <v>delay_firsttransaction_firstrespackt</v>
      </c>
      <c r="G56" s="22" t="s">
        <v>2335</v>
      </c>
      <c r="H56" s="21"/>
      <c r="I56" s="145"/>
      <c r="J56" s="25" t="s">
        <v>2562</v>
      </c>
      <c r="K56" s="25" t="s">
        <v>2341</v>
      </c>
      <c r="L56" s="25" t="s">
        <v>2341</v>
      </c>
    </row>
    <row r="57" spans="1:12" s="136" customFormat="1">
      <c r="A57" s="137"/>
      <c r="B57" s="138" t="s">
        <v>2660</v>
      </c>
      <c r="C57" s="26" t="s">
        <v>211</v>
      </c>
      <c r="D57" s="9" t="s">
        <v>2678</v>
      </c>
      <c r="E57" s="21" t="s">
        <v>2561</v>
      </c>
      <c r="F57" s="22" t="str">
        <f t="shared" si="1"/>
        <v>tcpsynnumber</v>
      </c>
      <c r="G57" s="22" t="s">
        <v>2335</v>
      </c>
      <c r="H57" s="21"/>
      <c r="I57" s="145"/>
      <c r="J57" s="25" t="s">
        <v>2562</v>
      </c>
      <c r="K57" s="25" t="s">
        <v>2341</v>
      </c>
      <c r="L57" s="25" t="s">
        <v>2341</v>
      </c>
    </row>
    <row r="58" spans="1:12" s="136" customFormat="1">
      <c r="A58" s="137"/>
      <c r="B58" s="138" t="s">
        <v>1321</v>
      </c>
      <c r="C58" s="26" t="s">
        <v>281</v>
      </c>
      <c r="D58" s="9" t="s">
        <v>1321</v>
      </c>
      <c r="E58" s="21" t="s">
        <v>2561</v>
      </c>
      <c r="F58" s="22" t="str">
        <f t="shared" si="1"/>
        <v>ul_session_ambr</v>
      </c>
      <c r="G58" s="22" t="s">
        <v>2335</v>
      </c>
      <c r="H58" s="21"/>
      <c r="I58" s="145"/>
      <c r="J58" s="25" t="s">
        <v>2562</v>
      </c>
      <c r="K58" s="25" t="s">
        <v>2341</v>
      </c>
      <c r="L58" s="25" t="s">
        <v>2341</v>
      </c>
    </row>
    <row r="59" spans="1:12" s="136" customFormat="1">
      <c r="A59" s="137"/>
      <c r="B59" s="138" t="s">
        <v>1323</v>
      </c>
      <c r="C59" s="26" t="s">
        <v>281</v>
      </c>
      <c r="D59" s="9" t="s">
        <v>1323</v>
      </c>
      <c r="E59" s="21" t="s">
        <v>2561</v>
      </c>
      <c r="F59" s="22" t="str">
        <f t="shared" si="1"/>
        <v>dl_session_ambr</v>
      </c>
      <c r="G59" s="22" t="s">
        <v>2335</v>
      </c>
      <c r="H59" s="21"/>
      <c r="I59" s="145"/>
      <c r="J59" s="25" t="s">
        <v>2562</v>
      </c>
      <c r="K59" s="25" t="s">
        <v>2341</v>
      </c>
      <c r="L59" s="25" t="s">
        <v>2341</v>
      </c>
    </row>
    <row r="60" spans="1:12" s="136" customFormat="1">
      <c r="A60" s="137"/>
      <c r="B60" s="138" t="s">
        <v>2719</v>
      </c>
      <c r="C60" s="26" t="s">
        <v>211</v>
      </c>
      <c r="D60" s="9" t="s">
        <v>2720</v>
      </c>
      <c r="E60" s="21" t="s">
        <v>2561</v>
      </c>
      <c r="F60" s="22" t="str">
        <f t="shared" si="1"/>
        <v>video_play_success</v>
      </c>
      <c r="G60" s="22" t="s">
        <v>2335</v>
      </c>
      <c r="H60" s="21"/>
      <c r="I60" s="145"/>
      <c r="J60" s="25" t="s">
        <v>2562</v>
      </c>
      <c r="K60" s="25" t="s">
        <v>2341</v>
      </c>
      <c r="L60" s="25" t="s">
        <v>2341</v>
      </c>
    </row>
    <row r="61" spans="1:12" s="136" customFormat="1">
      <c r="A61" s="137"/>
      <c r="B61" s="138" t="s">
        <v>2721</v>
      </c>
      <c r="C61" s="26" t="s">
        <v>281</v>
      </c>
      <c r="D61" s="9" t="s">
        <v>2722</v>
      </c>
      <c r="E61" s="21" t="s">
        <v>2561</v>
      </c>
      <c r="F61" s="22" t="str">
        <f t="shared" si="1"/>
        <v>video_play_wait_time</v>
      </c>
      <c r="G61" s="22" t="s">
        <v>2335</v>
      </c>
      <c r="H61" s="21"/>
      <c r="I61" s="145"/>
      <c r="J61" s="25" t="s">
        <v>2562</v>
      </c>
      <c r="K61" s="25" t="s">
        <v>2341</v>
      </c>
      <c r="L61" s="25" t="s">
        <v>2341</v>
      </c>
    </row>
    <row r="62" spans="1:12" s="136" customFormat="1">
      <c r="A62" s="137"/>
      <c r="B62" s="138" t="s">
        <v>2723</v>
      </c>
      <c r="C62" s="26" t="s">
        <v>281</v>
      </c>
      <c r="D62" s="9" t="s">
        <v>2724</v>
      </c>
      <c r="E62" s="21" t="s">
        <v>2561</v>
      </c>
      <c r="F62" s="22" t="str">
        <f t="shared" si="1"/>
        <v>video_play_halt_count</v>
      </c>
      <c r="G62" s="22" t="s">
        <v>2335</v>
      </c>
      <c r="H62" s="21"/>
      <c r="I62" s="145"/>
      <c r="J62" s="25" t="s">
        <v>2562</v>
      </c>
      <c r="K62" s="25" t="s">
        <v>2341</v>
      </c>
      <c r="L62" s="25" t="s">
        <v>2341</v>
      </c>
    </row>
    <row r="63" spans="1:12" s="136" customFormat="1">
      <c r="A63" s="137"/>
      <c r="B63" s="138" t="s">
        <v>2725</v>
      </c>
      <c r="C63" s="26" t="s">
        <v>281</v>
      </c>
      <c r="D63" s="9" t="s">
        <v>2726</v>
      </c>
      <c r="E63" s="21" t="s">
        <v>2561</v>
      </c>
      <c r="F63" s="22" t="str">
        <f t="shared" si="1"/>
        <v>video_recover_time</v>
      </c>
      <c r="G63" s="22" t="s">
        <v>2335</v>
      </c>
      <c r="H63" s="21"/>
      <c r="I63" s="145"/>
      <c r="J63" s="25" t="s">
        <v>2562</v>
      </c>
      <c r="K63" s="25" t="s">
        <v>2341</v>
      </c>
      <c r="L63" s="25" t="s">
        <v>2341</v>
      </c>
    </row>
    <row r="64" spans="1:12" s="136" customFormat="1">
      <c r="A64" s="137"/>
      <c r="B64" s="138" t="s">
        <v>2727</v>
      </c>
      <c r="C64" s="26" t="s">
        <v>281</v>
      </c>
      <c r="D64" s="9" t="s">
        <v>2728</v>
      </c>
      <c r="E64" s="21" t="s">
        <v>2561</v>
      </c>
      <c r="F64" s="22" t="str">
        <f t="shared" si="1"/>
        <v>first_data_pkg_time</v>
      </c>
      <c r="G64" s="22" t="s">
        <v>2335</v>
      </c>
      <c r="H64" s="21"/>
      <c r="I64" s="145"/>
      <c r="J64" s="25" t="s">
        <v>2562</v>
      </c>
      <c r="K64" s="25" t="s">
        <v>2341</v>
      </c>
      <c r="L64" s="25" t="s">
        <v>2341</v>
      </c>
    </row>
    <row r="65" spans="1:17" s="136" customFormat="1">
      <c r="A65" s="137"/>
      <c r="B65" s="138" t="s">
        <v>2729</v>
      </c>
      <c r="C65" s="26" t="s">
        <v>281</v>
      </c>
      <c r="D65" s="9" t="s">
        <v>2730</v>
      </c>
      <c r="E65" s="21" t="s">
        <v>2561</v>
      </c>
      <c r="F65" s="22" t="str">
        <f t="shared" si="1"/>
        <v>last_data_pkg_time</v>
      </c>
      <c r="G65" s="22" t="s">
        <v>2335</v>
      </c>
      <c r="H65" s="21"/>
      <c r="I65" s="145"/>
      <c r="J65" s="25" t="s">
        <v>2562</v>
      </c>
      <c r="K65" s="25" t="s">
        <v>2341</v>
      </c>
      <c r="L65" s="25" t="s">
        <v>2341</v>
      </c>
    </row>
    <row r="66" spans="1:17" s="136" customFormat="1">
      <c r="A66" s="137"/>
      <c r="B66" s="138" t="s">
        <v>2731</v>
      </c>
      <c r="C66" s="26" t="s">
        <v>281</v>
      </c>
      <c r="D66" s="9" t="s">
        <v>2732</v>
      </c>
      <c r="E66" s="21" t="s">
        <v>2561</v>
      </c>
      <c r="F66" s="22" t="str">
        <f t="shared" si="1"/>
        <v>video_size</v>
      </c>
      <c r="G66" s="22" t="s">
        <v>2335</v>
      </c>
      <c r="H66" s="21"/>
      <c r="I66" s="145"/>
      <c r="J66" s="25" t="s">
        <v>2562</v>
      </c>
      <c r="K66" s="25" t="s">
        <v>2341</v>
      </c>
      <c r="L66" s="25" t="s">
        <v>2341</v>
      </c>
    </row>
    <row r="67" spans="1:17" s="136" customFormat="1">
      <c r="A67" s="137"/>
      <c r="B67" s="138" t="s">
        <v>2733</v>
      </c>
      <c r="C67" s="26" t="s">
        <v>281</v>
      </c>
      <c r="D67" s="9" t="s">
        <v>2734</v>
      </c>
      <c r="E67" s="21" t="s">
        <v>2561</v>
      </c>
      <c r="F67" s="22" t="str">
        <f t="shared" si="1"/>
        <v>video_throughput</v>
      </c>
      <c r="G67" s="22" t="s">
        <v>2335</v>
      </c>
      <c r="H67" s="21"/>
      <c r="I67" s="145"/>
      <c r="J67" s="25" t="s">
        <v>2562</v>
      </c>
      <c r="K67" s="25" t="s">
        <v>2341</v>
      </c>
      <c r="L67" s="25" t="s">
        <v>2341</v>
      </c>
    </row>
    <row r="68" spans="1:17" s="136" customFormat="1">
      <c r="A68" s="137"/>
      <c r="B68" s="138" t="s">
        <v>2735</v>
      </c>
      <c r="C68" s="26" t="s">
        <v>281</v>
      </c>
      <c r="D68" s="9" t="s">
        <v>2736</v>
      </c>
      <c r="E68" s="21" t="s">
        <v>2561</v>
      </c>
      <c r="F68" s="22" t="str">
        <f t="shared" si="1"/>
        <v>video_bit_rate</v>
      </c>
      <c r="G68" s="22" t="s">
        <v>2335</v>
      </c>
      <c r="H68" s="21"/>
      <c r="I68" s="145"/>
      <c r="J68" s="25" t="s">
        <v>2562</v>
      </c>
      <c r="K68" s="25" t="s">
        <v>2341</v>
      </c>
      <c r="L68" s="25" t="s">
        <v>2341</v>
      </c>
    </row>
    <row r="69" spans="1:17" s="136" customFormat="1">
      <c r="A69" s="137"/>
      <c r="B69" s="138" t="s">
        <v>2737</v>
      </c>
      <c r="C69" s="26" t="s">
        <v>281</v>
      </c>
      <c r="D69" s="9" t="s">
        <v>2738</v>
      </c>
      <c r="E69" s="21" t="s">
        <v>2561</v>
      </c>
      <c r="F69" s="22" t="str">
        <f t="shared" si="1"/>
        <v>video_cache_throughput</v>
      </c>
      <c r="G69" s="22" t="s">
        <v>2335</v>
      </c>
      <c r="H69" s="21"/>
      <c r="I69" s="145"/>
      <c r="J69" s="25" t="s">
        <v>2562</v>
      </c>
      <c r="K69" s="25" t="s">
        <v>2341</v>
      </c>
      <c r="L69" s="25" t="s">
        <v>2341</v>
      </c>
    </row>
    <row r="70" spans="1:17" s="136" customFormat="1">
      <c r="A70" s="137"/>
      <c r="B70" s="138" t="s">
        <v>2739</v>
      </c>
      <c r="C70" s="26" t="s">
        <v>281</v>
      </c>
      <c r="D70" s="9" t="s">
        <v>2740</v>
      </c>
      <c r="E70" s="21" t="s">
        <v>2561</v>
      </c>
      <c r="F70" s="22" t="str">
        <f t="shared" si="1"/>
        <v>video_resolution_level</v>
      </c>
      <c r="G70" s="22" t="s">
        <v>2335</v>
      </c>
      <c r="H70" s="21"/>
      <c r="I70" s="145"/>
      <c r="J70" s="25" t="s">
        <v>2562</v>
      </c>
      <c r="K70" s="25" t="s">
        <v>2341</v>
      </c>
      <c r="L70" s="25" t="s">
        <v>2341</v>
      </c>
    </row>
    <row r="71" spans="1:17" s="136" customFormat="1">
      <c r="A71" s="137"/>
      <c r="B71" s="138" t="s">
        <v>2741</v>
      </c>
      <c r="C71" s="26" t="s">
        <v>281</v>
      </c>
      <c r="D71" s="9" t="s">
        <v>2742</v>
      </c>
      <c r="E71" s="21" t="s">
        <v>2561</v>
      </c>
      <c r="F71" s="22" t="str">
        <f t="shared" si="1"/>
        <v>video_fluency_level</v>
      </c>
      <c r="G71" s="22" t="s">
        <v>2335</v>
      </c>
      <c r="H71" s="21"/>
      <c r="I71" s="145"/>
      <c r="J71" s="25" t="s">
        <v>2562</v>
      </c>
      <c r="K71" s="25" t="s">
        <v>2341</v>
      </c>
      <c r="L71" s="25" t="s">
        <v>2341</v>
      </c>
    </row>
    <row r="72" spans="1:17" s="136" customFormat="1">
      <c r="A72" s="137"/>
      <c r="B72" s="138" t="s">
        <v>2743</v>
      </c>
      <c r="C72" s="26" t="s">
        <v>206</v>
      </c>
      <c r="D72" s="9" t="s">
        <v>2744</v>
      </c>
      <c r="E72" s="21" t="s">
        <v>2561</v>
      </c>
      <c r="F72" s="22" t="str">
        <f t="shared" si="1"/>
        <v>video_resolution</v>
      </c>
      <c r="G72" s="22" t="s">
        <v>2335</v>
      </c>
      <c r="H72" s="21"/>
      <c r="I72" s="145"/>
      <c r="J72" s="25" t="s">
        <v>2562</v>
      </c>
      <c r="K72" s="25" t="s">
        <v>2341</v>
      </c>
      <c r="L72" s="25" t="s">
        <v>2341</v>
      </c>
    </row>
    <row r="73" spans="1:17" s="2" customFormat="1">
      <c r="B73" s="14" t="s">
        <v>222</v>
      </c>
      <c r="C73" s="15" t="s">
        <v>211</v>
      </c>
      <c r="D73" s="16" t="s">
        <v>344</v>
      </c>
      <c r="E73" s="69"/>
      <c r="F73" s="14"/>
      <c r="G73" s="14"/>
      <c r="H73" s="14"/>
      <c r="I73" s="123"/>
      <c r="J73" s="14"/>
      <c r="K73" s="14"/>
      <c r="L73" s="14"/>
      <c r="M73" s="14"/>
      <c r="N73" s="14"/>
      <c r="O73" s="14"/>
      <c r="P73" s="14"/>
      <c r="Q73" s="14"/>
    </row>
    <row r="74" spans="1:17" s="2" customFormat="1">
      <c r="B74" s="14" t="s">
        <v>0</v>
      </c>
      <c r="C74" s="15" t="s">
        <v>206</v>
      </c>
      <c r="D74" s="16" t="s">
        <v>345</v>
      </c>
      <c r="E74" s="69"/>
      <c r="F74" s="14"/>
      <c r="G74" s="14"/>
      <c r="H74" s="14"/>
      <c r="I74" s="123"/>
      <c r="J74" s="14"/>
      <c r="K74" s="14"/>
      <c r="L74" s="14"/>
      <c r="M74" s="14"/>
      <c r="N74" s="14"/>
      <c r="O74" s="14"/>
      <c r="P74" s="14"/>
      <c r="Q74" s="14"/>
    </row>
    <row r="75" spans="1:17" s="2" customFormat="1">
      <c r="B75" s="14" t="s">
        <v>1</v>
      </c>
      <c r="C75" s="15" t="s">
        <v>211</v>
      </c>
      <c r="D75" s="16" t="s">
        <v>346</v>
      </c>
      <c r="E75" s="69"/>
      <c r="F75" s="14"/>
      <c r="G75" s="14"/>
      <c r="H75" s="14"/>
      <c r="I75" s="123"/>
      <c r="J75" s="14"/>
      <c r="K75" s="14"/>
      <c r="L75" s="14"/>
      <c r="M75" s="14"/>
      <c r="N75" s="14"/>
      <c r="O75" s="14"/>
      <c r="P75" s="14"/>
      <c r="Q75" s="14"/>
    </row>
  </sheetData>
  <autoFilter ref="A13:Q75" xr:uid="{00000000-0009-0000-0000-000003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7B28-6149-4115-BF04-3DD57A5B39D7}">
  <dimension ref="A1:Q61"/>
  <sheetViews>
    <sheetView zoomScale="85" zoomScaleNormal="85" workbookViewId="0">
      <pane ySplit="5" topLeftCell="A6" activePane="bottomLeft" state="frozen"/>
      <selection activeCell="C18" sqref="C18"/>
      <selection pane="bottomLeft" activeCell="B16" sqref="B16"/>
    </sheetView>
  </sheetViews>
  <sheetFormatPr defaultColWidth="9" defaultRowHeight="13.2"/>
  <cols>
    <col min="1" max="1" width="1.33203125" style="3" customWidth="1"/>
    <col min="2" max="2" width="23.6640625" style="3" customWidth="1"/>
    <col min="3" max="3" width="26.88671875" style="3" bestFit="1"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58"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c r="C5" s="145" t="s">
        <v>2546</v>
      </c>
      <c r="D5" s="145" t="s">
        <v>2589</v>
      </c>
      <c r="E5" s="12" t="s">
        <v>2547</v>
      </c>
      <c r="F5" s="61"/>
      <c r="G5" s="9"/>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145" t="s">
        <v>2590</v>
      </c>
      <c r="D9" s="10" t="s">
        <v>2591</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214</v>
      </c>
      <c r="C14" s="13" t="s">
        <v>211</v>
      </c>
      <c r="D14" s="9" t="s">
        <v>1232</v>
      </c>
      <c r="E14" s="21" t="s">
        <v>2561</v>
      </c>
      <c r="F14" s="22" t="str">
        <f>B14</f>
        <v>interface</v>
      </c>
      <c r="G14" s="22" t="s">
        <v>2335</v>
      </c>
      <c r="H14" s="23"/>
      <c r="I14" s="64"/>
      <c r="J14" s="25" t="s">
        <v>2562</v>
      </c>
      <c r="K14" s="25" t="s">
        <v>2341</v>
      </c>
      <c r="L14" s="25" t="s">
        <v>2341</v>
      </c>
    </row>
    <row r="15" spans="1:14" s="1" customFormat="1">
      <c r="B15" s="13" t="s">
        <v>249</v>
      </c>
      <c r="C15" s="13" t="s">
        <v>206</v>
      </c>
      <c r="D15" s="9" t="s">
        <v>2605</v>
      </c>
      <c r="E15" s="21" t="s">
        <v>2561</v>
      </c>
      <c r="F15" s="22" t="str">
        <f t="shared" ref="F15:F35" si="0">B15</f>
        <v>supi</v>
      </c>
      <c r="G15" s="22" t="s">
        <v>2335</v>
      </c>
      <c r="H15" s="23"/>
      <c r="I15" s="64"/>
      <c r="J15" s="25" t="s">
        <v>2562</v>
      </c>
      <c r="K15" s="25" t="s">
        <v>2341</v>
      </c>
      <c r="L15" s="25" t="s">
        <v>2341</v>
      </c>
    </row>
    <row r="16" spans="1:14" s="1" customFormat="1">
      <c r="A16" s="132"/>
      <c r="B16" s="13" t="s">
        <v>251</v>
      </c>
      <c r="C16" s="13" t="s">
        <v>206</v>
      </c>
      <c r="D16" s="9" t="s">
        <v>252</v>
      </c>
      <c r="E16" s="21" t="s">
        <v>2561</v>
      </c>
      <c r="F16" s="22" t="str">
        <f t="shared" si="0"/>
        <v>msisdn</v>
      </c>
      <c r="G16" s="22" t="s">
        <v>2335</v>
      </c>
      <c r="H16" s="23"/>
      <c r="I16" s="64"/>
      <c r="J16" s="25" t="s">
        <v>2562</v>
      </c>
      <c r="K16" s="25" t="s">
        <v>2341</v>
      </c>
      <c r="L16" s="25" t="s">
        <v>2341</v>
      </c>
    </row>
    <row r="17" spans="1:13" s="1" customFormat="1">
      <c r="A17" s="132"/>
      <c r="B17" s="13" t="s">
        <v>2606</v>
      </c>
      <c r="C17" s="13" t="s">
        <v>206</v>
      </c>
      <c r="D17" s="9" t="s">
        <v>2607</v>
      </c>
      <c r="E17" s="21" t="s">
        <v>2561</v>
      </c>
      <c r="F17" s="22" t="str">
        <f t="shared" si="0"/>
        <v>destinationip</v>
      </c>
      <c r="G17" s="22" t="s">
        <v>2335</v>
      </c>
      <c r="H17" s="23"/>
      <c r="I17" s="64"/>
      <c r="J17" s="25" t="s">
        <v>2562</v>
      </c>
      <c r="K17" s="25" t="s">
        <v>2341</v>
      </c>
      <c r="L17" s="25" t="s">
        <v>2341</v>
      </c>
    </row>
    <row r="18" spans="1:13" s="1" customFormat="1">
      <c r="A18" s="132"/>
      <c r="B18" s="13" t="s">
        <v>2608</v>
      </c>
      <c r="C18" s="13" t="s">
        <v>211</v>
      </c>
      <c r="D18" s="9" t="s">
        <v>2609</v>
      </c>
      <c r="E18" s="21" t="s">
        <v>2561</v>
      </c>
      <c r="F18" s="22" t="str">
        <f t="shared" si="0"/>
        <v>destinationport</v>
      </c>
      <c r="G18" s="22" t="s">
        <v>2335</v>
      </c>
      <c r="H18" s="23"/>
      <c r="I18" s="64"/>
      <c r="J18" s="25" t="s">
        <v>2562</v>
      </c>
      <c r="K18" s="25" t="s">
        <v>2341</v>
      </c>
      <c r="L18" s="25" t="s">
        <v>2341</v>
      </c>
    </row>
    <row r="19" spans="1:13" s="1" customFormat="1">
      <c r="A19" s="132"/>
      <c r="B19" s="12" t="s">
        <v>2610</v>
      </c>
      <c r="C19" s="13" t="s">
        <v>206</v>
      </c>
      <c r="D19" s="9" t="s">
        <v>2611</v>
      </c>
      <c r="E19" s="21" t="s">
        <v>2561</v>
      </c>
      <c r="F19" s="22" t="str">
        <f t="shared" si="0"/>
        <v>sourceip</v>
      </c>
      <c r="G19" s="22" t="s">
        <v>2335</v>
      </c>
      <c r="H19" s="23"/>
      <c r="I19" s="64"/>
      <c r="J19" s="25" t="s">
        <v>2562</v>
      </c>
      <c r="K19" s="25" t="s">
        <v>2341</v>
      </c>
      <c r="L19" s="25" t="s">
        <v>2341</v>
      </c>
    </row>
    <row r="20" spans="1:13" s="1" customFormat="1">
      <c r="A20" s="132"/>
      <c r="B20" s="12" t="s">
        <v>2612</v>
      </c>
      <c r="C20" s="13" t="s">
        <v>211</v>
      </c>
      <c r="D20" s="9" t="s">
        <v>2613</v>
      </c>
      <c r="E20" s="21" t="s">
        <v>2561</v>
      </c>
      <c r="F20" s="22" t="str">
        <f t="shared" si="0"/>
        <v>sourceport</v>
      </c>
      <c r="G20" s="22" t="s">
        <v>2335</v>
      </c>
      <c r="H20" s="23"/>
      <c r="I20" s="64"/>
      <c r="J20" s="25" t="s">
        <v>2562</v>
      </c>
      <c r="K20" s="25" t="s">
        <v>2341</v>
      </c>
      <c r="L20" s="25" t="s">
        <v>2341</v>
      </c>
    </row>
    <row r="21" spans="1:13" s="1" customFormat="1">
      <c r="A21" s="132"/>
      <c r="B21" s="12" t="s">
        <v>258</v>
      </c>
      <c r="C21" s="13" t="s">
        <v>206</v>
      </c>
      <c r="D21" s="9" t="s">
        <v>259</v>
      </c>
      <c r="E21" s="21" t="s">
        <v>2561</v>
      </c>
      <c r="F21" s="22" t="str">
        <f t="shared" si="0"/>
        <v>upfip</v>
      </c>
      <c r="G21" s="22" t="s">
        <v>2335</v>
      </c>
      <c r="H21" s="23"/>
      <c r="I21" s="64"/>
      <c r="J21" s="25" t="s">
        <v>2562</v>
      </c>
      <c r="K21" s="25" t="s">
        <v>2341</v>
      </c>
      <c r="L21" s="25" t="s">
        <v>2341</v>
      </c>
    </row>
    <row r="22" spans="1:13" s="1" customFormat="1">
      <c r="A22" s="132"/>
      <c r="B22" s="12" t="s">
        <v>2614</v>
      </c>
      <c r="C22" s="13" t="s">
        <v>206</v>
      </c>
      <c r="D22" s="9" t="s">
        <v>2615</v>
      </c>
      <c r="E22" s="21" t="s">
        <v>2561</v>
      </c>
      <c r="F22" s="22" t="str">
        <f t="shared" si="0"/>
        <v>ncgi_ecgi</v>
      </c>
      <c r="G22" s="22" t="s">
        <v>2335</v>
      </c>
      <c r="H22" s="23"/>
      <c r="I22" s="64"/>
      <c r="J22" s="25" t="s">
        <v>2562</v>
      </c>
      <c r="K22" s="25" t="s">
        <v>2341</v>
      </c>
      <c r="L22" s="25" t="s">
        <v>2341</v>
      </c>
    </row>
    <row r="23" spans="1:13" s="1" customFormat="1">
      <c r="A23" s="132"/>
      <c r="B23" s="12" t="s">
        <v>2616</v>
      </c>
      <c r="C23" s="12" t="s">
        <v>211</v>
      </c>
      <c r="D23" s="9" t="s">
        <v>2617</v>
      </c>
      <c r="E23" s="21" t="s">
        <v>2561</v>
      </c>
      <c r="F23" s="22" t="str">
        <f t="shared" si="0"/>
        <v>protocolid</v>
      </c>
      <c r="G23" s="22" t="s">
        <v>2335</v>
      </c>
      <c r="H23" s="23"/>
      <c r="I23" s="64"/>
      <c r="J23" s="25" t="s">
        <v>2562</v>
      </c>
      <c r="K23" s="25" t="s">
        <v>2341</v>
      </c>
      <c r="L23" s="25" t="s">
        <v>2341</v>
      </c>
    </row>
    <row r="24" spans="1:13" s="1" customFormat="1">
      <c r="A24" s="132"/>
      <c r="B24" s="12" t="s">
        <v>2618</v>
      </c>
      <c r="C24" s="12" t="s">
        <v>206</v>
      </c>
      <c r="D24" s="9" t="s">
        <v>2619</v>
      </c>
      <c r="E24" s="21" t="s">
        <v>2561</v>
      </c>
      <c r="F24" s="22" t="str">
        <f t="shared" si="0"/>
        <v>starttime</v>
      </c>
      <c r="G24" s="22" t="s">
        <v>2335</v>
      </c>
      <c r="H24" s="23"/>
      <c r="I24" s="64"/>
      <c r="J24" s="25" t="s">
        <v>2562</v>
      </c>
      <c r="K24" s="25" t="s">
        <v>2341</v>
      </c>
      <c r="L24" s="25" t="s">
        <v>2341</v>
      </c>
    </row>
    <row r="25" spans="1:13" s="1" customFormat="1">
      <c r="A25" s="132"/>
      <c r="B25" s="12" t="s">
        <v>2620</v>
      </c>
      <c r="C25" s="12" t="s">
        <v>206</v>
      </c>
      <c r="D25" s="9" t="s">
        <v>2621</v>
      </c>
      <c r="E25" s="21" t="s">
        <v>2561</v>
      </c>
      <c r="F25" s="22" t="str">
        <f t="shared" si="0"/>
        <v>endtime</v>
      </c>
      <c r="G25" s="22" t="s">
        <v>2335</v>
      </c>
      <c r="H25" s="23"/>
      <c r="I25" s="64"/>
      <c r="J25" s="25" t="s">
        <v>2562</v>
      </c>
      <c r="K25" s="25" t="s">
        <v>2341</v>
      </c>
      <c r="L25" s="25" t="s">
        <v>2341</v>
      </c>
    </row>
    <row r="26" spans="1:13" s="1" customFormat="1">
      <c r="A26" s="132"/>
      <c r="B26" s="12" t="s">
        <v>468</v>
      </c>
      <c r="C26" s="12" t="s">
        <v>281</v>
      </c>
      <c r="D26" s="9" t="s">
        <v>2622</v>
      </c>
      <c r="E26" s="21" t="s">
        <v>2561</v>
      </c>
      <c r="F26" s="22" t="str">
        <f t="shared" si="0"/>
        <v>duration</v>
      </c>
      <c r="G26" s="22" t="s">
        <v>2335</v>
      </c>
      <c r="H26" s="23"/>
      <c r="I26" s="64"/>
      <c r="J26" s="25" t="s">
        <v>2562</v>
      </c>
      <c r="K26" s="25" t="s">
        <v>2341</v>
      </c>
      <c r="L26" s="25" t="s">
        <v>2341</v>
      </c>
    </row>
    <row r="27" spans="1:13" s="1" customFormat="1">
      <c r="B27" s="13" t="s">
        <v>539</v>
      </c>
      <c r="C27" s="12" t="s">
        <v>281</v>
      </c>
      <c r="D27" s="9" t="s">
        <v>2623</v>
      </c>
      <c r="E27" s="21" t="s">
        <v>2561</v>
      </c>
      <c r="F27" s="22" t="str">
        <f t="shared" si="0"/>
        <v>inputoctets</v>
      </c>
      <c r="G27" s="22" t="s">
        <v>2335</v>
      </c>
      <c r="H27" s="23"/>
      <c r="I27" s="64"/>
      <c r="J27" s="25" t="s">
        <v>2562</v>
      </c>
      <c r="K27" s="25" t="s">
        <v>2341</v>
      </c>
      <c r="L27" s="25" t="s">
        <v>2341</v>
      </c>
    </row>
    <row r="28" spans="1:13" s="3" customFormat="1">
      <c r="B28" s="13" t="s">
        <v>535</v>
      </c>
      <c r="C28" s="13" t="s">
        <v>281</v>
      </c>
      <c r="D28" s="9" t="s">
        <v>2624</v>
      </c>
      <c r="E28" s="21" t="s">
        <v>2561</v>
      </c>
      <c r="F28" s="22" t="str">
        <f t="shared" si="0"/>
        <v>outputoctets</v>
      </c>
      <c r="G28" s="22" t="s">
        <v>2335</v>
      </c>
      <c r="H28" s="21"/>
      <c r="I28" s="64"/>
      <c r="J28" s="25" t="s">
        <v>2562</v>
      </c>
      <c r="K28" s="25" t="s">
        <v>2341</v>
      </c>
      <c r="L28" s="25" t="s">
        <v>2341</v>
      </c>
    </row>
    <row r="29" spans="1:13" s="136" customFormat="1">
      <c r="A29" s="137"/>
      <c r="B29" s="138" t="s">
        <v>542</v>
      </c>
      <c r="C29" s="13" t="s">
        <v>281</v>
      </c>
      <c r="D29" s="9" t="s">
        <v>543</v>
      </c>
      <c r="E29" s="21" t="s">
        <v>2561</v>
      </c>
      <c r="F29" s="22" t="str">
        <f t="shared" si="0"/>
        <v>inputpacket</v>
      </c>
      <c r="G29" s="22" t="s">
        <v>2335</v>
      </c>
      <c r="H29" s="23"/>
      <c r="I29" s="64"/>
      <c r="J29" s="25" t="s">
        <v>2562</v>
      </c>
      <c r="K29" s="25" t="s">
        <v>2341</v>
      </c>
      <c r="L29" s="25" t="s">
        <v>2341</v>
      </c>
      <c r="M29" s="1"/>
    </row>
    <row r="30" spans="1:13" s="136" customFormat="1">
      <c r="A30" s="137"/>
      <c r="B30" s="138" t="s">
        <v>545</v>
      </c>
      <c r="C30" s="13" t="s">
        <v>281</v>
      </c>
      <c r="D30" s="9" t="s">
        <v>546</v>
      </c>
      <c r="E30" s="21" t="s">
        <v>2561</v>
      </c>
      <c r="F30" s="22" t="str">
        <f t="shared" si="0"/>
        <v>outputpacket</v>
      </c>
      <c r="G30" s="22" t="s">
        <v>2335</v>
      </c>
      <c r="H30" s="23"/>
      <c r="I30" s="64"/>
      <c r="J30" s="25" t="s">
        <v>2562</v>
      </c>
      <c r="K30" s="25" t="s">
        <v>2341</v>
      </c>
      <c r="L30" s="25" t="s">
        <v>2341</v>
      </c>
      <c r="M30" s="1"/>
    </row>
    <row r="31" spans="1:13" s="136" customFormat="1">
      <c r="A31" s="137"/>
      <c r="B31" s="138" t="s">
        <v>2625</v>
      </c>
      <c r="C31" s="13" t="s">
        <v>206</v>
      </c>
      <c r="D31" s="9" t="s">
        <v>2626</v>
      </c>
      <c r="E31" s="21" t="s">
        <v>2561</v>
      </c>
      <c r="F31" s="22" t="str">
        <f t="shared" si="0"/>
        <v>pduconnectionid</v>
      </c>
      <c r="G31" s="22" t="s">
        <v>2335</v>
      </c>
      <c r="H31" s="23"/>
      <c r="I31" s="64"/>
      <c r="J31" s="25" t="s">
        <v>2562</v>
      </c>
      <c r="K31" s="25" t="s">
        <v>2341</v>
      </c>
      <c r="L31" s="25" t="s">
        <v>2341</v>
      </c>
      <c r="M31" s="1"/>
    </row>
    <row r="32" spans="1:13" s="136" customFormat="1">
      <c r="A32" s="137"/>
      <c r="B32" s="138" t="s">
        <v>2627</v>
      </c>
      <c r="C32" s="13" t="s">
        <v>211</v>
      </c>
      <c r="D32" s="9" t="s">
        <v>2628</v>
      </c>
      <c r="E32" s="21" t="s">
        <v>2561</v>
      </c>
      <c r="F32" s="22" t="str">
        <f t="shared" si="0"/>
        <v>recordclosecause</v>
      </c>
      <c r="G32" s="22" t="s">
        <v>2335</v>
      </c>
      <c r="H32" s="64"/>
      <c r="I32" s="64"/>
      <c r="J32" s="25" t="s">
        <v>2562</v>
      </c>
      <c r="K32" s="25" t="s">
        <v>2341</v>
      </c>
      <c r="L32" s="25" t="s">
        <v>2341</v>
      </c>
    </row>
    <row r="33" spans="1:13" s="136" customFormat="1">
      <c r="A33" s="137"/>
      <c r="B33" s="138" t="s">
        <v>262</v>
      </c>
      <c r="C33" s="13" t="s">
        <v>206</v>
      </c>
      <c r="D33" s="9" t="s">
        <v>263</v>
      </c>
      <c r="E33" s="21" t="s">
        <v>2561</v>
      </c>
      <c r="F33" s="22" t="str">
        <f t="shared" si="0"/>
        <v>gnbip</v>
      </c>
      <c r="G33" s="22" t="s">
        <v>2335</v>
      </c>
      <c r="H33" s="23"/>
      <c r="I33" s="64"/>
      <c r="J33" s="25" t="s">
        <v>2562</v>
      </c>
      <c r="K33" s="25" t="s">
        <v>2341</v>
      </c>
      <c r="L33" s="25" t="s">
        <v>2341</v>
      </c>
      <c r="M33" s="1"/>
    </row>
    <row r="34" spans="1:13" s="136" customFormat="1">
      <c r="A34" s="137"/>
      <c r="B34" s="138" t="s">
        <v>264</v>
      </c>
      <c r="C34" s="13" t="s">
        <v>206</v>
      </c>
      <c r="D34" s="9" t="s">
        <v>265</v>
      </c>
      <c r="E34" s="21" t="s">
        <v>2561</v>
      </c>
      <c r="F34" s="22" t="str">
        <f t="shared" si="0"/>
        <v>home_province</v>
      </c>
      <c r="G34" s="22" t="s">
        <v>2335</v>
      </c>
      <c r="H34" s="21"/>
      <c r="I34" s="145"/>
      <c r="J34" s="25" t="s">
        <v>2562</v>
      </c>
      <c r="K34" s="25" t="s">
        <v>2341</v>
      </c>
      <c r="L34" s="25" t="s">
        <v>2341</v>
      </c>
    </row>
    <row r="35" spans="1:13" s="136" customFormat="1">
      <c r="A35" s="137"/>
      <c r="B35" s="138" t="s">
        <v>270</v>
      </c>
      <c r="C35" s="13" t="s">
        <v>211</v>
      </c>
      <c r="D35" s="9" t="s">
        <v>745</v>
      </c>
      <c r="E35" s="21" t="s">
        <v>2561</v>
      </c>
      <c r="F35" s="22" t="str">
        <f t="shared" si="0"/>
        <v>l4protocol</v>
      </c>
      <c r="G35" s="22" t="s">
        <v>2335</v>
      </c>
      <c r="H35" s="21"/>
      <c r="I35" s="145"/>
      <c r="J35" s="25" t="s">
        <v>2562</v>
      </c>
      <c r="K35" s="25" t="s">
        <v>2341</v>
      </c>
      <c r="L35" s="25" t="s">
        <v>2341</v>
      </c>
    </row>
    <row r="36" spans="1:13" s="136" customFormat="1">
      <c r="A36" s="137"/>
      <c r="B36" s="138" t="s">
        <v>548</v>
      </c>
      <c r="C36" s="26" t="s">
        <v>281</v>
      </c>
      <c r="D36" s="9" t="s">
        <v>2629</v>
      </c>
      <c r="E36" s="21" t="s">
        <v>2561</v>
      </c>
      <c r="F36" s="22" t="str">
        <f t="shared" ref="F36:F58" si="1">B36</f>
        <v>ultcpreorderingpacket</v>
      </c>
      <c r="G36" s="22" t="s">
        <v>2335</v>
      </c>
      <c r="H36" s="21"/>
      <c r="I36" s="145"/>
      <c r="J36" s="25" t="s">
        <v>2562</v>
      </c>
      <c r="K36" s="25" t="s">
        <v>2341</v>
      </c>
      <c r="L36" s="25" t="s">
        <v>2341</v>
      </c>
    </row>
    <row r="37" spans="1:13" s="136" customFormat="1">
      <c r="A37" s="137"/>
      <c r="B37" s="138" t="s">
        <v>551</v>
      </c>
      <c r="C37" s="26" t="s">
        <v>281</v>
      </c>
      <c r="D37" s="9" t="s">
        <v>2630</v>
      </c>
      <c r="E37" s="21" t="s">
        <v>2561</v>
      </c>
      <c r="F37" s="22" t="str">
        <f t="shared" si="1"/>
        <v>dltcpreorderingpacket</v>
      </c>
      <c r="G37" s="22" t="s">
        <v>2335</v>
      </c>
      <c r="H37" s="21"/>
      <c r="I37" s="145"/>
      <c r="J37" s="25" t="s">
        <v>2562</v>
      </c>
      <c r="K37" s="25" t="s">
        <v>2341</v>
      </c>
      <c r="L37" s="25" t="s">
        <v>2341</v>
      </c>
    </row>
    <row r="38" spans="1:13" s="136" customFormat="1">
      <c r="A38" s="137"/>
      <c r="B38" s="138" t="s">
        <v>2631</v>
      </c>
      <c r="C38" s="26" t="s">
        <v>281</v>
      </c>
      <c r="D38" s="9" t="s">
        <v>2632</v>
      </c>
      <c r="E38" s="21" t="s">
        <v>2561</v>
      </c>
      <c r="F38" s="22" t="str">
        <f t="shared" si="1"/>
        <v>ultcp_retranspacket</v>
      </c>
      <c r="G38" s="22" t="s">
        <v>2335</v>
      </c>
      <c r="H38" s="21"/>
      <c r="I38" s="145"/>
      <c r="J38" s="25" t="s">
        <v>2562</v>
      </c>
      <c r="K38" s="25" t="s">
        <v>2341</v>
      </c>
      <c r="L38" s="25" t="s">
        <v>2341</v>
      </c>
    </row>
    <row r="39" spans="1:13" s="136" customFormat="1">
      <c r="A39" s="137"/>
      <c r="B39" s="138" t="s">
        <v>2633</v>
      </c>
      <c r="C39" s="26" t="s">
        <v>281</v>
      </c>
      <c r="D39" s="9" t="s">
        <v>2634</v>
      </c>
      <c r="E39" s="21" t="s">
        <v>2561</v>
      </c>
      <c r="F39" s="22" t="str">
        <f t="shared" si="1"/>
        <v>dltcp_retranspacket</v>
      </c>
      <c r="G39" s="22" t="s">
        <v>2335</v>
      </c>
      <c r="H39" s="21"/>
      <c r="I39" s="145"/>
      <c r="J39" s="25" t="s">
        <v>2562</v>
      </c>
      <c r="K39" s="25" t="s">
        <v>2341</v>
      </c>
      <c r="L39" s="25" t="s">
        <v>2341</v>
      </c>
    </row>
    <row r="40" spans="1:13" s="136" customFormat="1">
      <c r="A40" s="137"/>
      <c r="B40" s="138" t="s">
        <v>2635</v>
      </c>
      <c r="C40" s="26" t="s">
        <v>281</v>
      </c>
      <c r="D40" s="9" t="s">
        <v>2636</v>
      </c>
      <c r="E40" s="21" t="s">
        <v>2561</v>
      </c>
      <c r="F40" s="22" t="str">
        <f t="shared" si="1"/>
        <v>tcpsetupresponsedelay</v>
      </c>
      <c r="G40" s="22" t="s">
        <v>2335</v>
      </c>
      <c r="H40" s="21"/>
      <c r="I40" s="145"/>
      <c r="J40" s="25" t="s">
        <v>2562</v>
      </c>
      <c r="K40" s="25" t="s">
        <v>2341</v>
      </c>
      <c r="L40" s="25" t="s">
        <v>2341</v>
      </c>
    </row>
    <row r="41" spans="1:13" s="136" customFormat="1">
      <c r="A41" s="137"/>
      <c r="B41" s="138" t="s">
        <v>2637</v>
      </c>
      <c r="C41" s="26" t="s">
        <v>281</v>
      </c>
      <c r="D41" s="9" t="s">
        <v>2638</v>
      </c>
      <c r="E41" s="21" t="s">
        <v>2561</v>
      </c>
      <c r="F41" s="22" t="str">
        <f t="shared" si="1"/>
        <v>tcpsetupackdelay</v>
      </c>
      <c r="G41" s="22" t="s">
        <v>2335</v>
      </c>
      <c r="H41" s="21"/>
      <c r="I41" s="145"/>
      <c r="J41" s="25" t="s">
        <v>2562</v>
      </c>
      <c r="K41" s="25" t="s">
        <v>2341</v>
      </c>
      <c r="L41" s="25" t="s">
        <v>2341</v>
      </c>
    </row>
    <row r="42" spans="1:13" s="136" customFormat="1">
      <c r="A42" s="137"/>
      <c r="B42" s="138" t="s">
        <v>2639</v>
      </c>
      <c r="C42" s="26" t="s">
        <v>211</v>
      </c>
      <c r="D42" s="9" t="s">
        <v>2640</v>
      </c>
      <c r="E42" s="21" t="s">
        <v>2561</v>
      </c>
      <c r="F42" s="22" t="str">
        <f t="shared" si="1"/>
        <v>tcpconnectstate</v>
      </c>
      <c r="G42" s="22" t="s">
        <v>2335</v>
      </c>
      <c r="H42" s="21"/>
      <c r="I42" s="145"/>
      <c r="J42" s="25" t="s">
        <v>2562</v>
      </c>
      <c r="K42" s="25" t="s">
        <v>2341</v>
      </c>
      <c r="L42" s="25" t="s">
        <v>2341</v>
      </c>
    </row>
    <row r="43" spans="1:13" s="136" customFormat="1">
      <c r="A43" s="137"/>
      <c r="B43" s="138" t="s">
        <v>566</v>
      </c>
      <c r="C43" s="26" t="s">
        <v>281</v>
      </c>
      <c r="D43" s="9" t="s">
        <v>567</v>
      </c>
      <c r="E43" s="21" t="s">
        <v>2561</v>
      </c>
      <c r="F43" s="22" t="str">
        <f t="shared" si="1"/>
        <v>ul_data_transduration</v>
      </c>
      <c r="G43" s="22" t="s">
        <v>2335</v>
      </c>
      <c r="H43" s="21"/>
      <c r="I43" s="145"/>
      <c r="J43" s="25" t="s">
        <v>2562</v>
      </c>
      <c r="K43" s="25" t="s">
        <v>2341</v>
      </c>
      <c r="L43" s="25" t="s">
        <v>2341</v>
      </c>
    </row>
    <row r="44" spans="1:13" s="136" customFormat="1">
      <c r="A44" s="137"/>
      <c r="B44" s="138" t="s">
        <v>2641</v>
      </c>
      <c r="C44" s="26" t="s">
        <v>281</v>
      </c>
      <c r="D44" s="9" t="s">
        <v>570</v>
      </c>
      <c r="E44" s="21" t="s">
        <v>2561</v>
      </c>
      <c r="F44" s="22" t="str">
        <f t="shared" si="1"/>
        <v>dl_datatransduration</v>
      </c>
      <c r="G44" s="22" t="s">
        <v>2335</v>
      </c>
      <c r="H44" s="21"/>
      <c r="I44" s="145"/>
      <c r="J44" s="25" t="s">
        <v>2562</v>
      </c>
      <c r="K44" s="25" t="s">
        <v>2341</v>
      </c>
      <c r="L44" s="25" t="s">
        <v>2341</v>
      </c>
    </row>
    <row r="45" spans="1:13" s="136" customFormat="1">
      <c r="A45" s="137"/>
      <c r="B45" s="138" t="s">
        <v>2642</v>
      </c>
      <c r="C45" s="26" t="s">
        <v>281</v>
      </c>
      <c r="D45" s="9" t="s">
        <v>2643</v>
      </c>
      <c r="E45" s="21" t="s">
        <v>2561</v>
      </c>
      <c r="F45" s="22" t="str">
        <f t="shared" si="1"/>
        <v>ul_average_packet_size</v>
      </c>
      <c r="G45" s="22" t="s">
        <v>2335</v>
      </c>
      <c r="H45" s="21"/>
      <c r="I45" s="145"/>
      <c r="J45" s="25" t="s">
        <v>2562</v>
      </c>
      <c r="K45" s="25" t="s">
        <v>2341</v>
      </c>
      <c r="L45" s="25" t="s">
        <v>2341</v>
      </c>
    </row>
    <row r="46" spans="1:13" s="136" customFormat="1">
      <c r="A46" s="137"/>
      <c r="B46" s="138" t="s">
        <v>2644</v>
      </c>
      <c r="C46" s="26" t="s">
        <v>281</v>
      </c>
      <c r="D46" s="9" t="s">
        <v>2645</v>
      </c>
      <c r="E46" s="21" t="s">
        <v>2561</v>
      </c>
      <c r="F46" s="22" t="str">
        <f t="shared" si="1"/>
        <v>dl_average_packet_size</v>
      </c>
      <c r="G46" s="22" t="s">
        <v>2335</v>
      </c>
      <c r="H46" s="21"/>
      <c r="I46" s="145"/>
      <c r="J46" s="25" t="s">
        <v>2562</v>
      </c>
      <c r="K46" s="25" t="s">
        <v>2341</v>
      </c>
      <c r="L46" s="25" t="s">
        <v>2341</v>
      </c>
    </row>
    <row r="47" spans="1:13" s="136" customFormat="1">
      <c r="A47" s="137"/>
      <c r="B47" s="138" t="s">
        <v>2646</v>
      </c>
      <c r="C47" s="26" t="s">
        <v>281</v>
      </c>
      <c r="D47" s="9" t="s">
        <v>2647</v>
      </c>
      <c r="E47" s="21" t="s">
        <v>2561</v>
      </c>
      <c r="F47" s="22" t="str">
        <f t="shared" si="1"/>
        <v>ul_average_interval</v>
      </c>
      <c r="G47" s="22" t="s">
        <v>2335</v>
      </c>
      <c r="H47" s="21"/>
      <c r="I47" s="145"/>
      <c r="J47" s="25" t="s">
        <v>2562</v>
      </c>
      <c r="K47" s="25" t="s">
        <v>2341</v>
      </c>
      <c r="L47" s="25" t="s">
        <v>2341</v>
      </c>
    </row>
    <row r="48" spans="1:13" s="136" customFormat="1">
      <c r="A48" s="137"/>
      <c r="B48" s="138" t="s">
        <v>2648</v>
      </c>
      <c r="C48" s="26" t="s">
        <v>281</v>
      </c>
      <c r="D48" s="9" t="s">
        <v>2649</v>
      </c>
      <c r="E48" s="21" t="s">
        <v>2561</v>
      </c>
      <c r="F48" s="22" t="str">
        <f t="shared" si="1"/>
        <v>dl_average_interval</v>
      </c>
      <c r="G48" s="22" t="s">
        <v>2335</v>
      </c>
      <c r="H48" s="21"/>
      <c r="I48" s="145"/>
      <c r="J48" s="25" t="s">
        <v>2562</v>
      </c>
      <c r="K48" s="25" t="s">
        <v>2341</v>
      </c>
      <c r="L48" s="25" t="s">
        <v>2341</v>
      </c>
    </row>
    <row r="49" spans="1:17" s="136" customFormat="1">
      <c r="A49" s="137"/>
      <c r="B49" s="138" t="s">
        <v>2650</v>
      </c>
      <c r="C49" s="26" t="s">
        <v>281</v>
      </c>
      <c r="D49" s="9" t="s">
        <v>2651</v>
      </c>
      <c r="E49" s="21" t="s">
        <v>2561</v>
      </c>
      <c r="F49" s="22" t="str">
        <f t="shared" si="1"/>
        <v>ul_average_jitter</v>
      </c>
      <c r="G49" s="22" t="s">
        <v>2335</v>
      </c>
      <c r="H49" s="21"/>
      <c r="I49" s="145"/>
      <c r="J49" s="25" t="s">
        <v>2562</v>
      </c>
      <c r="K49" s="25" t="s">
        <v>2341</v>
      </c>
      <c r="L49" s="25" t="s">
        <v>2341</v>
      </c>
    </row>
    <row r="50" spans="1:17" s="136" customFormat="1">
      <c r="A50" s="137"/>
      <c r="B50" s="138" t="s">
        <v>2652</v>
      </c>
      <c r="C50" s="26" t="s">
        <v>281</v>
      </c>
      <c r="D50" s="9" t="s">
        <v>2653</v>
      </c>
      <c r="E50" s="21" t="s">
        <v>2561</v>
      </c>
      <c r="F50" s="22" t="str">
        <f t="shared" si="1"/>
        <v>dl_average_jitter</v>
      </c>
      <c r="G50" s="22" t="s">
        <v>2335</v>
      </c>
      <c r="H50" s="21"/>
      <c r="I50" s="145"/>
      <c r="J50" s="25" t="s">
        <v>2562</v>
      </c>
      <c r="K50" s="25" t="s">
        <v>2341</v>
      </c>
      <c r="L50" s="25" t="s">
        <v>2341</v>
      </c>
    </row>
    <row r="51" spans="1:17" s="136" customFormat="1">
      <c r="A51" s="137"/>
      <c r="B51" s="138" t="s">
        <v>2654</v>
      </c>
      <c r="C51" s="26" t="s">
        <v>281</v>
      </c>
      <c r="D51" s="9" t="s">
        <v>2655</v>
      </c>
      <c r="E51" s="21" t="s">
        <v>2561</v>
      </c>
      <c r="F51" s="22" t="str">
        <f t="shared" si="1"/>
        <v>flowid</v>
      </c>
      <c r="G51" s="22" t="s">
        <v>2335</v>
      </c>
      <c r="H51" s="21"/>
      <c r="I51" s="145"/>
      <c r="J51" s="25" t="s">
        <v>2562</v>
      </c>
      <c r="K51" s="25" t="s">
        <v>2341</v>
      </c>
      <c r="L51" s="25" t="s">
        <v>2341</v>
      </c>
    </row>
    <row r="52" spans="1:17" s="136" customFormat="1">
      <c r="A52" s="137"/>
      <c r="B52" s="138" t="s">
        <v>254</v>
      </c>
      <c r="C52" s="26" t="s">
        <v>206</v>
      </c>
      <c r="D52" s="9" t="s">
        <v>1236</v>
      </c>
      <c r="E52" s="21" t="s">
        <v>2561</v>
      </c>
      <c r="F52" s="22" t="str">
        <f t="shared" si="1"/>
        <v>pei</v>
      </c>
      <c r="G52" s="22" t="s">
        <v>2335</v>
      </c>
      <c r="H52" s="21"/>
      <c r="I52" s="145"/>
      <c r="J52" s="25" t="s">
        <v>2562</v>
      </c>
      <c r="K52" s="25" t="s">
        <v>2341</v>
      </c>
      <c r="L52" s="25" t="s">
        <v>2341</v>
      </c>
    </row>
    <row r="53" spans="1:17" s="136" customFormat="1">
      <c r="A53" s="137"/>
      <c r="B53" s="138" t="s">
        <v>256</v>
      </c>
      <c r="C53" s="26" t="s">
        <v>206</v>
      </c>
      <c r="D53" s="9" t="s">
        <v>743</v>
      </c>
      <c r="E53" s="21" t="s">
        <v>2561</v>
      </c>
      <c r="F53" s="22" t="str">
        <f t="shared" si="1"/>
        <v>dnn_apn</v>
      </c>
      <c r="G53" s="22" t="s">
        <v>2335</v>
      </c>
      <c r="H53" s="21"/>
      <c r="I53" s="145"/>
      <c r="J53" s="25" t="s">
        <v>2562</v>
      </c>
      <c r="K53" s="25" t="s">
        <v>2341</v>
      </c>
      <c r="L53" s="25" t="s">
        <v>2341</v>
      </c>
    </row>
    <row r="54" spans="1:17" s="136" customFormat="1">
      <c r="A54" s="137"/>
      <c r="B54" s="138" t="s">
        <v>260</v>
      </c>
      <c r="C54" s="26" t="s">
        <v>206</v>
      </c>
      <c r="D54" s="9" t="s">
        <v>795</v>
      </c>
      <c r="E54" s="21" t="s">
        <v>2561</v>
      </c>
      <c r="F54" s="22" t="str">
        <f t="shared" si="1"/>
        <v>servicetype</v>
      </c>
      <c r="G54" s="22" t="s">
        <v>2335</v>
      </c>
      <c r="H54" s="21"/>
      <c r="I54" s="145"/>
      <c r="J54" s="25" t="s">
        <v>2562</v>
      </c>
      <c r="K54" s="25" t="s">
        <v>2341</v>
      </c>
      <c r="L54" s="25" t="s">
        <v>2341</v>
      </c>
    </row>
    <row r="55" spans="1:17" s="136" customFormat="1">
      <c r="A55" s="137"/>
      <c r="B55" s="138" t="s">
        <v>2660</v>
      </c>
      <c r="C55" s="26" t="s">
        <v>211</v>
      </c>
      <c r="D55" s="9" t="s">
        <v>2661</v>
      </c>
      <c r="E55" s="21" t="s">
        <v>2561</v>
      </c>
      <c r="F55" s="22" t="str">
        <f t="shared" si="1"/>
        <v>tcpsynnumber</v>
      </c>
      <c r="G55" s="22" t="s">
        <v>2335</v>
      </c>
      <c r="H55" s="21"/>
      <c r="I55" s="145"/>
      <c r="J55" s="25" t="s">
        <v>2562</v>
      </c>
      <c r="K55" s="25" t="s">
        <v>2341</v>
      </c>
      <c r="L55" s="25" t="s">
        <v>2341</v>
      </c>
    </row>
    <row r="56" spans="1:17" s="136" customFormat="1">
      <c r="A56" s="137"/>
      <c r="B56" s="138" t="s">
        <v>1321</v>
      </c>
      <c r="C56" s="26" t="s">
        <v>281</v>
      </c>
      <c r="D56" s="9" t="s">
        <v>1322</v>
      </c>
      <c r="E56" s="21" t="s">
        <v>2561</v>
      </c>
      <c r="F56" s="22" t="str">
        <f t="shared" si="1"/>
        <v>ul_session_ambr</v>
      </c>
      <c r="G56" s="22" t="s">
        <v>2335</v>
      </c>
      <c r="H56" s="21"/>
      <c r="I56" s="145"/>
      <c r="J56" s="25" t="s">
        <v>2562</v>
      </c>
      <c r="K56" s="25" t="s">
        <v>2341</v>
      </c>
      <c r="L56" s="25" t="s">
        <v>2341</v>
      </c>
    </row>
    <row r="57" spans="1:17" s="136" customFormat="1">
      <c r="A57" s="137"/>
      <c r="B57" s="138" t="s">
        <v>1323</v>
      </c>
      <c r="C57" s="26" t="s">
        <v>281</v>
      </c>
      <c r="D57" s="9" t="s">
        <v>1324</v>
      </c>
      <c r="E57" s="21" t="s">
        <v>2561</v>
      </c>
      <c r="F57" s="22" t="str">
        <f t="shared" si="1"/>
        <v>dl_session_ambr</v>
      </c>
      <c r="G57" s="22" t="s">
        <v>2335</v>
      </c>
      <c r="H57" s="21"/>
      <c r="I57" s="145"/>
      <c r="J57" s="25" t="s">
        <v>2562</v>
      </c>
      <c r="K57" s="25" t="s">
        <v>2341</v>
      </c>
      <c r="L57" s="25" t="s">
        <v>2341</v>
      </c>
    </row>
    <row r="58" spans="1:17" s="136" customFormat="1">
      <c r="A58" s="137"/>
      <c r="B58" s="138" t="s">
        <v>2745</v>
      </c>
      <c r="C58" s="26" t="s">
        <v>281</v>
      </c>
      <c r="D58" s="9" t="s">
        <v>2746</v>
      </c>
      <c r="E58" s="21" t="s">
        <v>2561</v>
      </c>
      <c r="F58" s="22" t="str">
        <f t="shared" si="1"/>
        <v>avg_delay</v>
      </c>
      <c r="G58" s="22" t="s">
        <v>2335</v>
      </c>
      <c r="H58" s="21"/>
      <c r="I58" s="145"/>
      <c r="J58" s="25" t="s">
        <v>2562</v>
      </c>
      <c r="K58" s="25" t="s">
        <v>2341</v>
      </c>
      <c r="L58" s="25" t="s">
        <v>2341</v>
      </c>
    </row>
    <row r="59" spans="1:17" s="2" customFormat="1">
      <c r="B59" s="14" t="s">
        <v>222</v>
      </c>
      <c r="C59" s="15" t="s">
        <v>211</v>
      </c>
      <c r="D59" s="16" t="s">
        <v>344</v>
      </c>
      <c r="E59" s="69"/>
      <c r="F59" s="14"/>
      <c r="G59" s="14"/>
      <c r="H59" s="14"/>
      <c r="I59" s="123"/>
      <c r="J59" s="14"/>
      <c r="K59" s="14"/>
      <c r="L59" s="14"/>
      <c r="M59" s="14"/>
      <c r="N59" s="14"/>
      <c r="O59" s="14"/>
      <c r="P59" s="14"/>
      <c r="Q59" s="14"/>
    </row>
    <row r="60" spans="1:17" s="2" customFormat="1">
      <c r="B60" s="14" t="s">
        <v>0</v>
      </c>
      <c r="C60" s="15" t="s">
        <v>206</v>
      </c>
      <c r="D60" s="16" t="s">
        <v>345</v>
      </c>
      <c r="E60" s="69"/>
      <c r="F60" s="14"/>
      <c r="G60" s="14"/>
      <c r="H60" s="14"/>
      <c r="I60" s="123"/>
      <c r="J60" s="14"/>
      <c r="K60" s="14"/>
      <c r="L60" s="14"/>
      <c r="M60" s="14"/>
      <c r="N60" s="14"/>
      <c r="O60" s="14"/>
      <c r="P60" s="14"/>
      <c r="Q60" s="14"/>
    </row>
    <row r="61" spans="1:17" s="2" customFormat="1">
      <c r="B61" s="14" t="s">
        <v>1</v>
      </c>
      <c r="C61" s="15" t="s">
        <v>211</v>
      </c>
      <c r="D61" s="16" t="s">
        <v>346</v>
      </c>
      <c r="E61" s="69"/>
      <c r="F61" s="14"/>
      <c r="G61" s="14"/>
      <c r="H61" s="14"/>
      <c r="I61" s="123"/>
      <c r="J61" s="14"/>
      <c r="K61" s="14"/>
      <c r="L61" s="14"/>
      <c r="M61" s="14"/>
      <c r="N61" s="14"/>
      <c r="O61" s="14"/>
      <c r="P61" s="14"/>
      <c r="Q61" s="14"/>
    </row>
  </sheetData>
  <autoFilter ref="A13:Q61" xr:uid="{00000000-0009-0000-0000-000003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2"/>
  <sheetViews>
    <sheetView zoomScale="85" zoomScaleNormal="85" workbookViewId="0">
      <pane ySplit="5" topLeftCell="A6" activePane="bottomLeft" state="frozen"/>
      <selection pane="bottomLeft" activeCell="C41" sqref="C41"/>
    </sheetView>
  </sheetViews>
  <sheetFormatPr defaultColWidth="9" defaultRowHeight="13.2"/>
  <cols>
    <col min="1" max="1" width="1.33203125" style="3" customWidth="1"/>
    <col min="2" max="2" width="23.6640625" style="3" customWidth="1"/>
    <col min="3" max="3" width="26.88671875" style="3" bestFit="1"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58"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t="s">
        <v>57</v>
      </c>
      <c r="C5" s="9" t="s">
        <v>67</v>
      </c>
      <c r="D5" s="10" t="s">
        <v>68</v>
      </c>
      <c r="E5" s="12" t="s">
        <v>12</v>
      </c>
      <c r="F5" s="61"/>
      <c r="G5" s="9"/>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9" t="s">
        <v>58</v>
      </c>
      <c r="D9" s="10" t="s">
        <v>59</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205</v>
      </c>
      <c r="C14" s="13" t="s">
        <v>206</v>
      </c>
      <c r="D14" s="9" t="s">
        <v>207</v>
      </c>
      <c r="E14" s="21" t="s">
        <v>182</v>
      </c>
      <c r="F14" s="22" t="s">
        <v>0</v>
      </c>
      <c r="G14" s="22" t="s">
        <v>208</v>
      </c>
      <c r="H14" s="23"/>
      <c r="I14" s="64" t="s">
        <v>348</v>
      </c>
      <c r="J14" s="25" t="s">
        <v>4</v>
      </c>
      <c r="K14" s="25" t="s">
        <v>209</v>
      </c>
      <c r="L14" s="25" t="s">
        <v>210</v>
      </c>
    </row>
    <row r="15" spans="1:14" s="1" customFormat="1">
      <c r="B15" s="13" t="s">
        <v>20</v>
      </c>
      <c r="C15" s="13" t="s">
        <v>211</v>
      </c>
      <c r="D15" s="9" t="s">
        <v>73</v>
      </c>
      <c r="E15" s="21" t="s">
        <v>182</v>
      </c>
      <c r="F15" s="22" t="s">
        <v>1</v>
      </c>
      <c r="G15" s="22" t="s">
        <v>208</v>
      </c>
      <c r="H15" s="23"/>
      <c r="I15" s="64" t="s">
        <v>349</v>
      </c>
      <c r="J15" s="25" t="s">
        <v>4</v>
      </c>
      <c r="K15" s="25" t="s">
        <v>209</v>
      </c>
      <c r="L15" s="25" t="s">
        <v>212</v>
      </c>
    </row>
    <row r="16" spans="1:14" s="1" customFormat="1">
      <c r="A16" s="132"/>
      <c r="B16" s="13" t="s">
        <v>214</v>
      </c>
      <c r="C16" s="13" t="s">
        <v>211</v>
      </c>
      <c r="D16" s="9" t="s">
        <v>215</v>
      </c>
      <c r="E16" s="21" t="s">
        <v>182</v>
      </c>
      <c r="F16" s="22" t="s">
        <v>214</v>
      </c>
      <c r="G16" s="22" t="s">
        <v>208</v>
      </c>
      <c r="H16" s="23"/>
      <c r="I16" s="64" t="s">
        <v>350</v>
      </c>
      <c r="J16" s="25" t="s">
        <v>4</v>
      </c>
      <c r="K16" s="25" t="s">
        <v>209</v>
      </c>
      <c r="L16" s="25">
        <v>1100101</v>
      </c>
    </row>
    <row r="17" spans="1:13" s="1" customFormat="1">
      <c r="A17" s="132"/>
      <c r="B17" s="13" t="s">
        <v>220</v>
      </c>
      <c r="C17" s="13" t="s">
        <v>211</v>
      </c>
      <c r="D17" s="9" t="s">
        <v>221</v>
      </c>
      <c r="E17" s="21" t="s">
        <v>182</v>
      </c>
      <c r="F17" s="22" t="s">
        <v>222</v>
      </c>
      <c r="G17" s="22" t="s">
        <v>208</v>
      </c>
      <c r="H17" s="23"/>
      <c r="I17" s="64" t="s">
        <v>351</v>
      </c>
      <c r="J17" s="25" t="s">
        <v>4</v>
      </c>
      <c r="K17" s="25" t="s">
        <v>209</v>
      </c>
      <c r="L17" s="25" t="s">
        <v>223</v>
      </c>
    </row>
    <row r="18" spans="1:13" s="1" customFormat="1">
      <c r="A18" s="132"/>
      <c r="B18" s="13" t="s">
        <v>224</v>
      </c>
      <c r="C18" s="13" t="s">
        <v>211</v>
      </c>
      <c r="D18" s="9" t="s">
        <v>225</v>
      </c>
      <c r="E18" s="21" t="s">
        <v>182</v>
      </c>
      <c r="F18" s="9" t="s">
        <v>224</v>
      </c>
      <c r="G18" s="22" t="s">
        <v>208</v>
      </c>
      <c r="H18" s="23"/>
      <c r="I18" s="64" t="s">
        <v>352</v>
      </c>
      <c r="J18" s="25" t="s">
        <v>4</v>
      </c>
      <c r="K18" s="25" t="s">
        <v>209</v>
      </c>
      <c r="L18" s="25" t="s">
        <v>223</v>
      </c>
    </row>
    <row r="19" spans="1:13" s="1" customFormat="1">
      <c r="A19" s="132"/>
      <c r="B19" s="12" t="s">
        <v>228</v>
      </c>
      <c r="C19" s="13" t="s">
        <v>211</v>
      </c>
      <c r="D19" s="9" t="s">
        <v>229</v>
      </c>
      <c r="E19" s="21" t="s">
        <v>182</v>
      </c>
      <c r="F19" s="9" t="s">
        <v>228</v>
      </c>
      <c r="G19" s="22" t="s">
        <v>208</v>
      </c>
      <c r="H19" s="23"/>
      <c r="I19" s="64" t="s">
        <v>353</v>
      </c>
      <c r="J19" s="25" t="s">
        <v>4</v>
      </c>
      <c r="K19" s="25" t="s">
        <v>209</v>
      </c>
      <c r="L19" s="25" t="s">
        <v>223</v>
      </c>
    </row>
    <row r="20" spans="1:13" s="1" customFormat="1">
      <c r="A20" s="132"/>
      <c r="B20" s="12" t="s">
        <v>230</v>
      </c>
      <c r="C20" s="13" t="s">
        <v>206</v>
      </c>
      <c r="D20" s="9" t="s">
        <v>231</v>
      </c>
      <c r="E20" s="21" t="s">
        <v>182</v>
      </c>
      <c r="F20" s="27" t="s">
        <v>230</v>
      </c>
      <c r="G20" s="22" t="s">
        <v>208</v>
      </c>
      <c r="H20" s="23"/>
      <c r="I20" s="64" t="s">
        <v>354</v>
      </c>
      <c r="J20" s="25" t="s">
        <v>4</v>
      </c>
      <c r="K20" s="25" t="s">
        <v>209</v>
      </c>
      <c r="L20" s="25" t="s">
        <v>209</v>
      </c>
    </row>
    <row r="21" spans="1:13" s="1" customFormat="1">
      <c r="A21" s="132"/>
      <c r="B21" s="12" t="s">
        <v>233</v>
      </c>
      <c r="C21" s="13" t="s">
        <v>206</v>
      </c>
      <c r="D21" s="9" t="s">
        <v>234</v>
      </c>
      <c r="E21" s="21" t="s">
        <v>182</v>
      </c>
      <c r="F21" s="27" t="s">
        <v>233</v>
      </c>
      <c r="G21" s="22" t="s">
        <v>208</v>
      </c>
      <c r="H21" s="23"/>
      <c r="I21" s="64" t="s">
        <v>355</v>
      </c>
      <c r="J21" s="25" t="s">
        <v>4</v>
      </c>
      <c r="K21" s="25" t="s">
        <v>209</v>
      </c>
      <c r="L21" s="25" t="s">
        <v>209</v>
      </c>
    </row>
    <row r="22" spans="1:13" s="1" customFormat="1">
      <c r="A22" s="132"/>
      <c r="B22" s="12" t="s">
        <v>236</v>
      </c>
      <c r="C22" s="13" t="s">
        <v>206</v>
      </c>
      <c r="D22" s="9" t="s">
        <v>237</v>
      </c>
      <c r="E22" s="21" t="s">
        <v>182</v>
      </c>
      <c r="F22" s="27" t="s">
        <v>236</v>
      </c>
      <c r="G22" s="22" t="s">
        <v>208</v>
      </c>
      <c r="H22" s="23"/>
      <c r="I22" s="64" t="s">
        <v>356</v>
      </c>
      <c r="J22" s="25" t="s">
        <v>4</v>
      </c>
      <c r="K22" s="25" t="s">
        <v>209</v>
      </c>
      <c r="L22" s="25" t="s">
        <v>209</v>
      </c>
    </row>
    <row r="23" spans="1:13" s="1" customFormat="1">
      <c r="A23" s="132"/>
      <c r="B23" s="12" t="s">
        <v>242</v>
      </c>
      <c r="C23" s="12" t="s">
        <v>206</v>
      </c>
      <c r="D23" s="9" t="s">
        <v>243</v>
      </c>
      <c r="E23" s="21" t="s">
        <v>182</v>
      </c>
      <c r="F23" s="22" t="s">
        <v>242</v>
      </c>
      <c r="G23" s="22" t="s">
        <v>208</v>
      </c>
      <c r="H23" s="23"/>
      <c r="I23" s="64" t="s">
        <v>357</v>
      </c>
      <c r="J23" s="25" t="s">
        <v>4</v>
      </c>
      <c r="K23" s="25" t="s">
        <v>209</v>
      </c>
      <c r="L23" s="25" t="s">
        <v>209</v>
      </c>
    </row>
    <row r="24" spans="1:13" s="1" customFormat="1">
      <c r="A24" s="132"/>
      <c r="B24" s="12" t="s">
        <v>249</v>
      </c>
      <c r="C24" s="12" t="s">
        <v>206</v>
      </c>
      <c r="D24" s="9" t="s">
        <v>250</v>
      </c>
      <c r="E24" s="21" t="s">
        <v>182</v>
      </c>
      <c r="F24" s="22" t="s">
        <v>249</v>
      </c>
      <c r="G24" s="22" t="s">
        <v>208</v>
      </c>
      <c r="H24" s="23"/>
      <c r="I24" s="64" t="s">
        <v>358</v>
      </c>
      <c r="J24" s="25" t="s">
        <v>4</v>
      </c>
      <c r="K24" s="25" t="s">
        <v>209</v>
      </c>
      <c r="L24" s="25" t="s">
        <v>209</v>
      </c>
    </row>
    <row r="25" spans="1:13" s="1" customFormat="1">
      <c r="A25" s="132"/>
      <c r="B25" s="12" t="s">
        <v>251</v>
      </c>
      <c r="C25" s="12" t="s">
        <v>206</v>
      </c>
      <c r="D25" s="9" t="s">
        <v>252</v>
      </c>
      <c r="E25" s="21" t="s">
        <v>182</v>
      </c>
      <c r="F25" s="22" t="s">
        <v>251</v>
      </c>
      <c r="G25" s="22" t="s">
        <v>208</v>
      </c>
      <c r="H25" s="23"/>
      <c r="I25" s="64" t="s">
        <v>359</v>
      </c>
      <c r="J25" s="25" t="s">
        <v>4</v>
      </c>
      <c r="K25" s="25" t="s">
        <v>209</v>
      </c>
      <c r="L25" s="25" t="s">
        <v>209</v>
      </c>
    </row>
    <row r="26" spans="1:13" s="1" customFormat="1">
      <c r="A26" s="132"/>
      <c r="B26" s="12" t="s">
        <v>254</v>
      </c>
      <c r="C26" s="12" t="s">
        <v>206</v>
      </c>
      <c r="D26" s="9" t="s">
        <v>255</v>
      </c>
      <c r="E26" s="21" t="s">
        <v>182</v>
      </c>
      <c r="F26" s="22" t="s">
        <v>254</v>
      </c>
      <c r="G26" s="22" t="s">
        <v>208</v>
      </c>
      <c r="H26" s="23"/>
      <c r="I26" s="64" t="s">
        <v>360</v>
      </c>
      <c r="J26" s="25" t="s">
        <v>4</v>
      </c>
      <c r="K26" s="25" t="s">
        <v>209</v>
      </c>
      <c r="L26" s="25" t="s">
        <v>209</v>
      </c>
    </row>
    <row r="27" spans="1:13" s="1" customFormat="1">
      <c r="B27" s="13" t="s">
        <v>260</v>
      </c>
      <c r="C27" s="12" t="s">
        <v>206</v>
      </c>
      <c r="D27" s="9" t="s">
        <v>261</v>
      </c>
      <c r="E27" s="21" t="s">
        <v>182</v>
      </c>
      <c r="F27" s="22" t="s">
        <v>260</v>
      </c>
      <c r="G27" s="22" t="s">
        <v>208</v>
      </c>
      <c r="H27" s="23"/>
      <c r="I27" s="64" t="s">
        <v>361</v>
      </c>
      <c r="J27" s="25" t="s">
        <v>4</v>
      </c>
      <c r="K27" s="25" t="s">
        <v>209</v>
      </c>
      <c r="L27" s="25" t="s">
        <v>209</v>
      </c>
    </row>
    <row r="28" spans="1:13" s="3" customFormat="1">
      <c r="B28" s="13" t="s">
        <v>309</v>
      </c>
      <c r="C28" s="13" t="s">
        <v>281</v>
      </c>
      <c r="D28" s="9" t="s">
        <v>310</v>
      </c>
      <c r="E28" s="21" t="s">
        <v>182</v>
      </c>
      <c r="F28" s="22"/>
      <c r="G28" s="19" t="s">
        <v>362</v>
      </c>
      <c r="H28" s="21"/>
      <c r="I28" s="64"/>
      <c r="J28" s="25" t="s">
        <v>284</v>
      </c>
      <c r="K28" s="25" t="s">
        <v>209</v>
      </c>
      <c r="L28" s="25" t="s">
        <v>285</v>
      </c>
    </row>
    <row r="29" spans="1:13" s="136" customFormat="1">
      <c r="A29" s="137"/>
      <c r="B29" s="138" t="s">
        <v>312</v>
      </c>
      <c r="C29" s="13" t="s">
        <v>211</v>
      </c>
      <c r="D29" s="9" t="s">
        <v>313</v>
      </c>
      <c r="E29" s="21" t="s">
        <v>182</v>
      </c>
      <c r="F29" s="22"/>
      <c r="G29" s="19" t="s">
        <v>363</v>
      </c>
      <c r="H29" s="23"/>
      <c r="I29" s="64" t="s">
        <v>364</v>
      </c>
      <c r="J29" s="25" t="s">
        <v>284</v>
      </c>
      <c r="K29" s="25" t="s">
        <v>209</v>
      </c>
      <c r="L29" s="25" t="s">
        <v>285</v>
      </c>
      <c r="M29" s="1"/>
    </row>
    <row r="30" spans="1:13" s="136" customFormat="1">
      <c r="A30" s="137"/>
      <c r="B30" s="138" t="s">
        <v>315</v>
      </c>
      <c r="C30" s="13" t="s">
        <v>211</v>
      </c>
      <c r="D30" s="9" t="s">
        <v>316</v>
      </c>
      <c r="E30" s="21" t="s">
        <v>182</v>
      </c>
      <c r="F30" s="22"/>
      <c r="G30" s="19" t="s">
        <v>365</v>
      </c>
      <c r="H30" s="23"/>
      <c r="I30" s="64" t="s">
        <v>366</v>
      </c>
      <c r="J30" s="25" t="s">
        <v>284</v>
      </c>
      <c r="K30" s="25" t="s">
        <v>209</v>
      </c>
      <c r="L30" s="25" t="s">
        <v>285</v>
      </c>
      <c r="M30" s="1"/>
    </row>
    <row r="31" spans="1:13" s="136" customFormat="1">
      <c r="A31" s="137"/>
      <c r="B31" s="138" t="s">
        <v>318</v>
      </c>
      <c r="C31" s="13" t="s">
        <v>319</v>
      </c>
      <c r="D31" s="9" t="s">
        <v>320</v>
      </c>
      <c r="E31" s="21" t="s">
        <v>182</v>
      </c>
      <c r="F31" s="22"/>
      <c r="G31" s="19" t="s">
        <v>367</v>
      </c>
      <c r="H31" s="23"/>
      <c r="I31" s="64" t="s">
        <v>368</v>
      </c>
      <c r="J31" s="25" t="s">
        <v>284</v>
      </c>
      <c r="K31" s="25" t="s">
        <v>209</v>
      </c>
      <c r="L31" s="25" t="s">
        <v>322</v>
      </c>
      <c r="M31" s="1"/>
    </row>
    <row r="32" spans="1:13" s="136" customFormat="1">
      <c r="A32" s="137"/>
      <c r="B32" s="138" t="s">
        <v>323</v>
      </c>
      <c r="C32" s="13" t="s">
        <v>319</v>
      </c>
      <c r="D32" s="9" t="s">
        <v>324</v>
      </c>
      <c r="E32" s="21" t="s">
        <v>182</v>
      </c>
      <c r="F32" s="22"/>
      <c r="G32" s="19" t="s">
        <v>369</v>
      </c>
      <c r="H32" s="64"/>
      <c r="I32" s="64"/>
      <c r="J32" s="25" t="s">
        <v>284</v>
      </c>
      <c r="K32" s="25" t="s">
        <v>209</v>
      </c>
      <c r="L32" s="25" t="s">
        <v>285</v>
      </c>
    </row>
    <row r="33" spans="1:17" s="136" customFormat="1">
      <c r="A33" s="137"/>
      <c r="B33" s="138" t="s">
        <v>2378</v>
      </c>
      <c r="C33" s="13" t="s">
        <v>319</v>
      </c>
      <c r="D33" s="9" t="s">
        <v>370</v>
      </c>
      <c r="E33" s="21" t="s">
        <v>182</v>
      </c>
      <c r="F33" s="22"/>
      <c r="G33" s="19" t="s">
        <v>371</v>
      </c>
      <c r="H33" s="23"/>
      <c r="I33" s="64" t="s">
        <v>372</v>
      </c>
      <c r="J33" s="25" t="s">
        <v>284</v>
      </c>
      <c r="K33" s="25" t="s">
        <v>209</v>
      </c>
      <c r="L33" s="25" t="s">
        <v>328</v>
      </c>
      <c r="M33" s="1"/>
    </row>
    <row r="34" spans="1:17" s="136" customFormat="1">
      <c r="A34" s="137"/>
      <c r="B34" s="138" t="s">
        <v>329</v>
      </c>
      <c r="C34" s="13" t="s">
        <v>281</v>
      </c>
      <c r="D34" s="9" t="s">
        <v>330</v>
      </c>
      <c r="E34" s="21" t="s">
        <v>182</v>
      </c>
      <c r="F34" s="22"/>
      <c r="G34" s="19" t="s">
        <v>373</v>
      </c>
      <c r="H34" s="21"/>
      <c r="I34" s="145"/>
      <c r="J34" s="25" t="s">
        <v>284</v>
      </c>
      <c r="K34" s="25" t="s">
        <v>209</v>
      </c>
      <c r="L34" s="25" t="s">
        <v>285</v>
      </c>
    </row>
    <row r="35" spans="1:17" s="136" customFormat="1">
      <c r="A35" s="137"/>
      <c r="B35" s="138" t="s">
        <v>332</v>
      </c>
      <c r="C35" s="13" t="s">
        <v>281</v>
      </c>
      <c r="D35" s="9" t="s">
        <v>333</v>
      </c>
      <c r="E35" s="21" t="s">
        <v>182</v>
      </c>
      <c r="F35" s="22"/>
      <c r="G35" s="19" t="s">
        <v>374</v>
      </c>
      <c r="H35" s="21"/>
      <c r="I35" s="145"/>
      <c r="J35" s="25" t="s">
        <v>284</v>
      </c>
      <c r="K35" s="25" t="s">
        <v>209</v>
      </c>
      <c r="L35" s="25" t="s">
        <v>285</v>
      </c>
    </row>
    <row r="36" spans="1:17" s="136" customFormat="1">
      <c r="A36" s="137"/>
      <c r="B36" s="138" t="s">
        <v>335</v>
      </c>
      <c r="C36" s="13" t="s">
        <v>281</v>
      </c>
      <c r="D36" s="9" t="s">
        <v>336</v>
      </c>
      <c r="E36" s="21" t="s">
        <v>182</v>
      </c>
      <c r="F36" s="22"/>
      <c r="G36" s="19" t="s">
        <v>375</v>
      </c>
      <c r="H36" s="21"/>
      <c r="I36" s="145"/>
      <c r="J36" s="25" t="s">
        <v>284</v>
      </c>
      <c r="K36" s="25" t="s">
        <v>209</v>
      </c>
      <c r="L36" s="25" t="s">
        <v>285</v>
      </c>
    </row>
    <row r="37" spans="1:17" s="136" customFormat="1">
      <c r="A37" s="137"/>
      <c r="B37" s="138" t="s">
        <v>338</v>
      </c>
      <c r="C37" s="13" t="s">
        <v>281</v>
      </c>
      <c r="D37" s="9" t="s">
        <v>339</v>
      </c>
      <c r="E37" s="21" t="s">
        <v>182</v>
      </c>
      <c r="F37" s="22"/>
      <c r="G37" s="19" t="s">
        <v>376</v>
      </c>
      <c r="H37" s="21"/>
      <c r="I37" s="145"/>
      <c r="J37" s="25" t="s">
        <v>284</v>
      </c>
      <c r="K37" s="25" t="s">
        <v>209</v>
      </c>
      <c r="L37" s="25" t="s">
        <v>285</v>
      </c>
    </row>
    <row r="38" spans="1:17" s="136" customFormat="1">
      <c r="A38" s="137"/>
      <c r="B38" s="138" t="s">
        <v>341</v>
      </c>
      <c r="C38" s="13" t="s">
        <v>281</v>
      </c>
      <c r="D38" s="9" t="s">
        <v>342</v>
      </c>
      <c r="E38" s="21" t="s">
        <v>182</v>
      </c>
      <c r="F38" s="22"/>
      <c r="G38" s="19" t="s">
        <v>377</v>
      </c>
      <c r="H38" s="21"/>
      <c r="I38" s="145"/>
      <c r="J38" s="25" t="s">
        <v>284</v>
      </c>
      <c r="K38" s="25" t="s">
        <v>209</v>
      </c>
      <c r="L38" s="25" t="s">
        <v>285</v>
      </c>
    </row>
    <row r="39" spans="1:17" s="2" customFormat="1">
      <c r="B39" s="14" t="s">
        <v>222</v>
      </c>
      <c r="C39" s="15" t="s">
        <v>211</v>
      </c>
      <c r="D39" s="16" t="s">
        <v>344</v>
      </c>
      <c r="E39" s="69"/>
      <c r="F39" s="14"/>
      <c r="G39" s="14"/>
      <c r="H39" s="14"/>
      <c r="I39" s="123"/>
      <c r="J39" s="14"/>
      <c r="K39" s="14"/>
      <c r="L39" s="14"/>
      <c r="M39" s="14"/>
      <c r="N39" s="14"/>
      <c r="O39" s="14"/>
      <c r="P39" s="14"/>
      <c r="Q39" s="14"/>
    </row>
    <row r="40" spans="1:17" s="2" customFormat="1">
      <c r="B40" s="14" t="s">
        <v>0</v>
      </c>
      <c r="C40" s="15" t="s">
        <v>206</v>
      </c>
      <c r="D40" s="16" t="s">
        <v>345</v>
      </c>
      <c r="E40" s="69"/>
      <c r="F40" s="14"/>
      <c r="G40" s="14"/>
      <c r="H40" s="14"/>
      <c r="I40" s="123"/>
      <c r="J40" s="14"/>
      <c r="K40" s="14"/>
      <c r="L40" s="14"/>
      <c r="M40" s="14"/>
      <c r="N40" s="14"/>
      <c r="O40" s="14"/>
      <c r="P40" s="14"/>
      <c r="Q40" s="14"/>
    </row>
    <row r="41" spans="1:17" s="2" customFormat="1">
      <c r="B41" s="14" t="s">
        <v>1</v>
      </c>
      <c r="C41" s="15" t="s">
        <v>211</v>
      </c>
      <c r="D41" s="16" t="s">
        <v>346</v>
      </c>
      <c r="E41" s="69"/>
      <c r="F41" s="14"/>
      <c r="G41" s="14"/>
      <c r="H41" s="14"/>
      <c r="I41" s="123"/>
      <c r="J41" s="14"/>
      <c r="K41" s="14"/>
      <c r="L41" s="14"/>
      <c r="M41" s="14"/>
      <c r="N41" s="14"/>
      <c r="O41" s="14"/>
      <c r="P41" s="14"/>
      <c r="Q41" s="14"/>
    </row>
    <row r="42" spans="1:17" s="2" customFormat="1">
      <c r="B42" s="14" t="s">
        <v>2</v>
      </c>
      <c r="C42" s="15" t="s">
        <v>211</v>
      </c>
      <c r="D42" s="16" t="s">
        <v>347</v>
      </c>
      <c r="E42" s="69"/>
      <c r="F42" s="14"/>
      <c r="G42" s="14"/>
      <c r="H42" s="14"/>
      <c r="I42" s="14"/>
      <c r="J42" s="14"/>
      <c r="K42" s="14"/>
      <c r="L42" s="14"/>
      <c r="M42" s="14"/>
      <c r="N42" s="14"/>
      <c r="O42" s="14"/>
      <c r="P42" s="14"/>
      <c r="Q42" s="14"/>
    </row>
  </sheetData>
  <autoFilter ref="A13:Q42" xr:uid="{00000000-0009-0000-0000-000003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64"/>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23.6640625" style="3" customWidth="1"/>
    <col min="3" max="3" width="22.44140625" style="3"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58"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t="s">
        <v>57</v>
      </c>
      <c r="C5" s="9" t="s">
        <v>71</v>
      </c>
      <c r="D5" s="10" t="s">
        <v>72</v>
      </c>
      <c r="E5" s="12" t="s">
        <v>20</v>
      </c>
      <c r="F5" s="61"/>
      <c r="G5" s="9" t="s">
        <v>378</v>
      </c>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9" t="s">
        <v>58</v>
      </c>
      <c r="D9" s="10" t="s">
        <v>59</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205</v>
      </c>
      <c r="C14" s="13" t="s">
        <v>206</v>
      </c>
      <c r="D14" s="9" t="s">
        <v>207</v>
      </c>
      <c r="E14" s="21" t="s">
        <v>182</v>
      </c>
      <c r="F14" s="22" t="s">
        <v>0</v>
      </c>
      <c r="G14" s="22" t="s">
        <v>208</v>
      </c>
      <c r="H14" s="23"/>
      <c r="I14" s="64" t="s">
        <v>348</v>
      </c>
      <c r="J14" s="25" t="s">
        <v>4</v>
      </c>
      <c r="K14" s="25" t="s">
        <v>209</v>
      </c>
      <c r="L14" s="25" t="s">
        <v>210</v>
      </c>
    </row>
    <row r="15" spans="1:14" s="1" customFormat="1">
      <c r="B15" s="13" t="s">
        <v>20</v>
      </c>
      <c r="C15" s="13" t="s">
        <v>211</v>
      </c>
      <c r="D15" s="9" t="s">
        <v>73</v>
      </c>
      <c r="E15" s="21" t="s">
        <v>182</v>
      </c>
      <c r="F15" s="22" t="s">
        <v>1</v>
      </c>
      <c r="G15" s="22" t="s">
        <v>208</v>
      </c>
      <c r="H15" s="23"/>
      <c r="I15" s="64" t="s">
        <v>349</v>
      </c>
      <c r="J15" s="25" t="s">
        <v>4</v>
      </c>
      <c r="K15" s="25" t="s">
        <v>209</v>
      </c>
      <c r="L15" s="25" t="s">
        <v>212</v>
      </c>
    </row>
    <row r="16" spans="1:14" s="1" customFormat="1">
      <c r="A16" s="132"/>
      <c r="B16" s="13" t="s">
        <v>214</v>
      </c>
      <c r="C16" s="13" t="s">
        <v>211</v>
      </c>
      <c r="D16" s="9" t="s">
        <v>215</v>
      </c>
      <c r="E16" s="21" t="s">
        <v>182</v>
      </c>
      <c r="F16" s="22" t="s">
        <v>214</v>
      </c>
      <c r="G16" s="22" t="s">
        <v>208</v>
      </c>
      <c r="H16" s="23"/>
      <c r="I16" s="64" t="s">
        <v>350</v>
      </c>
      <c r="J16" s="25" t="s">
        <v>4</v>
      </c>
      <c r="K16" s="25" t="s">
        <v>209</v>
      </c>
      <c r="L16" s="144" t="s">
        <v>216</v>
      </c>
    </row>
    <row r="17" spans="1:12" s="1" customFormat="1">
      <c r="A17" s="132"/>
      <c r="B17" s="13" t="s">
        <v>217</v>
      </c>
      <c r="C17" s="13" t="s">
        <v>211</v>
      </c>
      <c r="D17" s="9" t="s">
        <v>218</v>
      </c>
      <c r="E17" s="21" t="s">
        <v>182</v>
      </c>
      <c r="F17" s="22" t="s">
        <v>217</v>
      </c>
      <c r="G17" s="22" t="s">
        <v>208</v>
      </c>
      <c r="H17" s="23"/>
      <c r="I17" s="64" t="s">
        <v>379</v>
      </c>
      <c r="J17" s="25" t="s">
        <v>4</v>
      </c>
      <c r="K17" s="25" t="s">
        <v>209</v>
      </c>
      <c r="L17" s="25" t="s">
        <v>219</v>
      </c>
    </row>
    <row r="18" spans="1:12" s="1" customFormat="1">
      <c r="A18" s="132"/>
      <c r="B18" s="13" t="s">
        <v>220</v>
      </c>
      <c r="C18" s="13" t="s">
        <v>211</v>
      </c>
      <c r="D18" s="9" t="s">
        <v>221</v>
      </c>
      <c r="E18" s="21" t="s">
        <v>182</v>
      </c>
      <c r="F18" s="22" t="s">
        <v>222</v>
      </c>
      <c r="G18" s="22" t="s">
        <v>208</v>
      </c>
      <c r="H18" s="23"/>
      <c r="I18" s="64" t="s">
        <v>351</v>
      </c>
      <c r="J18" s="25" t="s">
        <v>4</v>
      </c>
      <c r="K18" s="25" t="s">
        <v>209</v>
      </c>
      <c r="L18" s="25" t="s">
        <v>223</v>
      </c>
    </row>
    <row r="19" spans="1:12" s="1" customFormat="1">
      <c r="A19" s="132"/>
      <c r="B19" s="13" t="s">
        <v>224</v>
      </c>
      <c r="C19" s="13" t="s">
        <v>211</v>
      </c>
      <c r="D19" s="9" t="s">
        <v>225</v>
      </c>
      <c r="E19" s="21" t="s">
        <v>182</v>
      </c>
      <c r="F19" s="9" t="s">
        <v>224</v>
      </c>
      <c r="G19" s="22" t="s">
        <v>208</v>
      </c>
      <c r="H19" s="23"/>
      <c r="I19" s="64" t="s">
        <v>352</v>
      </c>
      <c r="J19" s="25" t="s">
        <v>4</v>
      </c>
      <c r="K19" s="25" t="s">
        <v>209</v>
      </c>
      <c r="L19" s="25" t="s">
        <v>223</v>
      </c>
    </row>
    <row r="20" spans="1:12" s="1" customFormat="1">
      <c r="A20" s="132"/>
      <c r="B20" s="12" t="s">
        <v>228</v>
      </c>
      <c r="C20" s="13" t="s">
        <v>211</v>
      </c>
      <c r="D20" s="9" t="s">
        <v>229</v>
      </c>
      <c r="E20" s="21" t="s">
        <v>182</v>
      </c>
      <c r="F20" s="9" t="s">
        <v>228</v>
      </c>
      <c r="G20" s="22" t="s">
        <v>208</v>
      </c>
      <c r="H20" s="23"/>
      <c r="I20" s="64" t="s">
        <v>353</v>
      </c>
      <c r="J20" s="25" t="s">
        <v>4</v>
      </c>
      <c r="K20" s="25" t="s">
        <v>209</v>
      </c>
      <c r="L20" s="25" t="s">
        <v>223</v>
      </c>
    </row>
    <row r="21" spans="1:12" s="1" customFormat="1">
      <c r="A21" s="132"/>
      <c r="B21" s="12" t="s">
        <v>230</v>
      </c>
      <c r="C21" s="13" t="s">
        <v>206</v>
      </c>
      <c r="D21" s="9" t="s">
        <v>231</v>
      </c>
      <c r="E21" s="21" t="s">
        <v>182</v>
      </c>
      <c r="F21" s="27" t="s">
        <v>230</v>
      </c>
      <c r="G21" s="22" t="s">
        <v>208</v>
      </c>
      <c r="H21" s="23"/>
      <c r="I21" s="64" t="s">
        <v>354</v>
      </c>
      <c r="J21" s="25" t="s">
        <v>4</v>
      </c>
      <c r="K21" s="25" t="s">
        <v>209</v>
      </c>
      <c r="L21" s="25" t="s">
        <v>209</v>
      </c>
    </row>
    <row r="22" spans="1:12" s="1" customFormat="1">
      <c r="A22" s="132"/>
      <c r="B22" s="12" t="s">
        <v>233</v>
      </c>
      <c r="C22" s="13" t="s">
        <v>206</v>
      </c>
      <c r="D22" s="9" t="s">
        <v>234</v>
      </c>
      <c r="E22" s="21" t="s">
        <v>182</v>
      </c>
      <c r="F22" s="27" t="s">
        <v>233</v>
      </c>
      <c r="G22" s="22" t="s">
        <v>208</v>
      </c>
      <c r="H22" s="23"/>
      <c r="I22" s="64" t="s">
        <v>355</v>
      </c>
      <c r="J22" s="25" t="s">
        <v>4</v>
      </c>
      <c r="K22" s="25" t="s">
        <v>209</v>
      </c>
      <c r="L22" s="25" t="s">
        <v>209</v>
      </c>
    </row>
    <row r="23" spans="1:12" s="1" customFormat="1">
      <c r="A23" s="132"/>
      <c r="B23" s="12" t="s">
        <v>236</v>
      </c>
      <c r="C23" s="13" t="s">
        <v>206</v>
      </c>
      <c r="D23" s="9" t="s">
        <v>237</v>
      </c>
      <c r="E23" s="21" t="s">
        <v>182</v>
      </c>
      <c r="F23" s="27" t="s">
        <v>236</v>
      </c>
      <c r="G23" s="22" t="s">
        <v>208</v>
      </c>
      <c r="H23" s="23"/>
      <c r="I23" s="64" t="s">
        <v>356</v>
      </c>
      <c r="J23" s="25" t="s">
        <v>4</v>
      </c>
      <c r="K23" s="25" t="s">
        <v>209</v>
      </c>
      <c r="L23" s="25" t="s">
        <v>209</v>
      </c>
    </row>
    <row r="24" spans="1:12" s="1" customFormat="1">
      <c r="A24" s="132"/>
      <c r="B24" s="13" t="s">
        <v>239</v>
      </c>
      <c r="C24" s="12" t="s">
        <v>206</v>
      </c>
      <c r="D24" s="9" t="s">
        <v>240</v>
      </c>
      <c r="E24" s="21" t="s">
        <v>182</v>
      </c>
      <c r="F24" s="27" t="s">
        <v>239</v>
      </c>
      <c r="G24" s="22" t="s">
        <v>208</v>
      </c>
      <c r="H24" s="23"/>
      <c r="I24" s="64" t="s">
        <v>380</v>
      </c>
      <c r="J24" s="25" t="s">
        <v>4</v>
      </c>
      <c r="K24" s="25" t="s">
        <v>209</v>
      </c>
      <c r="L24" s="25" t="s">
        <v>209</v>
      </c>
    </row>
    <row r="25" spans="1:12" s="1" customFormat="1">
      <c r="A25" s="132"/>
      <c r="B25" s="12" t="s">
        <v>242</v>
      </c>
      <c r="C25" s="12" t="s">
        <v>206</v>
      </c>
      <c r="D25" s="9" t="s">
        <v>243</v>
      </c>
      <c r="E25" s="21" t="s">
        <v>182</v>
      </c>
      <c r="F25" s="22" t="s">
        <v>242</v>
      </c>
      <c r="G25" s="22" t="s">
        <v>208</v>
      </c>
      <c r="H25" s="23"/>
      <c r="I25" s="64" t="s">
        <v>357</v>
      </c>
      <c r="J25" s="25" t="s">
        <v>4</v>
      </c>
      <c r="K25" s="25" t="s">
        <v>209</v>
      </c>
      <c r="L25" s="25" t="s">
        <v>209</v>
      </c>
    </row>
    <row r="26" spans="1:12" s="1" customFormat="1">
      <c r="A26" s="132"/>
      <c r="B26" s="12" t="s">
        <v>246</v>
      </c>
      <c r="C26" s="12" t="s">
        <v>206</v>
      </c>
      <c r="D26" s="9" t="s">
        <v>247</v>
      </c>
      <c r="E26" s="21" t="s">
        <v>182</v>
      </c>
      <c r="F26" s="22" t="s">
        <v>246</v>
      </c>
      <c r="G26" s="22" t="s">
        <v>208</v>
      </c>
      <c r="H26" s="23"/>
      <c r="I26" s="64" t="s">
        <v>381</v>
      </c>
      <c r="J26" s="25" t="s">
        <v>4</v>
      </c>
      <c r="K26" s="25" t="s">
        <v>209</v>
      </c>
      <c r="L26" s="25" t="s">
        <v>209</v>
      </c>
    </row>
    <row r="27" spans="1:12" s="1" customFormat="1">
      <c r="A27" s="132"/>
      <c r="B27" s="12" t="s">
        <v>382</v>
      </c>
      <c r="C27" s="12" t="s">
        <v>206</v>
      </c>
      <c r="D27" s="9" t="s">
        <v>383</v>
      </c>
      <c r="E27" s="21"/>
      <c r="F27" s="22"/>
      <c r="G27" s="22" t="s">
        <v>384</v>
      </c>
      <c r="H27" s="23"/>
      <c r="I27" s="64" t="s">
        <v>385</v>
      </c>
      <c r="J27" s="25" t="s">
        <v>4</v>
      </c>
      <c r="K27" s="25" t="s">
        <v>209</v>
      </c>
      <c r="L27" s="25" t="s">
        <v>209</v>
      </c>
    </row>
    <row r="28" spans="1:12" s="1" customFormat="1">
      <c r="A28" s="132"/>
      <c r="B28" s="12" t="s">
        <v>386</v>
      </c>
      <c r="C28" s="12" t="s">
        <v>206</v>
      </c>
      <c r="D28" s="9" t="s">
        <v>387</v>
      </c>
      <c r="E28" s="21"/>
      <c r="F28" s="22"/>
      <c r="G28" s="22" t="s">
        <v>388</v>
      </c>
      <c r="H28" s="23"/>
      <c r="I28" s="64" t="s">
        <v>389</v>
      </c>
      <c r="J28" s="25" t="s">
        <v>4</v>
      </c>
      <c r="K28" s="25" t="s">
        <v>209</v>
      </c>
      <c r="L28" s="25" t="s">
        <v>209</v>
      </c>
    </row>
    <row r="29" spans="1:12" s="1" customFormat="1">
      <c r="A29" s="132"/>
      <c r="B29" s="12" t="s">
        <v>249</v>
      </c>
      <c r="C29" s="12" t="s">
        <v>206</v>
      </c>
      <c r="D29" s="9" t="s">
        <v>250</v>
      </c>
      <c r="E29" s="21" t="s">
        <v>182</v>
      </c>
      <c r="F29" s="22" t="s">
        <v>249</v>
      </c>
      <c r="G29" s="22" t="s">
        <v>208</v>
      </c>
      <c r="H29" s="23"/>
      <c r="I29" s="64" t="s">
        <v>358</v>
      </c>
      <c r="J29" s="25" t="s">
        <v>4</v>
      </c>
      <c r="K29" s="25" t="s">
        <v>209</v>
      </c>
      <c r="L29" s="25" t="s">
        <v>209</v>
      </c>
    </row>
    <row r="30" spans="1:12" s="1" customFormat="1">
      <c r="A30" s="132"/>
      <c r="B30" s="12" t="s">
        <v>251</v>
      </c>
      <c r="C30" s="12" t="s">
        <v>206</v>
      </c>
      <c r="D30" s="9" t="s">
        <v>252</v>
      </c>
      <c r="E30" s="21" t="s">
        <v>182</v>
      </c>
      <c r="F30" s="22" t="s">
        <v>251</v>
      </c>
      <c r="G30" s="22" t="s">
        <v>208</v>
      </c>
      <c r="H30" s="23"/>
      <c r="I30" s="64" t="s">
        <v>359</v>
      </c>
      <c r="J30" s="25" t="s">
        <v>4</v>
      </c>
      <c r="K30" s="25" t="s">
        <v>209</v>
      </c>
      <c r="L30" s="25" t="s">
        <v>209</v>
      </c>
    </row>
    <row r="31" spans="1:12" s="1" customFormat="1">
      <c r="A31" s="132"/>
      <c r="B31" s="12" t="s">
        <v>254</v>
      </c>
      <c r="C31" s="12" t="s">
        <v>206</v>
      </c>
      <c r="D31" s="9" t="s">
        <v>255</v>
      </c>
      <c r="E31" s="21" t="s">
        <v>182</v>
      </c>
      <c r="F31" s="22" t="s">
        <v>254</v>
      </c>
      <c r="G31" s="22" t="s">
        <v>208</v>
      </c>
      <c r="H31" s="23"/>
      <c r="I31" s="64" t="s">
        <v>360</v>
      </c>
      <c r="J31" s="25" t="s">
        <v>4</v>
      </c>
      <c r="K31" s="25" t="s">
        <v>209</v>
      </c>
      <c r="L31" s="25" t="s">
        <v>209</v>
      </c>
    </row>
    <row r="32" spans="1:12" s="1" customFormat="1">
      <c r="A32" s="132"/>
      <c r="B32" s="12" t="s">
        <v>256</v>
      </c>
      <c r="C32" s="12" t="s">
        <v>206</v>
      </c>
      <c r="D32" s="9" t="s">
        <v>257</v>
      </c>
      <c r="E32" s="21" t="s">
        <v>182</v>
      </c>
      <c r="F32" s="22" t="s">
        <v>256</v>
      </c>
      <c r="G32" s="22" t="s">
        <v>208</v>
      </c>
      <c r="H32" s="23"/>
      <c r="I32" s="64" t="s">
        <v>390</v>
      </c>
      <c r="J32" s="25" t="s">
        <v>4</v>
      </c>
      <c r="K32" s="25" t="s">
        <v>209</v>
      </c>
      <c r="L32" s="25" t="s">
        <v>209</v>
      </c>
    </row>
    <row r="33" spans="1:13" s="1" customFormat="1">
      <c r="A33" s="132"/>
      <c r="B33" s="13" t="s">
        <v>258</v>
      </c>
      <c r="C33" s="12" t="s">
        <v>206</v>
      </c>
      <c r="D33" s="9" t="s">
        <v>259</v>
      </c>
      <c r="E33" s="21" t="s">
        <v>182</v>
      </c>
      <c r="F33" s="22" t="s">
        <v>258</v>
      </c>
      <c r="G33" s="22" t="s">
        <v>208</v>
      </c>
      <c r="H33" s="23"/>
      <c r="I33" s="64" t="s">
        <v>391</v>
      </c>
      <c r="J33" s="25" t="s">
        <v>4</v>
      </c>
      <c r="K33" s="25" t="s">
        <v>209</v>
      </c>
      <c r="L33" s="25" t="s">
        <v>209</v>
      </c>
    </row>
    <row r="34" spans="1:13" s="1" customFormat="1">
      <c r="B34" s="13" t="s">
        <v>260</v>
      </c>
      <c r="C34" s="12" t="s">
        <v>206</v>
      </c>
      <c r="D34" s="9" t="s">
        <v>261</v>
      </c>
      <c r="E34" s="21" t="s">
        <v>182</v>
      </c>
      <c r="F34" s="22" t="s">
        <v>260</v>
      </c>
      <c r="G34" s="22" t="s">
        <v>208</v>
      </c>
      <c r="H34" s="23"/>
      <c r="I34" s="64" t="s">
        <v>361</v>
      </c>
      <c r="J34" s="25" t="s">
        <v>4</v>
      </c>
      <c r="K34" s="25" t="s">
        <v>209</v>
      </c>
      <c r="L34" s="25" t="s">
        <v>209</v>
      </c>
    </row>
    <row r="35" spans="1:13" s="1" customFormat="1">
      <c r="B35" s="13" t="s">
        <v>262</v>
      </c>
      <c r="C35" s="12" t="s">
        <v>206</v>
      </c>
      <c r="D35" s="9" t="s">
        <v>263</v>
      </c>
      <c r="E35" s="21" t="s">
        <v>182</v>
      </c>
      <c r="F35" s="22" t="s">
        <v>262</v>
      </c>
      <c r="G35" s="22" t="s">
        <v>208</v>
      </c>
      <c r="H35" s="23"/>
      <c r="I35" s="64" t="s">
        <v>392</v>
      </c>
      <c r="J35" s="25" t="s">
        <v>4</v>
      </c>
      <c r="K35" s="25" t="s">
        <v>209</v>
      </c>
      <c r="L35" s="25" t="s">
        <v>209</v>
      </c>
    </row>
    <row r="36" spans="1:13" s="132" customFormat="1">
      <c r="B36" s="13" t="s">
        <v>264</v>
      </c>
      <c r="C36" s="12" t="s">
        <v>206</v>
      </c>
      <c r="D36" s="9" t="s">
        <v>265</v>
      </c>
      <c r="E36" s="21" t="s">
        <v>182</v>
      </c>
      <c r="F36" s="22" t="s">
        <v>264</v>
      </c>
      <c r="G36" s="22" t="s">
        <v>208</v>
      </c>
      <c r="H36" s="23"/>
      <c r="I36" s="64" t="s">
        <v>393</v>
      </c>
      <c r="J36" s="25" t="s">
        <v>4</v>
      </c>
      <c r="K36" s="25" t="s">
        <v>209</v>
      </c>
      <c r="L36" s="25" t="s">
        <v>223</v>
      </c>
      <c r="M36" s="1"/>
    </row>
    <row r="37" spans="1:13" s="132" customFormat="1">
      <c r="B37" s="13" t="s">
        <v>266</v>
      </c>
      <c r="C37" s="12" t="s">
        <v>206</v>
      </c>
      <c r="D37" s="9" t="s">
        <v>267</v>
      </c>
      <c r="E37" s="21" t="s">
        <v>182</v>
      </c>
      <c r="F37" s="22" t="s">
        <v>266</v>
      </c>
      <c r="G37" s="22" t="s">
        <v>208</v>
      </c>
      <c r="H37" s="23"/>
      <c r="I37" s="64" t="s">
        <v>394</v>
      </c>
      <c r="J37" s="25" t="s">
        <v>4</v>
      </c>
      <c r="K37" s="25" t="s">
        <v>209</v>
      </c>
      <c r="L37" s="25" t="s">
        <v>209</v>
      </c>
      <c r="M37" s="1"/>
    </row>
    <row r="38" spans="1:13" s="136" customFormat="1">
      <c r="A38" s="137"/>
      <c r="B38" s="138" t="s">
        <v>268</v>
      </c>
      <c r="C38" s="12" t="s">
        <v>206</v>
      </c>
      <c r="D38" s="9" t="s">
        <v>269</v>
      </c>
      <c r="E38" s="21" t="s">
        <v>182</v>
      </c>
      <c r="F38" s="22" t="s">
        <v>268</v>
      </c>
      <c r="G38" s="22" t="s">
        <v>208</v>
      </c>
      <c r="H38" s="23"/>
      <c r="I38" s="64" t="s">
        <v>395</v>
      </c>
      <c r="J38" s="25" t="s">
        <v>4</v>
      </c>
      <c r="K38" s="25" t="s">
        <v>209</v>
      </c>
      <c r="L38" s="25" t="s">
        <v>209</v>
      </c>
      <c r="M38" s="1"/>
    </row>
    <row r="39" spans="1:13" s="136" customFormat="1">
      <c r="A39" s="137"/>
      <c r="B39" s="138" t="s">
        <v>270</v>
      </c>
      <c r="C39" s="12" t="s">
        <v>211</v>
      </c>
      <c r="D39" s="9" t="s">
        <v>271</v>
      </c>
      <c r="E39" s="21" t="s">
        <v>182</v>
      </c>
      <c r="F39" s="22" t="s">
        <v>270</v>
      </c>
      <c r="G39" s="22" t="s">
        <v>208</v>
      </c>
      <c r="H39" s="23"/>
      <c r="I39" s="145"/>
      <c r="J39" s="25" t="s">
        <v>4</v>
      </c>
      <c r="K39" s="25" t="s">
        <v>209</v>
      </c>
      <c r="L39" s="25" t="s">
        <v>272</v>
      </c>
      <c r="M39" s="1"/>
    </row>
    <row r="40" spans="1:13" s="136" customFormat="1">
      <c r="A40" s="137"/>
      <c r="B40" s="138" t="s">
        <v>273</v>
      </c>
      <c r="C40" s="12" t="s">
        <v>211</v>
      </c>
      <c r="D40" s="9" t="s">
        <v>274</v>
      </c>
      <c r="E40" s="21" t="s">
        <v>182</v>
      </c>
      <c r="F40" s="22" t="s">
        <v>273</v>
      </c>
      <c r="G40" s="22" t="s">
        <v>208</v>
      </c>
      <c r="H40" s="23"/>
      <c r="I40" s="145"/>
      <c r="J40" s="25" t="s">
        <v>4</v>
      </c>
      <c r="K40" s="25" t="s">
        <v>209</v>
      </c>
      <c r="L40" s="25" t="s">
        <v>209</v>
      </c>
      <c r="M40" s="1"/>
    </row>
    <row r="41" spans="1:13" s="1" customFormat="1">
      <c r="A41" s="132"/>
      <c r="B41" s="12" t="s">
        <v>276</v>
      </c>
      <c r="C41" s="12" t="s">
        <v>206</v>
      </c>
      <c r="D41" s="9" t="s">
        <v>277</v>
      </c>
      <c r="E41" s="21" t="s">
        <v>182</v>
      </c>
      <c r="F41" s="22" t="s">
        <v>276</v>
      </c>
      <c r="G41" s="22" t="s">
        <v>208</v>
      </c>
      <c r="H41" s="23"/>
      <c r="I41" s="64" t="s">
        <v>396</v>
      </c>
      <c r="J41" s="25" t="s">
        <v>4</v>
      </c>
      <c r="K41" s="25" t="s">
        <v>209</v>
      </c>
      <c r="L41" s="25" t="s">
        <v>209</v>
      </c>
    </row>
    <row r="42" spans="1:13" s="132" customFormat="1">
      <c r="B42" s="13" t="s">
        <v>280</v>
      </c>
      <c r="C42" s="13" t="s">
        <v>281</v>
      </c>
      <c r="D42" s="9" t="s">
        <v>282</v>
      </c>
      <c r="E42" s="21" t="s">
        <v>182</v>
      </c>
      <c r="F42" s="22"/>
      <c r="G42" s="19" t="s">
        <v>397</v>
      </c>
      <c r="H42" s="23"/>
      <c r="I42" s="64" t="s">
        <v>398</v>
      </c>
      <c r="J42" s="25" t="s">
        <v>284</v>
      </c>
      <c r="K42" s="25" t="s">
        <v>209</v>
      </c>
      <c r="L42" s="25" t="s">
        <v>285</v>
      </c>
      <c r="M42" s="1"/>
    </row>
    <row r="43" spans="1:13" s="132" customFormat="1">
      <c r="B43" s="13" t="s">
        <v>286</v>
      </c>
      <c r="C43" s="13" t="s">
        <v>281</v>
      </c>
      <c r="D43" s="9" t="s">
        <v>287</v>
      </c>
      <c r="E43" s="21" t="s">
        <v>182</v>
      </c>
      <c r="F43" s="22"/>
      <c r="G43" s="19" t="s">
        <v>399</v>
      </c>
      <c r="H43" s="23"/>
      <c r="I43" s="64" t="s">
        <v>400</v>
      </c>
      <c r="J43" s="25" t="s">
        <v>284</v>
      </c>
      <c r="K43" s="25" t="s">
        <v>209</v>
      </c>
      <c r="L43" s="25" t="s">
        <v>285</v>
      </c>
      <c r="M43" s="1"/>
    </row>
    <row r="44" spans="1:13" s="132" customFormat="1">
      <c r="B44" s="13" t="s">
        <v>289</v>
      </c>
      <c r="C44" s="13" t="s">
        <v>281</v>
      </c>
      <c r="D44" s="9" t="s">
        <v>290</v>
      </c>
      <c r="E44" s="21" t="s">
        <v>182</v>
      </c>
      <c r="F44" s="22"/>
      <c r="G44" s="19" t="s">
        <v>401</v>
      </c>
      <c r="H44" s="23"/>
      <c r="I44" s="64" t="s">
        <v>402</v>
      </c>
      <c r="J44" s="25" t="s">
        <v>284</v>
      </c>
      <c r="K44" s="25" t="s">
        <v>209</v>
      </c>
      <c r="L44" s="25" t="s">
        <v>285</v>
      </c>
      <c r="M44" s="1"/>
    </row>
    <row r="45" spans="1:13" s="132" customFormat="1">
      <c r="B45" s="13" t="s">
        <v>291</v>
      </c>
      <c r="C45" s="13" t="s">
        <v>281</v>
      </c>
      <c r="D45" s="9" t="s">
        <v>292</v>
      </c>
      <c r="E45" s="21" t="s">
        <v>182</v>
      </c>
      <c r="F45" s="22"/>
      <c r="G45" s="19" t="s">
        <v>403</v>
      </c>
      <c r="H45" s="23"/>
      <c r="I45" s="64" t="s">
        <v>404</v>
      </c>
      <c r="J45" s="25" t="s">
        <v>284</v>
      </c>
      <c r="K45" s="25" t="s">
        <v>209</v>
      </c>
      <c r="L45" s="25" t="s">
        <v>285</v>
      </c>
      <c r="M45" s="1"/>
    </row>
    <row r="46" spans="1:13" s="3" customFormat="1">
      <c r="B46" s="13" t="s">
        <v>294</v>
      </c>
      <c r="C46" s="13" t="s">
        <v>281</v>
      </c>
      <c r="D46" s="9" t="s">
        <v>295</v>
      </c>
      <c r="E46" s="21" t="s">
        <v>182</v>
      </c>
      <c r="F46" s="22"/>
      <c r="G46" s="19" t="s">
        <v>405</v>
      </c>
      <c r="H46" s="23"/>
      <c r="I46" s="64" t="s">
        <v>406</v>
      </c>
      <c r="J46" s="25" t="s">
        <v>284</v>
      </c>
      <c r="K46" s="25" t="s">
        <v>209</v>
      </c>
      <c r="L46" s="25" t="s">
        <v>285</v>
      </c>
      <c r="M46" s="1"/>
    </row>
    <row r="47" spans="1:13" s="3" customFormat="1">
      <c r="B47" s="13" t="s">
        <v>297</v>
      </c>
      <c r="C47" s="13" t="s">
        <v>281</v>
      </c>
      <c r="D47" s="9" t="s">
        <v>298</v>
      </c>
      <c r="E47" s="21" t="s">
        <v>182</v>
      </c>
      <c r="F47" s="22"/>
      <c r="G47" s="19" t="s">
        <v>407</v>
      </c>
      <c r="H47" s="23"/>
      <c r="I47" s="64" t="s">
        <v>408</v>
      </c>
      <c r="J47" s="25" t="s">
        <v>284</v>
      </c>
      <c r="K47" s="25" t="s">
        <v>209</v>
      </c>
      <c r="L47" s="25" t="s">
        <v>285</v>
      </c>
      <c r="M47" s="1"/>
    </row>
    <row r="48" spans="1:13" s="3" customFormat="1">
      <c r="B48" s="13" t="s">
        <v>300</v>
      </c>
      <c r="C48" s="13" t="s">
        <v>281</v>
      </c>
      <c r="D48" s="9" t="s">
        <v>301</v>
      </c>
      <c r="E48" s="21" t="s">
        <v>182</v>
      </c>
      <c r="F48" s="22"/>
      <c r="G48" s="19" t="s">
        <v>409</v>
      </c>
      <c r="H48" s="23"/>
      <c r="I48" s="64" t="s">
        <v>410</v>
      </c>
      <c r="J48" s="25" t="s">
        <v>284</v>
      </c>
      <c r="K48" s="25" t="s">
        <v>209</v>
      </c>
      <c r="L48" s="25" t="s">
        <v>285</v>
      </c>
      <c r="M48" s="1"/>
    </row>
    <row r="49" spans="1:17" s="3" customFormat="1">
      <c r="B49" s="13" t="s">
        <v>303</v>
      </c>
      <c r="C49" s="13" t="s">
        <v>281</v>
      </c>
      <c r="D49" s="9" t="s">
        <v>304</v>
      </c>
      <c r="E49" s="21" t="s">
        <v>182</v>
      </c>
      <c r="F49" s="22"/>
      <c r="G49" s="19" t="s">
        <v>411</v>
      </c>
      <c r="H49" s="23"/>
      <c r="I49" s="64" t="s">
        <v>412</v>
      </c>
      <c r="J49" s="25" t="s">
        <v>284</v>
      </c>
      <c r="K49" s="25" t="s">
        <v>209</v>
      </c>
      <c r="L49" s="25" t="s">
        <v>285</v>
      </c>
      <c r="M49" s="1"/>
    </row>
    <row r="50" spans="1:17" s="3" customFormat="1">
      <c r="B50" s="13" t="s">
        <v>306</v>
      </c>
      <c r="C50" s="13" t="s">
        <v>281</v>
      </c>
      <c r="D50" s="9" t="s">
        <v>307</v>
      </c>
      <c r="E50" s="21" t="s">
        <v>182</v>
      </c>
      <c r="F50" s="22"/>
      <c r="G50" s="19" t="s">
        <v>413</v>
      </c>
      <c r="H50" s="23"/>
      <c r="I50" s="64" t="s">
        <v>414</v>
      </c>
      <c r="J50" s="25" t="s">
        <v>284</v>
      </c>
      <c r="K50" s="25" t="s">
        <v>209</v>
      </c>
      <c r="L50" s="25" t="s">
        <v>285</v>
      </c>
      <c r="M50" s="1"/>
    </row>
    <row r="51" spans="1:17" s="3" customFormat="1">
      <c r="B51" s="13" t="s">
        <v>309</v>
      </c>
      <c r="C51" s="13" t="s">
        <v>281</v>
      </c>
      <c r="D51" s="9" t="s">
        <v>310</v>
      </c>
      <c r="E51" s="21" t="s">
        <v>182</v>
      </c>
      <c r="F51" s="22"/>
      <c r="G51" s="19" t="s">
        <v>362</v>
      </c>
      <c r="H51" s="21"/>
      <c r="I51" s="64"/>
      <c r="J51" s="25" t="s">
        <v>284</v>
      </c>
      <c r="K51" s="25" t="s">
        <v>209</v>
      </c>
      <c r="L51" s="25" t="s">
        <v>285</v>
      </c>
    </row>
    <row r="52" spans="1:17" s="136" customFormat="1">
      <c r="A52" s="137"/>
      <c r="B52" s="138" t="s">
        <v>312</v>
      </c>
      <c r="C52" s="13" t="s">
        <v>211</v>
      </c>
      <c r="D52" s="9" t="s">
        <v>313</v>
      </c>
      <c r="E52" s="21" t="s">
        <v>182</v>
      </c>
      <c r="F52" s="22"/>
      <c r="G52" s="19" t="s">
        <v>363</v>
      </c>
      <c r="H52" s="23"/>
      <c r="I52" s="64" t="s">
        <v>364</v>
      </c>
      <c r="J52" s="25" t="s">
        <v>284</v>
      </c>
      <c r="K52" s="25" t="s">
        <v>209</v>
      </c>
      <c r="L52" s="25" t="s">
        <v>285</v>
      </c>
      <c r="M52" s="1"/>
    </row>
    <row r="53" spans="1:17" s="136" customFormat="1">
      <c r="A53" s="137"/>
      <c r="B53" s="138" t="s">
        <v>315</v>
      </c>
      <c r="C53" s="13" t="s">
        <v>211</v>
      </c>
      <c r="D53" s="9" t="s">
        <v>316</v>
      </c>
      <c r="E53" s="21" t="s">
        <v>182</v>
      </c>
      <c r="F53" s="22"/>
      <c r="G53" s="19" t="s">
        <v>365</v>
      </c>
      <c r="H53" s="23"/>
      <c r="I53" s="64" t="s">
        <v>366</v>
      </c>
      <c r="J53" s="25" t="s">
        <v>284</v>
      </c>
      <c r="K53" s="25" t="s">
        <v>209</v>
      </c>
      <c r="L53" s="25" t="s">
        <v>285</v>
      </c>
      <c r="M53" s="1"/>
    </row>
    <row r="54" spans="1:17" s="136" customFormat="1">
      <c r="A54" s="137"/>
      <c r="B54" s="138" t="s">
        <v>318</v>
      </c>
      <c r="C54" s="13" t="s">
        <v>319</v>
      </c>
      <c r="D54" s="9" t="s">
        <v>320</v>
      </c>
      <c r="E54" s="21" t="s">
        <v>182</v>
      </c>
      <c r="F54" s="22"/>
      <c r="G54" s="19" t="s">
        <v>367</v>
      </c>
      <c r="H54" s="23"/>
      <c r="I54" s="64" t="s">
        <v>368</v>
      </c>
      <c r="J54" s="25" t="s">
        <v>284</v>
      </c>
      <c r="K54" s="25" t="s">
        <v>209</v>
      </c>
      <c r="L54" s="25" t="s">
        <v>322</v>
      </c>
      <c r="M54" s="1"/>
    </row>
    <row r="55" spans="1:17" s="136" customFormat="1">
      <c r="A55" s="137"/>
      <c r="B55" s="138" t="s">
        <v>323</v>
      </c>
      <c r="C55" s="13" t="s">
        <v>319</v>
      </c>
      <c r="D55" s="9" t="s">
        <v>324</v>
      </c>
      <c r="E55" s="21" t="s">
        <v>182</v>
      </c>
      <c r="F55" s="22"/>
      <c r="G55" s="19" t="s">
        <v>369</v>
      </c>
      <c r="H55" s="64"/>
      <c r="I55" s="64"/>
      <c r="J55" s="25" t="s">
        <v>284</v>
      </c>
      <c r="K55" s="25" t="s">
        <v>209</v>
      </c>
      <c r="L55" s="25" t="s">
        <v>285</v>
      </c>
    </row>
    <row r="56" spans="1:17" s="136" customFormat="1">
      <c r="A56" s="137"/>
      <c r="B56" s="138" t="s">
        <v>325</v>
      </c>
      <c r="C56" s="13" t="s">
        <v>319</v>
      </c>
      <c r="D56" s="9" t="s">
        <v>370</v>
      </c>
      <c r="E56" s="21" t="s">
        <v>182</v>
      </c>
      <c r="F56" s="22"/>
      <c r="G56" s="19" t="s">
        <v>371</v>
      </c>
      <c r="H56" s="23"/>
      <c r="I56" s="64" t="s">
        <v>372</v>
      </c>
      <c r="J56" s="25" t="s">
        <v>284</v>
      </c>
      <c r="K56" s="25" t="s">
        <v>209</v>
      </c>
      <c r="L56" s="25" t="s">
        <v>328</v>
      </c>
      <c r="M56" s="1"/>
    </row>
    <row r="57" spans="1:17" s="136" customFormat="1">
      <c r="A57" s="137"/>
      <c r="B57" s="138" t="s">
        <v>329</v>
      </c>
      <c r="C57" s="13" t="s">
        <v>281</v>
      </c>
      <c r="D57" s="9" t="s">
        <v>330</v>
      </c>
      <c r="E57" s="21" t="s">
        <v>182</v>
      </c>
      <c r="F57" s="22"/>
      <c r="G57" s="19" t="s">
        <v>373</v>
      </c>
      <c r="H57" s="21"/>
      <c r="I57" s="145"/>
      <c r="J57" s="25" t="s">
        <v>284</v>
      </c>
      <c r="K57" s="25" t="s">
        <v>209</v>
      </c>
      <c r="L57" s="25" t="s">
        <v>285</v>
      </c>
    </row>
    <row r="58" spans="1:17" s="136" customFormat="1">
      <c r="A58" s="137"/>
      <c r="B58" s="138" t="s">
        <v>332</v>
      </c>
      <c r="C58" s="13" t="s">
        <v>281</v>
      </c>
      <c r="D58" s="9" t="s">
        <v>333</v>
      </c>
      <c r="E58" s="21" t="s">
        <v>182</v>
      </c>
      <c r="F58" s="22"/>
      <c r="G58" s="19" t="s">
        <v>374</v>
      </c>
      <c r="H58" s="21"/>
      <c r="I58" s="145"/>
      <c r="J58" s="25" t="s">
        <v>284</v>
      </c>
      <c r="K58" s="25" t="s">
        <v>209</v>
      </c>
      <c r="L58" s="25" t="s">
        <v>285</v>
      </c>
    </row>
    <row r="59" spans="1:17" s="136" customFormat="1">
      <c r="A59" s="137"/>
      <c r="B59" s="138" t="s">
        <v>335</v>
      </c>
      <c r="C59" s="13" t="s">
        <v>281</v>
      </c>
      <c r="D59" s="9" t="s">
        <v>336</v>
      </c>
      <c r="E59" s="21" t="s">
        <v>182</v>
      </c>
      <c r="F59" s="22"/>
      <c r="G59" s="19" t="s">
        <v>375</v>
      </c>
      <c r="H59" s="21"/>
      <c r="I59" s="145"/>
      <c r="J59" s="25" t="s">
        <v>284</v>
      </c>
      <c r="K59" s="25" t="s">
        <v>209</v>
      </c>
      <c r="L59" s="25" t="s">
        <v>285</v>
      </c>
    </row>
    <row r="60" spans="1:17" s="136" customFormat="1">
      <c r="A60" s="137"/>
      <c r="B60" s="138" t="s">
        <v>338</v>
      </c>
      <c r="C60" s="13" t="s">
        <v>281</v>
      </c>
      <c r="D60" s="9" t="s">
        <v>339</v>
      </c>
      <c r="E60" s="21" t="s">
        <v>182</v>
      </c>
      <c r="F60" s="22"/>
      <c r="G60" s="19" t="s">
        <v>376</v>
      </c>
      <c r="H60" s="21"/>
      <c r="I60" s="145"/>
      <c r="J60" s="25" t="s">
        <v>284</v>
      </c>
      <c r="K60" s="25" t="s">
        <v>209</v>
      </c>
      <c r="L60" s="25" t="s">
        <v>285</v>
      </c>
    </row>
    <row r="61" spans="1:17" s="136" customFormat="1">
      <c r="A61" s="137"/>
      <c r="B61" s="138" t="s">
        <v>341</v>
      </c>
      <c r="C61" s="13" t="s">
        <v>281</v>
      </c>
      <c r="D61" s="9" t="s">
        <v>342</v>
      </c>
      <c r="E61" s="21" t="s">
        <v>182</v>
      </c>
      <c r="F61" s="22"/>
      <c r="G61" s="19" t="s">
        <v>377</v>
      </c>
      <c r="H61" s="21"/>
      <c r="I61" s="145"/>
      <c r="J61" s="25" t="s">
        <v>284</v>
      </c>
      <c r="K61" s="25" t="s">
        <v>209</v>
      </c>
      <c r="L61" s="25" t="s">
        <v>285</v>
      </c>
    </row>
    <row r="62" spans="1:17" s="2" customFormat="1">
      <c r="B62" s="14" t="s">
        <v>222</v>
      </c>
      <c r="C62" s="15" t="s">
        <v>211</v>
      </c>
      <c r="D62" s="16" t="s">
        <v>344</v>
      </c>
      <c r="E62" s="69"/>
      <c r="F62" s="14"/>
      <c r="G62" s="14"/>
      <c r="H62" s="14"/>
      <c r="I62" s="123"/>
      <c r="J62" s="14"/>
      <c r="K62" s="14"/>
      <c r="L62" s="14"/>
      <c r="M62" s="14"/>
      <c r="N62" s="14"/>
      <c r="O62" s="14"/>
      <c r="P62" s="14"/>
      <c r="Q62" s="14"/>
    </row>
    <row r="63" spans="1:17" s="2" customFormat="1">
      <c r="B63" s="14" t="s">
        <v>0</v>
      </c>
      <c r="C63" s="15" t="s">
        <v>206</v>
      </c>
      <c r="D63" s="16" t="s">
        <v>345</v>
      </c>
      <c r="E63" s="69"/>
      <c r="F63" s="14"/>
      <c r="G63" s="14"/>
      <c r="H63" s="14"/>
      <c r="I63" s="123"/>
      <c r="J63" s="14"/>
      <c r="K63" s="14"/>
      <c r="L63" s="14"/>
      <c r="M63" s="14"/>
      <c r="N63" s="14"/>
      <c r="O63" s="14"/>
      <c r="P63" s="14"/>
      <c r="Q63" s="14"/>
    </row>
    <row r="64" spans="1:17" s="2" customFormat="1">
      <c r="B64" s="14" t="s">
        <v>1</v>
      </c>
      <c r="C64" s="15" t="s">
        <v>211</v>
      </c>
      <c r="D64" s="16" t="s">
        <v>346</v>
      </c>
      <c r="E64" s="69"/>
      <c r="F64" s="14"/>
      <c r="G64" s="14"/>
      <c r="H64" s="14"/>
      <c r="I64" s="123"/>
      <c r="J64" s="14"/>
      <c r="K64" s="14"/>
      <c r="L64" s="14"/>
      <c r="M64" s="14"/>
      <c r="N64" s="14"/>
      <c r="O64" s="14"/>
      <c r="P64" s="14"/>
      <c r="Q64" s="14"/>
    </row>
  </sheetData>
  <autoFilter ref="A13:Q64" xr:uid="{00000000-0009-0000-0000-000004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6"/>
  <sheetViews>
    <sheetView zoomScale="85" zoomScaleNormal="85" workbookViewId="0">
      <pane ySplit="5" topLeftCell="A6" activePane="bottomLeft" state="frozen"/>
      <selection pane="bottomLeft" activeCell="D10" sqref="D10"/>
    </sheetView>
  </sheetViews>
  <sheetFormatPr defaultColWidth="9" defaultRowHeight="13.2"/>
  <cols>
    <col min="1" max="1" width="1.33203125" style="3" customWidth="1"/>
    <col min="2" max="2" width="23.6640625" style="3" customWidth="1"/>
    <col min="3" max="3" width="32.33203125" style="3"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7" t="s">
        <v>172</v>
      </c>
      <c r="G4" s="7" t="s">
        <v>43</v>
      </c>
      <c r="H4" s="7" t="s">
        <v>173</v>
      </c>
    </row>
    <row r="5" spans="2:14">
      <c r="B5" s="12" t="s">
        <v>76</v>
      </c>
      <c r="C5" s="9" t="s">
        <v>77</v>
      </c>
      <c r="D5" s="10" t="s">
        <v>78</v>
      </c>
      <c r="E5" s="12" t="s">
        <v>80</v>
      </c>
      <c r="F5" s="61"/>
      <c r="G5" s="9" t="s">
        <v>415</v>
      </c>
      <c r="H5" s="12"/>
      <c r="N5" s="3"/>
    </row>
    <row r="6" spans="2:14">
      <c r="B6" s="6"/>
      <c r="C6" s="6"/>
      <c r="D6" s="6"/>
      <c r="E6" s="6"/>
      <c r="F6" s="6"/>
      <c r="G6" s="6"/>
      <c r="H6" s="6"/>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2506</v>
      </c>
      <c r="D9" s="10" t="s">
        <v>416</v>
      </c>
      <c r="E9" s="12" t="s">
        <v>182</v>
      </c>
      <c r="F9" s="182" t="s">
        <v>417</v>
      </c>
      <c r="G9" s="183"/>
      <c r="H9" s="20" t="s">
        <v>63</v>
      </c>
    </row>
    <row r="10" spans="2:14">
      <c r="B10" s="12"/>
      <c r="C10" s="9" t="s">
        <v>67</v>
      </c>
      <c r="D10" s="10" t="s">
        <v>68</v>
      </c>
      <c r="E10" s="12" t="s">
        <v>418</v>
      </c>
      <c r="F10" s="184"/>
      <c r="G10" s="185"/>
      <c r="H10" s="20"/>
    </row>
    <row r="11" spans="2:14">
      <c r="G11" s="62"/>
    </row>
    <row r="12" spans="2:14">
      <c r="B12" s="3" t="s">
        <v>194</v>
      </c>
    </row>
    <row r="13" spans="2:14">
      <c r="B13" s="181" t="s">
        <v>194</v>
      </c>
      <c r="C13" s="181"/>
      <c r="D13" s="181"/>
      <c r="E13" s="181"/>
      <c r="F13" s="181"/>
      <c r="G13" s="181"/>
      <c r="H13" s="181"/>
      <c r="I13" s="181"/>
      <c r="J13" s="181"/>
      <c r="K13" s="181"/>
      <c r="L13" s="181"/>
    </row>
    <row r="14" spans="2:14">
      <c r="B14" s="7" t="s">
        <v>195</v>
      </c>
      <c r="C14" s="7" t="s">
        <v>196</v>
      </c>
      <c r="D14" s="7" t="s">
        <v>197</v>
      </c>
      <c r="E14" s="7" t="s">
        <v>198</v>
      </c>
      <c r="F14" s="7" t="s">
        <v>199</v>
      </c>
      <c r="G14" s="7" t="s">
        <v>200</v>
      </c>
      <c r="H14" s="7" t="s">
        <v>201</v>
      </c>
      <c r="I14" s="7" t="s">
        <v>53</v>
      </c>
      <c r="J14" s="7" t="s">
        <v>202</v>
      </c>
      <c r="K14" s="7" t="s">
        <v>203</v>
      </c>
      <c r="L14" s="7" t="s">
        <v>204</v>
      </c>
    </row>
    <row r="15" spans="2:14" s="1" customFormat="1">
      <c r="B15" s="13" t="s">
        <v>205</v>
      </c>
      <c r="C15" s="13" t="s">
        <v>206</v>
      </c>
      <c r="D15" s="9" t="s">
        <v>207</v>
      </c>
      <c r="E15" s="21" t="s">
        <v>182</v>
      </c>
      <c r="F15" s="22" t="s">
        <v>205</v>
      </c>
      <c r="G15" s="22" t="s">
        <v>208</v>
      </c>
      <c r="H15" s="23"/>
      <c r="I15" s="25"/>
      <c r="J15" s="25" t="s">
        <v>4</v>
      </c>
      <c r="K15" s="25" t="s">
        <v>209</v>
      </c>
      <c r="L15" s="25" t="s">
        <v>210</v>
      </c>
    </row>
    <row r="16" spans="2:14" s="1" customFormat="1">
      <c r="B16" s="13" t="s">
        <v>20</v>
      </c>
      <c r="C16" s="13" t="s">
        <v>211</v>
      </c>
      <c r="D16" s="9" t="s">
        <v>73</v>
      </c>
      <c r="E16" s="21" t="s">
        <v>182</v>
      </c>
      <c r="F16" s="22" t="s">
        <v>20</v>
      </c>
      <c r="G16" s="22" t="s">
        <v>208</v>
      </c>
      <c r="H16" s="23"/>
      <c r="I16" s="25"/>
      <c r="J16" s="25" t="s">
        <v>4</v>
      </c>
      <c r="K16" s="25" t="s">
        <v>209</v>
      </c>
      <c r="L16" s="25" t="s">
        <v>212</v>
      </c>
    </row>
    <row r="17" spans="1:12" s="1" customFormat="1">
      <c r="A17" s="132"/>
      <c r="B17" s="13" t="s">
        <v>12</v>
      </c>
      <c r="C17" s="13" t="s">
        <v>211</v>
      </c>
      <c r="D17" s="9" t="s">
        <v>61</v>
      </c>
      <c r="E17" s="21" t="s">
        <v>182</v>
      </c>
      <c r="F17" s="22" t="s">
        <v>12</v>
      </c>
      <c r="G17" s="22" t="s">
        <v>208</v>
      </c>
      <c r="H17" s="23"/>
      <c r="I17" s="133"/>
      <c r="J17" s="25" t="s">
        <v>4</v>
      </c>
      <c r="K17" s="25" t="s">
        <v>209</v>
      </c>
      <c r="L17" s="25" t="s">
        <v>213</v>
      </c>
    </row>
    <row r="18" spans="1:12" s="1" customFormat="1">
      <c r="A18" s="132"/>
      <c r="B18" s="13" t="s">
        <v>2379</v>
      </c>
      <c r="C18" s="13" t="s">
        <v>206</v>
      </c>
      <c r="D18" s="9" t="s">
        <v>420</v>
      </c>
      <c r="E18" s="21" t="s">
        <v>182</v>
      </c>
      <c r="F18" s="22" t="s">
        <v>419</v>
      </c>
      <c r="G18" s="22" t="s">
        <v>208</v>
      </c>
      <c r="H18" s="23"/>
      <c r="I18" s="133"/>
      <c r="J18" s="25" t="s">
        <v>4</v>
      </c>
      <c r="K18" s="25" t="s">
        <v>209</v>
      </c>
      <c r="L18" s="25" t="s">
        <v>209</v>
      </c>
    </row>
    <row r="19" spans="1:12" s="1" customFormat="1">
      <c r="A19" s="132"/>
      <c r="B19" s="13" t="s">
        <v>2380</v>
      </c>
      <c r="C19" s="13" t="s">
        <v>206</v>
      </c>
      <c r="D19" s="9" t="s">
        <v>422</v>
      </c>
      <c r="E19" s="21" t="s">
        <v>182</v>
      </c>
      <c r="F19" s="22" t="s">
        <v>421</v>
      </c>
      <c r="G19" s="22" t="s">
        <v>208</v>
      </c>
      <c r="H19" s="23"/>
      <c r="I19" s="133"/>
      <c r="J19" s="25" t="s">
        <v>4</v>
      </c>
      <c r="K19" s="25" t="s">
        <v>209</v>
      </c>
      <c r="L19" s="25" t="s">
        <v>209</v>
      </c>
    </row>
    <row r="20" spans="1:12" s="1" customFormat="1">
      <c r="A20" s="132"/>
      <c r="B20" s="13" t="s">
        <v>2381</v>
      </c>
      <c r="C20" s="13" t="s">
        <v>206</v>
      </c>
      <c r="D20" s="9" t="s">
        <v>424</v>
      </c>
      <c r="E20" s="21" t="s">
        <v>182</v>
      </c>
      <c r="F20" s="22" t="s">
        <v>423</v>
      </c>
      <c r="G20" s="22" t="s">
        <v>208</v>
      </c>
      <c r="H20" s="23"/>
      <c r="I20" s="133"/>
      <c r="J20" s="25" t="s">
        <v>4</v>
      </c>
      <c r="K20" s="25" t="s">
        <v>209</v>
      </c>
      <c r="L20" s="25" t="s">
        <v>209</v>
      </c>
    </row>
    <row r="21" spans="1:12" s="1" customFormat="1">
      <c r="A21" s="132"/>
      <c r="B21" s="12" t="s">
        <v>2382</v>
      </c>
      <c r="C21" s="13" t="s">
        <v>206</v>
      </c>
      <c r="D21" s="9" t="s">
        <v>426</v>
      </c>
      <c r="E21" s="21" t="s">
        <v>182</v>
      </c>
      <c r="F21" s="22" t="s">
        <v>425</v>
      </c>
      <c r="G21" s="22" t="s">
        <v>208</v>
      </c>
      <c r="H21" s="23"/>
      <c r="I21" s="133"/>
      <c r="J21" s="25" t="s">
        <v>4</v>
      </c>
      <c r="K21" s="25" t="s">
        <v>209</v>
      </c>
      <c r="L21" s="25" t="s">
        <v>209</v>
      </c>
    </row>
    <row r="22" spans="1:12" s="1" customFormat="1">
      <c r="A22" s="132"/>
      <c r="B22" s="12" t="s">
        <v>2383</v>
      </c>
      <c r="C22" s="13" t="s">
        <v>206</v>
      </c>
      <c r="D22" s="9" t="s">
        <v>428</v>
      </c>
      <c r="E22" s="21" t="s">
        <v>182</v>
      </c>
      <c r="F22" s="22" t="s">
        <v>427</v>
      </c>
      <c r="G22" s="22" t="s">
        <v>208</v>
      </c>
      <c r="H22" s="23"/>
      <c r="I22" s="133"/>
      <c r="J22" s="25" t="s">
        <v>4</v>
      </c>
      <c r="K22" s="25" t="s">
        <v>209</v>
      </c>
      <c r="L22" s="25" t="s">
        <v>209</v>
      </c>
    </row>
    <row r="23" spans="1:12" s="1" customFormat="1">
      <c r="A23" s="132"/>
      <c r="B23" s="12" t="s">
        <v>429</v>
      </c>
      <c r="C23" s="13" t="s">
        <v>319</v>
      </c>
      <c r="D23" s="9" t="s">
        <v>430</v>
      </c>
      <c r="E23" s="21" t="s">
        <v>182</v>
      </c>
      <c r="F23" s="22" t="s">
        <v>429</v>
      </c>
      <c r="G23" s="22" t="s">
        <v>208</v>
      </c>
      <c r="H23" s="23"/>
      <c r="I23" s="133"/>
      <c r="J23" s="25" t="s">
        <v>4</v>
      </c>
      <c r="K23" s="25" t="s">
        <v>209</v>
      </c>
      <c r="L23" s="25" t="s">
        <v>209</v>
      </c>
    </row>
    <row r="24" spans="1:12" s="1" customFormat="1">
      <c r="A24" s="132"/>
      <c r="B24" s="12" t="s">
        <v>431</v>
      </c>
      <c r="C24" s="13" t="s">
        <v>319</v>
      </c>
      <c r="D24" s="9" t="s">
        <v>432</v>
      </c>
      <c r="E24" s="21" t="s">
        <v>182</v>
      </c>
      <c r="F24" s="22" t="s">
        <v>431</v>
      </c>
      <c r="G24" s="22" t="s">
        <v>208</v>
      </c>
      <c r="H24" s="23"/>
      <c r="I24" s="133"/>
      <c r="J24" s="25" t="s">
        <v>4</v>
      </c>
      <c r="K24" s="25" t="s">
        <v>209</v>
      </c>
      <c r="L24" s="25" t="s">
        <v>209</v>
      </c>
    </row>
    <row r="25" spans="1:12" s="1" customFormat="1">
      <c r="A25" s="132"/>
      <c r="B25" s="13" t="s">
        <v>2370</v>
      </c>
      <c r="C25" s="12" t="s">
        <v>206</v>
      </c>
      <c r="D25" s="9" t="s">
        <v>243</v>
      </c>
      <c r="E25" s="21" t="s">
        <v>182</v>
      </c>
      <c r="F25" s="22" t="s">
        <v>242</v>
      </c>
      <c r="G25" s="22" t="s">
        <v>208</v>
      </c>
      <c r="H25" s="23"/>
      <c r="I25" s="133"/>
      <c r="J25" s="25" t="s">
        <v>4</v>
      </c>
      <c r="K25" s="25" t="s">
        <v>209</v>
      </c>
      <c r="L25" s="25" t="s">
        <v>209</v>
      </c>
    </row>
    <row r="26" spans="1:12" s="1" customFormat="1">
      <c r="A26" s="132"/>
      <c r="B26" s="12" t="s">
        <v>2375</v>
      </c>
      <c r="C26" s="12" t="s">
        <v>211</v>
      </c>
      <c r="D26" s="9" t="s">
        <v>433</v>
      </c>
      <c r="E26" s="21" t="s">
        <v>418</v>
      </c>
      <c r="F26" s="27" t="s">
        <v>260</v>
      </c>
      <c r="G26" s="22" t="s">
        <v>208</v>
      </c>
      <c r="H26" s="23"/>
      <c r="I26" s="134"/>
      <c r="J26" s="25" t="s">
        <v>4</v>
      </c>
      <c r="K26" s="25" t="s">
        <v>209</v>
      </c>
      <c r="L26" s="25" t="s">
        <v>209</v>
      </c>
    </row>
    <row r="27" spans="1:12" s="1" customFormat="1">
      <c r="A27" s="132"/>
      <c r="B27" s="12" t="s">
        <v>2384</v>
      </c>
      <c r="C27" s="12" t="s">
        <v>281</v>
      </c>
      <c r="D27" s="9" t="s">
        <v>434</v>
      </c>
      <c r="E27" s="21" t="s">
        <v>418</v>
      </c>
      <c r="F27" s="22"/>
      <c r="G27" s="19" t="s">
        <v>363</v>
      </c>
      <c r="H27" s="23"/>
      <c r="I27" s="133"/>
      <c r="J27" s="25" t="s">
        <v>284</v>
      </c>
      <c r="K27" s="25" t="s">
        <v>209</v>
      </c>
      <c r="L27" s="25" t="s">
        <v>285</v>
      </c>
    </row>
    <row r="28" spans="1:12" s="1" customFormat="1">
      <c r="A28" s="132"/>
      <c r="B28" s="12" t="s">
        <v>2385</v>
      </c>
      <c r="C28" s="12" t="s">
        <v>281</v>
      </c>
      <c r="D28" s="9" t="s">
        <v>435</v>
      </c>
      <c r="E28" s="21" t="s">
        <v>418</v>
      </c>
      <c r="F28" s="22"/>
      <c r="G28" s="19" t="s">
        <v>365</v>
      </c>
      <c r="H28" s="23"/>
      <c r="I28" s="133"/>
      <c r="J28" s="25" t="s">
        <v>284</v>
      </c>
      <c r="K28" s="25" t="s">
        <v>209</v>
      </c>
      <c r="L28" s="25" t="s">
        <v>285</v>
      </c>
    </row>
    <row r="29" spans="1:12" s="1" customFormat="1">
      <c r="A29" s="132"/>
      <c r="B29" s="12" t="s">
        <v>436</v>
      </c>
      <c r="C29" s="12" t="s">
        <v>281</v>
      </c>
      <c r="D29" s="9" t="s">
        <v>437</v>
      </c>
      <c r="E29" s="21" t="s">
        <v>418</v>
      </c>
      <c r="F29" s="22"/>
      <c r="G29" s="19" t="s">
        <v>367</v>
      </c>
      <c r="H29" s="23"/>
      <c r="I29" s="133"/>
      <c r="J29" s="25" t="s">
        <v>284</v>
      </c>
      <c r="K29" s="25" t="s">
        <v>209</v>
      </c>
      <c r="L29" s="25" t="s">
        <v>322</v>
      </c>
    </row>
    <row r="30" spans="1:12" s="132" customFormat="1">
      <c r="B30" s="13" t="s">
        <v>438</v>
      </c>
      <c r="C30" s="12" t="s">
        <v>281</v>
      </c>
      <c r="D30" s="9" t="s">
        <v>330</v>
      </c>
      <c r="E30" s="21" t="s">
        <v>418</v>
      </c>
      <c r="F30" s="22"/>
      <c r="G30" s="19" t="s">
        <v>373</v>
      </c>
      <c r="H30" s="21"/>
      <c r="I30" s="133"/>
      <c r="J30" s="25" t="s">
        <v>284</v>
      </c>
      <c r="K30" s="25" t="s">
        <v>209</v>
      </c>
      <c r="L30" s="25" t="s">
        <v>285</v>
      </c>
    </row>
    <row r="31" spans="1:12" s="132" customFormat="1">
      <c r="B31" s="13" t="s">
        <v>439</v>
      </c>
      <c r="C31" s="13" t="s">
        <v>281</v>
      </c>
      <c r="D31" s="9" t="s">
        <v>333</v>
      </c>
      <c r="E31" s="21" t="s">
        <v>418</v>
      </c>
      <c r="F31" s="22"/>
      <c r="G31" s="19" t="s">
        <v>374</v>
      </c>
      <c r="H31" s="21"/>
      <c r="I31" s="133"/>
      <c r="J31" s="25" t="s">
        <v>284</v>
      </c>
      <c r="K31" s="25" t="s">
        <v>209</v>
      </c>
      <c r="L31" s="25" t="s">
        <v>285</v>
      </c>
    </row>
    <row r="32" spans="1:12" s="132" customFormat="1">
      <c r="B32" s="13" t="s">
        <v>440</v>
      </c>
      <c r="C32" s="13" t="s">
        <v>281</v>
      </c>
      <c r="D32" s="9" t="s">
        <v>336</v>
      </c>
      <c r="E32" s="21" t="s">
        <v>418</v>
      </c>
      <c r="F32" s="22"/>
      <c r="G32" s="19" t="s">
        <v>375</v>
      </c>
      <c r="H32" s="21"/>
      <c r="I32" s="133"/>
      <c r="J32" s="25" t="s">
        <v>284</v>
      </c>
      <c r="K32" s="25" t="s">
        <v>209</v>
      </c>
      <c r="L32" s="25" t="s">
        <v>285</v>
      </c>
    </row>
    <row r="33" spans="2:17" s="3" customFormat="1">
      <c r="B33" s="13" t="s">
        <v>441</v>
      </c>
      <c r="C33" s="13" t="s">
        <v>281</v>
      </c>
      <c r="D33" s="9" t="s">
        <v>339</v>
      </c>
      <c r="E33" s="21" t="s">
        <v>418</v>
      </c>
      <c r="F33" s="22"/>
      <c r="G33" s="19" t="s">
        <v>376</v>
      </c>
      <c r="H33" s="21"/>
      <c r="I33" s="133"/>
      <c r="J33" s="25" t="s">
        <v>284</v>
      </c>
      <c r="K33" s="25" t="s">
        <v>209</v>
      </c>
      <c r="L33" s="25" t="s">
        <v>285</v>
      </c>
    </row>
    <row r="34" spans="2:17" s="3" customFormat="1">
      <c r="B34" s="13" t="s">
        <v>442</v>
      </c>
      <c r="C34" s="13" t="s">
        <v>281</v>
      </c>
      <c r="D34" s="9" t="s">
        <v>342</v>
      </c>
      <c r="E34" s="21" t="s">
        <v>418</v>
      </c>
      <c r="F34" s="22"/>
      <c r="G34" s="19" t="s">
        <v>377</v>
      </c>
      <c r="H34" s="21"/>
      <c r="I34" s="133"/>
      <c r="J34" s="25" t="s">
        <v>284</v>
      </c>
      <c r="K34" s="25" t="s">
        <v>209</v>
      </c>
      <c r="L34" s="25" t="s">
        <v>285</v>
      </c>
    </row>
    <row r="35" spans="2:17" s="2" customFormat="1">
      <c r="B35" s="14" t="s">
        <v>222</v>
      </c>
      <c r="C35" s="15" t="s">
        <v>211</v>
      </c>
      <c r="D35" s="16" t="s">
        <v>344</v>
      </c>
      <c r="E35" s="69"/>
      <c r="F35" s="14"/>
      <c r="G35" s="14"/>
      <c r="H35" s="14"/>
      <c r="I35" s="14"/>
      <c r="J35" s="14"/>
      <c r="K35" s="14"/>
      <c r="L35" s="14"/>
      <c r="M35" s="14"/>
      <c r="N35" s="14"/>
      <c r="O35" s="14"/>
      <c r="P35" s="14"/>
      <c r="Q35" s="14"/>
    </row>
    <row r="36" spans="2:17" s="2" customFormat="1">
      <c r="B36" s="14" t="s">
        <v>0</v>
      </c>
      <c r="C36" s="15" t="s">
        <v>206</v>
      </c>
      <c r="D36" s="16" t="s">
        <v>345</v>
      </c>
      <c r="E36" s="69"/>
      <c r="F36" s="14"/>
      <c r="G36" s="14"/>
      <c r="H36" s="14"/>
      <c r="I36" s="14"/>
      <c r="J36" s="14"/>
      <c r="K36" s="14"/>
      <c r="L36" s="14"/>
      <c r="M36" s="14"/>
      <c r="N36" s="14"/>
      <c r="O36" s="14"/>
      <c r="P36" s="14"/>
      <c r="Q36" s="14"/>
    </row>
  </sheetData>
  <autoFilter ref="A14:Q36" xr:uid="{00000000-0009-0000-0000-000005000000}"/>
  <mergeCells count="5">
    <mergeCell ref="B2:H2"/>
    <mergeCell ref="B3:H3"/>
    <mergeCell ref="B7:H7"/>
    <mergeCell ref="B13:L13"/>
    <mergeCell ref="F9:G10"/>
  </mergeCells>
  <phoneticPr fontId="33" type="noConversion"/>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51"/>
  <sheetViews>
    <sheetView zoomScale="85" zoomScaleNormal="85" workbookViewId="0">
      <pane ySplit="5" topLeftCell="A6" activePane="bottomLeft" state="frozen"/>
      <selection pane="bottomLeft" activeCell="D9" sqref="D9"/>
    </sheetView>
  </sheetViews>
  <sheetFormatPr defaultColWidth="9" defaultRowHeight="13.2"/>
  <cols>
    <col min="1" max="1" width="1.33203125" style="3" customWidth="1"/>
    <col min="2" max="2" width="23.6640625" style="3" customWidth="1"/>
    <col min="3" max="3" width="22.44140625" style="3"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t="s">
        <v>57</v>
      </c>
      <c r="C5" s="9" t="s">
        <v>84</v>
      </c>
      <c r="D5" s="10" t="s">
        <v>85</v>
      </c>
      <c r="E5" s="12" t="s">
        <v>20</v>
      </c>
      <c r="F5" s="61"/>
      <c r="G5" s="12"/>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9" t="s">
        <v>71</v>
      </c>
      <c r="D9" s="9" t="s">
        <v>72</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205</v>
      </c>
      <c r="C14" s="13" t="s">
        <v>206</v>
      </c>
      <c r="D14" s="9" t="s">
        <v>207</v>
      </c>
      <c r="E14" s="21" t="s">
        <v>182</v>
      </c>
      <c r="F14" s="22" t="s">
        <v>0</v>
      </c>
      <c r="G14" s="22" t="s">
        <v>208</v>
      </c>
      <c r="H14" s="23"/>
      <c r="I14" s="25"/>
      <c r="J14" s="25" t="s">
        <v>4</v>
      </c>
      <c r="K14" s="25" t="s">
        <v>209</v>
      </c>
      <c r="L14" s="25" t="s">
        <v>210</v>
      </c>
    </row>
    <row r="15" spans="1:14" s="1" customFormat="1">
      <c r="B15" s="13" t="s">
        <v>20</v>
      </c>
      <c r="C15" s="13" t="s">
        <v>211</v>
      </c>
      <c r="D15" s="9" t="s">
        <v>73</v>
      </c>
      <c r="E15" s="21" t="s">
        <v>182</v>
      </c>
      <c r="F15" s="22" t="s">
        <v>1</v>
      </c>
      <c r="G15" s="22" t="s">
        <v>208</v>
      </c>
      <c r="H15" s="23"/>
      <c r="I15" s="25"/>
      <c r="J15" s="25" t="s">
        <v>4</v>
      </c>
      <c r="K15" s="25" t="s">
        <v>209</v>
      </c>
      <c r="L15" s="25" t="s">
        <v>212</v>
      </c>
    </row>
    <row r="16" spans="1:14" s="1" customFormat="1">
      <c r="A16" s="132"/>
      <c r="B16" s="13" t="s">
        <v>214</v>
      </c>
      <c r="C16" s="13" t="s">
        <v>211</v>
      </c>
      <c r="D16" s="9" t="s">
        <v>215</v>
      </c>
      <c r="E16" s="21" t="s">
        <v>182</v>
      </c>
      <c r="F16" s="22" t="s">
        <v>214</v>
      </c>
      <c r="G16" s="22" t="s">
        <v>208</v>
      </c>
      <c r="H16" s="23"/>
      <c r="I16" s="133"/>
      <c r="J16" s="25" t="s">
        <v>4</v>
      </c>
      <c r="K16" s="25" t="s">
        <v>209</v>
      </c>
      <c r="L16" s="144" t="s">
        <v>216</v>
      </c>
    </row>
    <row r="17" spans="1:13" s="1" customFormat="1">
      <c r="A17" s="132"/>
      <c r="B17" s="13" t="s">
        <v>217</v>
      </c>
      <c r="C17" s="13" t="s">
        <v>211</v>
      </c>
      <c r="D17" s="9" t="s">
        <v>218</v>
      </c>
      <c r="E17" s="21" t="s">
        <v>182</v>
      </c>
      <c r="F17" s="22" t="s">
        <v>217</v>
      </c>
      <c r="G17" s="22" t="s">
        <v>208</v>
      </c>
      <c r="H17" s="23"/>
      <c r="I17" s="133"/>
      <c r="J17" s="25" t="s">
        <v>4</v>
      </c>
      <c r="K17" s="25" t="s">
        <v>209</v>
      </c>
      <c r="L17" s="25" t="s">
        <v>219</v>
      </c>
    </row>
    <row r="18" spans="1:13" s="1" customFormat="1">
      <c r="A18" s="132"/>
      <c r="B18" s="13" t="s">
        <v>220</v>
      </c>
      <c r="C18" s="13" t="s">
        <v>211</v>
      </c>
      <c r="D18" s="9" t="s">
        <v>221</v>
      </c>
      <c r="E18" s="21" t="s">
        <v>182</v>
      </c>
      <c r="F18" s="22" t="s">
        <v>222</v>
      </c>
      <c r="G18" s="22" t="s">
        <v>208</v>
      </c>
      <c r="H18" s="23"/>
      <c r="I18" s="133"/>
      <c r="J18" s="25" t="s">
        <v>4</v>
      </c>
      <c r="K18" s="25" t="s">
        <v>209</v>
      </c>
      <c r="L18" s="25" t="s">
        <v>223</v>
      </c>
    </row>
    <row r="19" spans="1:13" s="1" customFormat="1">
      <c r="A19" s="132"/>
      <c r="B19" s="13" t="s">
        <v>224</v>
      </c>
      <c r="C19" s="13" t="s">
        <v>211</v>
      </c>
      <c r="D19" s="9" t="s">
        <v>225</v>
      </c>
      <c r="E19" s="21" t="s">
        <v>182</v>
      </c>
      <c r="F19" s="9" t="s">
        <v>224</v>
      </c>
      <c r="G19" s="22" t="s">
        <v>208</v>
      </c>
      <c r="H19" s="23"/>
      <c r="I19" s="133"/>
      <c r="J19" s="25" t="s">
        <v>4</v>
      </c>
      <c r="K19" s="25" t="s">
        <v>209</v>
      </c>
      <c r="L19" s="25" t="s">
        <v>223</v>
      </c>
    </row>
    <row r="20" spans="1:13" s="1" customFormat="1">
      <c r="A20" s="132"/>
      <c r="B20" s="12" t="s">
        <v>228</v>
      </c>
      <c r="C20" s="13" t="s">
        <v>211</v>
      </c>
      <c r="D20" s="9" t="s">
        <v>229</v>
      </c>
      <c r="E20" s="21" t="s">
        <v>182</v>
      </c>
      <c r="F20" s="9" t="s">
        <v>228</v>
      </c>
      <c r="G20" s="22" t="s">
        <v>208</v>
      </c>
      <c r="H20" s="23"/>
      <c r="I20" s="133"/>
      <c r="J20" s="25" t="s">
        <v>4</v>
      </c>
      <c r="K20" s="25" t="s">
        <v>209</v>
      </c>
      <c r="L20" s="25" t="s">
        <v>223</v>
      </c>
    </row>
    <row r="21" spans="1:13" s="1" customFormat="1">
      <c r="A21" s="132"/>
      <c r="B21" s="12" t="s">
        <v>230</v>
      </c>
      <c r="C21" s="13" t="s">
        <v>206</v>
      </c>
      <c r="D21" s="9" t="s">
        <v>231</v>
      </c>
      <c r="E21" s="21" t="s">
        <v>182</v>
      </c>
      <c r="F21" s="27" t="s">
        <v>230</v>
      </c>
      <c r="G21" s="22" t="s">
        <v>208</v>
      </c>
      <c r="H21" s="23"/>
      <c r="I21" s="133"/>
      <c r="J21" s="25" t="s">
        <v>4</v>
      </c>
      <c r="K21" s="25" t="s">
        <v>209</v>
      </c>
      <c r="L21" s="25" t="s">
        <v>209</v>
      </c>
    </row>
    <row r="22" spans="1:13" s="1" customFormat="1">
      <c r="A22" s="132"/>
      <c r="B22" s="12" t="s">
        <v>233</v>
      </c>
      <c r="C22" s="13" t="s">
        <v>206</v>
      </c>
      <c r="D22" s="9" t="s">
        <v>234</v>
      </c>
      <c r="E22" s="21" t="s">
        <v>182</v>
      </c>
      <c r="F22" s="27" t="s">
        <v>233</v>
      </c>
      <c r="G22" s="22" t="s">
        <v>208</v>
      </c>
      <c r="H22" s="23"/>
      <c r="I22" s="133"/>
      <c r="J22" s="25" t="s">
        <v>4</v>
      </c>
      <c r="K22" s="25" t="s">
        <v>209</v>
      </c>
      <c r="L22" s="25" t="s">
        <v>209</v>
      </c>
    </row>
    <row r="23" spans="1:13" s="1" customFormat="1">
      <c r="A23" s="132"/>
      <c r="B23" s="12" t="s">
        <v>236</v>
      </c>
      <c r="C23" s="13" t="s">
        <v>206</v>
      </c>
      <c r="D23" s="9" t="s">
        <v>237</v>
      </c>
      <c r="E23" s="21" t="s">
        <v>182</v>
      </c>
      <c r="F23" s="27" t="s">
        <v>236</v>
      </c>
      <c r="G23" s="22" t="s">
        <v>208</v>
      </c>
      <c r="H23" s="23"/>
      <c r="I23" s="133"/>
      <c r="J23" s="25" t="s">
        <v>4</v>
      </c>
      <c r="K23" s="25" t="s">
        <v>209</v>
      </c>
      <c r="L23" s="25" t="s">
        <v>209</v>
      </c>
    </row>
    <row r="24" spans="1:13" s="1" customFormat="1">
      <c r="A24" s="132"/>
      <c r="B24" s="13" t="s">
        <v>443</v>
      </c>
      <c r="C24" s="12" t="s">
        <v>206</v>
      </c>
      <c r="D24" s="9" t="s">
        <v>240</v>
      </c>
      <c r="E24" s="21" t="s">
        <v>182</v>
      </c>
      <c r="F24" s="27" t="s">
        <v>443</v>
      </c>
      <c r="G24" s="22" t="s">
        <v>208</v>
      </c>
      <c r="H24" s="23"/>
      <c r="I24" s="133"/>
      <c r="J24" s="25" t="s">
        <v>4</v>
      </c>
      <c r="K24" s="25" t="s">
        <v>209</v>
      </c>
      <c r="L24" s="25" t="s">
        <v>209</v>
      </c>
    </row>
    <row r="25" spans="1:13" s="1" customFormat="1">
      <c r="A25" s="132"/>
      <c r="B25" s="12" t="s">
        <v>242</v>
      </c>
      <c r="C25" s="12" t="s">
        <v>206</v>
      </c>
      <c r="D25" s="9" t="s">
        <v>243</v>
      </c>
      <c r="E25" s="21" t="s">
        <v>182</v>
      </c>
      <c r="F25" s="22" t="s">
        <v>242</v>
      </c>
      <c r="G25" s="22" t="s">
        <v>208</v>
      </c>
      <c r="H25" s="23"/>
      <c r="I25" s="134"/>
      <c r="J25" s="25" t="s">
        <v>4</v>
      </c>
      <c r="K25" s="25" t="s">
        <v>209</v>
      </c>
      <c r="L25" s="25" t="s">
        <v>209</v>
      </c>
    </row>
    <row r="26" spans="1:13" s="1" customFormat="1">
      <c r="B26" s="13" t="s">
        <v>262</v>
      </c>
      <c r="C26" s="12" t="s">
        <v>206</v>
      </c>
      <c r="D26" s="9" t="s">
        <v>263</v>
      </c>
      <c r="E26" s="21" t="s">
        <v>182</v>
      </c>
      <c r="F26" s="22" t="s">
        <v>262</v>
      </c>
      <c r="G26" s="22" t="s">
        <v>208</v>
      </c>
      <c r="H26" s="23"/>
      <c r="I26" s="64" t="s">
        <v>392</v>
      </c>
      <c r="J26" s="25" t="s">
        <v>4</v>
      </c>
      <c r="K26" s="25" t="s">
        <v>209</v>
      </c>
      <c r="L26" s="25" t="s">
        <v>209</v>
      </c>
    </row>
    <row r="27" spans="1:13" s="1" customFormat="1">
      <c r="A27" s="132"/>
      <c r="B27" s="12" t="s">
        <v>246</v>
      </c>
      <c r="C27" s="12" t="s">
        <v>206</v>
      </c>
      <c r="D27" s="9" t="s">
        <v>247</v>
      </c>
      <c r="E27" s="21" t="s">
        <v>182</v>
      </c>
      <c r="F27" s="22" t="s">
        <v>246</v>
      </c>
      <c r="G27" s="22" t="s">
        <v>208</v>
      </c>
      <c r="H27" s="23"/>
      <c r="I27" s="133"/>
      <c r="J27" s="25" t="s">
        <v>4</v>
      </c>
      <c r="K27" s="25" t="s">
        <v>209</v>
      </c>
      <c r="L27" s="25" t="s">
        <v>209</v>
      </c>
    </row>
    <row r="28" spans="1:13" s="1" customFormat="1">
      <c r="A28" s="132"/>
      <c r="B28" s="12" t="s">
        <v>249</v>
      </c>
      <c r="C28" s="12" t="s">
        <v>206</v>
      </c>
      <c r="D28" s="9" t="s">
        <v>250</v>
      </c>
      <c r="E28" s="21" t="s">
        <v>182</v>
      </c>
      <c r="F28" s="22" t="s">
        <v>249</v>
      </c>
      <c r="G28" s="22" t="s">
        <v>208</v>
      </c>
      <c r="H28" s="23"/>
      <c r="I28" s="133"/>
      <c r="J28" s="25" t="s">
        <v>4</v>
      </c>
      <c r="K28" s="25" t="s">
        <v>209</v>
      </c>
      <c r="L28" s="25" t="s">
        <v>209</v>
      </c>
    </row>
    <row r="29" spans="1:13" s="1" customFormat="1">
      <c r="A29" s="132"/>
      <c r="B29" s="12" t="s">
        <v>251</v>
      </c>
      <c r="C29" s="12" t="s">
        <v>206</v>
      </c>
      <c r="D29" s="9" t="s">
        <v>252</v>
      </c>
      <c r="E29" s="21" t="s">
        <v>182</v>
      </c>
      <c r="F29" s="22" t="s">
        <v>251</v>
      </c>
      <c r="G29" s="22" t="s">
        <v>208</v>
      </c>
      <c r="H29" s="23"/>
      <c r="I29" s="133"/>
      <c r="J29" s="25" t="s">
        <v>4</v>
      </c>
      <c r="K29" s="25" t="s">
        <v>209</v>
      </c>
      <c r="L29" s="25" t="s">
        <v>209</v>
      </c>
    </row>
    <row r="30" spans="1:13" s="1" customFormat="1">
      <c r="A30" s="132"/>
      <c r="B30" s="12" t="s">
        <v>254</v>
      </c>
      <c r="C30" s="12" t="s">
        <v>206</v>
      </c>
      <c r="D30" s="9" t="s">
        <v>255</v>
      </c>
      <c r="E30" s="21" t="s">
        <v>182</v>
      </c>
      <c r="F30" s="22" t="s">
        <v>254</v>
      </c>
      <c r="G30" s="22" t="s">
        <v>208</v>
      </c>
      <c r="H30" s="23"/>
      <c r="I30" s="133"/>
      <c r="J30" s="25" t="s">
        <v>4</v>
      </c>
      <c r="K30" s="25" t="s">
        <v>209</v>
      </c>
      <c r="L30" s="25" t="s">
        <v>209</v>
      </c>
    </row>
    <row r="31" spans="1:13" s="132" customFormat="1">
      <c r="B31" s="13" t="s">
        <v>264</v>
      </c>
      <c r="C31" s="12" t="s">
        <v>206</v>
      </c>
      <c r="D31" s="9" t="s">
        <v>265</v>
      </c>
      <c r="E31" s="21" t="s">
        <v>182</v>
      </c>
      <c r="F31" s="22" t="s">
        <v>264</v>
      </c>
      <c r="G31" s="22" t="s">
        <v>208</v>
      </c>
      <c r="H31" s="21"/>
      <c r="I31" s="133"/>
      <c r="J31" s="25" t="s">
        <v>4</v>
      </c>
      <c r="K31" s="25" t="s">
        <v>209</v>
      </c>
      <c r="L31" s="25" t="s">
        <v>223</v>
      </c>
      <c r="M31" s="1"/>
    </row>
    <row r="32" spans="1:13" s="132" customFormat="1">
      <c r="B32" s="13" t="s">
        <v>289</v>
      </c>
      <c r="C32" s="13" t="s">
        <v>281</v>
      </c>
      <c r="D32" s="9" t="s">
        <v>290</v>
      </c>
      <c r="E32" s="21" t="s">
        <v>182</v>
      </c>
      <c r="F32" s="22"/>
      <c r="G32" s="19" t="s">
        <v>401</v>
      </c>
      <c r="H32" s="21"/>
      <c r="I32" s="133"/>
      <c r="J32" s="25" t="s">
        <v>284</v>
      </c>
      <c r="K32" s="25" t="s">
        <v>209</v>
      </c>
      <c r="L32" s="25" t="s">
        <v>285</v>
      </c>
    </row>
    <row r="33" spans="1:12" s="132" customFormat="1">
      <c r="B33" s="13" t="s">
        <v>291</v>
      </c>
      <c r="C33" s="13" t="s">
        <v>281</v>
      </c>
      <c r="D33" s="9" t="s">
        <v>292</v>
      </c>
      <c r="E33" s="21" t="s">
        <v>182</v>
      </c>
      <c r="F33" s="22"/>
      <c r="G33" s="19" t="s">
        <v>403</v>
      </c>
      <c r="H33" s="21"/>
      <c r="I33" s="133"/>
      <c r="J33" s="25" t="s">
        <v>284</v>
      </c>
      <c r="K33" s="25" t="s">
        <v>209</v>
      </c>
      <c r="L33" s="25" t="s">
        <v>285</v>
      </c>
    </row>
    <row r="34" spans="1:12" s="3" customFormat="1">
      <c r="B34" s="13" t="s">
        <v>294</v>
      </c>
      <c r="C34" s="13" t="s">
        <v>281</v>
      </c>
      <c r="D34" s="9" t="s">
        <v>295</v>
      </c>
      <c r="E34" s="21" t="s">
        <v>182</v>
      </c>
      <c r="F34" s="22"/>
      <c r="G34" s="19" t="s">
        <v>405</v>
      </c>
      <c r="H34" s="21"/>
      <c r="I34" s="133"/>
      <c r="J34" s="25" t="s">
        <v>284</v>
      </c>
      <c r="K34" s="25" t="s">
        <v>209</v>
      </c>
      <c r="L34" s="25" t="s">
        <v>285</v>
      </c>
    </row>
    <row r="35" spans="1:12" s="3" customFormat="1">
      <c r="B35" s="13" t="s">
        <v>297</v>
      </c>
      <c r="C35" s="13" t="s">
        <v>281</v>
      </c>
      <c r="D35" s="9" t="s">
        <v>298</v>
      </c>
      <c r="E35" s="21" t="s">
        <v>182</v>
      </c>
      <c r="F35" s="22"/>
      <c r="G35" s="19" t="s">
        <v>407</v>
      </c>
      <c r="H35" s="21"/>
      <c r="I35" s="133"/>
      <c r="J35" s="25" t="s">
        <v>284</v>
      </c>
      <c r="K35" s="25" t="s">
        <v>209</v>
      </c>
      <c r="L35" s="25" t="s">
        <v>285</v>
      </c>
    </row>
    <row r="36" spans="1:12" s="3" customFormat="1">
      <c r="B36" s="13" t="s">
        <v>300</v>
      </c>
      <c r="C36" s="13" t="s">
        <v>281</v>
      </c>
      <c r="D36" s="9" t="s">
        <v>301</v>
      </c>
      <c r="E36" s="21" t="s">
        <v>182</v>
      </c>
      <c r="F36" s="22"/>
      <c r="G36" s="19" t="s">
        <v>409</v>
      </c>
      <c r="H36" s="21"/>
      <c r="I36" s="133"/>
      <c r="J36" s="25" t="s">
        <v>284</v>
      </c>
      <c r="K36" s="25" t="s">
        <v>209</v>
      </c>
      <c r="L36" s="25" t="s">
        <v>285</v>
      </c>
    </row>
    <row r="37" spans="1:12" s="3" customFormat="1">
      <c r="B37" s="13" t="s">
        <v>303</v>
      </c>
      <c r="C37" s="13" t="s">
        <v>281</v>
      </c>
      <c r="D37" s="9" t="s">
        <v>304</v>
      </c>
      <c r="E37" s="21" t="s">
        <v>182</v>
      </c>
      <c r="F37" s="22"/>
      <c r="G37" s="19" t="s">
        <v>411</v>
      </c>
      <c r="H37" s="21"/>
      <c r="I37" s="133"/>
      <c r="J37" s="25" t="s">
        <v>284</v>
      </c>
      <c r="K37" s="25" t="s">
        <v>209</v>
      </c>
      <c r="L37" s="25" t="s">
        <v>285</v>
      </c>
    </row>
    <row r="38" spans="1:12" s="3" customFormat="1">
      <c r="B38" s="13" t="s">
        <v>309</v>
      </c>
      <c r="C38" s="13" t="s">
        <v>281</v>
      </c>
      <c r="D38" s="9" t="s">
        <v>310</v>
      </c>
      <c r="E38" s="21" t="s">
        <v>182</v>
      </c>
      <c r="F38" s="22"/>
      <c r="G38" s="19" t="s">
        <v>362</v>
      </c>
      <c r="H38" s="21"/>
      <c r="I38" s="133"/>
      <c r="J38" s="25" t="s">
        <v>284</v>
      </c>
      <c r="K38" s="25" t="s">
        <v>209</v>
      </c>
      <c r="L38" s="25" t="s">
        <v>285</v>
      </c>
    </row>
    <row r="39" spans="1:12" s="136" customFormat="1">
      <c r="A39" s="137"/>
      <c r="B39" s="138" t="s">
        <v>312</v>
      </c>
      <c r="C39" s="13" t="s">
        <v>211</v>
      </c>
      <c r="D39" s="9" t="s">
        <v>313</v>
      </c>
      <c r="E39" s="21" t="s">
        <v>182</v>
      </c>
      <c r="F39" s="22"/>
      <c r="G39" s="19" t="s">
        <v>363</v>
      </c>
      <c r="H39" s="21"/>
      <c r="I39" s="139"/>
      <c r="J39" s="25" t="s">
        <v>284</v>
      </c>
      <c r="K39" s="25" t="s">
        <v>209</v>
      </c>
      <c r="L39" s="25" t="s">
        <v>285</v>
      </c>
    </row>
    <row r="40" spans="1:12" s="136" customFormat="1">
      <c r="A40" s="137"/>
      <c r="B40" s="138" t="s">
        <v>315</v>
      </c>
      <c r="C40" s="13" t="s">
        <v>211</v>
      </c>
      <c r="D40" s="9" t="s">
        <v>316</v>
      </c>
      <c r="E40" s="21" t="s">
        <v>182</v>
      </c>
      <c r="F40" s="22"/>
      <c r="G40" s="19" t="s">
        <v>365</v>
      </c>
      <c r="H40" s="21"/>
      <c r="I40" s="139"/>
      <c r="J40" s="25" t="s">
        <v>284</v>
      </c>
      <c r="K40" s="25" t="s">
        <v>209</v>
      </c>
      <c r="L40" s="25" t="s">
        <v>285</v>
      </c>
    </row>
    <row r="41" spans="1:12" s="136" customFormat="1">
      <c r="A41" s="137"/>
      <c r="B41" s="138" t="s">
        <v>318</v>
      </c>
      <c r="C41" s="13" t="s">
        <v>319</v>
      </c>
      <c r="D41" s="9" t="s">
        <v>320</v>
      </c>
      <c r="E41" s="21" t="s">
        <v>182</v>
      </c>
      <c r="F41" s="22"/>
      <c r="G41" s="19" t="s">
        <v>367</v>
      </c>
      <c r="H41" s="21"/>
      <c r="I41" s="139"/>
      <c r="J41" s="25" t="s">
        <v>284</v>
      </c>
      <c r="K41" s="25" t="s">
        <v>209</v>
      </c>
      <c r="L41" s="25" t="s">
        <v>322</v>
      </c>
    </row>
    <row r="42" spans="1:12" s="136" customFormat="1">
      <c r="A42" s="137"/>
      <c r="B42" s="138" t="s">
        <v>323</v>
      </c>
      <c r="C42" s="13" t="s">
        <v>319</v>
      </c>
      <c r="D42" s="9" t="s">
        <v>324</v>
      </c>
      <c r="E42" s="21" t="s">
        <v>182</v>
      </c>
      <c r="F42" s="22"/>
      <c r="G42" s="19" t="s">
        <v>369</v>
      </c>
      <c r="H42" s="21"/>
      <c r="I42" s="139"/>
      <c r="J42" s="25" t="s">
        <v>284</v>
      </c>
      <c r="K42" s="25" t="s">
        <v>209</v>
      </c>
      <c r="L42" s="25" t="s">
        <v>285</v>
      </c>
    </row>
    <row r="43" spans="1:12" s="136" customFormat="1">
      <c r="A43" s="137"/>
      <c r="B43" s="138" t="s">
        <v>325</v>
      </c>
      <c r="C43" s="13" t="s">
        <v>319</v>
      </c>
      <c r="D43" s="9" t="s">
        <v>370</v>
      </c>
      <c r="E43" s="21" t="s">
        <v>182</v>
      </c>
      <c r="F43" s="22"/>
      <c r="G43" s="19" t="s">
        <v>371</v>
      </c>
      <c r="H43" s="21"/>
      <c r="I43" s="139"/>
      <c r="J43" s="25" t="s">
        <v>284</v>
      </c>
      <c r="K43" s="25" t="s">
        <v>209</v>
      </c>
      <c r="L43" s="25" t="s">
        <v>328</v>
      </c>
    </row>
    <row r="44" spans="1:12" s="136" customFormat="1">
      <c r="A44" s="137"/>
      <c r="B44" s="138" t="s">
        <v>329</v>
      </c>
      <c r="C44" s="13" t="s">
        <v>281</v>
      </c>
      <c r="D44" s="9" t="s">
        <v>330</v>
      </c>
      <c r="E44" s="21" t="s">
        <v>182</v>
      </c>
      <c r="F44" s="22"/>
      <c r="G44" s="19" t="s">
        <v>373</v>
      </c>
      <c r="H44" s="21"/>
      <c r="I44" s="139"/>
      <c r="J44" s="25" t="s">
        <v>284</v>
      </c>
      <c r="K44" s="25" t="s">
        <v>209</v>
      </c>
      <c r="L44" s="25" t="s">
        <v>285</v>
      </c>
    </row>
    <row r="45" spans="1:12" s="136" customFormat="1">
      <c r="A45" s="137"/>
      <c r="B45" s="138" t="s">
        <v>332</v>
      </c>
      <c r="C45" s="13" t="s">
        <v>281</v>
      </c>
      <c r="D45" s="9" t="s">
        <v>333</v>
      </c>
      <c r="E45" s="21" t="s">
        <v>182</v>
      </c>
      <c r="F45" s="22"/>
      <c r="G45" s="19" t="s">
        <v>374</v>
      </c>
      <c r="H45" s="21"/>
      <c r="I45" s="139"/>
      <c r="J45" s="25" t="s">
        <v>284</v>
      </c>
      <c r="K45" s="25" t="s">
        <v>209</v>
      </c>
      <c r="L45" s="25" t="s">
        <v>285</v>
      </c>
    </row>
    <row r="46" spans="1:12" s="136" customFormat="1">
      <c r="A46" s="137"/>
      <c r="B46" s="138" t="s">
        <v>335</v>
      </c>
      <c r="C46" s="13" t="s">
        <v>281</v>
      </c>
      <c r="D46" s="9" t="s">
        <v>336</v>
      </c>
      <c r="E46" s="21" t="s">
        <v>182</v>
      </c>
      <c r="F46" s="22"/>
      <c r="G46" s="19" t="s">
        <v>375</v>
      </c>
      <c r="H46" s="21"/>
      <c r="I46" s="139"/>
      <c r="J46" s="25" t="s">
        <v>284</v>
      </c>
      <c r="K46" s="25" t="s">
        <v>209</v>
      </c>
      <c r="L46" s="25" t="s">
        <v>285</v>
      </c>
    </row>
    <row r="47" spans="1:12" s="136" customFormat="1">
      <c r="A47" s="137"/>
      <c r="B47" s="138" t="s">
        <v>338</v>
      </c>
      <c r="C47" s="13" t="s">
        <v>281</v>
      </c>
      <c r="D47" s="9" t="s">
        <v>339</v>
      </c>
      <c r="E47" s="21" t="s">
        <v>182</v>
      </c>
      <c r="F47" s="22"/>
      <c r="G47" s="19" t="s">
        <v>376</v>
      </c>
      <c r="H47" s="21"/>
      <c r="I47" s="139"/>
      <c r="J47" s="25" t="s">
        <v>284</v>
      </c>
      <c r="K47" s="25" t="s">
        <v>209</v>
      </c>
      <c r="L47" s="25" t="s">
        <v>285</v>
      </c>
    </row>
    <row r="48" spans="1:12" s="136" customFormat="1">
      <c r="A48" s="137"/>
      <c r="B48" s="138" t="s">
        <v>341</v>
      </c>
      <c r="C48" s="13" t="s">
        <v>281</v>
      </c>
      <c r="D48" s="9" t="s">
        <v>342</v>
      </c>
      <c r="E48" s="21" t="s">
        <v>182</v>
      </c>
      <c r="F48" s="22"/>
      <c r="G48" s="19" t="s">
        <v>377</v>
      </c>
      <c r="H48" s="21"/>
      <c r="I48" s="139"/>
      <c r="J48" s="25" t="s">
        <v>284</v>
      </c>
      <c r="K48" s="25" t="s">
        <v>209</v>
      </c>
      <c r="L48" s="25" t="s">
        <v>285</v>
      </c>
    </row>
    <row r="49" spans="2:17" s="2" customFormat="1">
      <c r="B49" s="14" t="s">
        <v>222</v>
      </c>
      <c r="C49" s="15" t="s">
        <v>211</v>
      </c>
      <c r="D49" s="16" t="s">
        <v>344</v>
      </c>
      <c r="E49" s="69"/>
      <c r="F49" s="14"/>
      <c r="G49" s="14"/>
      <c r="H49" s="14"/>
      <c r="I49" s="14"/>
      <c r="J49" s="14"/>
      <c r="K49" s="14"/>
      <c r="L49" s="14"/>
      <c r="M49" s="14"/>
      <c r="N49" s="14"/>
      <c r="O49" s="14"/>
      <c r="P49" s="14"/>
      <c r="Q49" s="14"/>
    </row>
    <row r="50" spans="2:17" s="2" customFormat="1">
      <c r="B50" s="14" t="s">
        <v>0</v>
      </c>
      <c r="C50" s="15" t="s">
        <v>206</v>
      </c>
      <c r="D50" s="16" t="s">
        <v>345</v>
      </c>
      <c r="E50" s="69"/>
      <c r="F50" s="14"/>
      <c r="G50" s="14"/>
      <c r="H50" s="14"/>
      <c r="I50" s="14"/>
      <c r="J50" s="14"/>
      <c r="K50" s="14"/>
      <c r="L50" s="14"/>
      <c r="M50" s="14"/>
      <c r="N50" s="14"/>
      <c r="O50" s="14"/>
      <c r="P50" s="14"/>
      <c r="Q50" s="14"/>
    </row>
    <row r="51" spans="2:17" s="2" customFormat="1">
      <c r="B51" s="14" t="s">
        <v>1</v>
      </c>
      <c r="C51" s="15" t="s">
        <v>211</v>
      </c>
      <c r="D51" s="16" t="s">
        <v>346</v>
      </c>
      <c r="E51" s="69"/>
      <c r="F51" s="14"/>
      <c r="G51" s="14"/>
      <c r="H51" s="14"/>
      <c r="I51" s="14"/>
      <c r="J51" s="14"/>
      <c r="K51" s="14"/>
      <c r="L51" s="14"/>
      <c r="M51" s="14"/>
      <c r="N51" s="14"/>
      <c r="O51" s="14"/>
      <c r="P51" s="14"/>
      <c r="Q51" s="14"/>
    </row>
  </sheetData>
  <autoFilter ref="A13:Q51" xr:uid="{00000000-0009-0000-0000-000006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6"/>
  <sheetViews>
    <sheetView zoomScale="85" zoomScaleNormal="85" workbookViewId="0">
      <pane ySplit="5" topLeftCell="A6" activePane="bottomLeft" state="frozen"/>
      <selection pane="bottomLeft" activeCell="C9" sqref="C9:D9"/>
    </sheetView>
  </sheetViews>
  <sheetFormatPr defaultColWidth="9" defaultRowHeight="13.2"/>
  <cols>
    <col min="1" max="1" width="1.33203125" style="3" customWidth="1"/>
    <col min="2" max="2" width="23.6640625" style="3" customWidth="1"/>
    <col min="3" max="3" width="22.44140625" style="3"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t="s">
        <v>57</v>
      </c>
      <c r="C5" s="9" t="s">
        <v>87</v>
      </c>
      <c r="D5" s="10" t="s">
        <v>88</v>
      </c>
      <c r="E5" s="12" t="s">
        <v>20</v>
      </c>
      <c r="F5" s="61"/>
      <c r="G5" s="12"/>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9" t="s">
        <v>84</v>
      </c>
      <c r="D9" s="10" t="s">
        <v>85</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205</v>
      </c>
      <c r="C14" s="13" t="s">
        <v>206</v>
      </c>
      <c r="D14" s="9" t="s">
        <v>207</v>
      </c>
      <c r="E14" s="21" t="s">
        <v>182</v>
      </c>
      <c r="F14" s="22" t="s">
        <v>0</v>
      </c>
      <c r="G14" s="22" t="s">
        <v>208</v>
      </c>
      <c r="H14" s="23"/>
      <c r="I14" s="25"/>
      <c r="J14" s="25" t="s">
        <v>4</v>
      </c>
      <c r="K14" s="25" t="s">
        <v>209</v>
      </c>
      <c r="L14" s="25" t="s">
        <v>210</v>
      </c>
    </row>
    <row r="15" spans="1:14" s="1" customFormat="1">
      <c r="B15" s="13" t="s">
        <v>20</v>
      </c>
      <c r="C15" s="13" t="s">
        <v>211</v>
      </c>
      <c r="D15" s="9" t="s">
        <v>73</v>
      </c>
      <c r="E15" s="21" t="s">
        <v>182</v>
      </c>
      <c r="F15" s="22" t="s">
        <v>1</v>
      </c>
      <c r="G15" s="22" t="s">
        <v>208</v>
      </c>
      <c r="H15" s="23"/>
      <c r="I15" s="25"/>
      <c r="J15" s="25" t="s">
        <v>4</v>
      </c>
      <c r="K15" s="25" t="s">
        <v>209</v>
      </c>
      <c r="L15" s="25" t="s">
        <v>212</v>
      </c>
    </row>
    <row r="16" spans="1:14" s="1" customFormat="1">
      <c r="A16" s="132"/>
      <c r="B16" s="13" t="s">
        <v>214</v>
      </c>
      <c r="C16" s="13" t="s">
        <v>211</v>
      </c>
      <c r="D16" s="9" t="s">
        <v>215</v>
      </c>
      <c r="E16" s="21" t="s">
        <v>182</v>
      </c>
      <c r="F16" s="22" t="s">
        <v>214</v>
      </c>
      <c r="G16" s="22" t="s">
        <v>208</v>
      </c>
      <c r="H16" s="23"/>
      <c r="I16" s="133"/>
      <c r="J16" s="25" t="s">
        <v>4</v>
      </c>
      <c r="K16" s="25" t="s">
        <v>209</v>
      </c>
      <c r="L16" s="25" t="s">
        <v>216</v>
      </c>
    </row>
    <row r="17" spans="1:12" s="1" customFormat="1">
      <c r="A17" s="132"/>
      <c r="B17" s="13" t="s">
        <v>217</v>
      </c>
      <c r="C17" s="13" t="s">
        <v>211</v>
      </c>
      <c r="D17" s="9" t="s">
        <v>218</v>
      </c>
      <c r="E17" s="21" t="s">
        <v>182</v>
      </c>
      <c r="F17" s="22" t="s">
        <v>217</v>
      </c>
      <c r="G17" s="22" t="s">
        <v>208</v>
      </c>
      <c r="H17" s="23"/>
      <c r="I17" s="133"/>
      <c r="J17" s="25" t="s">
        <v>4</v>
      </c>
      <c r="K17" s="25" t="s">
        <v>209</v>
      </c>
      <c r="L17" s="25" t="s">
        <v>219</v>
      </c>
    </row>
    <row r="18" spans="1:12" s="1" customFormat="1">
      <c r="A18" s="132"/>
      <c r="B18" s="13" t="s">
        <v>220</v>
      </c>
      <c r="C18" s="13" t="s">
        <v>211</v>
      </c>
      <c r="D18" s="9" t="s">
        <v>221</v>
      </c>
      <c r="E18" s="21" t="s">
        <v>182</v>
      </c>
      <c r="F18" s="22" t="s">
        <v>222</v>
      </c>
      <c r="G18" s="22" t="s">
        <v>208</v>
      </c>
      <c r="H18" s="23"/>
      <c r="I18" s="133"/>
      <c r="J18" s="25" t="s">
        <v>4</v>
      </c>
      <c r="K18" s="25" t="s">
        <v>209</v>
      </c>
      <c r="L18" s="25" t="s">
        <v>223</v>
      </c>
    </row>
    <row r="19" spans="1:12" s="1" customFormat="1">
      <c r="A19" s="132"/>
      <c r="B19" s="13" t="s">
        <v>224</v>
      </c>
      <c r="C19" s="13" t="s">
        <v>211</v>
      </c>
      <c r="D19" s="9" t="s">
        <v>225</v>
      </c>
      <c r="E19" s="21" t="s">
        <v>182</v>
      </c>
      <c r="F19" s="9" t="s">
        <v>224</v>
      </c>
      <c r="G19" s="22" t="s">
        <v>208</v>
      </c>
      <c r="H19" s="23"/>
      <c r="I19" s="133"/>
      <c r="J19" s="25" t="s">
        <v>4</v>
      </c>
      <c r="K19" s="25" t="s">
        <v>209</v>
      </c>
      <c r="L19" s="25" t="s">
        <v>223</v>
      </c>
    </row>
    <row r="20" spans="1:12" s="1" customFormat="1">
      <c r="A20" s="132"/>
      <c r="B20" s="12" t="s">
        <v>228</v>
      </c>
      <c r="C20" s="13" t="s">
        <v>211</v>
      </c>
      <c r="D20" s="9" t="s">
        <v>229</v>
      </c>
      <c r="E20" s="21" t="s">
        <v>182</v>
      </c>
      <c r="F20" s="9" t="s">
        <v>228</v>
      </c>
      <c r="G20" s="22" t="s">
        <v>208</v>
      </c>
      <c r="H20" s="23"/>
      <c r="I20" s="133"/>
      <c r="J20" s="25" t="s">
        <v>4</v>
      </c>
      <c r="K20" s="25" t="s">
        <v>209</v>
      </c>
      <c r="L20" s="25" t="s">
        <v>223</v>
      </c>
    </row>
    <row r="21" spans="1:12" s="1" customFormat="1">
      <c r="A21" s="132"/>
      <c r="B21" s="12" t="s">
        <v>230</v>
      </c>
      <c r="C21" s="13" t="s">
        <v>206</v>
      </c>
      <c r="D21" s="9" t="s">
        <v>231</v>
      </c>
      <c r="E21" s="21" t="s">
        <v>182</v>
      </c>
      <c r="F21" s="27" t="s">
        <v>230</v>
      </c>
      <c r="G21" s="22" t="s">
        <v>208</v>
      </c>
      <c r="H21" s="23"/>
      <c r="I21" s="133"/>
      <c r="J21" s="25" t="s">
        <v>4</v>
      </c>
      <c r="K21" s="25" t="s">
        <v>209</v>
      </c>
      <c r="L21" s="25" t="s">
        <v>209</v>
      </c>
    </row>
    <row r="22" spans="1:12" s="1" customFormat="1">
      <c r="A22" s="132"/>
      <c r="B22" s="12" t="s">
        <v>233</v>
      </c>
      <c r="C22" s="13" t="s">
        <v>206</v>
      </c>
      <c r="D22" s="9" t="s">
        <v>234</v>
      </c>
      <c r="E22" s="21" t="s">
        <v>182</v>
      </c>
      <c r="F22" s="27" t="s">
        <v>233</v>
      </c>
      <c r="G22" s="22" t="s">
        <v>208</v>
      </c>
      <c r="H22" s="23"/>
      <c r="I22" s="133"/>
      <c r="J22" s="25" t="s">
        <v>4</v>
      </c>
      <c r="K22" s="25" t="s">
        <v>209</v>
      </c>
      <c r="L22" s="25" t="s">
        <v>209</v>
      </c>
    </row>
    <row r="23" spans="1:12" s="1" customFormat="1">
      <c r="A23" s="132"/>
      <c r="B23" s="12" t="s">
        <v>236</v>
      </c>
      <c r="C23" s="13" t="s">
        <v>206</v>
      </c>
      <c r="D23" s="9" t="s">
        <v>237</v>
      </c>
      <c r="E23" s="21" t="s">
        <v>182</v>
      </c>
      <c r="F23" s="27" t="s">
        <v>236</v>
      </c>
      <c r="G23" s="22" t="s">
        <v>208</v>
      </c>
      <c r="H23" s="23"/>
      <c r="I23" s="133"/>
      <c r="J23" s="25" t="s">
        <v>4</v>
      </c>
      <c r="K23" s="25" t="s">
        <v>209</v>
      </c>
      <c r="L23" s="25" t="s">
        <v>209</v>
      </c>
    </row>
    <row r="24" spans="1:12" s="1" customFormat="1">
      <c r="A24" s="132"/>
      <c r="B24" s="13" t="s">
        <v>443</v>
      </c>
      <c r="C24" s="12" t="s">
        <v>206</v>
      </c>
      <c r="D24" s="9" t="s">
        <v>240</v>
      </c>
      <c r="E24" s="21" t="s">
        <v>182</v>
      </c>
      <c r="F24" s="27" t="s">
        <v>443</v>
      </c>
      <c r="G24" s="22" t="s">
        <v>208</v>
      </c>
      <c r="H24" s="23"/>
      <c r="I24" s="133"/>
      <c r="J24" s="25" t="s">
        <v>4</v>
      </c>
      <c r="K24" s="25" t="s">
        <v>209</v>
      </c>
      <c r="L24" s="25" t="s">
        <v>209</v>
      </c>
    </row>
    <row r="25" spans="1:12" s="1" customFormat="1">
      <c r="A25" s="132"/>
      <c r="B25" s="12" t="s">
        <v>242</v>
      </c>
      <c r="C25" s="12" t="s">
        <v>206</v>
      </c>
      <c r="D25" s="9" t="s">
        <v>243</v>
      </c>
      <c r="E25" s="21" t="s">
        <v>182</v>
      </c>
      <c r="F25" s="22" t="s">
        <v>242</v>
      </c>
      <c r="G25" s="22" t="s">
        <v>208</v>
      </c>
      <c r="H25" s="23"/>
      <c r="I25" s="134"/>
      <c r="J25" s="25" t="s">
        <v>4</v>
      </c>
      <c r="K25" s="25" t="s">
        <v>209</v>
      </c>
      <c r="L25" s="25" t="s">
        <v>209</v>
      </c>
    </row>
    <row r="26" spans="1:12" s="1" customFormat="1">
      <c r="A26" s="132"/>
      <c r="B26" s="12" t="s">
        <v>246</v>
      </c>
      <c r="C26" s="12" t="s">
        <v>206</v>
      </c>
      <c r="D26" s="9" t="s">
        <v>247</v>
      </c>
      <c r="E26" s="21" t="s">
        <v>182</v>
      </c>
      <c r="F26" s="22" t="s">
        <v>246</v>
      </c>
      <c r="G26" s="22" t="s">
        <v>208</v>
      </c>
      <c r="H26" s="23"/>
      <c r="I26" s="133"/>
      <c r="J26" s="25" t="s">
        <v>4</v>
      </c>
      <c r="K26" s="25" t="s">
        <v>209</v>
      </c>
      <c r="L26" s="25" t="s">
        <v>209</v>
      </c>
    </row>
    <row r="27" spans="1:12" s="132" customFormat="1">
      <c r="B27" s="13" t="s">
        <v>289</v>
      </c>
      <c r="C27" s="13" t="s">
        <v>281</v>
      </c>
      <c r="D27" s="9" t="s">
        <v>290</v>
      </c>
      <c r="E27" s="21" t="s">
        <v>182</v>
      </c>
      <c r="F27" s="22"/>
      <c r="G27" s="19" t="s">
        <v>401</v>
      </c>
      <c r="H27" s="21"/>
      <c r="I27" s="133"/>
      <c r="J27" s="25" t="s">
        <v>284</v>
      </c>
      <c r="K27" s="25" t="s">
        <v>209</v>
      </c>
      <c r="L27" s="25" t="s">
        <v>285</v>
      </c>
    </row>
    <row r="28" spans="1:12" s="132" customFormat="1">
      <c r="B28" s="13" t="s">
        <v>291</v>
      </c>
      <c r="C28" s="13" t="s">
        <v>281</v>
      </c>
      <c r="D28" s="9" t="s">
        <v>292</v>
      </c>
      <c r="E28" s="21" t="s">
        <v>182</v>
      </c>
      <c r="F28" s="22"/>
      <c r="G28" s="19" t="s">
        <v>403</v>
      </c>
      <c r="H28" s="21"/>
      <c r="I28" s="133"/>
      <c r="J28" s="25" t="s">
        <v>284</v>
      </c>
      <c r="K28" s="25" t="s">
        <v>209</v>
      </c>
      <c r="L28" s="25" t="s">
        <v>285</v>
      </c>
    </row>
    <row r="29" spans="1:12" s="3" customFormat="1">
      <c r="B29" s="13" t="s">
        <v>294</v>
      </c>
      <c r="C29" s="13" t="s">
        <v>281</v>
      </c>
      <c r="D29" s="9" t="s">
        <v>295</v>
      </c>
      <c r="E29" s="21" t="s">
        <v>182</v>
      </c>
      <c r="F29" s="22"/>
      <c r="G29" s="19" t="s">
        <v>405</v>
      </c>
      <c r="H29" s="21"/>
      <c r="I29" s="133"/>
      <c r="J29" s="25" t="s">
        <v>284</v>
      </c>
      <c r="K29" s="25" t="s">
        <v>209</v>
      </c>
      <c r="L29" s="25" t="s">
        <v>285</v>
      </c>
    </row>
    <row r="30" spans="1:12" s="3" customFormat="1">
      <c r="B30" s="13" t="s">
        <v>297</v>
      </c>
      <c r="C30" s="13" t="s">
        <v>281</v>
      </c>
      <c r="D30" s="9" t="s">
        <v>298</v>
      </c>
      <c r="E30" s="21" t="s">
        <v>182</v>
      </c>
      <c r="F30" s="22"/>
      <c r="G30" s="19" t="s">
        <v>407</v>
      </c>
      <c r="H30" s="21"/>
      <c r="I30" s="133"/>
      <c r="J30" s="25" t="s">
        <v>284</v>
      </c>
      <c r="K30" s="25" t="s">
        <v>209</v>
      </c>
      <c r="L30" s="25" t="s">
        <v>285</v>
      </c>
    </row>
    <row r="31" spans="1:12" s="3" customFormat="1">
      <c r="B31" s="13" t="s">
        <v>300</v>
      </c>
      <c r="C31" s="13" t="s">
        <v>281</v>
      </c>
      <c r="D31" s="9" t="s">
        <v>301</v>
      </c>
      <c r="E31" s="21" t="s">
        <v>182</v>
      </c>
      <c r="F31" s="22"/>
      <c r="G31" s="19" t="s">
        <v>409</v>
      </c>
      <c r="H31" s="21"/>
      <c r="I31" s="133"/>
      <c r="J31" s="25" t="s">
        <v>284</v>
      </c>
      <c r="K31" s="25" t="s">
        <v>209</v>
      </c>
      <c r="L31" s="25" t="s">
        <v>285</v>
      </c>
    </row>
    <row r="32" spans="1:12" s="3" customFormat="1">
      <c r="B32" s="13" t="s">
        <v>303</v>
      </c>
      <c r="C32" s="13" t="s">
        <v>281</v>
      </c>
      <c r="D32" s="9" t="s">
        <v>304</v>
      </c>
      <c r="E32" s="21" t="s">
        <v>182</v>
      </c>
      <c r="F32" s="22"/>
      <c r="G32" s="19" t="s">
        <v>411</v>
      </c>
      <c r="H32" s="21"/>
      <c r="I32" s="133"/>
      <c r="J32" s="25" t="s">
        <v>284</v>
      </c>
      <c r="K32" s="25" t="s">
        <v>209</v>
      </c>
      <c r="L32" s="25" t="s">
        <v>285</v>
      </c>
    </row>
    <row r="33" spans="1:17" s="3" customFormat="1">
      <c r="B33" s="13" t="s">
        <v>309</v>
      </c>
      <c r="C33" s="13" t="s">
        <v>281</v>
      </c>
      <c r="D33" s="9" t="s">
        <v>310</v>
      </c>
      <c r="E33" s="21" t="s">
        <v>182</v>
      </c>
      <c r="F33" s="22"/>
      <c r="G33" s="19" t="s">
        <v>362</v>
      </c>
      <c r="H33" s="21"/>
      <c r="I33" s="133"/>
      <c r="J33" s="25" t="s">
        <v>284</v>
      </c>
      <c r="K33" s="25" t="s">
        <v>209</v>
      </c>
      <c r="L33" s="25" t="s">
        <v>285</v>
      </c>
    </row>
    <row r="34" spans="1:17" s="136" customFormat="1">
      <c r="A34" s="137"/>
      <c r="B34" s="138" t="s">
        <v>2368</v>
      </c>
      <c r="C34" s="13" t="s">
        <v>211</v>
      </c>
      <c r="D34" s="9" t="s">
        <v>313</v>
      </c>
      <c r="E34" s="21" t="s">
        <v>182</v>
      </c>
      <c r="F34" s="22"/>
      <c r="G34" s="19" t="s">
        <v>363</v>
      </c>
      <c r="H34" s="21"/>
      <c r="I34" s="139"/>
      <c r="J34" s="25" t="s">
        <v>284</v>
      </c>
      <c r="K34" s="25" t="s">
        <v>209</v>
      </c>
      <c r="L34" s="25" t="s">
        <v>285</v>
      </c>
    </row>
    <row r="35" spans="1:17" s="136" customFormat="1">
      <c r="A35" s="137"/>
      <c r="B35" s="138" t="s">
        <v>2367</v>
      </c>
      <c r="C35" s="13" t="s">
        <v>211</v>
      </c>
      <c r="D35" s="9" t="s">
        <v>316</v>
      </c>
      <c r="E35" s="21" t="s">
        <v>182</v>
      </c>
      <c r="F35" s="22"/>
      <c r="G35" s="19" t="s">
        <v>365</v>
      </c>
      <c r="H35" s="21"/>
      <c r="I35" s="139"/>
      <c r="J35" s="25" t="s">
        <v>284</v>
      </c>
      <c r="K35" s="25" t="s">
        <v>209</v>
      </c>
      <c r="L35" s="25" t="s">
        <v>285</v>
      </c>
    </row>
    <row r="36" spans="1:17" s="136" customFormat="1">
      <c r="A36" s="137"/>
      <c r="B36" s="138" t="s">
        <v>318</v>
      </c>
      <c r="C36" s="13" t="s">
        <v>319</v>
      </c>
      <c r="D36" s="9" t="s">
        <v>320</v>
      </c>
      <c r="E36" s="21" t="s">
        <v>182</v>
      </c>
      <c r="F36" s="22"/>
      <c r="G36" s="19" t="s">
        <v>367</v>
      </c>
      <c r="H36" s="21"/>
      <c r="I36" s="139"/>
      <c r="J36" s="25" t="s">
        <v>284</v>
      </c>
      <c r="K36" s="25" t="s">
        <v>209</v>
      </c>
      <c r="L36" s="25" t="s">
        <v>322</v>
      </c>
    </row>
    <row r="37" spans="1:17" s="136" customFormat="1">
      <c r="A37" s="137"/>
      <c r="B37" s="138" t="s">
        <v>323</v>
      </c>
      <c r="C37" s="13" t="s">
        <v>319</v>
      </c>
      <c r="D37" s="9" t="s">
        <v>324</v>
      </c>
      <c r="E37" s="21" t="s">
        <v>182</v>
      </c>
      <c r="F37" s="22"/>
      <c r="G37" s="19" t="s">
        <v>369</v>
      </c>
      <c r="H37" s="21"/>
      <c r="I37" s="139"/>
      <c r="J37" s="25" t="s">
        <v>284</v>
      </c>
      <c r="K37" s="25" t="s">
        <v>209</v>
      </c>
      <c r="L37" s="25" t="s">
        <v>285</v>
      </c>
    </row>
    <row r="38" spans="1:17" s="136" customFormat="1">
      <c r="A38" s="137"/>
      <c r="B38" s="138" t="s">
        <v>325</v>
      </c>
      <c r="C38" s="13" t="s">
        <v>319</v>
      </c>
      <c r="D38" s="9" t="s">
        <v>370</v>
      </c>
      <c r="E38" s="21" t="s">
        <v>182</v>
      </c>
      <c r="F38" s="22"/>
      <c r="G38" s="19" t="s">
        <v>371</v>
      </c>
      <c r="H38" s="21"/>
      <c r="I38" s="139"/>
      <c r="J38" s="25" t="s">
        <v>284</v>
      </c>
      <c r="K38" s="25" t="s">
        <v>209</v>
      </c>
      <c r="L38" s="25" t="s">
        <v>328</v>
      </c>
    </row>
    <row r="39" spans="1:17" s="136" customFormat="1">
      <c r="A39" s="137"/>
      <c r="B39" s="138" t="s">
        <v>329</v>
      </c>
      <c r="C39" s="13" t="s">
        <v>281</v>
      </c>
      <c r="D39" s="9" t="s">
        <v>330</v>
      </c>
      <c r="E39" s="21" t="s">
        <v>182</v>
      </c>
      <c r="F39" s="22"/>
      <c r="G39" s="19" t="s">
        <v>373</v>
      </c>
      <c r="H39" s="21"/>
      <c r="I39" s="139"/>
      <c r="J39" s="25" t="s">
        <v>284</v>
      </c>
      <c r="K39" s="25" t="s">
        <v>209</v>
      </c>
      <c r="L39" s="25" t="s">
        <v>285</v>
      </c>
    </row>
    <row r="40" spans="1:17" s="136" customFormat="1">
      <c r="A40" s="137"/>
      <c r="B40" s="138" t="s">
        <v>332</v>
      </c>
      <c r="C40" s="13" t="s">
        <v>281</v>
      </c>
      <c r="D40" s="9" t="s">
        <v>333</v>
      </c>
      <c r="E40" s="21" t="s">
        <v>182</v>
      </c>
      <c r="F40" s="22"/>
      <c r="G40" s="19" t="s">
        <v>374</v>
      </c>
      <c r="H40" s="21"/>
      <c r="I40" s="139"/>
      <c r="J40" s="25" t="s">
        <v>284</v>
      </c>
      <c r="K40" s="25" t="s">
        <v>209</v>
      </c>
      <c r="L40" s="25" t="s">
        <v>285</v>
      </c>
    </row>
    <row r="41" spans="1:17" s="136" customFormat="1">
      <c r="A41" s="137"/>
      <c r="B41" s="138" t="s">
        <v>335</v>
      </c>
      <c r="C41" s="13" t="s">
        <v>281</v>
      </c>
      <c r="D41" s="9" t="s">
        <v>336</v>
      </c>
      <c r="E41" s="21" t="s">
        <v>182</v>
      </c>
      <c r="F41" s="22"/>
      <c r="G41" s="19" t="s">
        <v>375</v>
      </c>
      <c r="H41" s="21"/>
      <c r="I41" s="139"/>
      <c r="J41" s="25" t="s">
        <v>284</v>
      </c>
      <c r="K41" s="25" t="s">
        <v>209</v>
      </c>
      <c r="L41" s="25" t="s">
        <v>285</v>
      </c>
    </row>
    <row r="42" spans="1:17" s="136" customFormat="1">
      <c r="A42" s="137"/>
      <c r="B42" s="138" t="s">
        <v>338</v>
      </c>
      <c r="C42" s="13" t="s">
        <v>281</v>
      </c>
      <c r="D42" s="9" t="s">
        <v>339</v>
      </c>
      <c r="E42" s="21" t="s">
        <v>182</v>
      </c>
      <c r="F42" s="22"/>
      <c r="G42" s="19" t="s">
        <v>376</v>
      </c>
      <c r="H42" s="21"/>
      <c r="I42" s="139"/>
      <c r="J42" s="25" t="s">
        <v>284</v>
      </c>
      <c r="K42" s="25" t="s">
        <v>209</v>
      </c>
      <c r="L42" s="25" t="s">
        <v>285</v>
      </c>
    </row>
    <row r="43" spans="1:17" s="136" customFormat="1">
      <c r="A43" s="137"/>
      <c r="B43" s="138" t="s">
        <v>341</v>
      </c>
      <c r="C43" s="13" t="s">
        <v>281</v>
      </c>
      <c r="D43" s="9" t="s">
        <v>342</v>
      </c>
      <c r="E43" s="21" t="s">
        <v>182</v>
      </c>
      <c r="F43" s="22"/>
      <c r="G43" s="19" t="s">
        <v>377</v>
      </c>
      <c r="H43" s="21"/>
      <c r="I43" s="139"/>
      <c r="J43" s="25" t="s">
        <v>284</v>
      </c>
      <c r="K43" s="25" t="s">
        <v>209</v>
      </c>
      <c r="L43" s="25" t="s">
        <v>285</v>
      </c>
    </row>
    <row r="44" spans="1:17" s="2" customFormat="1">
      <c r="B44" s="14" t="s">
        <v>222</v>
      </c>
      <c r="C44" s="15" t="s">
        <v>211</v>
      </c>
      <c r="D44" s="16" t="s">
        <v>344</v>
      </c>
      <c r="E44" s="69"/>
      <c r="F44" s="14"/>
      <c r="G44" s="14"/>
      <c r="H44" s="14"/>
      <c r="I44" s="14"/>
      <c r="J44" s="14"/>
      <c r="K44" s="14"/>
      <c r="L44" s="14"/>
      <c r="M44" s="14"/>
      <c r="N44" s="14"/>
      <c r="O44" s="14"/>
      <c r="P44" s="14"/>
      <c r="Q44" s="14"/>
    </row>
    <row r="45" spans="1:17" s="2" customFormat="1">
      <c r="B45" s="14" t="s">
        <v>0</v>
      </c>
      <c r="C45" s="15" t="s">
        <v>206</v>
      </c>
      <c r="D45" s="16" t="s">
        <v>345</v>
      </c>
      <c r="E45" s="69"/>
      <c r="F45" s="14"/>
      <c r="G45" s="14"/>
      <c r="H45" s="14"/>
      <c r="I45" s="14"/>
      <c r="J45" s="14"/>
      <c r="K45" s="14"/>
      <c r="L45" s="14"/>
      <c r="M45" s="14"/>
      <c r="N45" s="14"/>
      <c r="O45" s="14"/>
      <c r="P45" s="14"/>
      <c r="Q45" s="14"/>
    </row>
    <row r="46" spans="1:17" s="2" customFormat="1">
      <c r="B46" s="14" t="s">
        <v>1</v>
      </c>
      <c r="C46" s="15" t="s">
        <v>211</v>
      </c>
      <c r="D46" s="16" t="s">
        <v>346</v>
      </c>
      <c r="E46" s="69"/>
      <c r="F46" s="14"/>
      <c r="G46" s="14"/>
      <c r="H46" s="14"/>
      <c r="I46" s="14"/>
      <c r="J46" s="14"/>
      <c r="K46" s="14"/>
      <c r="L46" s="14"/>
      <c r="M46" s="14"/>
      <c r="N46" s="14"/>
      <c r="O46" s="14"/>
      <c r="P46" s="14"/>
      <c r="Q46" s="14"/>
    </row>
  </sheetData>
  <autoFilter ref="A13:Q46" xr:uid="{00000000-0009-0000-0000-000007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38"/>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23.6640625" style="3" customWidth="1"/>
    <col min="3" max="3" width="42.88671875" style="3" customWidth="1"/>
    <col min="4" max="4" width="32.21875" style="3" customWidth="1"/>
    <col min="5" max="5" width="16.21875" style="3" customWidth="1"/>
    <col min="6" max="6" width="24.88671875" style="3" customWidth="1"/>
    <col min="7" max="7" width="39.55468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1:15">
      <c r="B1" s="5" t="str">
        <f>HYPERLINK("#导航!a2","返回")</f>
        <v>返回</v>
      </c>
    </row>
    <row r="2" spans="1:15">
      <c r="B2" s="180"/>
      <c r="C2" s="180"/>
      <c r="D2" s="180"/>
      <c r="E2" s="180"/>
      <c r="F2" s="180"/>
      <c r="G2" s="180"/>
      <c r="H2" s="180"/>
    </row>
    <row r="3" spans="1:15">
      <c r="B3" s="181" t="s">
        <v>168</v>
      </c>
      <c r="C3" s="181"/>
      <c r="D3" s="181"/>
      <c r="E3" s="181"/>
      <c r="F3" s="181"/>
      <c r="G3" s="181"/>
      <c r="H3" s="181"/>
    </row>
    <row r="4" spans="1:15">
      <c r="B4" s="7" t="s">
        <v>40</v>
      </c>
      <c r="C4" s="7" t="s">
        <v>169</v>
      </c>
      <c r="D4" s="7" t="s">
        <v>170</v>
      </c>
      <c r="E4" s="7" t="s">
        <v>171</v>
      </c>
      <c r="F4" s="7" t="s">
        <v>172</v>
      </c>
      <c r="G4" s="7" t="s">
        <v>43</v>
      </c>
      <c r="H4" s="7" t="s">
        <v>173</v>
      </c>
    </row>
    <row r="5" spans="1:15">
      <c r="B5" s="8" t="s">
        <v>57</v>
      </c>
      <c r="C5" s="9" t="s">
        <v>90</v>
      </c>
      <c r="D5" s="10" t="s">
        <v>91</v>
      </c>
      <c r="E5" s="12" t="s">
        <v>205</v>
      </c>
      <c r="F5" s="61"/>
      <c r="G5" s="9" t="s">
        <v>92</v>
      </c>
      <c r="H5" s="12"/>
      <c r="N5" s="3"/>
    </row>
    <row r="6" spans="1:15">
      <c r="B6" s="6"/>
      <c r="C6" s="6"/>
      <c r="D6" s="6"/>
      <c r="E6" s="6"/>
      <c r="F6" s="6"/>
      <c r="G6" s="6"/>
      <c r="H6" s="6"/>
    </row>
    <row r="7" spans="1:15">
      <c r="B7" s="181" t="s">
        <v>174</v>
      </c>
      <c r="C7" s="181"/>
      <c r="D7" s="181"/>
      <c r="E7" s="181"/>
      <c r="F7" s="181"/>
      <c r="G7" s="181"/>
      <c r="H7" s="181"/>
    </row>
    <row r="8" spans="1:15">
      <c r="B8" s="11" t="s">
        <v>175</v>
      </c>
      <c r="C8" s="11" t="s">
        <v>176</v>
      </c>
      <c r="D8" s="11" t="s">
        <v>177</v>
      </c>
      <c r="E8" s="11" t="s">
        <v>178</v>
      </c>
      <c r="F8" s="11" t="s">
        <v>179</v>
      </c>
      <c r="G8" s="11" t="s">
        <v>53</v>
      </c>
      <c r="H8" s="11" t="s">
        <v>180</v>
      </c>
    </row>
    <row r="9" spans="1:15">
      <c r="B9" s="12"/>
      <c r="C9" s="9" t="s">
        <v>87</v>
      </c>
      <c r="D9" s="10" t="s">
        <v>88</v>
      </c>
      <c r="E9" s="12" t="s">
        <v>182</v>
      </c>
      <c r="F9" s="22"/>
      <c r="G9" s="22"/>
      <c r="H9" s="20" t="s">
        <v>63</v>
      </c>
    </row>
    <row r="10" spans="1:15">
      <c r="G10" s="62"/>
    </row>
    <row r="11" spans="1:15">
      <c r="B11" s="3" t="s">
        <v>194</v>
      </c>
    </row>
    <row r="12" spans="1:15">
      <c r="B12" s="181" t="s">
        <v>194</v>
      </c>
      <c r="C12" s="181"/>
      <c r="D12" s="181"/>
      <c r="E12" s="181"/>
      <c r="F12" s="181"/>
      <c r="G12" s="181"/>
      <c r="H12" s="181"/>
      <c r="I12" s="181"/>
      <c r="J12" s="181"/>
      <c r="K12" s="181"/>
      <c r="L12" s="181"/>
    </row>
    <row r="13" spans="1:15">
      <c r="B13" s="7" t="s">
        <v>195</v>
      </c>
      <c r="C13" s="7" t="s">
        <v>196</v>
      </c>
      <c r="D13" s="7" t="s">
        <v>197</v>
      </c>
      <c r="E13" s="7" t="s">
        <v>198</v>
      </c>
      <c r="F13" s="7" t="s">
        <v>199</v>
      </c>
      <c r="G13" s="7" t="s">
        <v>200</v>
      </c>
      <c r="H13" s="7" t="s">
        <v>201</v>
      </c>
      <c r="I13" s="7" t="s">
        <v>53</v>
      </c>
      <c r="J13" s="7" t="s">
        <v>202</v>
      </c>
      <c r="K13" s="7" t="s">
        <v>203</v>
      </c>
      <c r="L13" s="7" t="s">
        <v>204</v>
      </c>
    </row>
    <row r="14" spans="1:15" s="1" customFormat="1">
      <c r="A14" s="132"/>
      <c r="B14" s="13" t="s">
        <v>205</v>
      </c>
      <c r="C14" s="13" t="s">
        <v>206</v>
      </c>
      <c r="D14" s="9" t="s">
        <v>207</v>
      </c>
      <c r="E14" s="21" t="s">
        <v>182</v>
      </c>
      <c r="F14" s="22" t="s">
        <v>0</v>
      </c>
      <c r="G14" s="22" t="s">
        <v>208</v>
      </c>
      <c r="H14" s="23"/>
      <c r="I14" s="64" t="s">
        <v>348</v>
      </c>
      <c r="J14" s="25" t="s">
        <v>4</v>
      </c>
      <c r="K14" s="25" t="s">
        <v>209</v>
      </c>
      <c r="L14" s="25" t="s">
        <v>210</v>
      </c>
      <c r="M14" s="142"/>
      <c r="N14" s="142"/>
      <c r="O14" s="142"/>
    </row>
    <row r="15" spans="1:15" s="1" customFormat="1">
      <c r="B15" s="13" t="s">
        <v>214</v>
      </c>
      <c r="C15" s="13" t="s">
        <v>211</v>
      </c>
      <c r="D15" s="9" t="s">
        <v>215</v>
      </c>
      <c r="E15" s="21" t="s">
        <v>182</v>
      </c>
      <c r="F15" s="22" t="s">
        <v>214</v>
      </c>
      <c r="G15" s="22" t="s">
        <v>208</v>
      </c>
      <c r="H15" s="23"/>
      <c r="I15" s="64" t="s">
        <v>350</v>
      </c>
      <c r="J15" s="25" t="s">
        <v>4</v>
      </c>
      <c r="K15" s="25" t="s">
        <v>209</v>
      </c>
      <c r="L15" s="25" t="s">
        <v>216</v>
      </c>
      <c r="M15" s="142"/>
      <c r="N15" s="142"/>
      <c r="O15" s="142"/>
    </row>
    <row r="16" spans="1:15" s="1" customFormat="1">
      <c r="B16" s="13" t="s">
        <v>220</v>
      </c>
      <c r="C16" s="13" t="s">
        <v>211</v>
      </c>
      <c r="D16" s="9" t="s">
        <v>221</v>
      </c>
      <c r="E16" s="21" t="s">
        <v>182</v>
      </c>
      <c r="F16" s="22" t="s">
        <v>222</v>
      </c>
      <c r="G16" s="22" t="s">
        <v>208</v>
      </c>
      <c r="H16" s="23"/>
      <c r="I16" s="64" t="s">
        <v>351</v>
      </c>
      <c r="J16" s="25" t="s">
        <v>4</v>
      </c>
      <c r="K16" s="25" t="s">
        <v>209</v>
      </c>
      <c r="L16" s="25" t="s">
        <v>223</v>
      </c>
      <c r="M16" s="142"/>
      <c r="N16" s="142"/>
      <c r="O16" s="142"/>
    </row>
    <row r="17" spans="1:15" s="1" customFormat="1">
      <c r="A17" s="132"/>
      <c r="B17" s="12" t="s">
        <v>224</v>
      </c>
      <c r="C17" s="13" t="s">
        <v>211</v>
      </c>
      <c r="D17" s="9" t="s">
        <v>444</v>
      </c>
      <c r="E17" s="21" t="s">
        <v>182</v>
      </c>
      <c r="F17" s="22" t="s">
        <v>224</v>
      </c>
      <c r="G17" s="22" t="s">
        <v>208</v>
      </c>
      <c r="H17" s="23"/>
      <c r="I17" s="64" t="s">
        <v>352</v>
      </c>
      <c r="J17" s="25" t="s">
        <v>4</v>
      </c>
      <c r="K17" s="25" t="s">
        <v>209</v>
      </c>
      <c r="L17" s="25" t="s">
        <v>223</v>
      </c>
      <c r="M17" s="142"/>
      <c r="N17" s="142"/>
      <c r="O17" s="142"/>
    </row>
    <row r="18" spans="1:15" s="1" customFormat="1">
      <c r="A18" s="132"/>
      <c r="B18" s="12" t="s">
        <v>228</v>
      </c>
      <c r="C18" s="13" t="s">
        <v>211</v>
      </c>
      <c r="D18" s="9" t="s">
        <v>445</v>
      </c>
      <c r="E18" s="21" t="s">
        <v>182</v>
      </c>
      <c r="F18" s="22" t="s">
        <v>228</v>
      </c>
      <c r="G18" s="22" t="s">
        <v>208</v>
      </c>
      <c r="H18" s="23"/>
      <c r="I18" s="64" t="s">
        <v>353</v>
      </c>
      <c r="J18" s="25" t="s">
        <v>4</v>
      </c>
      <c r="K18" s="25" t="s">
        <v>209</v>
      </c>
      <c r="L18" s="25" t="s">
        <v>223</v>
      </c>
      <c r="M18" s="142"/>
      <c r="N18" s="142"/>
      <c r="O18" s="142"/>
    </row>
    <row r="19" spans="1:15" s="3" customFormat="1">
      <c r="B19" s="13" t="s">
        <v>230</v>
      </c>
      <c r="C19" s="13" t="s">
        <v>206</v>
      </c>
      <c r="D19" s="9" t="s">
        <v>231</v>
      </c>
      <c r="E19" s="21" t="s">
        <v>182</v>
      </c>
      <c r="F19" s="22" t="str">
        <f>VLOOKUP(B19,'5'!B:L,1,0)</f>
        <v>province</v>
      </c>
      <c r="G19" s="22" t="s">
        <v>208</v>
      </c>
      <c r="H19" s="23"/>
      <c r="I19" s="64" t="s">
        <v>354</v>
      </c>
      <c r="J19" s="25" t="s">
        <v>4</v>
      </c>
      <c r="K19" s="25" t="s">
        <v>209</v>
      </c>
      <c r="L19" s="25" t="s">
        <v>209</v>
      </c>
      <c r="M19" s="142"/>
      <c r="N19" s="58"/>
      <c r="O19" s="58"/>
    </row>
    <row r="20" spans="1:15" s="3" customFormat="1">
      <c r="B20" s="13" t="s">
        <v>233</v>
      </c>
      <c r="C20" s="13" t="s">
        <v>206</v>
      </c>
      <c r="D20" s="9" t="s">
        <v>446</v>
      </c>
      <c r="E20" s="21" t="s">
        <v>182</v>
      </c>
      <c r="F20" s="22" t="str">
        <f>VLOOKUP(B20,'5'!B:L,1,0)</f>
        <v>city</v>
      </c>
      <c r="G20" s="22" t="s">
        <v>208</v>
      </c>
      <c r="H20" s="23"/>
      <c r="I20" s="64" t="s">
        <v>355</v>
      </c>
      <c r="J20" s="25" t="s">
        <v>4</v>
      </c>
      <c r="K20" s="25" t="s">
        <v>209</v>
      </c>
      <c r="L20" s="25" t="s">
        <v>209</v>
      </c>
      <c r="M20" s="142"/>
      <c r="N20" s="58"/>
      <c r="O20" s="58"/>
    </row>
    <row r="21" spans="1:15" s="136" customFormat="1">
      <c r="A21" s="137"/>
      <c r="B21" s="138" t="s">
        <v>236</v>
      </c>
      <c r="C21" s="13" t="s">
        <v>206</v>
      </c>
      <c r="D21" s="9" t="s">
        <v>237</v>
      </c>
      <c r="E21" s="21" t="s">
        <v>182</v>
      </c>
      <c r="F21" s="22" t="str">
        <f>VLOOKUP(B21,'5'!B:L,1,0)</f>
        <v>district</v>
      </c>
      <c r="G21" s="22" t="s">
        <v>208</v>
      </c>
      <c r="H21" s="23"/>
      <c r="I21" s="64" t="s">
        <v>356</v>
      </c>
      <c r="J21" s="25" t="s">
        <v>4</v>
      </c>
      <c r="K21" s="25" t="s">
        <v>209</v>
      </c>
      <c r="L21" s="25" t="s">
        <v>209</v>
      </c>
      <c r="M21" s="142"/>
      <c r="N21" s="143"/>
      <c r="O21" s="143"/>
    </row>
    <row r="22" spans="1:15" s="3" customFormat="1">
      <c r="B22" s="13" t="s">
        <v>217</v>
      </c>
      <c r="C22" s="13" t="s">
        <v>211</v>
      </c>
      <c r="D22" s="9" t="s">
        <v>218</v>
      </c>
      <c r="E22" s="21" t="s">
        <v>182</v>
      </c>
      <c r="F22" s="22" t="str">
        <f>VLOOKUP(B22,'5'!B:L,1,0)</f>
        <v>rattype</v>
      </c>
      <c r="G22" s="22" t="s">
        <v>208</v>
      </c>
      <c r="H22" s="23"/>
      <c r="I22" s="64" t="s">
        <v>379</v>
      </c>
      <c r="J22" s="25" t="s">
        <v>4</v>
      </c>
      <c r="K22" s="25" t="s">
        <v>209</v>
      </c>
      <c r="L22" s="25" t="s">
        <v>219</v>
      </c>
      <c r="M22" s="142"/>
      <c r="N22" s="58"/>
      <c r="O22" s="58"/>
    </row>
    <row r="23" spans="1:15" s="3" customFormat="1">
      <c r="B23" s="13" t="s">
        <v>443</v>
      </c>
      <c r="C23" s="13" t="s">
        <v>206</v>
      </c>
      <c r="D23" s="9" t="s">
        <v>240</v>
      </c>
      <c r="E23" s="21" t="s">
        <v>182</v>
      </c>
      <c r="F23" s="22" t="s">
        <v>443</v>
      </c>
      <c r="G23" s="22" t="s">
        <v>208</v>
      </c>
      <c r="H23" s="23"/>
      <c r="I23" s="64" t="s">
        <v>380</v>
      </c>
      <c r="J23" s="25" t="s">
        <v>4</v>
      </c>
      <c r="K23" s="25" t="s">
        <v>209</v>
      </c>
      <c r="L23" s="25" t="s">
        <v>209</v>
      </c>
      <c r="M23" s="142"/>
      <c r="N23" s="58"/>
      <c r="O23" s="58"/>
    </row>
    <row r="24" spans="1:15" s="1" customFormat="1">
      <c r="A24" s="132"/>
      <c r="B24" s="13" t="s">
        <v>447</v>
      </c>
      <c r="C24" s="13" t="s">
        <v>206</v>
      </c>
      <c r="D24" s="9" t="s">
        <v>89</v>
      </c>
      <c r="E24" s="21" t="s">
        <v>182</v>
      </c>
      <c r="F24" s="22"/>
      <c r="G24" s="22" t="s">
        <v>448</v>
      </c>
      <c r="H24" s="23"/>
      <c r="I24" s="64" t="s">
        <v>449</v>
      </c>
      <c r="J24" s="25" t="s">
        <v>4</v>
      </c>
      <c r="K24" s="25" t="s">
        <v>209</v>
      </c>
      <c r="L24" s="25" t="s">
        <v>209</v>
      </c>
      <c r="M24" s="142"/>
      <c r="N24" s="142"/>
      <c r="O24" s="142"/>
    </row>
    <row r="25" spans="1:15" s="1" customFormat="1">
      <c r="A25" s="132"/>
      <c r="B25" s="13" t="s">
        <v>2453</v>
      </c>
      <c r="C25" s="13" t="s">
        <v>206</v>
      </c>
      <c r="D25" s="9" t="s">
        <v>243</v>
      </c>
      <c r="E25" s="21" t="s">
        <v>182</v>
      </c>
      <c r="F25" s="22" t="s">
        <v>242</v>
      </c>
      <c r="G25" s="22" t="s">
        <v>208</v>
      </c>
      <c r="H25" s="23"/>
      <c r="I25" s="64" t="s">
        <v>357</v>
      </c>
      <c r="J25" s="25" t="s">
        <v>4</v>
      </c>
      <c r="K25" s="25" t="s">
        <v>209</v>
      </c>
      <c r="L25" s="25" t="s">
        <v>209</v>
      </c>
      <c r="M25" s="142"/>
      <c r="N25" s="142"/>
      <c r="O25" s="142"/>
    </row>
    <row r="26" spans="1:15" s="1" customFormat="1">
      <c r="A26" s="132"/>
      <c r="B26" s="13" t="s">
        <v>2452</v>
      </c>
      <c r="C26" s="13" t="s">
        <v>206</v>
      </c>
      <c r="D26" s="9" t="s">
        <v>451</v>
      </c>
      <c r="E26" s="21" t="s">
        <v>182</v>
      </c>
      <c r="F26" s="22"/>
      <c r="G26" s="22" t="s">
        <v>452</v>
      </c>
      <c r="H26" s="23"/>
      <c r="I26" s="64" t="s">
        <v>453</v>
      </c>
      <c r="J26" s="25" t="s">
        <v>4</v>
      </c>
      <c r="K26" s="25" t="s">
        <v>209</v>
      </c>
      <c r="L26" s="25" t="s">
        <v>209</v>
      </c>
      <c r="M26" s="142"/>
      <c r="N26" s="142"/>
      <c r="O26" s="142"/>
    </row>
    <row r="27" spans="1:15" s="1" customFormat="1">
      <c r="A27" s="132"/>
      <c r="B27" s="12" t="s">
        <v>2451</v>
      </c>
      <c r="C27" s="13" t="s">
        <v>206</v>
      </c>
      <c r="D27" s="9" t="s">
        <v>455</v>
      </c>
      <c r="E27" s="21" t="s">
        <v>182</v>
      </c>
      <c r="F27" s="22"/>
      <c r="G27" s="22" t="s">
        <v>456</v>
      </c>
      <c r="H27" s="23"/>
      <c r="I27" s="64" t="s">
        <v>457</v>
      </c>
      <c r="J27" s="25" t="s">
        <v>4</v>
      </c>
      <c r="K27" s="25" t="s">
        <v>209</v>
      </c>
      <c r="L27" s="25" t="s">
        <v>209</v>
      </c>
      <c r="M27" s="142"/>
      <c r="N27" s="142"/>
      <c r="O27" s="142"/>
    </row>
    <row r="28" spans="1:15" s="1" customFormat="1">
      <c r="A28" s="132"/>
      <c r="B28" s="12" t="s">
        <v>246</v>
      </c>
      <c r="C28" s="13" t="s">
        <v>206</v>
      </c>
      <c r="D28" s="9" t="s">
        <v>247</v>
      </c>
      <c r="E28" s="21" t="s">
        <v>182</v>
      </c>
      <c r="F28" s="22" t="s">
        <v>246</v>
      </c>
      <c r="G28" s="22" t="s">
        <v>208</v>
      </c>
      <c r="H28" s="23"/>
      <c r="I28" s="64" t="s">
        <v>381</v>
      </c>
      <c r="J28" s="25" t="s">
        <v>4</v>
      </c>
      <c r="K28" s="25" t="s">
        <v>209</v>
      </c>
      <c r="L28" s="25" t="s">
        <v>209</v>
      </c>
      <c r="M28" s="142"/>
      <c r="N28" s="142"/>
      <c r="O28" s="142"/>
    </row>
    <row r="29" spans="1:15" s="1" customFormat="1">
      <c r="A29" s="132"/>
      <c r="B29" s="13" t="s">
        <v>382</v>
      </c>
      <c r="C29" s="12" t="s">
        <v>206</v>
      </c>
      <c r="D29" s="9" t="s">
        <v>383</v>
      </c>
      <c r="E29" s="21" t="s">
        <v>182</v>
      </c>
      <c r="F29" s="22"/>
      <c r="G29" s="22" t="s">
        <v>384</v>
      </c>
      <c r="H29" s="23"/>
      <c r="I29" s="64" t="s">
        <v>385</v>
      </c>
      <c r="J29" s="25" t="s">
        <v>4</v>
      </c>
      <c r="K29" s="25" t="s">
        <v>209</v>
      </c>
      <c r="L29" s="25">
        <v>46011</v>
      </c>
      <c r="M29" s="142"/>
      <c r="N29" s="142"/>
      <c r="O29" s="142"/>
    </row>
    <row r="30" spans="1:15" s="1" customFormat="1">
      <c r="A30" s="132"/>
      <c r="B30" s="12" t="s">
        <v>386</v>
      </c>
      <c r="C30" s="12" t="s">
        <v>206</v>
      </c>
      <c r="D30" s="9" t="s">
        <v>387</v>
      </c>
      <c r="E30" s="21" t="s">
        <v>182</v>
      </c>
      <c r="F30" s="22"/>
      <c r="G30" s="22" t="s">
        <v>388</v>
      </c>
      <c r="H30" s="23"/>
      <c r="I30" s="64" t="s">
        <v>389</v>
      </c>
      <c r="J30" s="25" t="s">
        <v>4</v>
      </c>
      <c r="K30" s="25" t="s">
        <v>209</v>
      </c>
      <c r="L30" s="25" t="s">
        <v>209</v>
      </c>
      <c r="M30" s="142"/>
      <c r="N30" s="142"/>
      <c r="O30" s="142"/>
    </row>
    <row r="31" spans="1:15" s="1" customFormat="1">
      <c r="A31" s="132"/>
      <c r="B31" s="12" t="s">
        <v>2454</v>
      </c>
      <c r="C31" s="12" t="s">
        <v>211</v>
      </c>
      <c r="D31" s="9" t="s">
        <v>313</v>
      </c>
      <c r="E31" s="21" t="s">
        <v>182</v>
      </c>
      <c r="F31" s="22"/>
      <c r="G31" s="19" t="s">
        <v>363</v>
      </c>
      <c r="H31" s="23"/>
      <c r="I31" s="64" t="s">
        <v>364</v>
      </c>
      <c r="J31" s="25" t="s">
        <v>284</v>
      </c>
      <c r="K31" s="25" t="s">
        <v>209</v>
      </c>
      <c r="L31" s="25" t="s">
        <v>285</v>
      </c>
      <c r="M31" s="142"/>
      <c r="N31" s="142"/>
      <c r="O31" s="142"/>
    </row>
    <row r="32" spans="1:15" s="132" customFormat="1">
      <c r="B32" s="13" t="s">
        <v>2455</v>
      </c>
      <c r="C32" s="13" t="s">
        <v>211</v>
      </c>
      <c r="D32" s="9" t="s">
        <v>316</v>
      </c>
      <c r="E32" s="21" t="s">
        <v>182</v>
      </c>
      <c r="F32" s="22"/>
      <c r="G32" s="19" t="s">
        <v>365</v>
      </c>
      <c r="H32" s="23"/>
      <c r="I32" s="64" t="s">
        <v>366</v>
      </c>
      <c r="J32" s="25" t="s">
        <v>284</v>
      </c>
      <c r="K32" s="25" t="s">
        <v>209</v>
      </c>
      <c r="L32" s="25" t="s">
        <v>285</v>
      </c>
      <c r="M32" s="142"/>
      <c r="N32" s="142"/>
      <c r="O32" s="142"/>
    </row>
    <row r="33" spans="1:17" s="132" customFormat="1">
      <c r="B33" s="13" t="s">
        <v>458</v>
      </c>
      <c r="C33" s="13" t="s">
        <v>319</v>
      </c>
      <c r="D33" s="9" t="s">
        <v>320</v>
      </c>
      <c r="E33" s="21" t="s">
        <v>182</v>
      </c>
      <c r="F33" s="22"/>
      <c r="G33" s="19" t="s">
        <v>367</v>
      </c>
      <c r="H33" s="23"/>
      <c r="I33" s="64" t="s">
        <v>368</v>
      </c>
      <c r="J33" s="25" t="s">
        <v>284</v>
      </c>
      <c r="K33" s="25" t="s">
        <v>209</v>
      </c>
      <c r="L33" s="25" t="s">
        <v>322</v>
      </c>
      <c r="M33" s="142"/>
      <c r="N33" s="142"/>
      <c r="O33" s="142"/>
    </row>
    <row r="34" spans="1:17" s="136" customFormat="1">
      <c r="A34" s="137"/>
      <c r="B34" s="138" t="s">
        <v>323</v>
      </c>
      <c r="C34" s="13" t="s">
        <v>319</v>
      </c>
      <c r="D34" s="9" t="s">
        <v>324</v>
      </c>
      <c r="E34" s="21" t="s">
        <v>182</v>
      </c>
      <c r="F34" s="22"/>
      <c r="G34" s="19" t="s">
        <v>369</v>
      </c>
      <c r="H34" s="23"/>
      <c r="I34" s="64" t="s">
        <v>2491</v>
      </c>
      <c r="J34" s="25" t="s">
        <v>284</v>
      </c>
      <c r="K34" s="25" t="s">
        <v>209</v>
      </c>
      <c r="L34" s="25" t="s">
        <v>285</v>
      </c>
      <c r="M34" s="143"/>
      <c r="N34" s="143"/>
      <c r="O34" s="143"/>
    </row>
    <row r="35" spans="1:17" s="136" customFormat="1">
      <c r="A35" s="137"/>
      <c r="B35" s="138" t="s">
        <v>2457</v>
      </c>
      <c r="C35" s="13" t="s">
        <v>319</v>
      </c>
      <c r="D35" s="9" t="s">
        <v>370</v>
      </c>
      <c r="E35" s="21" t="s">
        <v>182</v>
      </c>
      <c r="F35" s="22"/>
      <c r="G35" s="19" t="s">
        <v>371</v>
      </c>
      <c r="H35" s="23"/>
      <c r="I35" s="64" t="s">
        <v>372</v>
      </c>
      <c r="J35" s="25" t="s">
        <v>284</v>
      </c>
      <c r="K35" s="25" t="s">
        <v>209</v>
      </c>
      <c r="L35" s="25" t="s">
        <v>285</v>
      </c>
      <c r="M35" s="143"/>
      <c r="N35" s="143"/>
      <c r="O35" s="143"/>
    </row>
    <row r="36" spans="1:17" s="2" customFormat="1">
      <c r="B36" s="14" t="s">
        <v>222</v>
      </c>
      <c r="C36" s="15" t="s">
        <v>211</v>
      </c>
      <c r="D36" s="16" t="s">
        <v>344</v>
      </c>
      <c r="E36" s="69"/>
      <c r="F36" s="14"/>
      <c r="G36" s="14"/>
      <c r="H36" s="14"/>
      <c r="I36" s="14"/>
      <c r="J36" s="14"/>
      <c r="K36" s="14"/>
      <c r="L36" s="14"/>
      <c r="M36" s="14"/>
      <c r="N36" s="14"/>
      <c r="O36" s="14"/>
      <c r="P36" s="14"/>
      <c r="Q36" s="14"/>
    </row>
    <row r="37" spans="1:17" s="2" customFormat="1">
      <c r="B37" s="14" t="s">
        <v>0</v>
      </c>
      <c r="C37" s="15" t="s">
        <v>206</v>
      </c>
      <c r="D37" s="16" t="s">
        <v>345</v>
      </c>
      <c r="E37" s="69"/>
      <c r="F37" s="14"/>
      <c r="G37" s="14"/>
      <c r="H37" s="14"/>
      <c r="I37" s="14"/>
      <c r="J37" s="14"/>
      <c r="K37" s="14"/>
      <c r="L37" s="14"/>
      <c r="M37" s="14"/>
      <c r="N37" s="14"/>
      <c r="O37" s="14"/>
      <c r="P37" s="14"/>
      <c r="Q37" s="14"/>
    </row>
    <row r="38" spans="1:17" s="2" customFormat="1">
      <c r="B38" s="14" t="s">
        <v>1</v>
      </c>
      <c r="C38" s="15" t="s">
        <v>211</v>
      </c>
      <c r="D38" s="16" t="s">
        <v>346</v>
      </c>
      <c r="E38" s="69"/>
      <c r="F38" s="14"/>
      <c r="G38" s="14"/>
      <c r="H38" s="14"/>
      <c r="I38" s="14"/>
      <c r="J38" s="14"/>
      <c r="K38" s="14"/>
      <c r="L38" s="14"/>
      <c r="M38" s="14"/>
      <c r="N38" s="14"/>
      <c r="O38" s="14"/>
      <c r="P38" s="14"/>
      <c r="Q38" s="14"/>
    </row>
  </sheetData>
  <autoFilter ref="A13:Q38" xr:uid="{00000000-0009-0000-0000-000008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12"/>
  <sheetViews>
    <sheetView zoomScale="85" zoomScaleNormal="85" workbookViewId="0">
      <pane ySplit="5" topLeftCell="A6" activePane="bottomLeft" state="frozen"/>
      <selection pane="bottomLeft" activeCell="C12" sqref="C12"/>
    </sheetView>
  </sheetViews>
  <sheetFormatPr defaultColWidth="9" defaultRowHeight="13.2"/>
  <cols>
    <col min="1" max="1" width="1.33203125" style="3" customWidth="1"/>
    <col min="2" max="2" width="36.109375" style="3" customWidth="1"/>
    <col min="3" max="3" width="30.21875" style="3" bestFit="1"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7" t="s">
        <v>172</v>
      </c>
      <c r="G4" s="7" t="s">
        <v>43</v>
      </c>
      <c r="H4" s="7" t="s">
        <v>173</v>
      </c>
    </row>
    <row r="5" spans="2:14">
      <c r="B5" s="8" t="s">
        <v>57</v>
      </c>
      <c r="C5" s="9" t="s">
        <v>93</v>
      </c>
      <c r="D5" s="10" t="s">
        <v>94</v>
      </c>
      <c r="E5" s="12" t="s">
        <v>12</v>
      </c>
      <c r="F5" s="61"/>
      <c r="G5" s="12"/>
      <c r="H5" s="12"/>
      <c r="N5" s="3"/>
    </row>
    <row r="6" spans="2:14">
      <c r="B6" s="6"/>
      <c r="C6" s="6"/>
      <c r="D6" s="6"/>
      <c r="E6" s="6"/>
      <c r="F6" s="6"/>
      <c r="G6" s="6"/>
      <c r="H6" s="6"/>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459</v>
      </c>
      <c r="D9" s="10" t="s">
        <v>460</v>
      </c>
      <c r="E9" s="12" t="s">
        <v>182</v>
      </c>
      <c r="F9" s="22"/>
      <c r="G9" s="22"/>
      <c r="H9" s="20" t="s">
        <v>63</v>
      </c>
    </row>
    <row r="10" spans="2:14">
      <c r="B10" s="12"/>
      <c r="C10" s="9" t="s">
        <v>183</v>
      </c>
      <c r="D10" s="10" t="s">
        <v>184</v>
      </c>
      <c r="E10" s="12" t="s">
        <v>185</v>
      </c>
      <c r="F10" s="22"/>
      <c r="G10" s="22" t="s">
        <v>186</v>
      </c>
      <c r="H10" s="20"/>
    </row>
    <row r="11" spans="2:14">
      <c r="B11" s="12"/>
      <c r="C11" s="9" t="s">
        <v>187</v>
      </c>
      <c r="D11" s="10" t="s">
        <v>188</v>
      </c>
      <c r="E11" s="12" t="s">
        <v>189</v>
      </c>
      <c r="F11" s="22"/>
      <c r="G11" s="22" t="s">
        <v>190</v>
      </c>
      <c r="H11" s="20"/>
    </row>
    <row r="12" spans="2:14">
      <c r="B12" s="12"/>
      <c r="C12" s="9" t="s">
        <v>191</v>
      </c>
      <c r="D12" s="9" t="s">
        <v>192</v>
      </c>
      <c r="E12" s="12" t="s">
        <v>193</v>
      </c>
      <c r="F12" s="22"/>
      <c r="G12" s="22" t="s">
        <v>186</v>
      </c>
      <c r="H12" s="12"/>
    </row>
    <row r="13" spans="2:14">
      <c r="G13" s="62"/>
    </row>
    <row r="14" spans="2:14">
      <c r="B14" s="3" t="s">
        <v>194</v>
      </c>
    </row>
    <row r="15" spans="2:14">
      <c r="B15" s="181" t="s">
        <v>194</v>
      </c>
      <c r="C15" s="181"/>
      <c r="D15" s="181"/>
      <c r="E15" s="181"/>
      <c r="F15" s="181"/>
      <c r="G15" s="181"/>
      <c r="H15" s="181"/>
      <c r="I15" s="181"/>
      <c r="J15" s="181"/>
      <c r="K15" s="181"/>
      <c r="L15" s="181"/>
    </row>
    <row r="16" spans="2:14">
      <c r="B16" s="7" t="s">
        <v>195</v>
      </c>
      <c r="C16" s="7" t="s">
        <v>196</v>
      </c>
      <c r="D16" s="7" t="s">
        <v>197</v>
      </c>
      <c r="E16" s="7" t="s">
        <v>198</v>
      </c>
      <c r="F16" s="7" t="s">
        <v>199</v>
      </c>
      <c r="G16" s="7" t="s">
        <v>200</v>
      </c>
      <c r="H16" s="7" t="s">
        <v>201</v>
      </c>
      <c r="I16" s="7" t="s">
        <v>53</v>
      </c>
      <c r="J16" s="7" t="s">
        <v>202</v>
      </c>
      <c r="K16" s="7" t="s">
        <v>203</v>
      </c>
      <c r="L16" s="7" t="s">
        <v>204</v>
      </c>
    </row>
    <row r="17" spans="1:12" s="1" customFormat="1">
      <c r="B17" s="13" t="s">
        <v>205</v>
      </c>
      <c r="C17" s="13" t="s">
        <v>206</v>
      </c>
      <c r="D17" s="9" t="s">
        <v>207</v>
      </c>
      <c r="E17" s="21" t="s">
        <v>182</v>
      </c>
      <c r="F17" s="22" t="s">
        <v>0</v>
      </c>
      <c r="G17" s="22" t="s">
        <v>208</v>
      </c>
      <c r="H17" s="23"/>
      <c r="I17" s="25"/>
      <c r="J17" s="25" t="s">
        <v>4</v>
      </c>
      <c r="K17" s="25" t="s">
        <v>209</v>
      </c>
      <c r="L17" s="25" t="s">
        <v>210</v>
      </c>
    </row>
    <row r="18" spans="1:12" s="1" customFormat="1">
      <c r="B18" s="13" t="s">
        <v>20</v>
      </c>
      <c r="C18" s="13" t="s">
        <v>211</v>
      </c>
      <c r="D18" s="9" t="s">
        <v>73</v>
      </c>
      <c r="E18" s="21" t="s">
        <v>182</v>
      </c>
      <c r="F18" s="22" t="s">
        <v>1</v>
      </c>
      <c r="G18" s="22" t="s">
        <v>208</v>
      </c>
      <c r="H18" s="23"/>
      <c r="I18" s="25"/>
      <c r="J18" s="25" t="s">
        <v>4</v>
      </c>
      <c r="K18" s="25" t="s">
        <v>209</v>
      </c>
      <c r="L18" s="25" t="s">
        <v>212</v>
      </c>
    </row>
    <row r="19" spans="1:12" s="1" customFormat="1">
      <c r="B19" s="13" t="s">
        <v>12</v>
      </c>
      <c r="C19" s="13" t="s">
        <v>211</v>
      </c>
      <c r="D19" s="9" t="s">
        <v>61</v>
      </c>
      <c r="E19" s="21" t="s">
        <v>182</v>
      </c>
      <c r="F19" s="22" t="s">
        <v>2</v>
      </c>
      <c r="G19" s="22" t="s">
        <v>208</v>
      </c>
      <c r="H19" s="23"/>
      <c r="I19" s="25"/>
      <c r="J19" s="25" t="s">
        <v>4</v>
      </c>
      <c r="K19" s="25" t="s">
        <v>209</v>
      </c>
      <c r="L19" s="25" t="s">
        <v>213</v>
      </c>
    </row>
    <row r="20" spans="1:12" s="1" customFormat="1">
      <c r="A20" s="132"/>
      <c r="B20" s="13" t="s">
        <v>214</v>
      </c>
      <c r="C20" s="13" t="s">
        <v>211</v>
      </c>
      <c r="D20" s="9" t="s">
        <v>215</v>
      </c>
      <c r="E20" s="21" t="s">
        <v>182</v>
      </c>
      <c r="F20" s="22" t="s">
        <v>214</v>
      </c>
      <c r="G20" s="22" t="s">
        <v>208</v>
      </c>
      <c r="H20" s="23"/>
      <c r="I20" s="133"/>
      <c r="J20" s="25" t="s">
        <v>4</v>
      </c>
      <c r="K20" s="25" t="s">
        <v>209</v>
      </c>
      <c r="L20" s="25" t="s">
        <v>216</v>
      </c>
    </row>
    <row r="21" spans="1:12" s="1" customFormat="1">
      <c r="A21" s="132"/>
      <c r="B21" s="13" t="s">
        <v>217</v>
      </c>
      <c r="C21" s="13" t="s">
        <v>211</v>
      </c>
      <c r="D21" s="9" t="s">
        <v>218</v>
      </c>
      <c r="E21" s="21" t="s">
        <v>182</v>
      </c>
      <c r="F21" s="22" t="s">
        <v>217</v>
      </c>
      <c r="G21" s="22" t="s">
        <v>208</v>
      </c>
      <c r="H21" s="23"/>
      <c r="I21" s="133"/>
      <c r="J21" s="25" t="s">
        <v>4</v>
      </c>
      <c r="K21" s="25" t="s">
        <v>209</v>
      </c>
      <c r="L21" s="25" t="s">
        <v>219</v>
      </c>
    </row>
    <row r="22" spans="1:12" s="1" customFormat="1">
      <c r="A22" s="132"/>
      <c r="B22" s="13" t="s">
        <v>220</v>
      </c>
      <c r="C22" s="13" t="s">
        <v>211</v>
      </c>
      <c r="D22" s="9" t="s">
        <v>221</v>
      </c>
      <c r="E22" s="21" t="s">
        <v>182</v>
      </c>
      <c r="F22" s="22" t="s">
        <v>222</v>
      </c>
      <c r="G22" s="22" t="s">
        <v>208</v>
      </c>
      <c r="H22" s="23"/>
      <c r="I22" s="133"/>
      <c r="J22" s="25" t="s">
        <v>4</v>
      </c>
      <c r="K22" s="25" t="s">
        <v>209</v>
      </c>
      <c r="L22" s="25" t="s">
        <v>223</v>
      </c>
    </row>
    <row r="23" spans="1:12" s="1" customFormat="1">
      <c r="A23" s="132"/>
      <c r="B23" s="13" t="s">
        <v>224</v>
      </c>
      <c r="C23" s="13" t="s">
        <v>211</v>
      </c>
      <c r="D23" s="9" t="s">
        <v>225</v>
      </c>
      <c r="E23" s="21" t="s">
        <v>226</v>
      </c>
      <c r="F23" s="9" t="s">
        <v>224</v>
      </c>
      <c r="G23" s="22" t="s">
        <v>227</v>
      </c>
      <c r="H23" s="23"/>
      <c r="I23" s="133"/>
      <c r="J23" s="25" t="s">
        <v>4</v>
      </c>
      <c r="K23" s="25" t="s">
        <v>209</v>
      </c>
      <c r="L23" s="25" t="s">
        <v>223</v>
      </c>
    </row>
    <row r="24" spans="1:12" s="1" customFormat="1">
      <c r="A24" s="132"/>
      <c r="B24" s="12" t="s">
        <v>228</v>
      </c>
      <c r="C24" s="13" t="s">
        <v>211</v>
      </c>
      <c r="D24" s="9" t="s">
        <v>229</v>
      </c>
      <c r="E24" s="21" t="s">
        <v>226</v>
      </c>
      <c r="F24" s="9" t="s">
        <v>228</v>
      </c>
      <c r="G24" s="22" t="s">
        <v>227</v>
      </c>
      <c r="H24" s="23"/>
      <c r="I24" s="133"/>
      <c r="J24" s="25" t="s">
        <v>4</v>
      </c>
      <c r="K24" s="25" t="s">
        <v>209</v>
      </c>
      <c r="L24" s="25" t="s">
        <v>223</v>
      </c>
    </row>
    <row r="25" spans="1:12" s="1" customFormat="1" ht="39.6">
      <c r="A25" s="132"/>
      <c r="B25" s="12" t="s">
        <v>230</v>
      </c>
      <c r="C25" s="13" t="s">
        <v>206</v>
      </c>
      <c r="D25" s="9" t="s">
        <v>231</v>
      </c>
      <c r="E25" s="21" t="s">
        <v>226</v>
      </c>
      <c r="F25" s="27" t="s">
        <v>232</v>
      </c>
      <c r="G25" s="22" t="s">
        <v>227</v>
      </c>
      <c r="H25" s="23"/>
      <c r="I25" s="133"/>
      <c r="J25" s="25" t="s">
        <v>4</v>
      </c>
      <c r="K25" s="25" t="s">
        <v>209</v>
      </c>
      <c r="L25" s="25" t="s">
        <v>209</v>
      </c>
    </row>
    <row r="26" spans="1:12" s="1" customFormat="1" ht="26.4">
      <c r="A26" s="132"/>
      <c r="B26" s="12" t="s">
        <v>233</v>
      </c>
      <c r="C26" s="13" t="s">
        <v>206</v>
      </c>
      <c r="D26" s="9" t="s">
        <v>234</v>
      </c>
      <c r="E26" s="21" t="s">
        <v>226</v>
      </c>
      <c r="F26" s="27" t="s">
        <v>235</v>
      </c>
      <c r="G26" s="22" t="s">
        <v>227</v>
      </c>
      <c r="H26" s="23"/>
      <c r="I26" s="133"/>
      <c r="J26" s="25" t="s">
        <v>4</v>
      </c>
      <c r="K26" s="25" t="s">
        <v>209</v>
      </c>
      <c r="L26" s="25" t="s">
        <v>209</v>
      </c>
    </row>
    <row r="27" spans="1:12" s="1" customFormat="1" ht="26.4">
      <c r="A27" s="132"/>
      <c r="B27" s="12" t="s">
        <v>236</v>
      </c>
      <c r="C27" s="13" t="s">
        <v>206</v>
      </c>
      <c r="D27" s="9" t="s">
        <v>237</v>
      </c>
      <c r="E27" s="21" t="s">
        <v>226</v>
      </c>
      <c r="F27" s="27" t="s">
        <v>238</v>
      </c>
      <c r="G27" s="22" t="s">
        <v>227</v>
      </c>
      <c r="H27" s="23"/>
      <c r="I27" s="133"/>
      <c r="J27" s="25" t="s">
        <v>4</v>
      </c>
      <c r="K27" s="25" t="s">
        <v>209</v>
      </c>
      <c r="L27" s="25" t="s">
        <v>209</v>
      </c>
    </row>
    <row r="28" spans="1:12" s="1" customFormat="1" ht="26.4">
      <c r="A28" s="132"/>
      <c r="B28" s="13" t="s">
        <v>239</v>
      </c>
      <c r="C28" s="12" t="s">
        <v>206</v>
      </c>
      <c r="D28" s="9" t="s">
        <v>240</v>
      </c>
      <c r="E28" s="21" t="s">
        <v>226</v>
      </c>
      <c r="F28" s="27" t="s">
        <v>241</v>
      </c>
      <c r="G28" s="22" t="s">
        <v>227</v>
      </c>
      <c r="H28" s="23"/>
      <c r="I28" s="133"/>
      <c r="J28" s="25" t="s">
        <v>4</v>
      </c>
      <c r="K28" s="25" t="s">
        <v>209</v>
      </c>
      <c r="L28" s="25" t="s">
        <v>209</v>
      </c>
    </row>
    <row r="29" spans="1:12" s="1" customFormat="1" ht="92.4">
      <c r="A29" s="132"/>
      <c r="B29" s="12" t="s">
        <v>2370</v>
      </c>
      <c r="C29" s="12" t="s">
        <v>206</v>
      </c>
      <c r="D29" s="9" t="s">
        <v>243</v>
      </c>
      <c r="E29" s="21" t="s">
        <v>182</v>
      </c>
      <c r="F29" s="22"/>
      <c r="G29" s="22" t="s">
        <v>244</v>
      </c>
      <c r="H29" s="23"/>
      <c r="I29" s="134" t="s">
        <v>461</v>
      </c>
      <c r="J29" s="25" t="s">
        <v>4</v>
      </c>
      <c r="K29" s="25" t="s">
        <v>209</v>
      </c>
      <c r="L29" s="25" t="s">
        <v>209</v>
      </c>
    </row>
    <row r="30" spans="1:12" s="1" customFormat="1">
      <c r="A30" s="132"/>
      <c r="B30" s="12" t="s">
        <v>246</v>
      </c>
      <c r="C30" s="12" t="s">
        <v>206</v>
      </c>
      <c r="D30" s="9" t="s">
        <v>247</v>
      </c>
      <c r="E30" s="21" t="s">
        <v>182</v>
      </c>
      <c r="F30" s="22" t="s">
        <v>246</v>
      </c>
      <c r="G30" s="22"/>
      <c r="H30" s="23"/>
      <c r="I30" s="133"/>
      <c r="J30" s="25" t="s">
        <v>4</v>
      </c>
      <c r="K30" s="25" t="s">
        <v>209</v>
      </c>
      <c r="L30" s="25" t="s">
        <v>209</v>
      </c>
    </row>
    <row r="31" spans="1:12" s="1" customFormat="1">
      <c r="A31" s="132"/>
      <c r="B31" s="12" t="s">
        <v>249</v>
      </c>
      <c r="C31" s="12" t="s">
        <v>206</v>
      </c>
      <c r="D31" s="9" t="s">
        <v>250</v>
      </c>
      <c r="E31" s="21" t="s">
        <v>182</v>
      </c>
      <c r="F31" s="22" t="s">
        <v>249</v>
      </c>
      <c r="G31" s="22" t="s">
        <v>208</v>
      </c>
      <c r="H31" s="23"/>
      <c r="I31" s="133"/>
      <c r="J31" s="25" t="s">
        <v>4</v>
      </c>
      <c r="K31" s="25" t="s">
        <v>209</v>
      </c>
      <c r="L31" s="25" t="s">
        <v>209</v>
      </c>
    </row>
    <row r="32" spans="1:12" s="1" customFormat="1">
      <c r="A32" s="132"/>
      <c r="B32" s="12" t="s">
        <v>251</v>
      </c>
      <c r="C32" s="12" t="s">
        <v>206</v>
      </c>
      <c r="D32" s="9" t="s">
        <v>252</v>
      </c>
      <c r="E32" s="21" t="s">
        <v>182</v>
      </c>
      <c r="F32" s="22"/>
      <c r="G32" s="22" t="s">
        <v>253</v>
      </c>
      <c r="H32" s="23"/>
      <c r="I32" s="133"/>
      <c r="J32" s="25" t="s">
        <v>4</v>
      </c>
      <c r="K32" s="25" t="s">
        <v>209</v>
      </c>
      <c r="L32" s="25" t="s">
        <v>209</v>
      </c>
    </row>
    <row r="33" spans="1:13" s="1" customFormat="1">
      <c r="A33" s="132"/>
      <c r="B33" s="12" t="s">
        <v>254</v>
      </c>
      <c r="C33" s="12" t="s">
        <v>206</v>
      </c>
      <c r="D33" s="9" t="s">
        <v>255</v>
      </c>
      <c r="E33" s="21" t="s">
        <v>182</v>
      </c>
      <c r="F33" s="22" t="s">
        <v>254</v>
      </c>
      <c r="G33" s="22" t="s">
        <v>208</v>
      </c>
      <c r="H33" s="23"/>
      <c r="I33" s="133"/>
      <c r="J33" s="25" t="s">
        <v>4</v>
      </c>
      <c r="K33" s="25" t="s">
        <v>209</v>
      </c>
      <c r="L33" s="25" t="s">
        <v>209</v>
      </c>
    </row>
    <row r="34" spans="1:13" s="1" customFormat="1">
      <c r="A34" s="132"/>
      <c r="B34" s="12" t="s">
        <v>256</v>
      </c>
      <c r="C34" s="12" t="s">
        <v>206</v>
      </c>
      <c r="D34" s="9" t="s">
        <v>257</v>
      </c>
      <c r="E34" s="21" t="s">
        <v>182</v>
      </c>
      <c r="F34" s="22" t="s">
        <v>256</v>
      </c>
      <c r="G34" s="22" t="s">
        <v>208</v>
      </c>
      <c r="H34" s="23"/>
      <c r="I34" s="133"/>
      <c r="J34" s="25" t="s">
        <v>4</v>
      </c>
      <c r="K34" s="25" t="s">
        <v>209</v>
      </c>
      <c r="L34" s="25" t="s">
        <v>209</v>
      </c>
    </row>
    <row r="35" spans="1:13" s="1" customFormat="1">
      <c r="A35" s="132"/>
      <c r="B35" s="13" t="s">
        <v>258</v>
      </c>
      <c r="C35" s="12" t="s">
        <v>206</v>
      </c>
      <c r="D35" s="9" t="s">
        <v>259</v>
      </c>
      <c r="E35" s="21" t="s">
        <v>182</v>
      </c>
      <c r="F35" s="22" t="s">
        <v>258</v>
      </c>
      <c r="G35" s="22" t="s">
        <v>208</v>
      </c>
      <c r="H35" s="23"/>
      <c r="I35" s="133"/>
      <c r="J35" s="25" t="s">
        <v>4</v>
      </c>
      <c r="K35" s="25" t="s">
        <v>209</v>
      </c>
      <c r="L35" s="25" t="s">
        <v>209</v>
      </c>
    </row>
    <row r="36" spans="1:13" s="1" customFormat="1">
      <c r="B36" s="13" t="s">
        <v>260</v>
      </c>
      <c r="C36" s="12" t="s">
        <v>206</v>
      </c>
      <c r="D36" s="9" t="s">
        <v>261</v>
      </c>
      <c r="E36" s="21" t="s">
        <v>182</v>
      </c>
      <c r="F36" s="22" t="s">
        <v>260</v>
      </c>
      <c r="G36" s="22" t="s">
        <v>208</v>
      </c>
      <c r="H36" s="23"/>
      <c r="I36" s="25"/>
      <c r="J36" s="25" t="s">
        <v>4</v>
      </c>
      <c r="K36" s="25" t="s">
        <v>209</v>
      </c>
      <c r="L36" s="25" t="s">
        <v>209</v>
      </c>
    </row>
    <row r="37" spans="1:13" s="1" customFormat="1">
      <c r="B37" s="13" t="s">
        <v>262</v>
      </c>
      <c r="C37" s="12" t="s">
        <v>206</v>
      </c>
      <c r="D37" s="9" t="s">
        <v>263</v>
      </c>
      <c r="E37" s="21" t="s">
        <v>182</v>
      </c>
      <c r="F37" s="22" t="s">
        <v>262</v>
      </c>
      <c r="G37" s="22" t="s">
        <v>208</v>
      </c>
      <c r="H37" s="23"/>
      <c r="I37" s="25"/>
      <c r="J37" s="25" t="s">
        <v>4</v>
      </c>
      <c r="K37" s="25" t="s">
        <v>209</v>
      </c>
      <c r="L37" s="25" t="s">
        <v>209</v>
      </c>
    </row>
    <row r="38" spans="1:13" s="132" customFormat="1">
      <c r="B38" s="13" t="s">
        <v>264</v>
      </c>
      <c r="C38" s="12" t="s">
        <v>206</v>
      </c>
      <c r="D38" s="9" t="s">
        <v>265</v>
      </c>
      <c r="E38" s="21" t="s">
        <v>182</v>
      </c>
      <c r="F38" s="22" t="s">
        <v>264</v>
      </c>
      <c r="G38" s="22" t="s">
        <v>208</v>
      </c>
      <c r="H38" s="23"/>
      <c r="I38" s="133"/>
      <c r="J38" s="25" t="s">
        <v>4</v>
      </c>
      <c r="K38" s="25" t="s">
        <v>209</v>
      </c>
      <c r="L38" s="25" t="s">
        <v>223</v>
      </c>
      <c r="M38" s="1"/>
    </row>
    <row r="39" spans="1:13" s="132" customFormat="1">
      <c r="B39" s="13" t="s">
        <v>266</v>
      </c>
      <c r="C39" s="12" t="s">
        <v>206</v>
      </c>
      <c r="D39" s="9" t="s">
        <v>267</v>
      </c>
      <c r="E39" s="21" t="s">
        <v>182</v>
      </c>
      <c r="F39" s="22" t="s">
        <v>266</v>
      </c>
      <c r="G39" s="22" t="s">
        <v>208</v>
      </c>
      <c r="H39" s="23"/>
      <c r="I39" s="133"/>
      <c r="J39" s="25" t="s">
        <v>4</v>
      </c>
      <c r="K39" s="25" t="s">
        <v>209</v>
      </c>
      <c r="L39" s="25" t="s">
        <v>209</v>
      </c>
      <c r="M39" s="1"/>
    </row>
    <row r="40" spans="1:13" s="136" customFormat="1">
      <c r="A40" s="137"/>
      <c r="B40" s="138" t="s">
        <v>268</v>
      </c>
      <c r="C40" s="12" t="s">
        <v>206</v>
      </c>
      <c r="D40" s="9" t="s">
        <v>269</v>
      </c>
      <c r="E40" s="21" t="s">
        <v>182</v>
      </c>
      <c r="F40" s="22" t="s">
        <v>268</v>
      </c>
      <c r="G40" s="22" t="s">
        <v>208</v>
      </c>
      <c r="H40" s="23"/>
      <c r="I40" s="139"/>
      <c r="J40" s="25" t="s">
        <v>4</v>
      </c>
      <c r="K40" s="25" t="s">
        <v>209</v>
      </c>
      <c r="L40" s="25" t="s">
        <v>209</v>
      </c>
      <c r="M40" s="1"/>
    </row>
    <row r="41" spans="1:13" s="136" customFormat="1">
      <c r="A41" s="137"/>
      <c r="B41" s="138" t="s">
        <v>2389</v>
      </c>
      <c r="C41" s="12" t="s">
        <v>211</v>
      </c>
      <c r="D41" s="9" t="s">
        <v>271</v>
      </c>
      <c r="E41" s="21" t="s">
        <v>182</v>
      </c>
      <c r="F41" s="22" t="s">
        <v>270</v>
      </c>
      <c r="G41" s="22" t="s">
        <v>208</v>
      </c>
      <c r="H41" s="23"/>
      <c r="I41" s="139"/>
      <c r="J41" s="25" t="s">
        <v>4</v>
      </c>
      <c r="K41" s="25" t="s">
        <v>209</v>
      </c>
      <c r="L41" s="25" t="s">
        <v>272</v>
      </c>
      <c r="M41" s="1"/>
    </row>
    <row r="42" spans="1:13" s="136" customFormat="1">
      <c r="A42" s="137"/>
      <c r="B42" s="138" t="s">
        <v>273</v>
      </c>
      <c r="C42" s="12" t="s">
        <v>211</v>
      </c>
      <c r="D42" s="9" t="s">
        <v>274</v>
      </c>
      <c r="E42" s="21" t="s">
        <v>182</v>
      </c>
      <c r="F42" s="22" t="s">
        <v>275</v>
      </c>
      <c r="G42" s="22" t="s">
        <v>208</v>
      </c>
      <c r="H42" s="23"/>
      <c r="I42" s="139"/>
      <c r="J42" s="25" t="s">
        <v>4</v>
      </c>
      <c r="K42" s="25" t="s">
        <v>209</v>
      </c>
      <c r="L42" s="25" t="s">
        <v>209</v>
      </c>
      <c r="M42" s="1"/>
    </row>
    <row r="43" spans="1:13" s="1" customFormat="1">
      <c r="A43" s="132"/>
      <c r="B43" s="12" t="s">
        <v>276</v>
      </c>
      <c r="C43" s="12" t="s">
        <v>206</v>
      </c>
      <c r="D43" s="9" t="s">
        <v>277</v>
      </c>
      <c r="E43" s="21" t="s">
        <v>182</v>
      </c>
      <c r="F43" s="22"/>
      <c r="G43" s="19" t="s">
        <v>278</v>
      </c>
      <c r="H43" s="23"/>
      <c r="I43" s="19" t="s">
        <v>279</v>
      </c>
      <c r="J43" s="25" t="s">
        <v>4</v>
      </c>
      <c r="K43" s="25" t="s">
        <v>209</v>
      </c>
      <c r="L43" s="25" t="s">
        <v>209</v>
      </c>
    </row>
    <row r="44" spans="1:13" s="1" customFormat="1" ht="26.4">
      <c r="A44" s="132"/>
      <c r="B44" s="141" t="s">
        <v>462</v>
      </c>
      <c r="C44" s="12" t="s">
        <v>211</v>
      </c>
      <c r="D44" s="9" t="s">
        <v>463</v>
      </c>
      <c r="E44" s="21" t="s">
        <v>182</v>
      </c>
      <c r="F44" s="22"/>
      <c r="G44" s="22" t="s">
        <v>464</v>
      </c>
      <c r="H44" s="23"/>
      <c r="I44" s="19"/>
      <c r="J44" s="25" t="s">
        <v>4</v>
      </c>
      <c r="K44" s="25" t="s">
        <v>209</v>
      </c>
      <c r="L44" s="25" t="s">
        <v>272</v>
      </c>
    </row>
    <row r="45" spans="1:13" s="1" customFormat="1" ht="26.4">
      <c r="A45" s="132"/>
      <c r="B45" s="141" t="s">
        <v>465</v>
      </c>
      <c r="C45" s="12" t="s">
        <v>211</v>
      </c>
      <c r="D45" s="9" t="s">
        <v>466</v>
      </c>
      <c r="E45" s="21" t="s">
        <v>182</v>
      </c>
      <c r="F45" s="22"/>
      <c r="G45" s="22" t="s">
        <v>467</v>
      </c>
      <c r="H45" s="23"/>
      <c r="I45" s="19"/>
      <c r="J45" s="25" t="s">
        <v>4</v>
      </c>
      <c r="K45" s="25" t="s">
        <v>209</v>
      </c>
      <c r="L45" s="25" t="s">
        <v>272</v>
      </c>
    </row>
    <row r="46" spans="1:13" s="1" customFormat="1">
      <c r="A46" s="132"/>
      <c r="B46" s="12" t="s">
        <v>2390</v>
      </c>
      <c r="C46" s="12" t="s">
        <v>281</v>
      </c>
      <c r="D46" s="9" t="s">
        <v>469</v>
      </c>
      <c r="E46" s="21" t="s">
        <v>182</v>
      </c>
      <c r="F46" s="22"/>
      <c r="G46" s="19" t="s">
        <v>470</v>
      </c>
      <c r="H46" s="23"/>
      <c r="I46" s="19"/>
      <c r="J46" s="25" t="s">
        <v>284</v>
      </c>
      <c r="K46" s="25" t="s">
        <v>471</v>
      </c>
      <c r="L46" s="25" t="s">
        <v>285</v>
      </c>
    </row>
    <row r="47" spans="1:13" s="1" customFormat="1">
      <c r="A47" s="132"/>
      <c r="B47" s="12" t="s">
        <v>2391</v>
      </c>
      <c r="C47" s="12" t="s">
        <v>281</v>
      </c>
      <c r="D47" s="9" t="s">
        <v>310</v>
      </c>
      <c r="E47" s="21" t="s">
        <v>182</v>
      </c>
      <c r="F47" s="22"/>
      <c r="G47" s="19" t="s">
        <v>472</v>
      </c>
      <c r="H47" s="23"/>
      <c r="I47" s="19"/>
      <c r="J47" s="25" t="s">
        <v>284</v>
      </c>
      <c r="K47" s="25" t="s">
        <v>209</v>
      </c>
      <c r="L47" s="25" t="s">
        <v>285</v>
      </c>
    </row>
    <row r="48" spans="1:13" s="1" customFormat="1">
      <c r="A48" s="132"/>
      <c r="B48" s="12" t="s">
        <v>2392</v>
      </c>
      <c r="C48" s="12" t="s">
        <v>281</v>
      </c>
      <c r="D48" s="9" t="s">
        <v>474</v>
      </c>
      <c r="E48" s="21" t="s">
        <v>182</v>
      </c>
      <c r="F48" s="22"/>
      <c r="G48" s="19" t="s">
        <v>475</v>
      </c>
      <c r="H48" s="23"/>
      <c r="I48" s="19"/>
      <c r="J48" s="25" t="s">
        <v>284</v>
      </c>
      <c r="K48" s="25" t="s">
        <v>209</v>
      </c>
      <c r="L48" s="25" t="s">
        <v>285</v>
      </c>
    </row>
    <row r="49" spans="1:12" s="1" customFormat="1">
      <c r="A49" s="132"/>
      <c r="B49" s="12" t="s">
        <v>476</v>
      </c>
      <c r="C49" s="12" t="s">
        <v>281</v>
      </c>
      <c r="D49" s="9" t="s">
        <v>477</v>
      </c>
      <c r="E49" s="21" t="s">
        <v>182</v>
      </c>
      <c r="F49" s="22"/>
      <c r="G49" s="19" t="s">
        <v>478</v>
      </c>
      <c r="H49" s="23"/>
      <c r="I49" s="19"/>
      <c r="J49" s="25" t="s">
        <v>284</v>
      </c>
      <c r="K49" s="25" t="s">
        <v>209</v>
      </c>
      <c r="L49" s="25" t="s">
        <v>285</v>
      </c>
    </row>
    <row r="50" spans="1:12" s="1" customFormat="1">
      <c r="A50" s="132"/>
      <c r="B50" s="12" t="s">
        <v>2395</v>
      </c>
      <c r="C50" s="12" t="s">
        <v>281</v>
      </c>
      <c r="D50" s="9" t="s">
        <v>480</v>
      </c>
      <c r="E50" s="21" t="s">
        <v>182</v>
      </c>
      <c r="F50" s="22"/>
      <c r="G50" s="19" t="s">
        <v>481</v>
      </c>
      <c r="H50" s="23"/>
      <c r="I50" s="19"/>
      <c r="J50" s="25" t="s">
        <v>284</v>
      </c>
      <c r="K50" s="25" t="s">
        <v>209</v>
      </c>
      <c r="L50" s="25" t="s">
        <v>285</v>
      </c>
    </row>
    <row r="51" spans="1:12" s="1" customFormat="1">
      <c r="A51" s="132"/>
      <c r="B51" s="12" t="s">
        <v>2396</v>
      </c>
      <c r="C51" s="12" t="s">
        <v>281</v>
      </c>
      <c r="D51" s="9" t="s">
        <v>483</v>
      </c>
      <c r="E51" s="21" t="s">
        <v>182</v>
      </c>
      <c r="F51" s="22"/>
      <c r="G51" s="19" t="s">
        <v>484</v>
      </c>
      <c r="H51" s="23"/>
      <c r="I51" s="19"/>
      <c r="J51" s="25" t="s">
        <v>284</v>
      </c>
      <c r="K51" s="25" t="s">
        <v>471</v>
      </c>
      <c r="L51" s="25" t="s">
        <v>485</v>
      </c>
    </row>
    <row r="52" spans="1:12" s="1" customFormat="1">
      <c r="A52" s="132"/>
      <c r="B52" s="12" t="s">
        <v>2393</v>
      </c>
      <c r="C52" s="12" t="s">
        <v>281</v>
      </c>
      <c r="D52" s="9" t="s">
        <v>487</v>
      </c>
      <c r="E52" s="21" t="s">
        <v>182</v>
      </c>
      <c r="F52" s="22"/>
      <c r="G52" s="19" t="s">
        <v>2483</v>
      </c>
      <c r="H52" s="23"/>
      <c r="I52" s="19"/>
      <c r="J52" s="25" t="s">
        <v>284</v>
      </c>
      <c r="K52" s="25" t="s">
        <v>471</v>
      </c>
      <c r="L52" s="25" t="s">
        <v>485</v>
      </c>
    </row>
    <row r="53" spans="1:12" s="1" customFormat="1">
      <c r="A53" s="132"/>
      <c r="B53" s="12" t="s">
        <v>2410</v>
      </c>
      <c r="C53" s="12" t="s">
        <v>281</v>
      </c>
      <c r="D53" s="9" t="s">
        <v>489</v>
      </c>
      <c r="E53" s="21" t="s">
        <v>182</v>
      </c>
      <c r="F53" s="22"/>
      <c r="G53" s="19" t="s">
        <v>490</v>
      </c>
      <c r="H53" s="23"/>
      <c r="I53" s="19"/>
      <c r="J53" s="25" t="s">
        <v>284</v>
      </c>
      <c r="K53" s="25" t="s">
        <v>209</v>
      </c>
      <c r="L53" s="25" t="s">
        <v>285</v>
      </c>
    </row>
    <row r="54" spans="1:12" s="1" customFormat="1">
      <c r="A54" s="132"/>
      <c r="B54" s="12" t="s">
        <v>2411</v>
      </c>
      <c r="C54" s="12" t="s">
        <v>281</v>
      </c>
      <c r="D54" s="9" t="s">
        <v>492</v>
      </c>
      <c r="E54" s="21" t="s">
        <v>182</v>
      </c>
      <c r="F54" s="22"/>
      <c r="G54" s="19" t="s">
        <v>493</v>
      </c>
      <c r="H54" s="23"/>
      <c r="I54" s="19"/>
      <c r="J54" s="25" t="s">
        <v>284</v>
      </c>
      <c r="K54" s="25" t="s">
        <v>209</v>
      </c>
      <c r="L54" s="25" t="s">
        <v>285</v>
      </c>
    </row>
    <row r="55" spans="1:12" s="1" customFormat="1">
      <c r="A55" s="132"/>
      <c r="B55" s="12" t="s">
        <v>2412</v>
      </c>
      <c r="C55" s="12" t="s">
        <v>281</v>
      </c>
      <c r="D55" s="9" t="s">
        <v>495</v>
      </c>
      <c r="E55" s="21" t="s">
        <v>182</v>
      </c>
      <c r="F55" s="22"/>
      <c r="G55" s="19" t="s">
        <v>496</v>
      </c>
      <c r="H55" s="23"/>
      <c r="I55" s="19"/>
      <c r="J55" s="25" t="s">
        <v>284</v>
      </c>
      <c r="K55" s="25" t="s">
        <v>209</v>
      </c>
      <c r="L55" s="25" t="s">
        <v>285</v>
      </c>
    </row>
    <row r="56" spans="1:12" s="1" customFormat="1">
      <c r="A56" s="132"/>
      <c r="B56" s="12" t="s">
        <v>2413</v>
      </c>
      <c r="C56" s="12" t="s">
        <v>281</v>
      </c>
      <c r="D56" s="9" t="s">
        <v>498</v>
      </c>
      <c r="E56" s="21" t="s">
        <v>182</v>
      </c>
      <c r="F56" s="22"/>
      <c r="G56" s="19" t="s">
        <v>499</v>
      </c>
      <c r="H56" s="23"/>
      <c r="I56" s="19"/>
      <c r="J56" s="25" t="s">
        <v>284</v>
      </c>
      <c r="K56" s="25" t="s">
        <v>209</v>
      </c>
      <c r="L56" s="25" t="s">
        <v>285</v>
      </c>
    </row>
    <row r="57" spans="1:12" s="1" customFormat="1">
      <c r="A57" s="132"/>
      <c r="B57" s="12" t="s">
        <v>2414</v>
      </c>
      <c r="C57" s="12" t="s">
        <v>281</v>
      </c>
      <c r="D57" s="9" t="s">
        <v>501</v>
      </c>
      <c r="E57" s="21" t="s">
        <v>182</v>
      </c>
      <c r="F57" s="22"/>
      <c r="G57" s="19" t="s">
        <v>502</v>
      </c>
      <c r="H57" s="23"/>
      <c r="I57" s="19"/>
      <c r="J57" s="25" t="s">
        <v>284</v>
      </c>
      <c r="K57" s="25" t="s">
        <v>209</v>
      </c>
      <c r="L57" s="25" t="s">
        <v>285</v>
      </c>
    </row>
    <row r="58" spans="1:12" s="1" customFormat="1">
      <c r="A58" s="132"/>
      <c r="B58" s="12" t="s">
        <v>2398</v>
      </c>
      <c r="C58" s="12" t="s">
        <v>281</v>
      </c>
      <c r="D58" s="9" t="s">
        <v>504</v>
      </c>
      <c r="E58" s="21" t="s">
        <v>182</v>
      </c>
      <c r="F58" s="22"/>
      <c r="G58" s="19" t="s">
        <v>505</v>
      </c>
      <c r="H58" s="23"/>
      <c r="I58" s="19"/>
      <c r="J58" s="25" t="s">
        <v>284</v>
      </c>
      <c r="K58" s="25" t="s">
        <v>209</v>
      </c>
      <c r="L58" s="25" t="s">
        <v>285</v>
      </c>
    </row>
    <row r="59" spans="1:12" s="1" customFormat="1">
      <c r="A59" s="132"/>
      <c r="B59" s="12" t="s">
        <v>2397</v>
      </c>
      <c r="C59" s="12" t="s">
        <v>281</v>
      </c>
      <c r="D59" s="9" t="s">
        <v>507</v>
      </c>
      <c r="E59" s="21" t="s">
        <v>182</v>
      </c>
      <c r="F59" s="22"/>
      <c r="G59" s="19" t="s">
        <v>508</v>
      </c>
      <c r="H59" s="23"/>
      <c r="I59" s="19"/>
      <c r="J59" s="25" t="s">
        <v>284</v>
      </c>
      <c r="K59" s="25" t="s">
        <v>471</v>
      </c>
      <c r="L59" s="25" t="s">
        <v>485</v>
      </c>
    </row>
    <row r="60" spans="1:12" s="1" customFormat="1">
      <c r="A60" s="132"/>
      <c r="B60" s="12" t="s">
        <v>509</v>
      </c>
      <c r="C60" s="12" t="s">
        <v>281</v>
      </c>
      <c r="D60" s="9" t="s">
        <v>510</v>
      </c>
      <c r="E60" s="21" t="s">
        <v>182</v>
      </c>
      <c r="F60" s="22"/>
      <c r="G60" s="19" t="s">
        <v>511</v>
      </c>
      <c r="H60" s="23"/>
      <c r="I60" s="19"/>
      <c r="J60" s="25" t="s">
        <v>284</v>
      </c>
      <c r="K60" s="25" t="s">
        <v>471</v>
      </c>
      <c r="L60" s="25" t="s">
        <v>485</v>
      </c>
    </row>
    <row r="61" spans="1:12" s="1" customFormat="1">
      <c r="A61" s="132"/>
      <c r="B61" s="12" t="s">
        <v>2415</v>
      </c>
      <c r="C61" s="12" t="s">
        <v>281</v>
      </c>
      <c r="D61" s="9" t="s">
        <v>513</v>
      </c>
      <c r="E61" s="21" t="s">
        <v>182</v>
      </c>
      <c r="F61" s="22"/>
      <c r="G61" s="19" t="s">
        <v>514</v>
      </c>
      <c r="H61" s="23"/>
      <c r="I61" s="19"/>
      <c r="J61" s="25" t="s">
        <v>284</v>
      </c>
      <c r="K61" s="25" t="s">
        <v>209</v>
      </c>
      <c r="L61" s="25" t="s">
        <v>285</v>
      </c>
    </row>
    <row r="62" spans="1:12" s="1" customFormat="1">
      <c r="A62" s="132"/>
      <c r="B62" s="12" t="s">
        <v>515</v>
      </c>
      <c r="C62" s="12" t="s">
        <v>281</v>
      </c>
      <c r="D62" s="9" t="s">
        <v>516</v>
      </c>
      <c r="E62" s="21" t="s">
        <v>182</v>
      </c>
      <c r="F62" s="22"/>
      <c r="G62" s="19" t="s">
        <v>517</v>
      </c>
      <c r="H62" s="23"/>
      <c r="I62" s="19"/>
      <c r="J62" s="25" t="s">
        <v>284</v>
      </c>
      <c r="K62" s="25" t="s">
        <v>209</v>
      </c>
      <c r="L62" s="25" t="s">
        <v>285</v>
      </c>
    </row>
    <row r="63" spans="1:12" s="1" customFormat="1">
      <c r="A63" s="132"/>
      <c r="B63" s="12" t="s">
        <v>2416</v>
      </c>
      <c r="C63" s="12" t="s">
        <v>281</v>
      </c>
      <c r="D63" s="9" t="s">
        <v>519</v>
      </c>
      <c r="E63" s="21" t="s">
        <v>182</v>
      </c>
      <c r="F63" s="22"/>
      <c r="G63" s="19" t="s">
        <v>520</v>
      </c>
      <c r="H63" s="23"/>
      <c r="I63" s="19"/>
      <c r="J63" s="25" t="s">
        <v>284</v>
      </c>
      <c r="K63" s="25" t="s">
        <v>209</v>
      </c>
      <c r="L63" s="25" t="s">
        <v>285</v>
      </c>
    </row>
    <row r="64" spans="1:12" s="1" customFormat="1">
      <c r="A64" s="132"/>
      <c r="B64" s="12" t="s">
        <v>521</v>
      </c>
      <c r="C64" s="12" t="s">
        <v>281</v>
      </c>
      <c r="D64" s="9" t="s">
        <v>522</v>
      </c>
      <c r="E64" s="21" t="s">
        <v>182</v>
      </c>
      <c r="F64" s="22"/>
      <c r="G64" s="19" t="s">
        <v>523</v>
      </c>
      <c r="H64" s="23"/>
      <c r="I64" s="19"/>
      <c r="J64" s="25" t="s">
        <v>284</v>
      </c>
      <c r="K64" s="25" t="s">
        <v>209</v>
      </c>
      <c r="L64" s="25" t="s">
        <v>285</v>
      </c>
    </row>
    <row r="65" spans="1:12" s="1" customFormat="1">
      <c r="A65" s="132"/>
      <c r="B65" s="12" t="s">
        <v>524</v>
      </c>
      <c r="C65" s="12" t="s">
        <v>281</v>
      </c>
      <c r="D65" s="9" t="s">
        <v>525</v>
      </c>
      <c r="E65" s="21" t="s">
        <v>182</v>
      </c>
      <c r="F65" s="22"/>
      <c r="G65" s="19" t="s">
        <v>526</v>
      </c>
      <c r="H65" s="23"/>
      <c r="I65" s="19"/>
      <c r="J65" s="25" t="s">
        <v>284</v>
      </c>
      <c r="K65" s="25" t="s">
        <v>209</v>
      </c>
      <c r="L65" s="25" t="s">
        <v>285</v>
      </c>
    </row>
    <row r="66" spans="1:12" s="1" customFormat="1">
      <c r="A66" s="132"/>
      <c r="B66" s="12" t="s">
        <v>2399</v>
      </c>
      <c r="C66" s="12" t="s">
        <v>281</v>
      </c>
      <c r="D66" s="9" t="s">
        <v>528</v>
      </c>
      <c r="E66" s="21" t="s">
        <v>182</v>
      </c>
      <c r="F66" s="22"/>
      <c r="G66" s="19" t="s">
        <v>2460</v>
      </c>
      <c r="H66" s="23"/>
      <c r="I66" s="19"/>
      <c r="J66" s="25" t="s">
        <v>284</v>
      </c>
      <c r="K66" s="25" t="s">
        <v>471</v>
      </c>
      <c r="L66" s="25" t="s">
        <v>485</v>
      </c>
    </row>
    <row r="67" spans="1:12" s="1" customFormat="1">
      <c r="A67" s="132"/>
      <c r="B67" s="12" t="s">
        <v>2401</v>
      </c>
      <c r="C67" s="12" t="s">
        <v>281</v>
      </c>
      <c r="D67" s="9" t="s">
        <v>530</v>
      </c>
      <c r="E67" s="21" t="s">
        <v>182</v>
      </c>
      <c r="F67" s="22"/>
      <c r="G67" s="19" t="s">
        <v>531</v>
      </c>
      <c r="H67" s="23"/>
      <c r="I67" s="19"/>
      <c r="J67" s="25" t="s">
        <v>284</v>
      </c>
      <c r="K67" s="25" t="s">
        <v>471</v>
      </c>
      <c r="L67" s="25" t="s">
        <v>485</v>
      </c>
    </row>
    <row r="68" spans="1:12" s="1" customFormat="1">
      <c r="A68" s="132"/>
      <c r="B68" s="12" t="s">
        <v>2400</v>
      </c>
      <c r="C68" s="12" t="s">
        <v>319</v>
      </c>
      <c r="D68" s="9" t="s">
        <v>533</v>
      </c>
      <c r="E68" s="21" t="s">
        <v>182</v>
      </c>
      <c r="F68" s="22"/>
      <c r="G68" s="19" t="s">
        <v>534</v>
      </c>
      <c r="H68" s="23"/>
      <c r="I68" s="19"/>
      <c r="J68" s="25" t="s">
        <v>284</v>
      </c>
      <c r="K68" s="25" t="s">
        <v>471</v>
      </c>
      <c r="L68" s="25" t="s">
        <v>485</v>
      </c>
    </row>
    <row r="69" spans="1:12" s="1" customFormat="1">
      <c r="A69" s="132"/>
      <c r="B69" s="12" t="s">
        <v>535</v>
      </c>
      <c r="C69" s="12" t="s">
        <v>281</v>
      </c>
      <c r="D69" s="9" t="s">
        <v>536</v>
      </c>
      <c r="E69" s="21" t="s">
        <v>182</v>
      </c>
      <c r="F69" s="22"/>
      <c r="G69" s="19" t="s">
        <v>537</v>
      </c>
      <c r="H69" s="23"/>
      <c r="I69" s="19"/>
      <c r="J69" s="25" t="s">
        <v>284</v>
      </c>
      <c r="K69" s="25" t="s">
        <v>538</v>
      </c>
      <c r="L69" s="25" t="s">
        <v>485</v>
      </c>
    </row>
    <row r="70" spans="1:12" s="1" customFormat="1">
      <c r="A70" s="132"/>
      <c r="B70" s="12" t="s">
        <v>539</v>
      </c>
      <c r="C70" s="12" t="s">
        <v>281</v>
      </c>
      <c r="D70" s="9" t="s">
        <v>540</v>
      </c>
      <c r="E70" s="21" t="s">
        <v>182</v>
      </c>
      <c r="F70" s="22"/>
      <c r="G70" s="19" t="s">
        <v>541</v>
      </c>
      <c r="H70" s="23"/>
      <c r="I70" s="19"/>
      <c r="J70" s="25" t="s">
        <v>284</v>
      </c>
      <c r="K70" s="25" t="s">
        <v>538</v>
      </c>
      <c r="L70" s="25" t="s">
        <v>485</v>
      </c>
    </row>
    <row r="71" spans="1:12" s="1" customFormat="1">
      <c r="A71" s="132"/>
      <c r="B71" s="12" t="s">
        <v>542</v>
      </c>
      <c r="C71" s="12" t="s">
        <v>281</v>
      </c>
      <c r="D71" s="9" t="s">
        <v>543</v>
      </c>
      <c r="E71" s="21" t="s">
        <v>182</v>
      </c>
      <c r="F71" s="22"/>
      <c r="G71" s="19" t="s">
        <v>544</v>
      </c>
      <c r="H71" s="23"/>
      <c r="I71" s="19"/>
      <c r="J71" s="25" t="s">
        <v>284</v>
      </c>
      <c r="K71" s="25" t="s">
        <v>209</v>
      </c>
      <c r="L71" s="25" t="s">
        <v>285</v>
      </c>
    </row>
    <row r="72" spans="1:12" s="1" customFormat="1">
      <c r="A72" s="132"/>
      <c r="B72" s="12" t="s">
        <v>545</v>
      </c>
      <c r="C72" s="12" t="s">
        <v>281</v>
      </c>
      <c r="D72" s="9" t="s">
        <v>546</v>
      </c>
      <c r="E72" s="21" t="s">
        <v>182</v>
      </c>
      <c r="F72" s="22"/>
      <c r="G72" s="19" t="s">
        <v>547</v>
      </c>
      <c r="H72" s="23"/>
      <c r="I72" s="19"/>
      <c r="J72" s="25" t="s">
        <v>284</v>
      </c>
      <c r="K72" s="25" t="s">
        <v>209</v>
      </c>
      <c r="L72" s="25" t="s">
        <v>285</v>
      </c>
    </row>
    <row r="73" spans="1:12" s="1" customFormat="1">
      <c r="A73" s="132"/>
      <c r="B73" s="12" t="s">
        <v>2402</v>
      </c>
      <c r="C73" s="12" t="s">
        <v>281</v>
      </c>
      <c r="D73" s="9" t="s">
        <v>549</v>
      </c>
      <c r="E73" s="21" t="s">
        <v>182</v>
      </c>
      <c r="F73" s="22"/>
      <c r="G73" s="19" t="s">
        <v>550</v>
      </c>
      <c r="H73" s="23"/>
      <c r="I73" s="19"/>
      <c r="J73" s="25" t="s">
        <v>284</v>
      </c>
      <c r="K73" s="25" t="s">
        <v>209</v>
      </c>
      <c r="L73" s="25" t="s">
        <v>285</v>
      </c>
    </row>
    <row r="74" spans="1:12" s="1" customFormat="1">
      <c r="A74" s="132"/>
      <c r="B74" s="12" t="s">
        <v>551</v>
      </c>
      <c r="C74" s="12" t="s">
        <v>281</v>
      </c>
      <c r="D74" s="9" t="s">
        <v>552</v>
      </c>
      <c r="E74" s="21" t="s">
        <v>182</v>
      </c>
      <c r="F74" s="22"/>
      <c r="G74" s="19" t="s">
        <v>553</v>
      </c>
      <c r="H74" s="23"/>
      <c r="I74" s="19"/>
      <c r="J74" s="25" t="s">
        <v>284</v>
      </c>
      <c r="K74" s="25" t="s">
        <v>209</v>
      </c>
      <c r="L74" s="25" t="s">
        <v>285</v>
      </c>
    </row>
    <row r="75" spans="1:12" s="1" customFormat="1">
      <c r="A75" s="132"/>
      <c r="B75" s="12" t="s">
        <v>554</v>
      </c>
      <c r="C75" s="12" t="s">
        <v>281</v>
      </c>
      <c r="D75" s="9" t="s">
        <v>555</v>
      </c>
      <c r="E75" s="21" t="s">
        <v>182</v>
      </c>
      <c r="F75" s="22"/>
      <c r="G75" s="19" t="s">
        <v>556</v>
      </c>
      <c r="H75" s="23"/>
      <c r="I75" s="19"/>
      <c r="J75" s="25" t="s">
        <v>284</v>
      </c>
      <c r="K75" s="25" t="s">
        <v>209</v>
      </c>
      <c r="L75" s="25" t="s">
        <v>285</v>
      </c>
    </row>
    <row r="76" spans="1:12" s="1" customFormat="1">
      <c r="A76" s="132"/>
      <c r="B76" s="12" t="s">
        <v>557</v>
      </c>
      <c r="C76" s="12" t="s">
        <v>281</v>
      </c>
      <c r="D76" s="9" t="s">
        <v>558</v>
      </c>
      <c r="E76" s="21" t="s">
        <v>182</v>
      </c>
      <c r="F76" s="22"/>
      <c r="G76" s="19" t="s">
        <v>559</v>
      </c>
      <c r="H76" s="23"/>
      <c r="I76" s="19"/>
      <c r="J76" s="25" t="s">
        <v>284</v>
      </c>
      <c r="K76" s="25" t="s">
        <v>209</v>
      </c>
      <c r="L76" s="25" t="s">
        <v>285</v>
      </c>
    </row>
    <row r="77" spans="1:12" s="1" customFormat="1">
      <c r="A77" s="132"/>
      <c r="B77" s="12" t="s">
        <v>560</v>
      </c>
      <c r="C77" s="12" t="s">
        <v>281</v>
      </c>
      <c r="D77" s="9" t="s">
        <v>561</v>
      </c>
      <c r="E77" s="21" t="s">
        <v>182</v>
      </c>
      <c r="F77" s="22"/>
      <c r="G77" s="19" t="s">
        <v>562</v>
      </c>
      <c r="H77" s="23"/>
      <c r="I77" s="19"/>
      <c r="J77" s="25" t="s">
        <v>284</v>
      </c>
      <c r="K77" s="25" t="s">
        <v>209</v>
      </c>
      <c r="L77" s="25" t="s">
        <v>285</v>
      </c>
    </row>
    <row r="78" spans="1:12" s="1" customFormat="1">
      <c r="A78" s="132"/>
      <c r="B78" s="12" t="s">
        <v>563</v>
      </c>
      <c r="C78" s="12" t="s">
        <v>281</v>
      </c>
      <c r="D78" s="9" t="s">
        <v>564</v>
      </c>
      <c r="E78" s="21" t="s">
        <v>182</v>
      </c>
      <c r="F78" s="22"/>
      <c r="G78" s="19" t="s">
        <v>565</v>
      </c>
      <c r="H78" s="23"/>
      <c r="I78" s="19"/>
      <c r="J78" s="25" t="s">
        <v>284</v>
      </c>
      <c r="K78" s="25" t="s">
        <v>209</v>
      </c>
      <c r="L78" s="25" t="s">
        <v>285</v>
      </c>
    </row>
    <row r="79" spans="1:12" s="1" customFormat="1">
      <c r="A79" s="132"/>
      <c r="B79" s="12" t="s">
        <v>2403</v>
      </c>
      <c r="C79" s="12" t="s">
        <v>281</v>
      </c>
      <c r="D79" s="9" t="s">
        <v>567</v>
      </c>
      <c r="E79" s="21" t="s">
        <v>182</v>
      </c>
      <c r="F79" s="22"/>
      <c r="G79" s="19" t="s">
        <v>568</v>
      </c>
      <c r="H79" s="23"/>
      <c r="I79" s="19"/>
      <c r="J79" s="25" t="s">
        <v>284</v>
      </c>
      <c r="K79" s="25" t="s">
        <v>471</v>
      </c>
      <c r="L79" s="25" t="s">
        <v>285</v>
      </c>
    </row>
    <row r="80" spans="1:12" s="1" customFormat="1">
      <c r="A80" s="132"/>
      <c r="B80" s="12" t="s">
        <v>569</v>
      </c>
      <c r="C80" s="12" t="s">
        <v>281</v>
      </c>
      <c r="D80" s="9" t="s">
        <v>570</v>
      </c>
      <c r="E80" s="21" t="s">
        <v>182</v>
      </c>
      <c r="F80" s="22"/>
      <c r="G80" s="19" t="s">
        <v>571</v>
      </c>
      <c r="H80" s="23"/>
      <c r="I80" s="19"/>
      <c r="J80" s="25" t="s">
        <v>284</v>
      </c>
      <c r="K80" s="25" t="s">
        <v>471</v>
      </c>
      <c r="L80" s="25" t="s">
        <v>285</v>
      </c>
    </row>
    <row r="81" spans="1:12" s="1" customFormat="1">
      <c r="A81" s="132"/>
      <c r="B81" s="12" t="s">
        <v>2409</v>
      </c>
      <c r="C81" s="12" t="s">
        <v>281</v>
      </c>
      <c r="D81" s="9" t="s">
        <v>573</v>
      </c>
      <c r="E81" s="21" t="s">
        <v>182</v>
      </c>
      <c r="F81" s="22"/>
      <c r="G81" s="19" t="s">
        <v>574</v>
      </c>
      <c r="H81" s="23"/>
      <c r="I81" s="19"/>
      <c r="J81" s="25" t="s">
        <v>284</v>
      </c>
      <c r="K81" s="25" t="s">
        <v>209</v>
      </c>
      <c r="L81" s="25" t="s">
        <v>285</v>
      </c>
    </row>
    <row r="82" spans="1:12" s="1" customFormat="1">
      <c r="A82" s="132"/>
      <c r="B82" s="12" t="s">
        <v>2408</v>
      </c>
      <c r="C82" s="12" t="s">
        <v>281</v>
      </c>
      <c r="D82" s="9" t="s">
        <v>576</v>
      </c>
      <c r="E82" s="21" t="s">
        <v>182</v>
      </c>
      <c r="F82" s="22"/>
      <c r="G82" s="19" t="s">
        <v>577</v>
      </c>
      <c r="H82" s="23"/>
      <c r="I82" s="19"/>
      <c r="J82" s="25" t="s">
        <v>284</v>
      </c>
      <c r="K82" s="25" t="s">
        <v>471</v>
      </c>
      <c r="L82" s="25" t="s">
        <v>285</v>
      </c>
    </row>
    <row r="83" spans="1:12" s="1" customFormat="1">
      <c r="A83" s="132"/>
      <c r="B83" s="12" t="s">
        <v>578</v>
      </c>
      <c r="C83" s="12" t="s">
        <v>281</v>
      </c>
      <c r="D83" s="9" t="s">
        <v>2407</v>
      </c>
      <c r="E83" s="21" t="s">
        <v>182</v>
      </c>
      <c r="F83" s="22"/>
      <c r="G83" s="19" t="s">
        <v>580</v>
      </c>
      <c r="H83" s="23"/>
      <c r="I83" s="19"/>
      <c r="J83" s="25" t="s">
        <v>284</v>
      </c>
      <c r="K83" s="25" t="s">
        <v>471</v>
      </c>
      <c r="L83" s="25" t="s">
        <v>285</v>
      </c>
    </row>
    <row r="84" spans="1:12" s="1" customFormat="1">
      <c r="A84" s="132"/>
      <c r="B84" s="12" t="s">
        <v>2405</v>
      </c>
      <c r="C84" s="12" t="s">
        <v>281</v>
      </c>
      <c r="D84" s="9" t="s">
        <v>582</v>
      </c>
      <c r="E84" s="21" t="s">
        <v>182</v>
      </c>
      <c r="F84" s="22"/>
      <c r="G84" s="19" t="s">
        <v>583</v>
      </c>
      <c r="H84" s="23"/>
      <c r="I84" s="19"/>
      <c r="J84" s="25" t="s">
        <v>284</v>
      </c>
      <c r="K84" s="25" t="s">
        <v>209</v>
      </c>
      <c r="L84" s="25" t="s">
        <v>285</v>
      </c>
    </row>
    <row r="85" spans="1:12" s="1" customFormat="1">
      <c r="A85" s="132"/>
      <c r="B85" s="12" t="s">
        <v>2404</v>
      </c>
      <c r="C85" s="12" t="s">
        <v>281</v>
      </c>
      <c r="D85" s="9" t="s">
        <v>585</v>
      </c>
      <c r="E85" s="21" t="s">
        <v>182</v>
      </c>
      <c r="F85" s="22"/>
      <c r="G85" s="19" t="s">
        <v>586</v>
      </c>
      <c r="H85" s="23"/>
      <c r="I85" s="19"/>
      <c r="J85" s="25" t="s">
        <v>284</v>
      </c>
      <c r="K85" s="25" t="s">
        <v>471</v>
      </c>
      <c r="L85" s="25" t="s">
        <v>285</v>
      </c>
    </row>
    <row r="86" spans="1:12" s="1" customFormat="1">
      <c r="A86" s="132"/>
      <c r="B86" s="12" t="s">
        <v>587</v>
      </c>
      <c r="C86" s="12" t="s">
        <v>281</v>
      </c>
      <c r="D86" s="9" t="s">
        <v>2406</v>
      </c>
      <c r="E86" s="21" t="s">
        <v>182</v>
      </c>
      <c r="F86" s="22"/>
      <c r="G86" s="19" t="s">
        <v>589</v>
      </c>
      <c r="H86" s="23"/>
      <c r="I86" s="19"/>
      <c r="J86" s="25" t="s">
        <v>284</v>
      </c>
      <c r="K86" s="25" t="s">
        <v>471</v>
      </c>
      <c r="L86" s="25" t="s">
        <v>285</v>
      </c>
    </row>
    <row r="87" spans="1:12" s="1" customFormat="1">
      <c r="A87" s="132"/>
      <c r="B87" s="12" t="s">
        <v>590</v>
      </c>
      <c r="C87" s="12" t="s">
        <v>281</v>
      </c>
      <c r="D87" s="9" t="s">
        <v>591</v>
      </c>
      <c r="E87" s="21" t="s">
        <v>182</v>
      </c>
      <c r="F87" s="22"/>
      <c r="G87" s="19" t="s">
        <v>592</v>
      </c>
      <c r="H87" s="23"/>
      <c r="I87" s="19"/>
      <c r="J87" s="25" t="s">
        <v>284</v>
      </c>
      <c r="K87" s="25" t="s">
        <v>209</v>
      </c>
      <c r="L87" s="25" t="s">
        <v>285</v>
      </c>
    </row>
    <row r="88" spans="1:12" s="1" customFormat="1">
      <c r="A88" s="132"/>
      <c r="B88" s="12" t="s">
        <v>593</v>
      </c>
      <c r="C88" s="12" t="s">
        <v>281</v>
      </c>
      <c r="D88" s="9" t="s">
        <v>594</v>
      </c>
      <c r="E88" s="21" t="s">
        <v>182</v>
      </c>
      <c r="F88" s="22"/>
      <c r="G88" s="19" t="s">
        <v>595</v>
      </c>
      <c r="H88" s="23"/>
      <c r="I88" s="19"/>
      <c r="J88" s="25" t="s">
        <v>284</v>
      </c>
      <c r="K88" s="25" t="s">
        <v>209</v>
      </c>
      <c r="L88" s="25" t="s">
        <v>285</v>
      </c>
    </row>
    <row r="89" spans="1:12" s="1" customFormat="1">
      <c r="A89" s="132"/>
      <c r="B89" s="12" t="s">
        <v>596</v>
      </c>
      <c r="C89" s="12" t="s">
        <v>281</v>
      </c>
      <c r="D89" s="9" t="s">
        <v>597</v>
      </c>
      <c r="E89" s="21" t="s">
        <v>182</v>
      </c>
      <c r="F89" s="22"/>
      <c r="G89" s="19" t="s">
        <v>598</v>
      </c>
      <c r="H89" s="23"/>
      <c r="I89" s="19"/>
      <c r="J89" s="25" t="s">
        <v>284</v>
      </c>
      <c r="K89" s="25" t="s">
        <v>209</v>
      </c>
      <c r="L89" s="25" t="s">
        <v>285</v>
      </c>
    </row>
    <row r="90" spans="1:12" s="1" customFormat="1">
      <c r="A90" s="132"/>
      <c r="B90" s="12" t="s">
        <v>599</v>
      </c>
      <c r="C90" s="12" t="s">
        <v>281</v>
      </c>
      <c r="D90" s="9" t="s">
        <v>600</v>
      </c>
      <c r="E90" s="21" t="s">
        <v>182</v>
      </c>
      <c r="F90" s="22"/>
      <c r="G90" s="19" t="s">
        <v>601</v>
      </c>
      <c r="H90" s="23"/>
      <c r="I90" s="19"/>
      <c r="J90" s="25" t="s">
        <v>284</v>
      </c>
      <c r="K90" s="25" t="s">
        <v>209</v>
      </c>
      <c r="L90" s="25" t="s">
        <v>285</v>
      </c>
    </row>
    <row r="91" spans="1:12" s="1" customFormat="1">
      <c r="A91" s="132"/>
      <c r="B91" s="12" t="s">
        <v>602</v>
      </c>
      <c r="C91" s="12" t="s">
        <v>281</v>
      </c>
      <c r="D91" s="9" t="s">
        <v>603</v>
      </c>
      <c r="E91" s="21" t="s">
        <v>182</v>
      </c>
      <c r="F91" s="22"/>
      <c r="G91" s="19" t="s">
        <v>604</v>
      </c>
      <c r="H91" s="23"/>
      <c r="I91" s="19"/>
      <c r="J91" s="25" t="s">
        <v>284</v>
      </c>
      <c r="K91" s="25" t="s">
        <v>209</v>
      </c>
      <c r="L91" s="25" t="s">
        <v>285</v>
      </c>
    </row>
    <row r="92" spans="1:12" s="1" customFormat="1">
      <c r="A92" s="132"/>
      <c r="B92" s="12" t="s">
        <v>605</v>
      </c>
      <c r="C92" s="12" t="s">
        <v>281</v>
      </c>
      <c r="D92" s="9" t="s">
        <v>606</v>
      </c>
      <c r="E92" s="21" t="s">
        <v>182</v>
      </c>
      <c r="F92" s="22"/>
      <c r="G92" s="19" t="s">
        <v>607</v>
      </c>
      <c r="H92" s="23"/>
      <c r="I92" s="19"/>
      <c r="J92" s="25" t="s">
        <v>284</v>
      </c>
      <c r="K92" s="25" t="s">
        <v>209</v>
      </c>
      <c r="L92" s="25" t="s">
        <v>285</v>
      </c>
    </row>
    <row r="93" spans="1:12" s="1" customFormat="1">
      <c r="A93" s="132"/>
      <c r="B93" s="12" t="s">
        <v>608</v>
      </c>
      <c r="C93" s="12" t="s">
        <v>281</v>
      </c>
      <c r="D93" s="9" t="s">
        <v>609</v>
      </c>
      <c r="E93" s="21" t="s">
        <v>182</v>
      </c>
      <c r="F93" s="22"/>
      <c r="G93" s="19" t="s">
        <v>610</v>
      </c>
      <c r="H93" s="23"/>
      <c r="I93" s="19"/>
      <c r="J93" s="25" t="s">
        <v>284</v>
      </c>
      <c r="K93" s="25" t="s">
        <v>209</v>
      </c>
      <c r="L93" s="25" t="s">
        <v>285</v>
      </c>
    </row>
    <row r="94" spans="1:12" s="1" customFormat="1">
      <c r="A94" s="132"/>
      <c r="B94" s="12" t="s">
        <v>611</v>
      </c>
      <c r="C94" s="12" t="s">
        <v>281</v>
      </c>
      <c r="D94" s="9" t="s">
        <v>612</v>
      </c>
      <c r="E94" s="21" t="s">
        <v>182</v>
      </c>
      <c r="F94" s="22"/>
      <c r="G94" s="19" t="s">
        <v>613</v>
      </c>
      <c r="H94" s="23"/>
      <c r="I94" s="19"/>
      <c r="J94" s="25" t="s">
        <v>284</v>
      </c>
      <c r="K94" s="25" t="s">
        <v>209</v>
      </c>
      <c r="L94" s="25" t="s">
        <v>285</v>
      </c>
    </row>
    <row r="95" spans="1:12" s="1" customFormat="1">
      <c r="A95" s="132"/>
      <c r="B95" s="12" t="s">
        <v>614</v>
      </c>
      <c r="C95" s="12" t="s">
        <v>281</v>
      </c>
      <c r="D95" s="9" t="s">
        <v>615</v>
      </c>
      <c r="E95" s="21" t="s">
        <v>182</v>
      </c>
      <c r="F95" s="22"/>
      <c r="G95" s="19" t="s">
        <v>616</v>
      </c>
      <c r="H95" s="23"/>
      <c r="I95" s="19"/>
      <c r="J95" s="25" t="s">
        <v>284</v>
      </c>
      <c r="K95" s="25" t="s">
        <v>538</v>
      </c>
      <c r="L95" s="25" t="s">
        <v>285</v>
      </c>
    </row>
    <row r="96" spans="1:12" s="1" customFormat="1">
      <c r="A96" s="132"/>
      <c r="B96" s="12" t="s">
        <v>617</v>
      </c>
      <c r="C96" s="12" t="s">
        <v>281</v>
      </c>
      <c r="D96" s="9" t="s">
        <v>618</v>
      </c>
      <c r="E96" s="21" t="s">
        <v>182</v>
      </c>
      <c r="F96" s="22"/>
      <c r="G96" s="19" t="s">
        <v>619</v>
      </c>
      <c r="H96" s="23"/>
      <c r="I96" s="19"/>
      <c r="J96" s="25" t="s">
        <v>284</v>
      </c>
      <c r="K96" s="25" t="s">
        <v>471</v>
      </c>
      <c r="L96" s="25" t="s">
        <v>285</v>
      </c>
    </row>
    <row r="97" spans="1:17" s="1" customFormat="1">
      <c r="A97" s="132"/>
      <c r="B97" s="12" t="s">
        <v>620</v>
      </c>
      <c r="C97" s="12" t="s">
        <v>281</v>
      </c>
      <c r="D97" s="9" t="s">
        <v>621</v>
      </c>
      <c r="E97" s="21" t="s">
        <v>182</v>
      </c>
      <c r="F97" s="22"/>
      <c r="G97" s="19" t="s">
        <v>622</v>
      </c>
      <c r="H97" s="23"/>
      <c r="I97" s="19"/>
      <c r="J97" s="25" t="s">
        <v>284</v>
      </c>
      <c r="K97" s="25" t="s">
        <v>538</v>
      </c>
      <c r="L97" s="25" t="s">
        <v>285</v>
      </c>
    </row>
    <row r="98" spans="1:17" s="1" customFormat="1">
      <c r="A98" s="132"/>
      <c r="B98" s="12" t="s">
        <v>623</v>
      </c>
      <c r="C98" s="12" t="s">
        <v>281</v>
      </c>
      <c r="D98" s="9" t="s">
        <v>624</v>
      </c>
      <c r="E98" s="21" t="s">
        <v>182</v>
      </c>
      <c r="F98" s="22"/>
      <c r="G98" s="19" t="s">
        <v>625</v>
      </c>
      <c r="H98" s="23"/>
      <c r="I98" s="19"/>
      <c r="J98" s="25" t="s">
        <v>284</v>
      </c>
      <c r="K98" s="25" t="s">
        <v>471</v>
      </c>
      <c r="L98" s="25" t="s">
        <v>285</v>
      </c>
    </row>
    <row r="99" spans="1:17" s="1" customFormat="1">
      <c r="A99" s="132"/>
      <c r="B99" s="12" t="s">
        <v>626</v>
      </c>
      <c r="C99" s="12" t="s">
        <v>281</v>
      </c>
      <c r="D99" s="9" t="s">
        <v>627</v>
      </c>
      <c r="E99" s="21" t="s">
        <v>182</v>
      </c>
      <c r="F99" s="22"/>
      <c r="G99" s="19" t="s">
        <v>628</v>
      </c>
      <c r="H99" s="23"/>
      <c r="I99" s="19"/>
      <c r="J99" s="25" t="s">
        <v>284</v>
      </c>
      <c r="K99" s="25" t="s">
        <v>209</v>
      </c>
      <c r="L99" s="25" t="s">
        <v>285</v>
      </c>
    </row>
    <row r="100" spans="1:17" s="1" customFormat="1">
      <c r="A100" s="132"/>
      <c r="B100" s="12" t="s">
        <v>629</v>
      </c>
      <c r="C100" s="12" t="s">
        <v>281</v>
      </c>
      <c r="D100" s="9" t="s">
        <v>630</v>
      </c>
      <c r="E100" s="21" t="s">
        <v>182</v>
      </c>
      <c r="F100" s="22"/>
      <c r="G100" s="19" t="s">
        <v>631</v>
      </c>
      <c r="H100" s="23"/>
      <c r="I100" s="19"/>
      <c r="J100" s="25" t="s">
        <v>284</v>
      </c>
      <c r="K100" s="25" t="s">
        <v>209</v>
      </c>
      <c r="L100" s="25" t="s">
        <v>285</v>
      </c>
    </row>
    <row r="101" spans="1:17" s="1" customFormat="1">
      <c r="A101" s="132"/>
      <c r="B101" s="12" t="s">
        <v>632</v>
      </c>
      <c r="C101" s="12" t="s">
        <v>281</v>
      </c>
      <c r="D101" s="9" t="s">
        <v>633</v>
      </c>
      <c r="E101" s="21" t="s">
        <v>182</v>
      </c>
      <c r="F101" s="22"/>
      <c r="G101" s="19" t="s">
        <v>634</v>
      </c>
      <c r="H101" s="23"/>
      <c r="I101" s="19"/>
      <c r="J101" s="25" t="s">
        <v>284</v>
      </c>
      <c r="K101" s="25" t="s">
        <v>209</v>
      </c>
      <c r="L101" s="25" t="s">
        <v>285</v>
      </c>
    </row>
    <row r="102" spans="1:17" s="1" customFormat="1">
      <c r="A102" s="132"/>
      <c r="B102" s="12" t="s">
        <v>635</v>
      </c>
      <c r="C102" s="12" t="s">
        <v>281</v>
      </c>
      <c r="D102" s="9" t="s">
        <v>636</v>
      </c>
      <c r="E102" s="21" t="s">
        <v>182</v>
      </c>
      <c r="F102" s="22"/>
      <c r="G102" s="19" t="s">
        <v>637</v>
      </c>
      <c r="H102" s="23"/>
      <c r="I102" s="19"/>
      <c r="J102" s="25" t="s">
        <v>284</v>
      </c>
      <c r="K102" s="25" t="s">
        <v>209</v>
      </c>
      <c r="L102" s="25" t="s">
        <v>285</v>
      </c>
    </row>
    <row r="103" spans="1:17" s="1" customFormat="1">
      <c r="A103" s="132"/>
      <c r="B103" s="12" t="s">
        <v>638</v>
      </c>
      <c r="C103" s="12" t="s">
        <v>281</v>
      </c>
      <c r="D103" s="9" t="s">
        <v>639</v>
      </c>
      <c r="E103" s="21" t="s">
        <v>182</v>
      </c>
      <c r="F103" s="22"/>
      <c r="G103" s="19" t="s">
        <v>640</v>
      </c>
      <c r="H103" s="23"/>
      <c r="I103" s="19"/>
      <c r="J103" s="25" t="s">
        <v>284</v>
      </c>
      <c r="K103" s="25" t="s">
        <v>209</v>
      </c>
      <c r="L103" s="25" t="s">
        <v>285</v>
      </c>
    </row>
    <row r="104" spans="1:17" s="1" customFormat="1">
      <c r="A104" s="132"/>
      <c r="B104" s="12" t="s">
        <v>641</v>
      </c>
      <c r="C104" s="12" t="s">
        <v>281</v>
      </c>
      <c r="D104" s="9" t="s">
        <v>642</v>
      </c>
      <c r="E104" s="21" t="s">
        <v>182</v>
      </c>
      <c r="F104" s="22"/>
      <c r="G104" s="19" t="s">
        <v>643</v>
      </c>
      <c r="H104" s="23"/>
      <c r="I104" s="19"/>
      <c r="J104" s="25" t="s">
        <v>284</v>
      </c>
      <c r="K104" s="25" t="s">
        <v>209</v>
      </c>
      <c r="L104" s="25" t="s">
        <v>285</v>
      </c>
    </row>
    <row r="105" spans="1:17" s="1" customFormat="1">
      <c r="A105" s="132"/>
      <c r="B105" s="12" t="s">
        <v>644</v>
      </c>
      <c r="C105" s="12" t="s">
        <v>281</v>
      </c>
      <c r="D105" s="9" t="s">
        <v>645</v>
      </c>
      <c r="E105" s="21" t="s">
        <v>182</v>
      </c>
      <c r="F105" s="22"/>
      <c r="G105" s="19" t="s">
        <v>646</v>
      </c>
      <c r="H105" s="23"/>
      <c r="I105" s="19"/>
      <c r="J105" s="25" t="s">
        <v>284</v>
      </c>
      <c r="K105" s="25" t="s">
        <v>209</v>
      </c>
      <c r="L105" s="25" t="s">
        <v>285</v>
      </c>
    </row>
    <row r="106" spans="1:17" s="1" customFormat="1">
      <c r="A106" s="132"/>
      <c r="B106" s="12" t="s">
        <v>306</v>
      </c>
      <c r="C106" s="12" t="s">
        <v>281</v>
      </c>
      <c r="D106" s="9" t="s">
        <v>307</v>
      </c>
      <c r="E106" s="21" t="s">
        <v>182</v>
      </c>
      <c r="F106" s="22"/>
      <c r="G106" s="19" t="s">
        <v>647</v>
      </c>
      <c r="H106" s="23"/>
      <c r="I106" s="19"/>
      <c r="J106" s="25" t="s">
        <v>284</v>
      </c>
      <c r="K106" s="25" t="s">
        <v>209</v>
      </c>
      <c r="L106" s="25" t="s">
        <v>285</v>
      </c>
    </row>
    <row r="107" spans="1:17" s="1" customFormat="1">
      <c r="A107" s="132"/>
      <c r="B107" s="12" t="s">
        <v>648</v>
      </c>
      <c r="C107" s="12" t="s">
        <v>206</v>
      </c>
      <c r="D107" s="9" t="s">
        <v>649</v>
      </c>
      <c r="E107" s="21" t="s">
        <v>182</v>
      </c>
      <c r="F107" s="22"/>
      <c r="G107" s="19" t="s">
        <v>650</v>
      </c>
      <c r="H107" s="23"/>
      <c r="I107" s="135" t="s">
        <v>651</v>
      </c>
      <c r="J107" s="25" t="s">
        <v>284</v>
      </c>
      <c r="K107" s="25" t="s">
        <v>209</v>
      </c>
      <c r="L107" s="25" t="s">
        <v>485</v>
      </c>
    </row>
    <row r="108" spans="1:17" s="1" customFormat="1">
      <c r="A108" s="132"/>
      <c r="B108" s="12" t="s">
        <v>652</v>
      </c>
      <c r="C108" s="12" t="s">
        <v>206</v>
      </c>
      <c r="D108" s="9" t="s">
        <v>653</v>
      </c>
      <c r="E108" s="21" t="s">
        <v>182</v>
      </c>
      <c r="F108" s="22"/>
      <c r="G108" s="19" t="s">
        <v>654</v>
      </c>
      <c r="H108" s="23"/>
      <c r="I108" s="135" t="s">
        <v>655</v>
      </c>
      <c r="J108" s="25" t="s">
        <v>284</v>
      </c>
      <c r="K108" s="25" t="s">
        <v>209</v>
      </c>
      <c r="L108" s="25" t="s">
        <v>485</v>
      </c>
    </row>
    <row r="109" spans="1:17" s="2" customFormat="1">
      <c r="B109" s="14" t="s">
        <v>222</v>
      </c>
      <c r="C109" s="15" t="s">
        <v>211</v>
      </c>
      <c r="D109" s="16" t="s">
        <v>344</v>
      </c>
      <c r="E109" s="69"/>
      <c r="F109" s="14"/>
      <c r="G109" s="14"/>
      <c r="H109" s="14"/>
      <c r="I109" s="14"/>
      <c r="J109" s="14"/>
      <c r="K109" s="14"/>
      <c r="L109" s="14"/>
      <c r="M109" s="14"/>
      <c r="N109" s="14"/>
      <c r="O109" s="14"/>
      <c r="P109" s="14"/>
      <c r="Q109" s="14"/>
    </row>
    <row r="110" spans="1:17" s="2" customFormat="1">
      <c r="B110" s="14" t="s">
        <v>0</v>
      </c>
      <c r="C110" s="15" t="s">
        <v>206</v>
      </c>
      <c r="D110" s="16" t="s">
        <v>345</v>
      </c>
      <c r="E110" s="69"/>
      <c r="F110" s="14"/>
      <c r="G110" s="14"/>
      <c r="H110" s="14"/>
      <c r="I110" s="14"/>
      <c r="J110" s="14"/>
      <c r="K110" s="14"/>
      <c r="L110" s="14"/>
      <c r="M110" s="14"/>
      <c r="N110" s="14"/>
      <c r="O110" s="14"/>
      <c r="P110" s="14"/>
      <c r="Q110" s="14"/>
    </row>
    <row r="111" spans="1:17" s="2" customFormat="1">
      <c r="B111" s="14" t="s">
        <v>1</v>
      </c>
      <c r="C111" s="15" t="s">
        <v>211</v>
      </c>
      <c r="D111" s="16" t="s">
        <v>346</v>
      </c>
      <c r="E111" s="69"/>
      <c r="F111" s="14"/>
      <c r="G111" s="14"/>
      <c r="H111" s="14"/>
      <c r="I111" s="14"/>
      <c r="J111" s="14"/>
      <c r="K111" s="14"/>
      <c r="L111" s="14"/>
      <c r="M111" s="14"/>
      <c r="N111" s="14"/>
      <c r="O111" s="14"/>
      <c r="P111" s="14"/>
      <c r="Q111" s="14"/>
    </row>
    <row r="112" spans="1:17" s="2" customFormat="1">
      <c r="B112" s="14" t="s">
        <v>2</v>
      </c>
      <c r="C112" s="15" t="s">
        <v>211</v>
      </c>
      <c r="D112" s="16" t="s">
        <v>347</v>
      </c>
      <c r="E112" s="69"/>
      <c r="F112" s="14"/>
      <c r="G112" s="14"/>
      <c r="H112" s="14"/>
      <c r="I112" s="14"/>
      <c r="J112" s="14"/>
      <c r="K112" s="14"/>
      <c r="L112" s="14"/>
      <c r="M112" s="14"/>
      <c r="N112" s="14"/>
      <c r="O112" s="14"/>
      <c r="P112" s="14"/>
      <c r="Q112" s="14"/>
    </row>
  </sheetData>
  <autoFilter ref="A16:Q112" xr:uid="{00000000-0009-0000-0000-000009000000}"/>
  <mergeCells count="4">
    <mergeCell ref="B2:H2"/>
    <mergeCell ref="B3:H3"/>
    <mergeCell ref="B7:H7"/>
    <mergeCell ref="B15:L15"/>
  </mergeCells>
  <phoneticPr fontId="33" type="noConversion"/>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07"/>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t="s">
        <v>57</v>
      </c>
      <c r="C5" s="9" t="s">
        <v>95</v>
      </c>
      <c r="D5" s="10" t="s">
        <v>96</v>
      </c>
      <c r="E5" s="12" t="s">
        <v>20</v>
      </c>
      <c r="F5" s="61"/>
      <c r="G5" s="12"/>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9" t="s">
        <v>93</v>
      </c>
      <c r="D9" s="10" t="s">
        <v>94</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205</v>
      </c>
      <c r="C14" s="13" t="s">
        <v>206</v>
      </c>
      <c r="D14" s="9" t="s">
        <v>207</v>
      </c>
      <c r="E14" s="21" t="s">
        <v>182</v>
      </c>
      <c r="F14" s="22" t="s">
        <v>0</v>
      </c>
      <c r="G14" s="22" t="s">
        <v>208</v>
      </c>
      <c r="H14" s="23"/>
      <c r="I14" s="25"/>
      <c r="J14" s="25" t="s">
        <v>4</v>
      </c>
      <c r="K14" s="25" t="s">
        <v>209</v>
      </c>
      <c r="L14" s="25" t="s">
        <v>210</v>
      </c>
    </row>
    <row r="15" spans="1:14" s="1" customFormat="1">
      <c r="B15" s="13" t="s">
        <v>20</v>
      </c>
      <c r="C15" s="13" t="s">
        <v>211</v>
      </c>
      <c r="D15" s="9" t="s">
        <v>73</v>
      </c>
      <c r="E15" s="21" t="s">
        <v>182</v>
      </c>
      <c r="F15" s="22" t="s">
        <v>1</v>
      </c>
      <c r="G15" s="22" t="s">
        <v>208</v>
      </c>
      <c r="H15" s="23"/>
      <c r="I15" s="25"/>
      <c r="J15" s="25" t="s">
        <v>4</v>
      </c>
      <c r="K15" s="25" t="s">
        <v>209</v>
      </c>
      <c r="L15" s="25" t="s">
        <v>212</v>
      </c>
    </row>
    <row r="16" spans="1:14" s="1" customFormat="1">
      <c r="A16" s="132"/>
      <c r="B16" s="13" t="s">
        <v>214</v>
      </c>
      <c r="C16" s="13" t="s">
        <v>211</v>
      </c>
      <c r="D16" s="9" t="s">
        <v>215</v>
      </c>
      <c r="E16" s="21" t="s">
        <v>182</v>
      </c>
      <c r="F16" s="22" t="s">
        <v>214</v>
      </c>
      <c r="G16" s="22" t="s">
        <v>208</v>
      </c>
      <c r="H16" s="23"/>
      <c r="I16" s="133"/>
      <c r="J16" s="25" t="s">
        <v>4</v>
      </c>
      <c r="K16" s="25" t="s">
        <v>209</v>
      </c>
      <c r="L16" s="25" t="s">
        <v>216</v>
      </c>
    </row>
    <row r="17" spans="1:12" s="1" customFormat="1">
      <c r="A17" s="132"/>
      <c r="B17" s="13" t="s">
        <v>217</v>
      </c>
      <c r="C17" s="13" t="s">
        <v>211</v>
      </c>
      <c r="D17" s="9" t="s">
        <v>218</v>
      </c>
      <c r="E17" s="21" t="s">
        <v>182</v>
      </c>
      <c r="F17" s="22" t="s">
        <v>217</v>
      </c>
      <c r="G17" s="22" t="s">
        <v>208</v>
      </c>
      <c r="H17" s="23"/>
      <c r="I17" s="133"/>
      <c r="J17" s="25" t="s">
        <v>4</v>
      </c>
      <c r="K17" s="25" t="s">
        <v>209</v>
      </c>
      <c r="L17" s="25" t="s">
        <v>219</v>
      </c>
    </row>
    <row r="18" spans="1:12" s="1" customFormat="1">
      <c r="A18" s="132"/>
      <c r="B18" s="13" t="s">
        <v>220</v>
      </c>
      <c r="C18" s="13" t="s">
        <v>211</v>
      </c>
      <c r="D18" s="9" t="s">
        <v>221</v>
      </c>
      <c r="E18" s="21" t="s">
        <v>182</v>
      </c>
      <c r="F18" s="22" t="s">
        <v>222</v>
      </c>
      <c r="G18" s="22" t="s">
        <v>208</v>
      </c>
      <c r="H18" s="23"/>
      <c r="I18" s="133"/>
      <c r="J18" s="25" t="s">
        <v>4</v>
      </c>
      <c r="K18" s="25" t="s">
        <v>209</v>
      </c>
      <c r="L18" s="25" t="s">
        <v>223</v>
      </c>
    </row>
    <row r="19" spans="1:12" s="1" customFormat="1">
      <c r="A19" s="132"/>
      <c r="B19" s="13" t="s">
        <v>224</v>
      </c>
      <c r="C19" s="13" t="s">
        <v>211</v>
      </c>
      <c r="D19" s="9" t="s">
        <v>225</v>
      </c>
      <c r="E19" s="21" t="s">
        <v>182</v>
      </c>
      <c r="F19" s="9" t="s">
        <v>224</v>
      </c>
      <c r="G19" s="22" t="s">
        <v>208</v>
      </c>
      <c r="H19" s="23"/>
      <c r="I19" s="133"/>
      <c r="J19" s="25" t="s">
        <v>4</v>
      </c>
      <c r="K19" s="25" t="s">
        <v>209</v>
      </c>
      <c r="L19" s="25" t="s">
        <v>223</v>
      </c>
    </row>
    <row r="20" spans="1:12" s="1" customFormat="1">
      <c r="A20" s="132"/>
      <c r="B20" s="12" t="s">
        <v>228</v>
      </c>
      <c r="C20" s="13" t="s">
        <v>211</v>
      </c>
      <c r="D20" s="9" t="s">
        <v>229</v>
      </c>
      <c r="E20" s="21" t="s">
        <v>182</v>
      </c>
      <c r="F20" s="9" t="s">
        <v>228</v>
      </c>
      <c r="G20" s="22" t="s">
        <v>208</v>
      </c>
      <c r="H20" s="23"/>
      <c r="I20" s="133"/>
      <c r="J20" s="25" t="s">
        <v>4</v>
      </c>
      <c r="K20" s="25" t="s">
        <v>209</v>
      </c>
      <c r="L20" s="25" t="s">
        <v>223</v>
      </c>
    </row>
    <row r="21" spans="1:12" s="1" customFormat="1" ht="39.6">
      <c r="A21" s="132"/>
      <c r="B21" s="12" t="s">
        <v>230</v>
      </c>
      <c r="C21" s="13" t="s">
        <v>206</v>
      </c>
      <c r="D21" s="9" t="s">
        <v>231</v>
      </c>
      <c r="E21" s="21" t="s">
        <v>182</v>
      </c>
      <c r="F21" s="27" t="s">
        <v>232</v>
      </c>
      <c r="G21" s="22" t="s">
        <v>208</v>
      </c>
      <c r="H21" s="23"/>
      <c r="I21" s="133"/>
      <c r="J21" s="25" t="s">
        <v>4</v>
      </c>
      <c r="K21" s="25" t="s">
        <v>209</v>
      </c>
      <c r="L21" s="25" t="s">
        <v>209</v>
      </c>
    </row>
    <row r="22" spans="1:12" s="1" customFormat="1" ht="26.4">
      <c r="A22" s="132"/>
      <c r="B22" s="12" t="s">
        <v>233</v>
      </c>
      <c r="C22" s="13" t="s">
        <v>206</v>
      </c>
      <c r="D22" s="9" t="s">
        <v>234</v>
      </c>
      <c r="E22" s="21" t="s">
        <v>182</v>
      </c>
      <c r="F22" s="27" t="s">
        <v>235</v>
      </c>
      <c r="G22" s="22" t="s">
        <v>208</v>
      </c>
      <c r="H22" s="23"/>
      <c r="I22" s="133"/>
      <c r="J22" s="25" t="s">
        <v>4</v>
      </c>
      <c r="K22" s="25" t="s">
        <v>209</v>
      </c>
      <c r="L22" s="25" t="s">
        <v>209</v>
      </c>
    </row>
    <row r="23" spans="1:12" s="1" customFormat="1" ht="26.4">
      <c r="A23" s="132"/>
      <c r="B23" s="12" t="s">
        <v>236</v>
      </c>
      <c r="C23" s="13" t="s">
        <v>206</v>
      </c>
      <c r="D23" s="9" t="s">
        <v>237</v>
      </c>
      <c r="E23" s="21" t="s">
        <v>182</v>
      </c>
      <c r="F23" s="27" t="s">
        <v>238</v>
      </c>
      <c r="G23" s="22" t="s">
        <v>208</v>
      </c>
      <c r="H23" s="23"/>
      <c r="I23" s="133"/>
      <c r="J23" s="25" t="s">
        <v>4</v>
      </c>
      <c r="K23" s="25" t="s">
        <v>209</v>
      </c>
      <c r="L23" s="25" t="s">
        <v>209</v>
      </c>
    </row>
    <row r="24" spans="1:12" s="1" customFormat="1" ht="26.4">
      <c r="A24" s="132"/>
      <c r="B24" s="13" t="s">
        <v>239</v>
      </c>
      <c r="C24" s="12" t="s">
        <v>206</v>
      </c>
      <c r="D24" s="9" t="s">
        <v>240</v>
      </c>
      <c r="E24" s="21" t="s">
        <v>182</v>
      </c>
      <c r="F24" s="27" t="s">
        <v>241</v>
      </c>
      <c r="G24" s="22" t="s">
        <v>208</v>
      </c>
      <c r="H24" s="23"/>
      <c r="I24" s="133"/>
      <c r="J24" s="25" t="s">
        <v>4</v>
      </c>
      <c r="K24" s="25" t="s">
        <v>209</v>
      </c>
      <c r="L24" s="25" t="s">
        <v>209</v>
      </c>
    </row>
    <row r="25" spans="1:12" s="1" customFormat="1">
      <c r="A25" s="132"/>
      <c r="B25" s="12" t="s">
        <v>242</v>
      </c>
      <c r="C25" s="12" t="s">
        <v>206</v>
      </c>
      <c r="D25" s="9" t="s">
        <v>243</v>
      </c>
      <c r="E25" s="21" t="s">
        <v>182</v>
      </c>
      <c r="F25" s="22"/>
      <c r="G25" s="22" t="s">
        <v>208</v>
      </c>
      <c r="H25" s="23"/>
      <c r="I25" s="134"/>
      <c r="J25" s="25" t="s">
        <v>4</v>
      </c>
      <c r="K25" s="25" t="s">
        <v>209</v>
      </c>
      <c r="L25" s="25" t="s">
        <v>209</v>
      </c>
    </row>
    <row r="26" spans="1:12" s="1" customFormat="1">
      <c r="A26" s="132"/>
      <c r="B26" s="12" t="s">
        <v>246</v>
      </c>
      <c r="C26" s="12" t="s">
        <v>206</v>
      </c>
      <c r="D26" s="9" t="s">
        <v>247</v>
      </c>
      <c r="E26" s="21" t="s">
        <v>182</v>
      </c>
      <c r="F26" s="22" t="s">
        <v>246</v>
      </c>
      <c r="G26" s="22" t="s">
        <v>208</v>
      </c>
      <c r="H26" s="23"/>
      <c r="I26" s="133"/>
      <c r="J26" s="25" t="s">
        <v>4</v>
      </c>
      <c r="K26" s="25" t="s">
        <v>209</v>
      </c>
      <c r="L26" s="25" t="s">
        <v>209</v>
      </c>
    </row>
    <row r="27" spans="1:12" s="1" customFormat="1">
      <c r="A27" s="132"/>
      <c r="B27" s="12" t="s">
        <v>249</v>
      </c>
      <c r="C27" s="12" t="s">
        <v>206</v>
      </c>
      <c r="D27" s="9" t="s">
        <v>250</v>
      </c>
      <c r="E27" s="21" t="s">
        <v>182</v>
      </c>
      <c r="F27" s="22" t="s">
        <v>249</v>
      </c>
      <c r="G27" s="22" t="s">
        <v>208</v>
      </c>
      <c r="H27" s="23"/>
      <c r="I27" s="133"/>
      <c r="J27" s="25" t="s">
        <v>4</v>
      </c>
      <c r="K27" s="25" t="s">
        <v>209</v>
      </c>
      <c r="L27" s="25" t="s">
        <v>209</v>
      </c>
    </row>
    <row r="28" spans="1:12" s="1" customFormat="1">
      <c r="A28" s="132"/>
      <c r="B28" s="12" t="s">
        <v>251</v>
      </c>
      <c r="C28" s="12" t="s">
        <v>206</v>
      </c>
      <c r="D28" s="9" t="s">
        <v>252</v>
      </c>
      <c r="E28" s="21" t="s">
        <v>182</v>
      </c>
      <c r="F28" s="9" t="s">
        <v>251</v>
      </c>
      <c r="G28" s="22" t="s">
        <v>208</v>
      </c>
      <c r="H28" s="23"/>
      <c r="I28" s="133"/>
      <c r="J28" s="25" t="s">
        <v>4</v>
      </c>
      <c r="K28" s="25" t="s">
        <v>209</v>
      </c>
      <c r="L28" s="25" t="s">
        <v>209</v>
      </c>
    </row>
    <row r="29" spans="1:12" s="1" customFormat="1">
      <c r="A29" s="132"/>
      <c r="B29" s="12" t="s">
        <v>254</v>
      </c>
      <c r="C29" s="12" t="s">
        <v>206</v>
      </c>
      <c r="D29" s="9" t="s">
        <v>255</v>
      </c>
      <c r="E29" s="21" t="s">
        <v>182</v>
      </c>
      <c r="F29" s="22" t="s">
        <v>254</v>
      </c>
      <c r="G29" s="22" t="s">
        <v>208</v>
      </c>
      <c r="H29" s="23"/>
      <c r="I29" s="133"/>
      <c r="J29" s="25" t="s">
        <v>4</v>
      </c>
      <c r="K29" s="25" t="s">
        <v>209</v>
      </c>
      <c r="L29" s="25" t="s">
        <v>209</v>
      </c>
    </row>
    <row r="30" spans="1:12" s="1" customFormat="1">
      <c r="A30" s="132"/>
      <c r="B30" s="12" t="s">
        <v>256</v>
      </c>
      <c r="C30" s="12" t="s">
        <v>206</v>
      </c>
      <c r="D30" s="9" t="s">
        <v>257</v>
      </c>
      <c r="E30" s="21" t="s">
        <v>182</v>
      </c>
      <c r="F30" s="22" t="s">
        <v>256</v>
      </c>
      <c r="G30" s="22" t="s">
        <v>208</v>
      </c>
      <c r="H30" s="23"/>
      <c r="I30" s="133"/>
      <c r="J30" s="25" t="s">
        <v>4</v>
      </c>
      <c r="K30" s="25" t="s">
        <v>209</v>
      </c>
      <c r="L30" s="25" t="s">
        <v>209</v>
      </c>
    </row>
    <row r="31" spans="1:12" s="1" customFormat="1">
      <c r="A31" s="132"/>
      <c r="B31" s="13" t="s">
        <v>258</v>
      </c>
      <c r="C31" s="12" t="s">
        <v>206</v>
      </c>
      <c r="D31" s="9" t="s">
        <v>259</v>
      </c>
      <c r="E31" s="21" t="s">
        <v>182</v>
      </c>
      <c r="F31" s="22" t="s">
        <v>258</v>
      </c>
      <c r="G31" s="22" t="s">
        <v>208</v>
      </c>
      <c r="H31" s="23"/>
      <c r="I31" s="133"/>
      <c r="J31" s="25" t="s">
        <v>4</v>
      </c>
      <c r="K31" s="25" t="s">
        <v>209</v>
      </c>
      <c r="L31" s="25" t="s">
        <v>209</v>
      </c>
    </row>
    <row r="32" spans="1:12" s="1" customFormat="1">
      <c r="B32" s="13" t="s">
        <v>260</v>
      </c>
      <c r="C32" s="12" t="s">
        <v>206</v>
      </c>
      <c r="D32" s="9" t="s">
        <v>261</v>
      </c>
      <c r="E32" s="21" t="s">
        <v>182</v>
      </c>
      <c r="F32" s="22" t="s">
        <v>260</v>
      </c>
      <c r="G32" s="22" t="s">
        <v>208</v>
      </c>
      <c r="H32" s="23"/>
      <c r="I32" s="25"/>
      <c r="J32" s="25" t="s">
        <v>4</v>
      </c>
      <c r="K32" s="25" t="s">
        <v>209</v>
      </c>
      <c r="L32" s="25" t="s">
        <v>209</v>
      </c>
    </row>
    <row r="33" spans="1:13" s="1" customFormat="1">
      <c r="B33" s="13" t="s">
        <v>262</v>
      </c>
      <c r="C33" s="12" t="s">
        <v>206</v>
      </c>
      <c r="D33" s="9" t="s">
        <v>263</v>
      </c>
      <c r="E33" s="21" t="s">
        <v>182</v>
      </c>
      <c r="F33" s="22" t="s">
        <v>262</v>
      </c>
      <c r="G33" s="22" t="s">
        <v>208</v>
      </c>
      <c r="H33" s="23"/>
      <c r="I33" s="25"/>
      <c r="J33" s="25" t="s">
        <v>4</v>
      </c>
      <c r="K33" s="25" t="s">
        <v>209</v>
      </c>
      <c r="L33" s="25" t="s">
        <v>209</v>
      </c>
    </row>
    <row r="34" spans="1:13" s="132" customFormat="1">
      <c r="B34" s="13" t="s">
        <v>264</v>
      </c>
      <c r="C34" s="12" t="s">
        <v>206</v>
      </c>
      <c r="D34" s="9" t="s">
        <v>265</v>
      </c>
      <c r="E34" s="21" t="s">
        <v>182</v>
      </c>
      <c r="F34" s="22" t="s">
        <v>264</v>
      </c>
      <c r="G34" s="22" t="s">
        <v>208</v>
      </c>
      <c r="H34" s="23"/>
      <c r="I34" s="133"/>
      <c r="J34" s="25" t="s">
        <v>4</v>
      </c>
      <c r="K34" s="25" t="s">
        <v>209</v>
      </c>
      <c r="L34" s="25" t="s">
        <v>223</v>
      </c>
      <c r="M34" s="1"/>
    </row>
    <row r="35" spans="1:13" s="132" customFormat="1">
      <c r="B35" s="13" t="s">
        <v>266</v>
      </c>
      <c r="C35" s="12" t="s">
        <v>206</v>
      </c>
      <c r="D35" s="9" t="s">
        <v>267</v>
      </c>
      <c r="E35" s="21" t="s">
        <v>182</v>
      </c>
      <c r="F35" s="22" t="s">
        <v>266</v>
      </c>
      <c r="G35" s="22" t="s">
        <v>208</v>
      </c>
      <c r="H35" s="23"/>
      <c r="I35" s="133"/>
      <c r="J35" s="25" t="s">
        <v>4</v>
      </c>
      <c r="K35" s="25" t="s">
        <v>209</v>
      </c>
      <c r="L35" s="25" t="s">
        <v>209</v>
      </c>
      <c r="M35" s="1"/>
    </row>
    <row r="36" spans="1:13" s="136" customFormat="1">
      <c r="A36" s="137"/>
      <c r="B36" s="138" t="s">
        <v>268</v>
      </c>
      <c r="C36" s="12" t="s">
        <v>206</v>
      </c>
      <c r="D36" s="9" t="s">
        <v>269</v>
      </c>
      <c r="E36" s="21" t="s">
        <v>182</v>
      </c>
      <c r="F36" s="22" t="s">
        <v>268</v>
      </c>
      <c r="G36" s="22" t="s">
        <v>208</v>
      </c>
      <c r="H36" s="23"/>
      <c r="I36" s="139"/>
      <c r="J36" s="25" t="s">
        <v>4</v>
      </c>
      <c r="K36" s="25" t="s">
        <v>209</v>
      </c>
      <c r="L36" s="25" t="s">
        <v>209</v>
      </c>
      <c r="M36" s="1"/>
    </row>
    <row r="37" spans="1:13" s="136" customFormat="1">
      <c r="A37" s="137"/>
      <c r="B37" s="138" t="s">
        <v>270</v>
      </c>
      <c r="C37" s="12" t="s">
        <v>211</v>
      </c>
      <c r="D37" s="9" t="s">
        <v>271</v>
      </c>
      <c r="E37" s="21" t="s">
        <v>182</v>
      </c>
      <c r="F37" s="22" t="s">
        <v>270</v>
      </c>
      <c r="G37" s="22" t="s">
        <v>208</v>
      </c>
      <c r="H37" s="23"/>
      <c r="I37" s="139"/>
      <c r="J37" s="25" t="s">
        <v>4</v>
      </c>
      <c r="K37" s="25" t="s">
        <v>209</v>
      </c>
      <c r="L37" s="25" t="s">
        <v>272</v>
      </c>
      <c r="M37" s="1"/>
    </row>
    <row r="38" spans="1:13" s="136" customFormat="1">
      <c r="A38" s="137"/>
      <c r="B38" s="138" t="s">
        <v>273</v>
      </c>
      <c r="C38" s="12" t="s">
        <v>211</v>
      </c>
      <c r="D38" s="9" t="s">
        <v>274</v>
      </c>
      <c r="E38" s="21" t="s">
        <v>182</v>
      </c>
      <c r="F38" s="140" t="s">
        <v>273</v>
      </c>
      <c r="G38" s="22" t="s">
        <v>208</v>
      </c>
      <c r="H38" s="23"/>
      <c r="I38" s="139"/>
      <c r="J38" s="25" t="s">
        <v>4</v>
      </c>
      <c r="K38" s="25" t="s">
        <v>209</v>
      </c>
      <c r="L38" s="25" t="s">
        <v>209</v>
      </c>
      <c r="M38" s="1"/>
    </row>
    <row r="39" spans="1:13" s="1" customFormat="1">
      <c r="A39" s="132"/>
      <c r="B39" s="12" t="s">
        <v>276</v>
      </c>
      <c r="C39" s="12" t="s">
        <v>206</v>
      </c>
      <c r="D39" s="9" t="s">
        <v>277</v>
      </c>
      <c r="E39" s="21" t="s">
        <v>182</v>
      </c>
      <c r="F39" s="22" t="s">
        <v>276</v>
      </c>
      <c r="G39" s="22" t="s">
        <v>208</v>
      </c>
      <c r="H39" s="23"/>
      <c r="I39" s="19"/>
      <c r="J39" s="25" t="s">
        <v>4</v>
      </c>
      <c r="K39" s="25" t="s">
        <v>209</v>
      </c>
      <c r="L39" s="25" t="s">
        <v>209</v>
      </c>
    </row>
    <row r="40" spans="1:13" s="1" customFormat="1">
      <c r="A40" s="132"/>
      <c r="B40" s="12" t="s">
        <v>462</v>
      </c>
      <c r="C40" s="12" t="s">
        <v>211</v>
      </c>
      <c r="D40" s="9" t="s">
        <v>463</v>
      </c>
      <c r="E40" s="21" t="s">
        <v>182</v>
      </c>
      <c r="F40" s="22" t="s">
        <v>462</v>
      </c>
      <c r="G40" s="22" t="s">
        <v>208</v>
      </c>
      <c r="H40" s="23"/>
      <c r="I40" s="19"/>
      <c r="J40" s="25" t="s">
        <v>4</v>
      </c>
      <c r="K40" s="25" t="s">
        <v>209</v>
      </c>
      <c r="L40" s="25" t="s">
        <v>272</v>
      </c>
    </row>
    <row r="41" spans="1:13" s="1" customFormat="1" ht="26.4">
      <c r="A41" s="132"/>
      <c r="B41" s="12" t="s">
        <v>465</v>
      </c>
      <c r="C41" s="12" t="s">
        <v>211</v>
      </c>
      <c r="D41" s="9" t="s">
        <v>466</v>
      </c>
      <c r="E41" s="21" t="s">
        <v>182</v>
      </c>
      <c r="F41" s="22" t="s">
        <v>465</v>
      </c>
      <c r="G41" s="22" t="s">
        <v>208</v>
      </c>
      <c r="H41" s="23"/>
      <c r="I41" s="19"/>
      <c r="J41" s="25" t="s">
        <v>4</v>
      </c>
      <c r="K41" s="25" t="s">
        <v>209</v>
      </c>
      <c r="L41" s="25" t="s">
        <v>272</v>
      </c>
    </row>
    <row r="42" spans="1:13" s="1" customFormat="1">
      <c r="A42" s="132"/>
      <c r="B42" s="12" t="s">
        <v>468</v>
      </c>
      <c r="C42" s="12" t="s">
        <v>281</v>
      </c>
      <c r="D42" s="9" t="s">
        <v>469</v>
      </c>
      <c r="E42" s="21" t="s">
        <v>182</v>
      </c>
      <c r="F42" s="22"/>
      <c r="G42" s="19" t="s">
        <v>470</v>
      </c>
      <c r="H42" s="23"/>
      <c r="I42" s="19"/>
      <c r="J42" s="25" t="s">
        <v>284</v>
      </c>
      <c r="K42" s="25" t="s">
        <v>471</v>
      </c>
      <c r="L42" s="25" t="s">
        <v>285</v>
      </c>
    </row>
    <row r="43" spans="1:13" s="1" customFormat="1">
      <c r="A43" s="132"/>
      <c r="B43" s="12" t="s">
        <v>309</v>
      </c>
      <c r="C43" s="12" t="s">
        <v>281</v>
      </c>
      <c r="D43" s="9" t="s">
        <v>310</v>
      </c>
      <c r="E43" s="21" t="s">
        <v>182</v>
      </c>
      <c r="F43" s="22"/>
      <c r="G43" s="19" t="s">
        <v>656</v>
      </c>
      <c r="H43" s="23"/>
      <c r="I43" s="19"/>
      <c r="J43" s="25" t="s">
        <v>284</v>
      </c>
      <c r="K43" s="25" t="s">
        <v>209</v>
      </c>
      <c r="L43" s="25" t="s">
        <v>285</v>
      </c>
    </row>
    <row r="44" spans="1:13" s="1" customFormat="1">
      <c r="A44" s="132"/>
      <c r="B44" s="12" t="s">
        <v>473</v>
      </c>
      <c r="C44" s="12" t="s">
        <v>281</v>
      </c>
      <c r="D44" s="9" t="s">
        <v>474</v>
      </c>
      <c r="E44" s="21" t="s">
        <v>182</v>
      </c>
      <c r="F44" s="22"/>
      <c r="G44" s="19" t="s">
        <v>657</v>
      </c>
      <c r="H44" s="23"/>
      <c r="I44" s="19"/>
      <c r="J44" s="25" t="s">
        <v>284</v>
      </c>
      <c r="K44" s="25" t="s">
        <v>209</v>
      </c>
      <c r="L44" s="25" t="s">
        <v>285</v>
      </c>
    </row>
    <row r="45" spans="1:13" s="1" customFormat="1">
      <c r="A45" s="132"/>
      <c r="B45" s="12" t="s">
        <v>476</v>
      </c>
      <c r="C45" s="12" t="s">
        <v>281</v>
      </c>
      <c r="D45" s="9" t="s">
        <v>477</v>
      </c>
      <c r="E45" s="21" t="s">
        <v>182</v>
      </c>
      <c r="F45" s="22"/>
      <c r="G45" s="19" t="s">
        <v>658</v>
      </c>
      <c r="H45" s="23"/>
      <c r="I45" s="19"/>
      <c r="J45" s="25" t="s">
        <v>284</v>
      </c>
      <c r="K45" s="25" t="s">
        <v>209</v>
      </c>
      <c r="L45" s="25" t="s">
        <v>285</v>
      </c>
    </row>
    <row r="46" spans="1:13" s="1" customFormat="1">
      <c r="A46" s="132"/>
      <c r="B46" s="12" t="s">
        <v>479</v>
      </c>
      <c r="C46" s="12" t="s">
        <v>281</v>
      </c>
      <c r="D46" s="9" t="s">
        <v>480</v>
      </c>
      <c r="E46" s="21" t="s">
        <v>182</v>
      </c>
      <c r="F46" s="22"/>
      <c r="G46" s="19" t="s">
        <v>659</v>
      </c>
      <c r="H46" s="23"/>
      <c r="I46" s="19"/>
      <c r="J46" s="25" t="s">
        <v>284</v>
      </c>
      <c r="K46" s="25" t="s">
        <v>209</v>
      </c>
      <c r="L46" s="25" t="s">
        <v>285</v>
      </c>
    </row>
    <row r="47" spans="1:13" s="1" customFormat="1">
      <c r="A47" s="132"/>
      <c r="B47" s="12" t="s">
        <v>482</v>
      </c>
      <c r="C47" s="12" t="s">
        <v>281</v>
      </c>
      <c r="D47" s="9" t="s">
        <v>483</v>
      </c>
      <c r="E47" s="21" t="s">
        <v>182</v>
      </c>
      <c r="F47" s="22"/>
      <c r="G47" s="19" t="s">
        <v>660</v>
      </c>
      <c r="H47" s="23"/>
      <c r="I47" s="19"/>
      <c r="J47" s="25" t="s">
        <v>284</v>
      </c>
      <c r="K47" s="25" t="s">
        <v>471</v>
      </c>
      <c r="L47" s="25" t="s">
        <v>485</v>
      </c>
    </row>
    <row r="48" spans="1:13" s="1" customFormat="1">
      <c r="A48" s="132"/>
      <c r="B48" s="12" t="s">
        <v>486</v>
      </c>
      <c r="C48" s="12" t="s">
        <v>281</v>
      </c>
      <c r="D48" s="9" t="s">
        <v>487</v>
      </c>
      <c r="E48" s="21" t="s">
        <v>182</v>
      </c>
      <c r="F48" s="22"/>
      <c r="G48" s="19" t="s">
        <v>2394</v>
      </c>
      <c r="H48" s="23"/>
      <c r="I48" s="19"/>
      <c r="J48" s="25" t="s">
        <v>284</v>
      </c>
      <c r="K48" s="25" t="s">
        <v>471</v>
      </c>
      <c r="L48" s="25" t="s">
        <v>485</v>
      </c>
    </row>
    <row r="49" spans="1:12" s="1" customFormat="1">
      <c r="A49" s="132"/>
      <c r="B49" s="12" t="s">
        <v>488</v>
      </c>
      <c r="C49" s="12" t="s">
        <v>281</v>
      </c>
      <c r="D49" s="9" t="s">
        <v>662</v>
      </c>
      <c r="E49" s="21" t="s">
        <v>182</v>
      </c>
      <c r="F49" s="22"/>
      <c r="G49" s="19" t="s">
        <v>663</v>
      </c>
      <c r="H49" s="23"/>
      <c r="I49" s="19"/>
      <c r="J49" s="25" t="s">
        <v>284</v>
      </c>
      <c r="K49" s="25" t="s">
        <v>209</v>
      </c>
      <c r="L49" s="25" t="s">
        <v>285</v>
      </c>
    </row>
    <row r="50" spans="1:12" s="1" customFormat="1">
      <c r="A50" s="132"/>
      <c r="B50" s="12" t="s">
        <v>491</v>
      </c>
      <c r="C50" s="12" t="s">
        <v>281</v>
      </c>
      <c r="D50" s="9" t="s">
        <v>664</v>
      </c>
      <c r="E50" s="21" t="s">
        <v>182</v>
      </c>
      <c r="F50" s="22"/>
      <c r="G50" s="19" t="s">
        <v>665</v>
      </c>
      <c r="H50" s="23"/>
      <c r="I50" s="19"/>
      <c r="J50" s="25" t="s">
        <v>284</v>
      </c>
      <c r="K50" s="25" t="s">
        <v>209</v>
      </c>
      <c r="L50" s="25" t="s">
        <v>285</v>
      </c>
    </row>
    <row r="51" spans="1:12" s="1" customFormat="1">
      <c r="A51" s="132"/>
      <c r="B51" s="12" t="s">
        <v>494</v>
      </c>
      <c r="C51" s="12" t="s">
        <v>281</v>
      </c>
      <c r="D51" s="9" t="s">
        <v>666</v>
      </c>
      <c r="E51" s="21" t="s">
        <v>182</v>
      </c>
      <c r="F51" s="22"/>
      <c r="G51" s="19" t="s">
        <v>667</v>
      </c>
      <c r="H51" s="23"/>
      <c r="I51" s="19"/>
      <c r="J51" s="25" t="s">
        <v>284</v>
      </c>
      <c r="K51" s="25" t="s">
        <v>209</v>
      </c>
      <c r="L51" s="25" t="s">
        <v>285</v>
      </c>
    </row>
    <row r="52" spans="1:12" s="1" customFormat="1">
      <c r="A52" s="132"/>
      <c r="B52" s="12" t="s">
        <v>497</v>
      </c>
      <c r="C52" s="12" t="s">
        <v>281</v>
      </c>
      <c r="D52" s="9" t="s">
        <v>668</v>
      </c>
      <c r="E52" s="21" t="s">
        <v>182</v>
      </c>
      <c r="F52" s="22"/>
      <c r="G52" s="19" t="s">
        <v>669</v>
      </c>
      <c r="H52" s="23"/>
      <c r="I52" s="19"/>
      <c r="J52" s="25" t="s">
        <v>284</v>
      </c>
      <c r="K52" s="25" t="s">
        <v>209</v>
      </c>
      <c r="L52" s="25" t="s">
        <v>285</v>
      </c>
    </row>
    <row r="53" spans="1:12" s="1" customFormat="1">
      <c r="A53" s="132"/>
      <c r="B53" s="12" t="s">
        <v>500</v>
      </c>
      <c r="C53" s="12" t="s">
        <v>281</v>
      </c>
      <c r="D53" s="9" t="s">
        <v>670</v>
      </c>
      <c r="E53" s="21" t="s">
        <v>182</v>
      </c>
      <c r="F53" s="22"/>
      <c r="G53" s="19" t="s">
        <v>671</v>
      </c>
      <c r="H53" s="23"/>
      <c r="I53" s="19"/>
      <c r="J53" s="25" t="s">
        <v>284</v>
      </c>
      <c r="K53" s="25" t="s">
        <v>209</v>
      </c>
      <c r="L53" s="25" t="s">
        <v>285</v>
      </c>
    </row>
    <row r="54" spans="1:12" s="1" customFormat="1">
      <c r="A54" s="132"/>
      <c r="B54" s="12" t="s">
        <v>503</v>
      </c>
      <c r="C54" s="12" t="s">
        <v>281</v>
      </c>
      <c r="D54" s="9" t="s">
        <v>504</v>
      </c>
      <c r="E54" s="21" t="s">
        <v>182</v>
      </c>
      <c r="F54" s="22"/>
      <c r="G54" s="19" t="s">
        <v>672</v>
      </c>
      <c r="H54" s="23"/>
      <c r="I54" s="19"/>
      <c r="J54" s="25" t="s">
        <v>284</v>
      </c>
      <c r="K54" s="25" t="s">
        <v>209</v>
      </c>
      <c r="L54" s="25" t="s">
        <v>285</v>
      </c>
    </row>
    <row r="55" spans="1:12" s="1" customFormat="1">
      <c r="A55" s="132"/>
      <c r="B55" s="12" t="s">
        <v>506</v>
      </c>
      <c r="C55" s="12" t="s">
        <v>281</v>
      </c>
      <c r="D55" s="9" t="s">
        <v>507</v>
      </c>
      <c r="E55" s="21" t="s">
        <v>182</v>
      </c>
      <c r="F55" s="22"/>
      <c r="G55" s="19" t="s">
        <v>673</v>
      </c>
      <c r="H55" s="23"/>
      <c r="I55" s="19"/>
      <c r="J55" s="25" t="s">
        <v>284</v>
      </c>
      <c r="K55" s="25" t="s">
        <v>471</v>
      </c>
      <c r="L55" s="25" t="s">
        <v>485</v>
      </c>
    </row>
    <row r="56" spans="1:12" s="1" customFormat="1">
      <c r="A56" s="132"/>
      <c r="B56" s="12" t="s">
        <v>509</v>
      </c>
      <c r="C56" s="12" t="s">
        <v>281</v>
      </c>
      <c r="D56" s="9" t="s">
        <v>510</v>
      </c>
      <c r="E56" s="21" t="s">
        <v>182</v>
      </c>
      <c r="F56" s="22"/>
      <c r="G56" s="19" t="s">
        <v>674</v>
      </c>
      <c r="H56" s="23"/>
      <c r="I56" s="19"/>
      <c r="J56" s="25" t="s">
        <v>284</v>
      </c>
      <c r="K56" s="25" t="s">
        <v>471</v>
      </c>
      <c r="L56" s="25" t="s">
        <v>485</v>
      </c>
    </row>
    <row r="57" spans="1:12" s="1" customFormat="1">
      <c r="A57" s="132"/>
      <c r="B57" s="12" t="s">
        <v>512</v>
      </c>
      <c r="C57" s="12" t="s">
        <v>281</v>
      </c>
      <c r="D57" s="9" t="s">
        <v>675</v>
      </c>
      <c r="E57" s="21" t="s">
        <v>182</v>
      </c>
      <c r="F57" s="22"/>
      <c r="G57" s="19" t="s">
        <v>676</v>
      </c>
      <c r="H57" s="23"/>
      <c r="I57" s="19"/>
      <c r="J57" s="25" t="s">
        <v>284</v>
      </c>
      <c r="K57" s="25" t="s">
        <v>209</v>
      </c>
      <c r="L57" s="25" t="s">
        <v>285</v>
      </c>
    </row>
    <row r="58" spans="1:12" s="1" customFormat="1">
      <c r="A58" s="132"/>
      <c r="B58" s="12" t="s">
        <v>515</v>
      </c>
      <c r="C58" s="12" t="s">
        <v>281</v>
      </c>
      <c r="D58" s="9" t="s">
        <v>677</v>
      </c>
      <c r="E58" s="21" t="s">
        <v>182</v>
      </c>
      <c r="F58" s="22"/>
      <c r="G58" s="19" t="s">
        <v>678</v>
      </c>
      <c r="H58" s="23"/>
      <c r="I58" s="19"/>
      <c r="J58" s="25" t="s">
        <v>284</v>
      </c>
      <c r="K58" s="25" t="s">
        <v>209</v>
      </c>
      <c r="L58" s="25" t="s">
        <v>285</v>
      </c>
    </row>
    <row r="59" spans="1:12" s="1" customFormat="1">
      <c r="A59" s="132"/>
      <c r="B59" s="12" t="s">
        <v>518</v>
      </c>
      <c r="C59" s="12" t="s">
        <v>281</v>
      </c>
      <c r="D59" s="9" t="s">
        <v>679</v>
      </c>
      <c r="E59" s="21" t="s">
        <v>182</v>
      </c>
      <c r="F59" s="22"/>
      <c r="G59" s="19" t="s">
        <v>680</v>
      </c>
      <c r="H59" s="23"/>
      <c r="I59" s="19"/>
      <c r="J59" s="25" t="s">
        <v>284</v>
      </c>
      <c r="K59" s="25" t="s">
        <v>209</v>
      </c>
      <c r="L59" s="25" t="s">
        <v>285</v>
      </c>
    </row>
    <row r="60" spans="1:12" s="1" customFormat="1">
      <c r="A60" s="132"/>
      <c r="B60" s="12" t="s">
        <v>521</v>
      </c>
      <c r="C60" s="12" t="s">
        <v>281</v>
      </c>
      <c r="D60" s="9" t="s">
        <v>681</v>
      </c>
      <c r="E60" s="21" t="s">
        <v>182</v>
      </c>
      <c r="F60" s="22"/>
      <c r="G60" s="19" t="s">
        <v>682</v>
      </c>
      <c r="H60" s="23"/>
      <c r="I60" s="19"/>
      <c r="J60" s="25" t="s">
        <v>284</v>
      </c>
      <c r="K60" s="25" t="s">
        <v>209</v>
      </c>
      <c r="L60" s="25" t="s">
        <v>285</v>
      </c>
    </row>
    <row r="61" spans="1:12" s="1" customFormat="1">
      <c r="A61" s="132"/>
      <c r="B61" s="12" t="s">
        <v>524</v>
      </c>
      <c r="C61" s="12" t="s">
        <v>281</v>
      </c>
      <c r="D61" s="9" t="s">
        <v>683</v>
      </c>
      <c r="E61" s="21" t="s">
        <v>182</v>
      </c>
      <c r="F61" s="22"/>
      <c r="G61" s="19" t="s">
        <v>684</v>
      </c>
      <c r="H61" s="23"/>
      <c r="I61" s="19"/>
      <c r="J61" s="25" t="s">
        <v>284</v>
      </c>
      <c r="K61" s="25" t="s">
        <v>209</v>
      </c>
      <c r="L61" s="25" t="s">
        <v>285</v>
      </c>
    </row>
    <row r="62" spans="1:12" s="1" customFormat="1">
      <c r="A62" s="132"/>
      <c r="B62" s="12" t="s">
        <v>527</v>
      </c>
      <c r="C62" s="12" t="s">
        <v>281</v>
      </c>
      <c r="D62" s="9" t="s">
        <v>528</v>
      </c>
      <c r="E62" s="21" t="s">
        <v>182</v>
      </c>
      <c r="F62" s="22"/>
      <c r="G62" s="19" t="s">
        <v>685</v>
      </c>
      <c r="H62" s="23"/>
      <c r="I62" s="19"/>
      <c r="J62" s="25" t="s">
        <v>284</v>
      </c>
      <c r="K62" s="25" t="s">
        <v>471</v>
      </c>
      <c r="L62" s="25" t="s">
        <v>485</v>
      </c>
    </row>
    <row r="63" spans="1:12" s="1" customFormat="1">
      <c r="A63" s="132"/>
      <c r="B63" s="12" t="s">
        <v>529</v>
      </c>
      <c r="C63" s="12" t="s">
        <v>281</v>
      </c>
      <c r="D63" s="9" t="s">
        <v>530</v>
      </c>
      <c r="E63" s="21" t="s">
        <v>182</v>
      </c>
      <c r="F63" s="22"/>
      <c r="G63" s="19" t="s">
        <v>686</v>
      </c>
      <c r="H63" s="23"/>
      <c r="I63" s="19"/>
      <c r="J63" s="25" t="s">
        <v>284</v>
      </c>
      <c r="K63" s="25" t="s">
        <v>471</v>
      </c>
      <c r="L63" s="25" t="s">
        <v>485</v>
      </c>
    </row>
    <row r="64" spans="1:12" s="1" customFormat="1">
      <c r="A64" s="132"/>
      <c r="B64" s="12" t="s">
        <v>532</v>
      </c>
      <c r="C64" s="12" t="s">
        <v>319</v>
      </c>
      <c r="D64" s="9" t="s">
        <v>533</v>
      </c>
      <c r="E64" s="21" t="s">
        <v>182</v>
      </c>
      <c r="F64" s="22"/>
      <c r="G64" s="19" t="s">
        <v>687</v>
      </c>
      <c r="H64" s="23"/>
      <c r="I64" s="19"/>
      <c r="J64" s="25" t="s">
        <v>284</v>
      </c>
      <c r="K64" s="25" t="s">
        <v>471</v>
      </c>
      <c r="L64" s="25" t="s">
        <v>485</v>
      </c>
    </row>
    <row r="65" spans="1:12" s="1" customFormat="1">
      <c r="A65" s="132"/>
      <c r="B65" s="12" t="s">
        <v>535</v>
      </c>
      <c r="C65" s="12" t="s">
        <v>281</v>
      </c>
      <c r="D65" s="9" t="s">
        <v>536</v>
      </c>
      <c r="E65" s="21" t="s">
        <v>182</v>
      </c>
      <c r="F65" s="22"/>
      <c r="G65" s="19" t="s">
        <v>688</v>
      </c>
      <c r="H65" s="23"/>
      <c r="I65" s="19"/>
      <c r="J65" s="25" t="s">
        <v>284</v>
      </c>
      <c r="K65" s="25" t="s">
        <v>538</v>
      </c>
      <c r="L65" s="25" t="s">
        <v>485</v>
      </c>
    </row>
    <row r="66" spans="1:12" s="1" customFormat="1">
      <c r="A66" s="132"/>
      <c r="B66" s="12" t="s">
        <v>539</v>
      </c>
      <c r="C66" s="12" t="s">
        <v>281</v>
      </c>
      <c r="D66" s="9" t="s">
        <v>540</v>
      </c>
      <c r="E66" s="21" t="s">
        <v>182</v>
      </c>
      <c r="F66" s="22"/>
      <c r="G66" s="19" t="s">
        <v>689</v>
      </c>
      <c r="H66" s="23"/>
      <c r="I66" s="19"/>
      <c r="J66" s="25" t="s">
        <v>284</v>
      </c>
      <c r="K66" s="25" t="s">
        <v>538</v>
      </c>
      <c r="L66" s="25" t="s">
        <v>485</v>
      </c>
    </row>
    <row r="67" spans="1:12" s="1" customFormat="1">
      <c r="A67" s="132"/>
      <c r="B67" s="12" t="s">
        <v>542</v>
      </c>
      <c r="C67" s="12" t="s">
        <v>281</v>
      </c>
      <c r="D67" s="9" t="s">
        <v>543</v>
      </c>
      <c r="E67" s="21" t="s">
        <v>182</v>
      </c>
      <c r="F67" s="22"/>
      <c r="G67" s="19" t="s">
        <v>690</v>
      </c>
      <c r="H67" s="23"/>
      <c r="I67" s="19"/>
      <c r="J67" s="25" t="s">
        <v>284</v>
      </c>
      <c r="K67" s="25" t="s">
        <v>209</v>
      </c>
      <c r="L67" s="25" t="s">
        <v>285</v>
      </c>
    </row>
    <row r="68" spans="1:12" s="1" customFormat="1">
      <c r="A68" s="132"/>
      <c r="B68" s="12" t="s">
        <v>545</v>
      </c>
      <c r="C68" s="12" t="s">
        <v>281</v>
      </c>
      <c r="D68" s="9" t="s">
        <v>546</v>
      </c>
      <c r="E68" s="21" t="s">
        <v>182</v>
      </c>
      <c r="F68" s="22"/>
      <c r="G68" s="19" t="s">
        <v>691</v>
      </c>
      <c r="H68" s="23"/>
      <c r="I68" s="19"/>
      <c r="J68" s="25" t="s">
        <v>284</v>
      </c>
      <c r="K68" s="25" t="s">
        <v>209</v>
      </c>
      <c r="L68" s="25" t="s">
        <v>285</v>
      </c>
    </row>
    <row r="69" spans="1:12" s="1" customFormat="1">
      <c r="A69" s="132"/>
      <c r="B69" s="12" t="s">
        <v>548</v>
      </c>
      <c r="C69" s="12" t="s">
        <v>281</v>
      </c>
      <c r="D69" s="9" t="s">
        <v>549</v>
      </c>
      <c r="E69" s="21" t="s">
        <v>182</v>
      </c>
      <c r="F69" s="22"/>
      <c r="G69" s="19" t="s">
        <v>692</v>
      </c>
      <c r="H69" s="23"/>
      <c r="I69" s="19"/>
      <c r="J69" s="25" t="s">
        <v>284</v>
      </c>
      <c r="K69" s="25" t="s">
        <v>209</v>
      </c>
      <c r="L69" s="25" t="s">
        <v>285</v>
      </c>
    </row>
    <row r="70" spans="1:12" s="1" customFormat="1">
      <c r="A70" s="132"/>
      <c r="B70" s="12" t="s">
        <v>551</v>
      </c>
      <c r="C70" s="12" t="s">
        <v>281</v>
      </c>
      <c r="D70" s="9" t="s">
        <v>552</v>
      </c>
      <c r="E70" s="21" t="s">
        <v>182</v>
      </c>
      <c r="F70" s="22"/>
      <c r="G70" s="19" t="s">
        <v>693</v>
      </c>
      <c r="H70" s="23"/>
      <c r="I70" s="19"/>
      <c r="J70" s="25" t="s">
        <v>284</v>
      </c>
      <c r="K70" s="25" t="s">
        <v>209</v>
      </c>
      <c r="L70" s="25" t="s">
        <v>285</v>
      </c>
    </row>
    <row r="71" spans="1:12" s="1" customFormat="1">
      <c r="A71" s="132"/>
      <c r="B71" s="12" t="s">
        <v>554</v>
      </c>
      <c r="C71" s="12" t="s">
        <v>281</v>
      </c>
      <c r="D71" s="9" t="s">
        <v>555</v>
      </c>
      <c r="E71" s="21" t="s">
        <v>182</v>
      </c>
      <c r="F71" s="22"/>
      <c r="G71" s="19" t="s">
        <v>694</v>
      </c>
      <c r="H71" s="23"/>
      <c r="I71" s="19"/>
      <c r="J71" s="25" t="s">
        <v>284</v>
      </c>
      <c r="K71" s="25" t="s">
        <v>209</v>
      </c>
      <c r="L71" s="25" t="s">
        <v>285</v>
      </c>
    </row>
    <row r="72" spans="1:12" s="1" customFormat="1">
      <c r="A72" s="132"/>
      <c r="B72" s="12" t="s">
        <v>557</v>
      </c>
      <c r="C72" s="12" t="s">
        <v>281</v>
      </c>
      <c r="D72" s="9" t="s">
        <v>558</v>
      </c>
      <c r="E72" s="21" t="s">
        <v>182</v>
      </c>
      <c r="F72" s="22"/>
      <c r="G72" s="19" t="s">
        <v>695</v>
      </c>
      <c r="H72" s="23"/>
      <c r="I72" s="19"/>
      <c r="J72" s="25" t="s">
        <v>284</v>
      </c>
      <c r="K72" s="25" t="s">
        <v>209</v>
      </c>
      <c r="L72" s="25" t="s">
        <v>285</v>
      </c>
    </row>
    <row r="73" spans="1:12" s="1" customFormat="1">
      <c r="A73" s="132"/>
      <c r="B73" s="12" t="s">
        <v>560</v>
      </c>
      <c r="C73" s="12" t="s">
        <v>281</v>
      </c>
      <c r="D73" s="9" t="s">
        <v>561</v>
      </c>
      <c r="E73" s="21" t="s">
        <v>182</v>
      </c>
      <c r="F73" s="22"/>
      <c r="G73" s="19" t="s">
        <v>696</v>
      </c>
      <c r="H73" s="23"/>
      <c r="I73" s="19"/>
      <c r="J73" s="25" t="s">
        <v>284</v>
      </c>
      <c r="K73" s="25" t="s">
        <v>209</v>
      </c>
      <c r="L73" s="25" t="s">
        <v>285</v>
      </c>
    </row>
    <row r="74" spans="1:12" s="1" customFormat="1">
      <c r="A74" s="132"/>
      <c r="B74" s="12" t="s">
        <v>563</v>
      </c>
      <c r="C74" s="12" t="s">
        <v>281</v>
      </c>
      <c r="D74" s="9" t="s">
        <v>564</v>
      </c>
      <c r="E74" s="21" t="s">
        <v>182</v>
      </c>
      <c r="F74" s="22"/>
      <c r="G74" s="19" t="s">
        <v>697</v>
      </c>
      <c r="H74" s="23"/>
      <c r="I74" s="19"/>
      <c r="J74" s="25" t="s">
        <v>284</v>
      </c>
      <c r="K74" s="25" t="s">
        <v>209</v>
      </c>
      <c r="L74" s="25" t="s">
        <v>285</v>
      </c>
    </row>
    <row r="75" spans="1:12" s="1" customFormat="1">
      <c r="A75" s="132"/>
      <c r="B75" s="12" t="s">
        <v>566</v>
      </c>
      <c r="C75" s="12" t="s">
        <v>281</v>
      </c>
      <c r="D75" s="9" t="s">
        <v>567</v>
      </c>
      <c r="E75" s="21" t="s">
        <v>182</v>
      </c>
      <c r="F75" s="22"/>
      <c r="G75" s="19" t="s">
        <v>698</v>
      </c>
      <c r="H75" s="23"/>
      <c r="I75" s="19"/>
      <c r="J75" s="25" t="s">
        <v>284</v>
      </c>
      <c r="K75" s="25" t="s">
        <v>471</v>
      </c>
      <c r="L75" s="25" t="s">
        <v>285</v>
      </c>
    </row>
    <row r="76" spans="1:12" s="1" customFormat="1">
      <c r="A76" s="132"/>
      <c r="B76" s="12" t="s">
        <v>569</v>
      </c>
      <c r="C76" s="12" t="s">
        <v>281</v>
      </c>
      <c r="D76" s="9" t="s">
        <v>570</v>
      </c>
      <c r="E76" s="21" t="s">
        <v>182</v>
      </c>
      <c r="F76" s="22"/>
      <c r="G76" s="19" t="s">
        <v>699</v>
      </c>
      <c r="H76" s="23"/>
      <c r="I76" s="19"/>
      <c r="J76" s="25" t="s">
        <v>284</v>
      </c>
      <c r="K76" s="25" t="s">
        <v>471</v>
      </c>
      <c r="L76" s="25" t="s">
        <v>285</v>
      </c>
    </row>
    <row r="77" spans="1:12" s="1" customFormat="1">
      <c r="A77" s="132"/>
      <c r="B77" s="12" t="s">
        <v>572</v>
      </c>
      <c r="C77" s="12" t="s">
        <v>281</v>
      </c>
      <c r="D77" s="9" t="s">
        <v>573</v>
      </c>
      <c r="E77" s="21" t="s">
        <v>182</v>
      </c>
      <c r="F77" s="22"/>
      <c r="G77" s="19" t="s">
        <v>700</v>
      </c>
      <c r="H77" s="23"/>
      <c r="I77" s="19"/>
      <c r="J77" s="25" t="s">
        <v>284</v>
      </c>
      <c r="K77" s="25" t="s">
        <v>209</v>
      </c>
      <c r="L77" s="25" t="s">
        <v>285</v>
      </c>
    </row>
    <row r="78" spans="1:12" s="1" customFormat="1">
      <c r="A78" s="132"/>
      <c r="B78" s="12" t="s">
        <v>575</v>
      </c>
      <c r="C78" s="12" t="s">
        <v>281</v>
      </c>
      <c r="D78" s="9" t="s">
        <v>576</v>
      </c>
      <c r="E78" s="21" t="s">
        <v>182</v>
      </c>
      <c r="F78" s="22"/>
      <c r="G78" s="19" t="s">
        <v>701</v>
      </c>
      <c r="H78" s="23"/>
      <c r="I78" s="19"/>
      <c r="J78" s="25" t="s">
        <v>284</v>
      </c>
      <c r="K78" s="25" t="s">
        <v>471</v>
      </c>
      <c r="L78" s="25" t="s">
        <v>285</v>
      </c>
    </row>
    <row r="79" spans="1:12" s="1" customFormat="1">
      <c r="A79" s="132"/>
      <c r="B79" s="12" t="s">
        <v>578</v>
      </c>
      <c r="C79" s="12" t="s">
        <v>281</v>
      </c>
      <c r="D79" s="9" t="s">
        <v>579</v>
      </c>
      <c r="E79" s="21" t="s">
        <v>182</v>
      </c>
      <c r="F79" s="22"/>
      <c r="G79" s="19" t="s">
        <v>702</v>
      </c>
      <c r="H79" s="23"/>
      <c r="I79" s="19"/>
      <c r="J79" s="25" t="s">
        <v>284</v>
      </c>
      <c r="K79" s="25" t="s">
        <v>471</v>
      </c>
      <c r="L79" s="25" t="s">
        <v>285</v>
      </c>
    </row>
    <row r="80" spans="1:12" s="1" customFormat="1">
      <c r="A80" s="132"/>
      <c r="B80" s="12" t="s">
        <v>581</v>
      </c>
      <c r="C80" s="12" t="s">
        <v>281</v>
      </c>
      <c r="D80" s="9" t="s">
        <v>582</v>
      </c>
      <c r="E80" s="21" t="s">
        <v>182</v>
      </c>
      <c r="F80" s="22"/>
      <c r="G80" s="19" t="s">
        <v>703</v>
      </c>
      <c r="H80" s="23"/>
      <c r="I80" s="19"/>
      <c r="J80" s="25" t="s">
        <v>284</v>
      </c>
      <c r="K80" s="25" t="s">
        <v>209</v>
      </c>
      <c r="L80" s="25" t="s">
        <v>285</v>
      </c>
    </row>
    <row r="81" spans="1:12" s="1" customFormat="1">
      <c r="A81" s="132"/>
      <c r="B81" s="12" t="s">
        <v>584</v>
      </c>
      <c r="C81" s="12" t="s">
        <v>281</v>
      </c>
      <c r="D81" s="9" t="s">
        <v>585</v>
      </c>
      <c r="E81" s="21" t="s">
        <v>182</v>
      </c>
      <c r="F81" s="22"/>
      <c r="G81" s="19" t="s">
        <v>704</v>
      </c>
      <c r="H81" s="23"/>
      <c r="I81" s="19"/>
      <c r="J81" s="25" t="s">
        <v>284</v>
      </c>
      <c r="K81" s="25" t="s">
        <v>471</v>
      </c>
      <c r="L81" s="25" t="s">
        <v>285</v>
      </c>
    </row>
    <row r="82" spans="1:12" s="1" customFormat="1">
      <c r="A82" s="132"/>
      <c r="B82" s="12" t="s">
        <v>587</v>
      </c>
      <c r="C82" s="12" t="s">
        <v>281</v>
      </c>
      <c r="D82" s="9" t="s">
        <v>588</v>
      </c>
      <c r="E82" s="21" t="s">
        <v>182</v>
      </c>
      <c r="F82" s="22"/>
      <c r="G82" s="19" t="s">
        <v>705</v>
      </c>
      <c r="H82" s="23"/>
      <c r="I82" s="19"/>
      <c r="J82" s="25" t="s">
        <v>284</v>
      </c>
      <c r="K82" s="25" t="s">
        <v>471</v>
      </c>
      <c r="L82" s="25" t="s">
        <v>285</v>
      </c>
    </row>
    <row r="83" spans="1:12" s="1" customFormat="1">
      <c r="A83" s="132"/>
      <c r="B83" s="12" t="s">
        <v>590</v>
      </c>
      <c r="C83" s="12" t="s">
        <v>281</v>
      </c>
      <c r="D83" s="9" t="s">
        <v>591</v>
      </c>
      <c r="E83" s="21" t="s">
        <v>182</v>
      </c>
      <c r="F83" s="22"/>
      <c r="G83" s="19" t="s">
        <v>706</v>
      </c>
      <c r="H83" s="23"/>
      <c r="I83" s="19"/>
      <c r="J83" s="25" t="s">
        <v>284</v>
      </c>
      <c r="K83" s="25" t="s">
        <v>209</v>
      </c>
      <c r="L83" s="25" t="s">
        <v>285</v>
      </c>
    </row>
    <row r="84" spans="1:12" s="1" customFormat="1">
      <c r="A84" s="132"/>
      <c r="B84" s="12" t="s">
        <v>593</v>
      </c>
      <c r="C84" s="12" t="s">
        <v>281</v>
      </c>
      <c r="D84" s="9" t="s">
        <v>594</v>
      </c>
      <c r="E84" s="21" t="s">
        <v>182</v>
      </c>
      <c r="F84" s="22"/>
      <c r="G84" s="19" t="s">
        <v>707</v>
      </c>
      <c r="H84" s="23"/>
      <c r="I84" s="19"/>
      <c r="J84" s="25" t="s">
        <v>284</v>
      </c>
      <c r="K84" s="25" t="s">
        <v>209</v>
      </c>
      <c r="L84" s="25" t="s">
        <v>285</v>
      </c>
    </row>
    <row r="85" spans="1:12" s="1" customFormat="1">
      <c r="A85" s="132"/>
      <c r="B85" s="12" t="s">
        <v>596</v>
      </c>
      <c r="C85" s="12" t="s">
        <v>281</v>
      </c>
      <c r="D85" s="9" t="s">
        <v>597</v>
      </c>
      <c r="E85" s="21" t="s">
        <v>182</v>
      </c>
      <c r="F85" s="22"/>
      <c r="G85" s="19" t="s">
        <v>708</v>
      </c>
      <c r="H85" s="23"/>
      <c r="I85" s="19"/>
      <c r="J85" s="25" t="s">
        <v>284</v>
      </c>
      <c r="K85" s="25" t="s">
        <v>209</v>
      </c>
      <c r="L85" s="25" t="s">
        <v>285</v>
      </c>
    </row>
    <row r="86" spans="1:12" s="1" customFormat="1">
      <c r="A86" s="132"/>
      <c r="B86" s="12" t="s">
        <v>599</v>
      </c>
      <c r="C86" s="12" t="s">
        <v>281</v>
      </c>
      <c r="D86" s="9" t="s">
        <v>600</v>
      </c>
      <c r="E86" s="21" t="s">
        <v>182</v>
      </c>
      <c r="F86" s="22"/>
      <c r="G86" s="19" t="s">
        <v>709</v>
      </c>
      <c r="H86" s="23"/>
      <c r="I86" s="19"/>
      <c r="J86" s="25" t="s">
        <v>284</v>
      </c>
      <c r="K86" s="25" t="s">
        <v>209</v>
      </c>
      <c r="L86" s="25" t="s">
        <v>285</v>
      </c>
    </row>
    <row r="87" spans="1:12" s="1" customFormat="1">
      <c r="A87" s="132"/>
      <c r="B87" s="12" t="s">
        <v>602</v>
      </c>
      <c r="C87" s="12" t="s">
        <v>281</v>
      </c>
      <c r="D87" s="9" t="s">
        <v>603</v>
      </c>
      <c r="E87" s="21" t="s">
        <v>182</v>
      </c>
      <c r="F87" s="22"/>
      <c r="G87" s="19" t="s">
        <v>710</v>
      </c>
      <c r="H87" s="23"/>
      <c r="I87" s="19"/>
      <c r="J87" s="25" t="s">
        <v>284</v>
      </c>
      <c r="K87" s="25" t="s">
        <v>209</v>
      </c>
      <c r="L87" s="25" t="s">
        <v>285</v>
      </c>
    </row>
    <row r="88" spans="1:12" s="1" customFormat="1">
      <c r="A88" s="132"/>
      <c r="B88" s="12" t="s">
        <v>605</v>
      </c>
      <c r="C88" s="12" t="s">
        <v>281</v>
      </c>
      <c r="D88" s="9" t="s">
        <v>606</v>
      </c>
      <c r="E88" s="21" t="s">
        <v>182</v>
      </c>
      <c r="F88" s="22"/>
      <c r="G88" s="19" t="s">
        <v>711</v>
      </c>
      <c r="H88" s="23"/>
      <c r="I88" s="19"/>
      <c r="J88" s="25" t="s">
        <v>284</v>
      </c>
      <c r="K88" s="25" t="s">
        <v>209</v>
      </c>
      <c r="L88" s="25" t="s">
        <v>285</v>
      </c>
    </row>
    <row r="89" spans="1:12" s="1" customFormat="1">
      <c r="A89" s="132"/>
      <c r="B89" s="12" t="s">
        <v>608</v>
      </c>
      <c r="C89" s="12" t="s">
        <v>281</v>
      </c>
      <c r="D89" s="9" t="s">
        <v>609</v>
      </c>
      <c r="E89" s="21" t="s">
        <v>182</v>
      </c>
      <c r="F89" s="22"/>
      <c r="G89" s="19" t="s">
        <v>712</v>
      </c>
      <c r="H89" s="23"/>
      <c r="I89" s="19"/>
      <c r="J89" s="25" t="s">
        <v>284</v>
      </c>
      <c r="K89" s="25" t="s">
        <v>209</v>
      </c>
      <c r="L89" s="25" t="s">
        <v>285</v>
      </c>
    </row>
    <row r="90" spans="1:12" s="1" customFormat="1">
      <c r="A90" s="132"/>
      <c r="B90" s="12" t="s">
        <v>611</v>
      </c>
      <c r="C90" s="12" t="s">
        <v>281</v>
      </c>
      <c r="D90" s="9" t="s">
        <v>612</v>
      </c>
      <c r="E90" s="21" t="s">
        <v>182</v>
      </c>
      <c r="F90" s="22"/>
      <c r="G90" s="19" t="s">
        <v>713</v>
      </c>
      <c r="H90" s="23"/>
      <c r="I90" s="19"/>
      <c r="J90" s="25" t="s">
        <v>284</v>
      </c>
      <c r="K90" s="25" t="s">
        <v>209</v>
      </c>
      <c r="L90" s="25" t="s">
        <v>285</v>
      </c>
    </row>
    <row r="91" spans="1:12" s="1" customFormat="1">
      <c r="A91" s="132"/>
      <c r="B91" s="12" t="s">
        <v>614</v>
      </c>
      <c r="C91" s="12" t="s">
        <v>281</v>
      </c>
      <c r="D91" s="9" t="s">
        <v>615</v>
      </c>
      <c r="E91" s="21" t="s">
        <v>182</v>
      </c>
      <c r="F91" s="22"/>
      <c r="G91" s="19" t="s">
        <v>714</v>
      </c>
      <c r="H91" s="23"/>
      <c r="I91" s="19"/>
      <c r="J91" s="25" t="s">
        <v>284</v>
      </c>
      <c r="K91" s="25" t="s">
        <v>538</v>
      </c>
      <c r="L91" s="25" t="s">
        <v>285</v>
      </c>
    </row>
    <row r="92" spans="1:12" s="1" customFormat="1">
      <c r="A92" s="132"/>
      <c r="B92" s="12" t="s">
        <v>617</v>
      </c>
      <c r="C92" s="12" t="s">
        <v>281</v>
      </c>
      <c r="D92" s="9" t="s">
        <v>618</v>
      </c>
      <c r="E92" s="21" t="s">
        <v>182</v>
      </c>
      <c r="F92" s="22"/>
      <c r="G92" s="19" t="s">
        <v>715</v>
      </c>
      <c r="H92" s="23"/>
      <c r="I92" s="19"/>
      <c r="J92" s="25" t="s">
        <v>284</v>
      </c>
      <c r="K92" s="25" t="s">
        <v>471</v>
      </c>
      <c r="L92" s="25" t="s">
        <v>285</v>
      </c>
    </row>
    <row r="93" spans="1:12" s="1" customFormat="1">
      <c r="A93" s="132"/>
      <c r="B93" s="12" t="s">
        <v>620</v>
      </c>
      <c r="C93" s="12" t="s">
        <v>281</v>
      </c>
      <c r="D93" s="9" t="s">
        <v>621</v>
      </c>
      <c r="E93" s="21" t="s">
        <v>182</v>
      </c>
      <c r="F93" s="22"/>
      <c r="G93" s="19" t="s">
        <v>716</v>
      </c>
      <c r="H93" s="23"/>
      <c r="I93" s="19"/>
      <c r="J93" s="25" t="s">
        <v>284</v>
      </c>
      <c r="K93" s="25" t="s">
        <v>538</v>
      </c>
      <c r="L93" s="25" t="s">
        <v>285</v>
      </c>
    </row>
    <row r="94" spans="1:12" s="1" customFormat="1">
      <c r="A94" s="132"/>
      <c r="B94" s="12" t="s">
        <v>623</v>
      </c>
      <c r="C94" s="12" t="s">
        <v>281</v>
      </c>
      <c r="D94" s="9" t="s">
        <v>624</v>
      </c>
      <c r="E94" s="21" t="s">
        <v>182</v>
      </c>
      <c r="F94" s="22"/>
      <c r="G94" s="19" t="s">
        <v>717</v>
      </c>
      <c r="H94" s="23"/>
      <c r="I94" s="19"/>
      <c r="J94" s="25" t="s">
        <v>284</v>
      </c>
      <c r="K94" s="25" t="s">
        <v>471</v>
      </c>
      <c r="L94" s="25" t="s">
        <v>285</v>
      </c>
    </row>
    <row r="95" spans="1:12" s="1" customFormat="1">
      <c r="A95" s="132"/>
      <c r="B95" s="12" t="s">
        <v>626</v>
      </c>
      <c r="C95" s="12" t="s">
        <v>281</v>
      </c>
      <c r="D95" s="9" t="s">
        <v>627</v>
      </c>
      <c r="E95" s="21" t="s">
        <v>182</v>
      </c>
      <c r="F95" s="22"/>
      <c r="G95" s="19" t="s">
        <v>718</v>
      </c>
      <c r="H95" s="23"/>
      <c r="I95" s="19"/>
      <c r="J95" s="25" t="s">
        <v>284</v>
      </c>
      <c r="K95" s="25" t="s">
        <v>209</v>
      </c>
      <c r="L95" s="25" t="s">
        <v>285</v>
      </c>
    </row>
    <row r="96" spans="1:12" s="1" customFormat="1">
      <c r="A96" s="132"/>
      <c r="B96" s="12" t="s">
        <v>629</v>
      </c>
      <c r="C96" s="12" t="s">
        <v>281</v>
      </c>
      <c r="D96" s="9" t="s">
        <v>630</v>
      </c>
      <c r="E96" s="21" t="s">
        <v>182</v>
      </c>
      <c r="F96" s="22"/>
      <c r="G96" s="19" t="s">
        <v>719</v>
      </c>
      <c r="H96" s="23"/>
      <c r="I96" s="19"/>
      <c r="J96" s="25" t="s">
        <v>284</v>
      </c>
      <c r="K96" s="25" t="s">
        <v>209</v>
      </c>
      <c r="L96" s="25" t="s">
        <v>285</v>
      </c>
    </row>
    <row r="97" spans="1:17" s="1" customFormat="1">
      <c r="A97" s="132"/>
      <c r="B97" s="12" t="s">
        <v>632</v>
      </c>
      <c r="C97" s="12" t="s">
        <v>281</v>
      </c>
      <c r="D97" s="9" t="s">
        <v>633</v>
      </c>
      <c r="E97" s="21" t="s">
        <v>182</v>
      </c>
      <c r="F97" s="22"/>
      <c r="G97" s="19" t="s">
        <v>720</v>
      </c>
      <c r="H97" s="23"/>
      <c r="I97" s="19"/>
      <c r="J97" s="25" t="s">
        <v>284</v>
      </c>
      <c r="K97" s="25" t="s">
        <v>209</v>
      </c>
      <c r="L97" s="25" t="s">
        <v>285</v>
      </c>
    </row>
    <row r="98" spans="1:17" s="1" customFormat="1">
      <c r="A98" s="132"/>
      <c r="B98" s="12" t="s">
        <v>635</v>
      </c>
      <c r="C98" s="12" t="s">
        <v>281</v>
      </c>
      <c r="D98" s="9" t="s">
        <v>636</v>
      </c>
      <c r="E98" s="21" t="s">
        <v>182</v>
      </c>
      <c r="F98" s="22"/>
      <c r="G98" s="19" t="s">
        <v>721</v>
      </c>
      <c r="H98" s="23"/>
      <c r="I98" s="19"/>
      <c r="J98" s="25" t="s">
        <v>284</v>
      </c>
      <c r="K98" s="25" t="s">
        <v>209</v>
      </c>
      <c r="L98" s="25" t="s">
        <v>285</v>
      </c>
    </row>
    <row r="99" spans="1:17" s="1" customFormat="1">
      <c r="A99" s="132"/>
      <c r="B99" s="12" t="s">
        <v>638</v>
      </c>
      <c r="C99" s="12" t="s">
        <v>281</v>
      </c>
      <c r="D99" s="9" t="s">
        <v>639</v>
      </c>
      <c r="E99" s="21" t="s">
        <v>182</v>
      </c>
      <c r="F99" s="22"/>
      <c r="G99" s="19" t="s">
        <v>722</v>
      </c>
      <c r="H99" s="23"/>
      <c r="I99" s="19"/>
      <c r="J99" s="25" t="s">
        <v>284</v>
      </c>
      <c r="K99" s="25" t="s">
        <v>209</v>
      </c>
      <c r="L99" s="25" t="s">
        <v>285</v>
      </c>
    </row>
    <row r="100" spans="1:17" s="1" customFormat="1">
      <c r="A100" s="132"/>
      <c r="B100" s="12" t="s">
        <v>641</v>
      </c>
      <c r="C100" s="12" t="s">
        <v>281</v>
      </c>
      <c r="D100" s="9" t="s">
        <v>642</v>
      </c>
      <c r="E100" s="21" t="s">
        <v>182</v>
      </c>
      <c r="F100" s="22"/>
      <c r="G100" s="19" t="s">
        <v>723</v>
      </c>
      <c r="H100" s="23"/>
      <c r="I100" s="19"/>
      <c r="J100" s="25" t="s">
        <v>284</v>
      </c>
      <c r="K100" s="25" t="s">
        <v>209</v>
      </c>
      <c r="L100" s="25" t="s">
        <v>285</v>
      </c>
    </row>
    <row r="101" spans="1:17" s="1" customFormat="1">
      <c r="A101" s="132"/>
      <c r="B101" s="12" t="s">
        <v>644</v>
      </c>
      <c r="C101" s="12" t="s">
        <v>281</v>
      </c>
      <c r="D101" s="9" t="s">
        <v>645</v>
      </c>
      <c r="E101" s="21" t="s">
        <v>182</v>
      </c>
      <c r="F101" s="22"/>
      <c r="G101" s="19" t="s">
        <v>724</v>
      </c>
      <c r="H101" s="23"/>
      <c r="I101" s="19"/>
      <c r="J101" s="25" t="s">
        <v>284</v>
      </c>
      <c r="K101" s="25" t="s">
        <v>209</v>
      </c>
      <c r="L101" s="25" t="s">
        <v>285</v>
      </c>
    </row>
    <row r="102" spans="1:17" s="1" customFormat="1">
      <c r="A102" s="132"/>
      <c r="B102" s="12" t="s">
        <v>306</v>
      </c>
      <c r="C102" s="12" t="s">
        <v>281</v>
      </c>
      <c r="D102" s="9" t="s">
        <v>307</v>
      </c>
      <c r="E102" s="21" t="s">
        <v>182</v>
      </c>
      <c r="F102" s="22"/>
      <c r="G102" s="19" t="s">
        <v>413</v>
      </c>
      <c r="H102" s="23"/>
      <c r="I102" s="19"/>
      <c r="J102" s="25" t="s">
        <v>284</v>
      </c>
      <c r="K102" s="25" t="s">
        <v>209</v>
      </c>
      <c r="L102" s="25" t="s">
        <v>285</v>
      </c>
    </row>
    <row r="103" spans="1:17" s="1" customFormat="1">
      <c r="A103" s="132"/>
      <c r="B103" s="12" t="s">
        <v>648</v>
      </c>
      <c r="C103" s="12" t="s">
        <v>206</v>
      </c>
      <c r="D103" s="9" t="s">
        <v>649</v>
      </c>
      <c r="E103" s="21" t="s">
        <v>182</v>
      </c>
      <c r="F103" s="22"/>
      <c r="G103" s="19" t="s">
        <v>725</v>
      </c>
      <c r="H103" s="23"/>
      <c r="I103" s="135" t="s">
        <v>651</v>
      </c>
      <c r="J103" s="25" t="s">
        <v>284</v>
      </c>
      <c r="K103" s="25" t="s">
        <v>209</v>
      </c>
      <c r="L103" s="25" t="s">
        <v>485</v>
      </c>
    </row>
    <row r="104" spans="1:17" s="1" customFormat="1">
      <c r="A104" s="132"/>
      <c r="B104" s="12" t="s">
        <v>652</v>
      </c>
      <c r="C104" s="12" t="s">
        <v>206</v>
      </c>
      <c r="D104" s="9" t="s">
        <v>653</v>
      </c>
      <c r="E104" s="21" t="s">
        <v>182</v>
      </c>
      <c r="F104" s="22"/>
      <c r="G104" s="19" t="s">
        <v>726</v>
      </c>
      <c r="H104" s="23"/>
      <c r="I104" s="135" t="s">
        <v>655</v>
      </c>
      <c r="J104" s="25" t="s">
        <v>284</v>
      </c>
      <c r="K104" s="25" t="s">
        <v>209</v>
      </c>
      <c r="L104" s="25" t="s">
        <v>485</v>
      </c>
    </row>
    <row r="105" spans="1:17" s="2" customFormat="1">
      <c r="B105" s="14" t="s">
        <v>222</v>
      </c>
      <c r="C105" s="15" t="s">
        <v>211</v>
      </c>
      <c r="D105" s="16" t="s">
        <v>344</v>
      </c>
      <c r="E105" s="69"/>
      <c r="F105" s="14"/>
      <c r="G105" s="14"/>
      <c r="H105" s="14"/>
      <c r="I105" s="14"/>
      <c r="J105" s="14"/>
      <c r="K105" s="14"/>
      <c r="L105" s="14"/>
      <c r="M105" s="14"/>
      <c r="N105" s="14"/>
      <c r="O105" s="14"/>
      <c r="P105" s="14"/>
      <c r="Q105" s="14"/>
    </row>
    <row r="106" spans="1:17" s="2" customFormat="1">
      <c r="B106" s="14" t="s">
        <v>0</v>
      </c>
      <c r="C106" s="15" t="s">
        <v>206</v>
      </c>
      <c r="D106" s="16" t="s">
        <v>345</v>
      </c>
      <c r="E106" s="69"/>
      <c r="F106" s="14"/>
      <c r="G106" s="14"/>
      <c r="H106" s="14"/>
      <c r="I106" s="14"/>
      <c r="J106" s="14"/>
      <c r="K106" s="14"/>
      <c r="L106" s="14"/>
      <c r="M106" s="14"/>
      <c r="N106" s="14"/>
      <c r="O106" s="14"/>
      <c r="P106" s="14"/>
      <c r="Q106" s="14"/>
    </row>
    <row r="107" spans="1:17" s="2" customFormat="1">
      <c r="B107" s="14" t="s">
        <v>1</v>
      </c>
      <c r="C107" s="15" t="s">
        <v>211</v>
      </c>
      <c r="D107" s="16" t="s">
        <v>346</v>
      </c>
      <c r="E107" s="69"/>
      <c r="F107" s="14"/>
      <c r="G107" s="14"/>
      <c r="H107" s="14"/>
      <c r="I107" s="14"/>
      <c r="J107" s="14"/>
      <c r="K107" s="14"/>
      <c r="L107" s="14"/>
      <c r="M107" s="14"/>
      <c r="N107" s="14"/>
      <c r="O107" s="14"/>
      <c r="P107" s="14"/>
      <c r="Q107" s="14"/>
    </row>
  </sheetData>
  <autoFilter ref="A13:Q107" xr:uid="{00000000-0009-0000-0000-00000A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02"/>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36.109375" style="3" customWidth="1"/>
    <col min="3" max="3" width="31.109375" style="3" bestFit="1" customWidth="1"/>
    <col min="4" max="4" width="32.21875" style="3" customWidth="1"/>
    <col min="5" max="5" width="10.109375" style="3" customWidth="1"/>
    <col min="6" max="6" width="15.44140625" style="3" customWidth="1"/>
    <col min="7" max="7" width="16.4414062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1:12">
      <c r="B1" s="5" t="str">
        <f>HYPERLINK("#导航!a2","返回")</f>
        <v>返回</v>
      </c>
    </row>
    <row r="2" spans="1:12">
      <c r="B2" s="180"/>
      <c r="C2" s="180"/>
      <c r="D2" s="180"/>
      <c r="E2" s="180"/>
      <c r="F2" s="180"/>
      <c r="G2" s="180"/>
      <c r="H2" s="180"/>
    </row>
    <row r="3" spans="1:12">
      <c r="B3" s="181" t="s">
        <v>168</v>
      </c>
      <c r="C3" s="181"/>
      <c r="D3" s="181"/>
      <c r="E3" s="181"/>
      <c r="F3" s="181"/>
      <c r="G3" s="181"/>
      <c r="H3" s="181"/>
    </row>
    <row r="4" spans="1:12">
      <c r="B4" s="7" t="s">
        <v>40</v>
      </c>
      <c r="C4" s="7" t="s">
        <v>169</v>
      </c>
      <c r="D4" s="7" t="s">
        <v>170</v>
      </c>
      <c r="E4" s="7" t="s">
        <v>171</v>
      </c>
      <c r="F4" s="7" t="s">
        <v>172</v>
      </c>
      <c r="G4" s="7" t="s">
        <v>43</v>
      </c>
      <c r="H4" s="7" t="s">
        <v>173</v>
      </c>
    </row>
    <row r="5" spans="1:12">
      <c r="B5" s="8" t="s">
        <v>57</v>
      </c>
      <c r="C5" s="9" t="s">
        <v>2497</v>
      </c>
      <c r="D5" s="10" t="s">
        <v>98</v>
      </c>
      <c r="E5" s="12" t="s">
        <v>20</v>
      </c>
      <c r="F5" s="61"/>
      <c r="G5" s="9" t="s">
        <v>2494</v>
      </c>
      <c r="H5" s="12"/>
    </row>
    <row r="6" spans="1:12">
      <c r="B6" s="6"/>
      <c r="C6" s="6"/>
      <c r="D6" s="6"/>
      <c r="E6" s="6"/>
      <c r="F6" s="6"/>
      <c r="G6" s="6"/>
      <c r="H6" s="6"/>
    </row>
    <row r="7" spans="1:12">
      <c r="B7" s="181" t="s">
        <v>174</v>
      </c>
      <c r="C7" s="181"/>
      <c r="D7" s="181"/>
      <c r="E7" s="181"/>
      <c r="F7" s="181"/>
      <c r="G7" s="181"/>
      <c r="H7" s="181"/>
    </row>
    <row r="8" spans="1:12">
      <c r="B8" s="11" t="s">
        <v>175</v>
      </c>
      <c r="C8" s="11" t="s">
        <v>176</v>
      </c>
      <c r="D8" s="11" t="s">
        <v>177</v>
      </c>
      <c r="E8" s="11" t="s">
        <v>178</v>
      </c>
      <c r="F8" s="11" t="s">
        <v>179</v>
      </c>
      <c r="G8" s="11" t="s">
        <v>53</v>
      </c>
      <c r="H8" s="11" t="s">
        <v>180</v>
      </c>
    </row>
    <row r="9" spans="1:12">
      <c r="B9" s="12"/>
      <c r="C9" s="9" t="s">
        <v>95</v>
      </c>
      <c r="D9" s="10" t="s">
        <v>96</v>
      </c>
      <c r="E9" s="12" t="s">
        <v>182</v>
      </c>
      <c r="F9" s="22"/>
      <c r="G9" s="22"/>
      <c r="H9" s="20" t="s">
        <v>63</v>
      </c>
    </row>
    <row r="10" spans="1:12">
      <c r="G10" s="62"/>
    </row>
    <row r="11" spans="1:12">
      <c r="B11" s="3" t="s">
        <v>194</v>
      </c>
    </row>
    <row r="12" spans="1:12">
      <c r="B12" s="181" t="s">
        <v>194</v>
      </c>
      <c r="C12" s="181"/>
      <c r="D12" s="181"/>
      <c r="E12" s="181"/>
      <c r="F12" s="181"/>
      <c r="G12" s="181"/>
      <c r="H12" s="181"/>
      <c r="I12" s="181"/>
      <c r="J12" s="181"/>
      <c r="K12" s="181"/>
      <c r="L12" s="181"/>
    </row>
    <row r="13" spans="1:12">
      <c r="B13" s="7" t="s">
        <v>195</v>
      </c>
      <c r="C13" s="7" t="s">
        <v>196</v>
      </c>
      <c r="D13" s="7" t="s">
        <v>197</v>
      </c>
      <c r="E13" s="7" t="s">
        <v>198</v>
      </c>
      <c r="F13" s="7" t="s">
        <v>199</v>
      </c>
      <c r="G13" s="7" t="s">
        <v>200</v>
      </c>
      <c r="H13" s="7" t="s">
        <v>201</v>
      </c>
      <c r="I13" s="7" t="s">
        <v>53</v>
      </c>
      <c r="J13" s="7" t="s">
        <v>202</v>
      </c>
      <c r="K13" s="7" t="s">
        <v>203</v>
      </c>
      <c r="L13" s="7" t="s">
        <v>204</v>
      </c>
    </row>
    <row r="14" spans="1:12" s="1" customFormat="1">
      <c r="B14" s="13" t="s">
        <v>205</v>
      </c>
      <c r="C14" s="13" t="s">
        <v>206</v>
      </c>
      <c r="D14" s="9" t="s">
        <v>207</v>
      </c>
      <c r="E14" s="21" t="s">
        <v>182</v>
      </c>
      <c r="F14" s="22" t="s">
        <v>0</v>
      </c>
      <c r="G14" s="22" t="s">
        <v>208</v>
      </c>
      <c r="H14" s="23"/>
      <c r="I14" s="25"/>
      <c r="J14" s="25" t="s">
        <v>4</v>
      </c>
      <c r="K14" s="25" t="s">
        <v>209</v>
      </c>
      <c r="L14" s="25" t="s">
        <v>210</v>
      </c>
    </row>
    <row r="15" spans="1:12" s="1" customFormat="1">
      <c r="B15" s="13" t="s">
        <v>20</v>
      </c>
      <c r="C15" s="13" t="s">
        <v>211</v>
      </c>
      <c r="D15" s="9" t="s">
        <v>73</v>
      </c>
      <c r="E15" s="21"/>
      <c r="F15" s="22" t="s">
        <v>1</v>
      </c>
      <c r="G15" s="22" t="s">
        <v>208</v>
      </c>
      <c r="H15" s="23"/>
      <c r="I15" s="25"/>
      <c r="J15" s="25" t="s">
        <v>4</v>
      </c>
      <c r="K15" s="25" t="s">
        <v>209</v>
      </c>
      <c r="L15" s="25" t="s">
        <v>212</v>
      </c>
    </row>
    <row r="16" spans="1:12" s="1" customFormat="1">
      <c r="A16" s="132"/>
      <c r="B16" s="13" t="s">
        <v>220</v>
      </c>
      <c r="C16" s="13" t="s">
        <v>211</v>
      </c>
      <c r="D16" s="9" t="s">
        <v>727</v>
      </c>
      <c r="E16" s="21"/>
      <c r="F16" s="22" t="s">
        <v>222</v>
      </c>
      <c r="G16" s="22" t="s">
        <v>208</v>
      </c>
      <c r="H16" s="23"/>
      <c r="I16" s="133"/>
      <c r="J16" s="25" t="s">
        <v>4</v>
      </c>
      <c r="K16" s="25" t="s">
        <v>209</v>
      </c>
      <c r="L16" s="25" t="s">
        <v>223</v>
      </c>
    </row>
    <row r="17" spans="1:12" s="1" customFormat="1">
      <c r="A17" s="132"/>
      <c r="B17" s="13" t="s">
        <v>224</v>
      </c>
      <c r="C17" s="13" t="s">
        <v>211</v>
      </c>
      <c r="D17" s="9" t="s">
        <v>444</v>
      </c>
      <c r="E17" s="21"/>
      <c r="F17" s="22" t="str">
        <f>VLOOKUP(B17,'8'!B:L,1,0)</f>
        <v>citycode</v>
      </c>
      <c r="G17" s="22" t="s">
        <v>208</v>
      </c>
      <c r="H17" s="23"/>
      <c r="I17" s="133"/>
      <c r="J17" s="25" t="s">
        <v>4</v>
      </c>
      <c r="K17" s="25" t="s">
        <v>209</v>
      </c>
      <c r="L17" s="25" t="s">
        <v>223</v>
      </c>
    </row>
    <row r="18" spans="1:12" s="1" customFormat="1">
      <c r="A18" s="132"/>
      <c r="B18" s="13" t="s">
        <v>228</v>
      </c>
      <c r="C18" s="13" t="s">
        <v>211</v>
      </c>
      <c r="D18" s="9" t="s">
        <v>445</v>
      </c>
      <c r="E18" s="21"/>
      <c r="F18" s="22" t="str">
        <f>VLOOKUP(B18,'8'!B:L,1,0)</f>
        <v>districtcode</v>
      </c>
      <c r="G18" s="22" t="s">
        <v>208</v>
      </c>
      <c r="H18" s="23"/>
      <c r="I18" s="133"/>
      <c r="J18" s="25" t="s">
        <v>4</v>
      </c>
      <c r="K18" s="25" t="s">
        <v>209</v>
      </c>
      <c r="L18" s="25" t="s">
        <v>223</v>
      </c>
    </row>
    <row r="19" spans="1:12" s="1" customFormat="1">
      <c r="A19" s="132"/>
      <c r="B19" s="13" t="s">
        <v>230</v>
      </c>
      <c r="C19" s="13" t="s">
        <v>206</v>
      </c>
      <c r="D19" s="9" t="s">
        <v>231</v>
      </c>
      <c r="E19" s="21"/>
      <c r="F19" s="22" t="str">
        <f>VLOOKUP(B19,'8'!B:L,1,0)</f>
        <v>province</v>
      </c>
      <c r="G19" s="22" t="s">
        <v>208</v>
      </c>
      <c r="H19" s="23"/>
      <c r="I19" s="133"/>
      <c r="J19" s="25" t="s">
        <v>4</v>
      </c>
      <c r="K19" s="25" t="s">
        <v>209</v>
      </c>
      <c r="L19" s="25" t="s">
        <v>209</v>
      </c>
    </row>
    <row r="20" spans="1:12" s="1" customFormat="1">
      <c r="A20" s="132"/>
      <c r="B20" s="12" t="s">
        <v>233</v>
      </c>
      <c r="C20" s="13" t="s">
        <v>206</v>
      </c>
      <c r="D20" s="9" t="s">
        <v>446</v>
      </c>
      <c r="E20" s="21"/>
      <c r="F20" s="22" t="str">
        <f>VLOOKUP(B20,'8'!B:L,1,0)</f>
        <v>city</v>
      </c>
      <c r="G20" s="22" t="s">
        <v>208</v>
      </c>
      <c r="H20" s="23"/>
      <c r="I20" s="133"/>
      <c r="J20" s="25" t="s">
        <v>4</v>
      </c>
      <c r="K20" s="25" t="s">
        <v>209</v>
      </c>
      <c r="L20" s="25" t="s">
        <v>209</v>
      </c>
    </row>
    <row r="21" spans="1:12" s="1" customFormat="1">
      <c r="A21" s="132"/>
      <c r="B21" s="12" t="s">
        <v>236</v>
      </c>
      <c r="C21" s="13" t="s">
        <v>206</v>
      </c>
      <c r="D21" s="9" t="s">
        <v>237</v>
      </c>
      <c r="E21" s="21"/>
      <c r="F21" s="22" t="str">
        <f>VLOOKUP(B21,'8'!B:L,1,0)</f>
        <v>district</v>
      </c>
      <c r="G21" s="22" t="s">
        <v>208</v>
      </c>
      <c r="H21" s="23"/>
      <c r="I21" s="133"/>
      <c r="J21" s="25" t="s">
        <v>4</v>
      </c>
      <c r="K21" s="25" t="s">
        <v>209</v>
      </c>
      <c r="L21" s="25" t="s">
        <v>209</v>
      </c>
    </row>
    <row r="22" spans="1:12" s="1" customFormat="1">
      <c r="A22" s="132"/>
      <c r="B22" s="12" t="s">
        <v>214</v>
      </c>
      <c r="C22" s="13" t="s">
        <v>211</v>
      </c>
      <c r="D22" s="9" t="s">
        <v>728</v>
      </c>
      <c r="E22" s="21"/>
      <c r="F22" s="22" t="str">
        <f>VLOOKUP(B22,'8'!B:L,1,0)</f>
        <v>interface</v>
      </c>
      <c r="G22" s="22" t="s">
        <v>208</v>
      </c>
      <c r="H22" s="23"/>
      <c r="I22" s="133"/>
      <c r="J22" s="25" t="s">
        <v>4</v>
      </c>
      <c r="K22" s="25" t="s">
        <v>209</v>
      </c>
      <c r="L22" s="25" t="s">
        <v>216</v>
      </c>
    </row>
    <row r="23" spans="1:12" s="1" customFormat="1">
      <c r="A23" s="132"/>
      <c r="B23" s="12" t="s">
        <v>382</v>
      </c>
      <c r="C23" s="13" t="s">
        <v>206</v>
      </c>
      <c r="D23" s="9" t="s">
        <v>383</v>
      </c>
      <c r="E23" s="21"/>
      <c r="F23" s="27" t="s">
        <v>222</v>
      </c>
      <c r="G23" s="22" t="s">
        <v>208</v>
      </c>
      <c r="H23" s="23"/>
      <c r="I23" s="133"/>
      <c r="J23" s="25" t="s">
        <v>4</v>
      </c>
      <c r="K23" s="25" t="s">
        <v>209</v>
      </c>
      <c r="L23" s="25" t="s">
        <v>209</v>
      </c>
    </row>
    <row r="24" spans="1:12" s="1" customFormat="1">
      <c r="A24" s="132"/>
      <c r="B24" s="13" t="s">
        <v>246</v>
      </c>
      <c r="C24" s="12" t="s">
        <v>206</v>
      </c>
      <c r="D24" s="9" t="s">
        <v>247</v>
      </c>
      <c r="E24" s="21"/>
      <c r="F24" s="22" t="s">
        <v>246</v>
      </c>
      <c r="G24" s="22" t="s">
        <v>208</v>
      </c>
      <c r="H24" s="23"/>
      <c r="I24" s="133"/>
      <c r="J24" s="25" t="s">
        <v>4</v>
      </c>
      <c r="K24" s="25" t="s">
        <v>209</v>
      </c>
      <c r="L24" s="25" t="s">
        <v>209</v>
      </c>
    </row>
    <row r="25" spans="1:12" s="1" customFormat="1">
      <c r="A25" s="132"/>
      <c r="B25" s="12" t="s">
        <v>217</v>
      </c>
      <c r="C25" s="12" t="s">
        <v>211</v>
      </c>
      <c r="D25" s="9" t="s">
        <v>729</v>
      </c>
      <c r="E25" s="21"/>
      <c r="F25" s="22" t="s">
        <v>217</v>
      </c>
      <c r="G25" s="22" t="s">
        <v>208</v>
      </c>
      <c r="H25" s="23"/>
      <c r="I25" s="134"/>
      <c r="J25" s="25" t="s">
        <v>4</v>
      </c>
      <c r="K25" s="25" t="s">
        <v>209</v>
      </c>
      <c r="L25" s="25" t="s">
        <v>219</v>
      </c>
    </row>
    <row r="26" spans="1:12" s="1" customFormat="1">
      <c r="A26" s="132"/>
      <c r="B26" s="12" t="s">
        <v>266</v>
      </c>
      <c r="C26" s="12" t="s">
        <v>206</v>
      </c>
      <c r="D26" s="9" t="s">
        <v>730</v>
      </c>
      <c r="E26" s="21"/>
      <c r="F26" s="22" t="s">
        <v>266</v>
      </c>
      <c r="G26" s="22" t="s">
        <v>208</v>
      </c>
      <c r="H26" s="23"/>
      <c r="I26" s="133"/>
      <c r="J26" s="25" t="s">
        <v>4</v>
      </c>
      <c r="K26" s="25" t="s">
        <v>209</v>
      </c>
      <c r="L26" s="25" t="s">
        <v>209</v>
      </c>
    </row>
    <row r="27" spans="1:12" s="1" customFormat="1">
      <c r="A27" s="132"/>
      <c r="B27" s="12" t="s">
        <v>268</v>
      </c>
      <c r="C27" s="12" t="s">
        <v>206</v>
      </c>
      <c r="D27" s="9" t="s">
        <v>731</v>
      </c>
      <c r="E27" s="21"/>
      <c r="F27" s="22" t="s">
        <v>268</v>
      </c>
      <c r="G27" s="22" t="s">
        <v>208</v>
      </c>
      <c r="H27" s="23"/>
      <c r="I27" s="133"/>
      <c r="J27" s="25" t="s">
        <v>4</v>
      </c>
      <c r="K27" s="25" t="s">
        <v>209</v>
      </c>
      <c r="L27" s="25" t="s">
        <v>209</v>
      </c>
    </row>
    <row r="28" spans="1:12" s="1" customFormat="1">
      <c r="A28" s="132"/>
      <c r="B28" s="12" t="s">
        <v>732</v>
      </c>
      <c r="C28" s="12" t="s">
        <v>281</v>
      </c>
      <c r="D28" s="9" t="s">
        <v>733</v>
      </c>
      <c r="E28" s="21"/>
      <c r="F28" s="22"/>
      <c r="G28" s="22" t="s">
        <v>734</v>
      </c>
      <c r="H28" s="23"/>
      <c r="I28" s="133"/>
      <c r="J28" s="25" t="s">
        <v>4</v>
      </c>
      <c r="K28" s="25" t="s">
        <v>209</v>
      </c>
      <c r="L28" s="25" t="s">
        <v>209</v>
      </c>
    </row>
    <row r="29" spans="1:12" s="1" customFormat="1">
      <c r="A29" s="132"/>
      <c r="B29" s="12" t="s">
        <v>454</v>
      </c>
      <c r="C29" s="12" t="s">
        <v>281</v>
      </c>
      <c r="D29" s="9" t="s">
        <v>455</v>
      </c>
      <c r="E29" s="21"/>
      <c r="F29" s="22"/>
      <c r="G29" s="22" t="s">
        <v>735</v>
      </c>
      <c r="H29" s="23"/>
      <c r="I29" s="133"/>
      <c r="J29" s="25" t="s">
        <v>4</v>
      </c>
      <c r="K29" s="25" t="s">
        <v>209</v>
      </c>
      <c r="L29" s="25" t="s">
        <v>209</v>
      </c>
    </row>
    <row r="30" spans="1:12" s="1" customFormat="1">
      <c r="A30" s="132"/>
      <c r="B30" s="12" t="s">
        <v>242</v>
      </c>
      <c r="C30" s="12" t="s">
        <v>206</v>
      </c>
      <c r="D30" s="9" t="s">
        <v>242</v>
      </c>
      <c r="E30" s="21"/>
      <c r="F30" s="22" t="s">
        <v>242</v>
      </c>
      <c r="G30" s="22" t="s">
        <v>208</v>
      </c>
      <c r="H30" s="23"/>
      <c r="I30" s="133"/>
      <c r="J30" s="25" t="s">
        <v>4</v>
      </c>
      <c r="K30" s="25" t="s">
        <v>209</v>
      </c>
      <c r="L30" s="25" t="s">
        <v>209</v>
      </c>
    </row>
    <row r="31" spans="1:12" s="1" customFormat="1">
      <c r="A31" s="132"/>
      <c r="B31" s="13" t="s">
        <v>736</v>
      </c>
      <c r="C31" s="12" t="s">
        <v>206</v>
      </c>
      <c r="D31" s="9" t="s">
        <v>737</v>
      </c>
      <c r="E31" s="21"/>
      <c r="F31" s="22" t="s">
        <v>249</v>
      </c>
      <c r="G31" s="22" t="s">
        <v>208</v>
      </c>
      <c r="H31" s="23"/>
      <c r="I31" s="133"/>
      <c r="J31" s="25" t="s">
        <v>4</v>
      </c>
      <c r="K31" s="25" t="s">
        <v>209</v>
      </c>
      <c r="L31" s="25" t="s">
        <v>209</v>
      </c>
    </row>
    <row r="32" spans="1:12" s="1" customFormat="1">
      <c r="B32" s="13" t="s">
        <v>251</v>
      </c>
      <c r="C32" s="12" t="s">
        <v>206</v>
      </c>
      <c r="D32" s="9" t="s">
        <v>738</v>
      </c>
      <c r="E32" s="21"/>
      <c r="F32" s="22" t="s">
        <v>251</v>
      </c>
      <c r="G32" s="22" t="s">
        <v>208</v>
      </c>
      <c r="H32" s="23"/>
      <c r="I32" s="25"/>
      <c r="J32" s="25" t="s">
        <v>4</v>
      </c>
      <c r="K32" s="25" t="s">
        <v>209</v>
      </c>
      <c r="L32" s="25" t="s">
        <v>209</v>
      </c>
    </row>
    <row r="33" spans="1:12" s="1" customFormat="1">
      <c r="B33" s="13" t="s">
        <v>254</v>
      </c>
      <c r="C33" s="12" t="s">
        <v>206</v>
      </c>
      <c r="D33" s="9" t="s">
        <v>739</v>
      </c>
      <c r="E33" s="21"/>
      <c r="F33" s="22" t="s">
        <v>254</v>
      </c>
      <c r="G33" s="22" t="s">
        <v>208</v>
      </c>
      <c r="H33" s="23"/>
      <c r="I33" s="25"/>
      <c r="J33" s="25" t="s">
        <v>4</v>
      </c>
      <c r="K33" s="25" t="s">
        <v>209</v>
      </c>
      <c r="L33" s="25" t="s">
        <v>209</v>
      </c>
    </row>
    <row r="34" spans="1:12" s="132" customFormat="1">
      <c r="B34" s="13" t="s">
        <v>740</v>
      </c>
      <c r="C34" s="12" t="s">
        <v>211</v>
      </c>
      <c r="D34" s="9" t="s">
        <v>741</v>
      </c>
      <c r="E34" s="21"/>
      <c r="F34" s="22"/>
      <c r="G34" s="22" t="s">
        <v>742</v>
      </c>
      <c r="H34" s="23"/>
      <c r="I34" s="133"/>
      <c r="J34" s="25" t="s">
        <v>4</v>
      </c>
      <c r="K34" s="25" t="s">
        <v>209</v>
      </c>
      <c r="L34" s="25" t="s">
        <v>209</v>
      </c>
    </row>
    <row r="35" spans="1:12" s="132" customFormat="1">
      <c r="B35" s="13" t="s">
        <v>258</v>
      </c>
      <c r="C35" s="12" t="s">
        <v>206</v>
      </c>
      <c r="D35" s="9" t="s">
        <v>259</v>
      </c>
      <c r="E35" s="21"/>
      <c r="F35" s="22" t="s">
        <v>258</v>
      </c>
      <c r="G35" s="22" t="s">
        <v>208</v>
      </c>
      <c r="H35" s="23"/>
      <c r="I35" s="133"/>
      <c r="J35" s="25" t="s">
        <v>4</v>
      </c>
      <c r="K35" s="25" t="s">
        <v>209</v>
      </c>
      <c r="L35" s="25" t="s">
        <v>209</v>
      </c>
    </row>
    <row r="36" spans="1:12" s="136" customFormat="1">
      <c r="A36" s="137"/>
      <c r="B36" s="138" t="s">
        <v>262</v>
      </c>
      <c r="C36" s="12" t="s">
        <v>206</v>
      </c>
      <c r="D36" s="9" t="s">
        <v>263</v>
      </c>
      <c r="E36" s="21"/>
      <c r="F36" s="22" t="s">
        <v>262</v>
      </c>
      <c r="G36" s="22" t="s">
        <v>208</v>
      </c>
      <c r="H36" s="23"/>
      <c r="I36" s="139"/>
      <c r="J36" s="25" t="s">
        <v>4</v>
      </c>
      <c r="K36" s="25" t="s">
        <v>209</v>
      </c>
      <c r="L36" s="25" t="s">
        <v>209</v>
      </c>
    </row>
    <row r="37" spans="1:12" s="136" customFormat="1">
      <c r="A37" s="137"/>
      <c r="B37" s="138" t="s">
        <v>256</v>
      </c>
      <c r="C37" s="12" t="s">
        <v>206</v>
      </c>
      <c r="D37" s="9" t="s">
        <v>743</v>
      </c>
      <c r="E37" s="21"/>
      <c r="F37" s="22" t="s">
        <v>256</v>
      </c>
      <c r="G37" s="22" t="s">
        <v>208</v>
      </c>
      <c r="H37" s="23"/>
      <c r="I37" s="139"/>
      <c r="J37" s="25" t="s">
        <v>4</v>
      </c>
      <c r="K37" s="25" t="s">
        <v>209</v>
      </c>
      <c r="L37" s="25" t="s">
        <v>209</v>
      </c>
    </row>
    <row r="38" spans="1:12" s="136" customFormat="1">
      <c r="A38" s="137"/>
      <c r="B38" s="138" t="s">
        <v>276</v>
      </c>
      <c r="C38" s="12" t="s">
        <v>206</v>
      </c>
      <c r="D38" s="9" t="s">
        <v>744</v>
      </c>
      <c r="E38" s="21"/>
      <c r="F38" s="22" t="s">
        <v>276</v>
      </c>
      <c r="G38" s="22" t="s">
        <v>208</v>
      </c>
      <c r="H38" s="23"/>
      <c r="I38" s="139"/>
      <c r="J38" s="25" t="s">
        <v>4</v>
      </c>
      <c r="K38" s="25" t="s">
        <v>209</v>
      </c>
      <c r="L38" s="25" t="s">
        <v>209</v>
      </c>
    </row>
    <row r="39" spans="1:12" s="1" customFormat="1">
      <c r="A39" s="132"/>
      <c r="B39" s="12" t="s">
        <v>270</v>
      </c>
      <c r="C39" s="12" t="s">
        <v>211</v>
      </c>
      <c r="D39" s="9" t="s">
        <v>745</v>
      </c>
      <c r="E39" s="21"/>
      <c r="F39" s="22" t="s">
        <v>270</v>
      </c>
      <c r="G39" s="22" t="s">
        <v>208</v>
      </c>
      <c r="H39" s="23"/>
      <c r="I39" s="19"/>
      <c r="J39" s="25" t="s">
        <v>4</v>
      </c>
      <c r="K39" s="25" t="s">
        <v>209</v>
      </c>
      <c r="L39" s="25" t="s">
        <v>272</v>
      </c>
    </row>
    <row r="40" spans="1:12" s="1" customFormat="1">
      <c r="A40" s="132"/>
      <c r="B40" s="12" t="s">
        <v>264</v>
      </c>
      <c r="C40" s="12" t="s">
        <v>206</v>
      </c>
      <c r="D40" s="9" t="s">
        <v>265</v>
      </c>
      <c r="E40" s="21"/>
      <c r="F40" s="22" t="s">
        <v>264</v>
      </c>
      <c r="G40" s="22" t="s">
        <v>208</v>
      </c>
      <c r="H40" s="23"/>
      <c r="I40" s="19"/>
      <c r="J40" s="25" t="s">
        <v>4</v>
      </c>
      <c r="K40" s="25" t="s">
        <v>209</v>
      </c>
      <c r="L40" s="25" t="s">
        <v>223</v>
      </c>
    </row>
    <row r="41" spans="1:12" s="1" customFormat="1">
      <c r="A41" s="132"/>
      <c r="B41" s="12" t="s">
        <v>260</v>
      </c>
      <c r="C41" s="12" t="s">
        <v>206</v>
      </c>
      <c r="D41" s="9" t="s">
        <v>261</v>
      </c>
      <c r="E41" s="21"/>
      <c r="F41" s="22" t="s">
        <v>260</v>
      </c>
      <c r="G41" s="22" t="s">
        <v>208</v>
      </c>
      <c r="H41" s="23"/>
      <c r="I41" s="19"/>
      <c r="J41" s="25" t="s">
        <v>4</v>
      </c>
      <c r="K41" s="25" t="s">
        <v>209</v>
      </c>
      <c r="L41" s="25" t="s">
        <v>209</v>
      </c>
    </row>
    <row r="42" spans="1:12" s="1" customFormat="1">
      <c r="A42" s="132"/>
      <c r="B42" s="12" t="s">
        <v>746</v>
      </c>
      <c r="C42" s="12" t="s">
        <v>281</v>
      </c>
      <c r="D42" s="9" t="s">
        <v>469</v>
      </c>
      <c r="E42" s="21"/>
      <c r="F42" s="22"/>
      <c r="G42" s="19" t="s">
        <v>747</v>
      </c>
      <c r="H42" s="23"/>
      <c r="I42" s="19"/>
      <c r="J42" s="25" t="s">
        <v>284</v>
      </c>
      <c r="K42" s="25" t="s">
        <v>471</v>
      </c>
      <c r="L42" s="25" t="s">
        <v>285</v>
      </c>
    </row>
    <row r="43" spans="1:12" s="1" customFormat="1">
      <c r="A43" s="132"/>
      <c r="B43" s="12" t="s">
        <v>748</v>
      </c>
      <c r="C43" s="12" t="s">
        <v>281</v>
      </c>
      <c r="D43" s="9" t="s">
        <v>749</v>
      </c>
      <c r="E43" s="21"/>
      <c r="F43" s="22"/>
      <c r="G43" s="19" t="s">
        <v>657</v>
      </c>
      <c r="H43" s="23"/>
      <c r="I43" s="19"/>
      <c r="J43" s="25" t="s">
        <v>284</v>
      </c>
      <c r="K43" s="25" t="s">
        <v>750</v>
      </c>
      <c r="L43" s="25" t="s">
        <v>285</v>
      </c>
    </row>
    <row r="44" spans="1:12" s="1" customFormat="1">
      <c r="A44" s="132"/>
      <c r="B44" s="12" t="s">
        <v>479</v>
      </c>
      <c r="C44" s="12" t="s">
        <v>281</v>
      </c>
      <c r="D44" s="9" t="s">
        <v>480</v>
      </c>
      <c r="E44" s="21"/>
      <c r="F44" s="22"/>
      <c r="G44" s="19" t="s">
        <v>659</v>
      </c>
      <c r="H44" s="23"/>
      <c r="I44" s="19"/>
      <c r="J44" s="25" t="s">
        <v>284</v>
      </c>
      <c r="K44" s="25" t="s">
        <v>750</v>
      </c>
      <c r="L44" s="25" t="s">
        <v>285</v>
      </c>
    </row>
    <row r="45" spans="1:12" s="1" customFormat="1">
      <c r="A45" s="132"/>
      <c r="B45" s="12" t="s">
        <v>482</v>
      </c>
      <c r="C45" s="12" t="s">
        <v>281</v>
      </c>
      <c r="D45" s="9" t="s">
        <v>483</v>
      </c>
      <c r="E45" s="21"/>
      <c r="F45" s="22"/>
      <c r="G45" s="19" t="s">
        <v>660</v>
      </c>
      <c r="H45" s="23"/>
      <c r="I45" s="19"/>
      <c r="J45" s="25" t="s">
        <v>284</v>
      </c>
      <c r="K45" s="25" t="s">
        <v>471</v>
      </c>
      <c r="L45" s="25" t="s">
        <v>485</v>
      </c>
    </row>
    <row r="46" spans="1:12" s="1" customFormat="1">
      <c r="A46" s="132"/>
      <c r="B46" s="12" t="s">
        <v>486</v>
      </c>
      <c r="C46" s="12" t="s">
        <v>281</v>
      </c>
      <c r="D46" s="9" t="s">
        <v>487</v>
      </c>
      <c r="E46" s="21"/>
      <c r="F46" s="22"/>
      <c r="G46" s="19" t="s">
        <v>661</v>
      </c>
      <c r="H46" s="23"/>
      <c r="I46" s="19"/>
      <c r="J46" s="25" t="s">
        <v>284</v>
      </c>
      <c r="K46" s="25" t="s">
        <v>471</v>
      </c>
      <c r="L46" s="25" t="s">
        <v>485</v>
      </c>
    </row>
    <row r="47" spans="1:12" s="1" customFormat="1">
      <c r="A47" s="132"/>
      <c r="B47" s="12" t="s">
        <v>751</v>
      </c>
      <c r="C47" s="12" t="s">
        <v>281</v>
      </c>
      <c r="D47" s="9" t="s">
        <v>662</v>
      </c>
      <c r="E47" s="21"/>
      <c r="F47" s="22"/>
      <c r="G47" s="19" t="s">
        <v>663</v>
      </c>
      <c r="H47" s="23"/>
      <c r="I47" s="19"/>
      <c r="J47" s="25" t="s">
        <v>284</v>
      </c>
      <c r="K47" s="25" t="s">
        <v>750</v>
      </c>
      <c r="L47" s="25" t="s">
        <v>285</v>
      </c>
    </row>
    <row r="48" spans="1:12" s="1" customFormat="1">
      <c r="A48" s="132"/>
      <c r="B48" s="12" t="s">
        <v>752</v>
      </c>
      <c r="C48" s="12" t="s">
        <v>281</v>
      </c>
      <c r="D48" s="9" t="s">
        <v>664</v>
      </c>
      <c r="E48" s="21"/>
      <c r="F48" s="22"/>
      <c r="G48" s="19" t="s">
        <v>665</v>
      </c>
      <c r="H48" s="23"/>
      <c r="I48" s="19"/>
      <c r="J48" s="25" t="s">
        <v>284</v>
      </c>
      <c r="K48" s="25" t="s">
        <v>750</v>
      </c>
      <c r="L48" s="25" t="s">
        <v>285</v>
      </c>
    </row>
    <row r="49" spans="1:12" s="1" customFormat="1">
      <c r="A49" s="132"/>
      <c r="B49" s="12" t="s">
        <v>753</v>
      </c>
      <c r="C49" s="12" t="s">
        <v>281</v>
      </c>
      <c r="D49" s="9" t="s">
        <v>666</v>
      </c>
      <c r="E49" s="21"/>
      <c r="F49" s="22"/>
      <c r="G49" s="19" t="s">
        <v>667</v>
      </c>
      <c r="H49" s="23"/>
      <c r="I49" s="19"/>
      <c r="J49" s="25" t="s">
        <v>284</v>
      </c>
      <c r="K49" s="25" t="s">
        <v>750</v>
      </c>
      <c r="L49" s="25" t="s">
        <v>285</v>
      </c>
    </row>
    <row r="50" spans="1:12" s="1" customFormat="1">
      <c r="A50" s="132"/>
      <c r="B50" s="12" t="s">
        <v>754</v>
      </c>
      <c r="C50" s="12" t="s">
        <v>281</v>
      </c>
      <c r="D50" s="9" t="s">
        <v>668</v>
      </c>
      <c r="E50" s="21"/>
      <c r="F50" s="22"/>
      <c r="G50" s="19" t="s">
        <v>669</v>
      </c>
      <c r="H50" s="23"/>
      <c r="I50" s="19"/>
      <c r="J50" s="25" t="s">
        <v>284</v>
      </c>
      <c r="K50" s="25" t="s">
        <v>750</v>
      </c>
      <c r="L50" s="25" t="s">
        <v>285</v>
      </c>
    </row>
    <row r="51" spans="1:12" s="1" customFormat="1">
      <c r="A51" s="132"/>
      <c r="B51" s="12" t="s">
        <v>755</v>
      </c>
      <c r="C51" s="12" t="s">
        <v>281</v>
      </c>
      <c r="D51" s="9" t="s">
        <v>670</v>
      </c>
      <c r="E51" s="21"/>
      <c r="F51" s="22"/>
      <c r="G51" s="19" t="s">
        <v>671</v>
      </c>
      <c r="H51" s="23"/>
      <c r="I51" s="19"/>
      <c r="J51" s="25" t="s">
        <v>284</v>
      </c>
      <c r="K51" s="25" t="s">
        <v>750</v>
      </c>
      <c r="L51" s="25" t="s">
        <v>285</v>
      </c>
    </row>
    <row r="52" spans="1:12" s="1" customFormat="1">
      <c r="A52" s="132"/>
      <c r="B52" s="12" t="s">
        <v>503</v>
      </c>
      <c r="C52" s="12" t="s">
        <v>281</v>
      </c>
      <c r="D52" s="9" t="s">
        <v>504</v>
      </c>
      <c r="E52" s="21"/>
      <c r="F52" s="22"/>
      <c r="G52" s="19" t="s">
        <v>672</v>
      </c>
      <c r="H52" s="23"/>
      <c r="I52" s="19"/>
      <c r="J52" s="25" t="s">
        <v>284</v>
      </c>
      <c r="K52" s="25" t="s">
        <v>750</v>
      </c>
      <c r="L52" s="25" t="s">
        <v>285</v>
      </c>
    </row>
    <row r="53" spans="1:12" s="1" customFormat="1">
      <c r="A53" s="132"/>
      <c r="B53" s="12" t="s">
        <v>506</v>
      </c>
      <c r="C53" s="12" t="s">
        <v>281</v>
      </c>
      <c r="D53" s="9" t="s">
        <v>507</v>
      </c>
      <c r="E53" s="21"/>
      <c r="F53" s="22"/>
      <c r="G53" s="19" t="s">
        <v>673</v>
      </c>
      <c r="H53" s="23"/>
      <c r="I53" s="19"/>
      <c r="J53" s="25" t="s">
        <v>284</v>
      </c>
      <c r="K53" s="25" t="s">
        <v>471</v>
      </c>
      <c r="L53" s="25" t="s">
        <v>485</v>
      </c>
    </row>
    <row r="54" spans="1:12" s="1" customFormat="1">
      <c r="A54" s="132"/>
      <c r="B54" s="12" t="s">
        <v>509</v>
      </c>
      <c r="C54" s="12" t="s">
        <v>281</v>
      </c>
      <c r="D54" s="9" t="s">
        <v>510</v>
      </c>
      <c r="E54" s="21"/>
      <c r="F54" s="22"/>
      <c r="G54" s="19" t="s">
        <v>674</v>
      </c>
      <c r="H54" s="23"/>
      <c r="I54" s="19"/>
      <c r="J54" s="25" t="s">
        <v>284</v>
      </c>
      <c r="K54" s="25" t="s">
        <v>471</v>
      </c>
      <c r="L54" s="25" t="s">
        <v>485</v>
      </c>
    </row>
    <row r="55" spans="1:12" s="1" customFormat="1">
      <c r="A55" s="132"/>
      <c r="B55" s="12" t="s">
        <v>756</v>
      </c>
      <c r="C55" s="12" t="s">
        <v>281</v>
      </c>
      <c r="D55" s="9" t="s">
        <v>675</v>
      </c>
      <c r="E55" s="21"/>
      <c r="F55" s="22"/>
      <c r="G55" s="19" t="s">
        <v>676</v>
      </c>
      <c r="H55" s="23"/>
      <c r="I55" s="19"/>
      <c r="J55" s="25" t="s">
        <v>284</v>
      </c>
      <c r="K55" s="25" t="s">
        <v>750</v>
      </c>
      <c r="L55" s="25" t="s">
        <v>285</v>
      </c>
    </row>
    <row r="56" spans="1:12" s="1" customFormat="1">
      <c r="A56" s="132"/>
      <c r="B56" s="12" t="s">
        <v>757</v>
      </c>
      <c r="C56" s="12" t="s">
        <v>281</v>
      </c>
      <c r="D56" s="9" t="s">
        <v>677</v>
      </c>
      <c r="E56" s="21"/>
      <c r="F56" s="22"/>
      <c r="G56" s="19" t="s">
        <v>678</v>
      </c>
      <c r="H56" s="23"/>
      <c r="I56" s="19"/>
      <c r="J56" s="25" t="s">
        <v>284</v>
      </c>
      <c r="K56" s="25" t="s">
        <v>750</v>
      </c>
      <c r="L56" s="25" t="s">
        <v>285</v>
      </c>
    </row>
    <row r="57" spans="1:12" s="1" customFormat="1">
      <c r="A57" s="132"/>
      <c r="B57" s="12" t="s">
        <v>758</v>
      </c>
      <c r="C57" s="12" t="s">
        <v>281</v>
      </c>
      <c r="D57" s="9" t="s">
        <v>679</v>
      </c>
      <c r="E57" s="21"/>
      <c r="F57" s="22"/>
      <c r="G57" s="19" t="s">
        <v>680</v>
      </c>
      <c r="H57" s="23"/>
      <c r="I57" s="19"/>
      <c r="J57" s="25" t="s">
        <v>284</v>
      </c>
      <c r="K57" s="25" t="s">
        <v>750</v>
      </c>
      <c r="L57" s="25" t="s">
        <v>285</v>
      </c>
    </row>
    <row r="58" spans="1:12" s="1" customFormat="1">
      <c r="A58" s="132"/>
      <c r="B58" s="12" t="s">
        <v>759</v>
      </c>
      <c r="C58" s="12" t="s">
        <v>281</v>
      </c>
      <c r="D58" s="9" t="s">
        <v>681</v>
      </c>
      <c r="E58" s="21"/>
      <c r="F58" s="22"/>
      <c r="G58" s="19" t="s">
        <v>682</v>
      </c>
      <c r="H58" s="23"/>
      <c r="I58" s="19"/>
      <c r="J58" s="25" t="s">
        <v>284</v>
      </c>
      <c r="K58" s="25" t="s">
        <v>750</v>
      </c>
      <c r="L58" s="25" t="s">
        <v>285</v>
      </c>
    </row>
    <row r="59" spans="1:12" s="1" customFormat="1">
      <c r="A59" s="132"/>
      <c r="B59" s="12" t="s">
        <v>760</v>
      </c>
      <c r="C59" s="12" t="s">
        <v>281</v>
      </c>
      <c r="D59" s="9" t="s">
        <v>683</v>
      </c>
      <c r="E59" s="21"/>
      <c r="F59" s="22"/>
      <c r="G59" s="19" t="s">
        <v>684</v>
      </c>
      <c r="H59" s="23"/>
      <c r="I59" s="19"/>
      <c r="J59" s="25" t="s">
        <v>284</v>
      </c>
      <c r="K59" s="25" t="s">
        <v>750</v>
      </c>
      <c r="L59" s="25" t="s">
        <v>285</v>
      </c>
    </row>
    <row r="60" spans="1:12" s="1" customFormat="1">
      <c r="A60" s="132"/>
      <c r="B60" s="12" t="s">
        <v>527</v>
      </c>
      <c r="C60" s="12" t="s">
        <v>281</v>
      </c>
      <c r="D60" s="9" t="s">
        <v>528</v>
      </c>
      <c r="E60" s="21"/>
      <c r="F60" s="22"/>
      <c r="G60" s="19" t="s">
        <v>685</v>
      </c>
      <c r="H60" s="23"/>
      <c r="I60" s="19"/>
      <c r="J60" s="25" t="s">
        <v>284</v>
      </c>
      <c r="K60" s="25" t="s">
        <v>471</v>
      </c>
      <c r="L60" s="25" t="s">
        <v>485</v>
      </c>
    </row>
    <row r="61" spans="1:12" s="1" customFormat="1">
      <c r="A61" s="132"/>
      <c r="B61" s="12" t="s">
        <v>532</v>
      </c>
      <c r="C61" s="12" t="s">
        <v>319</v>
      </c>
      <c r="D61" s="9" t="s">
        <v>533</v>
      </c>
      <c r="E61" s="21"/>
      <c r="F61" s="22"/>
      <c r="G61" s="19" t="s">
        <v>687</v>
      </c>
      <c r="H61" s="23"/>
      <c r="I61" s="19"/>
      <c r="J61" s="25" t="s">
        <v>284</v>
      </c>
      <c r="K61" s="25" t="s">
        <v>471</v>
      </c>
      <c r="L61" s="25" t="s">
        <v>485</v>
      </c>
    </row>
    <row r="62" spans="1:12" s="1" customFormat="1">
      <c r="A62" s="132"/>
      <c r="B62" s="12" t="s">
        <v>761</v>
      </c>
      <c r="C62" s="12" t="s">
        <v>281</v>
      </c>
      <c r="D62" s="9" t="s">
        <v>536</v>
      </c>
      <c r="E62" s="21"/>
      <c r="F62" s="22"/>
      <c r="G62" s="19" t="s">
        <v>688</v>
      </c>
      <c r="H62" s="23"/>
      <c r="I62" s="19"/>
      <c r="J62" s="25" t="s">
        <v>284</v>
      </c>
      <c r="K62" s="25" t="s">
        <v>538</v>
      </c>
      <c r="L62" s="25" t="s">
        <v>285</v>
      </c>
    </row>
    <row r="63" spans="1:12" s="1" customFormat="1">
      <c r="A63" s="132"/>
      <c r="B63" s="12" t="s">
        <v>762</v>
      </c>
      <c r="C63" s="12" t="s">
        <v>281</v>
      </c>
      <c r="D63" s="9" t="s">
        <v>540</v>
      </c>
      <c r="E63" s="21"/>
      <c r="F63" s="22"/>
      <c r="G63" s="19" t="s">
        <v>689</v>
      </c>
      <c r="H63" s="23"/>
      <c r="I63" s="19"/>
      <c r="J63" s="25" t="s">
        <v>284</v>
      </c>
      <c r="K63" s="25" t="s">
        <v>538</v>
      </c>
      <c r="L63" s="25" t="s">
        <v>285</v>
      </c>
    </row>
    <row r="64" spans="1:12" s="1" customFormat="1">
      <c r="A64" s="132"/>
      <c r="B64" s="12" t="s">
        <v>763</v>
      </c>
      <c r="C64" s="12" t="s">
        <v>281</v>
      </c>
      <c r="D64" s="9" t="s">
        <v>543</v>
      </c>
      <c r="E64" s="21"/>
      <c r="F64" s="22"/>
      <c r="G64" s="19" t="s">
        <v>690</v>
      </c>
      <c r="H64" s="23"/>
      <c r="I64" s="19"/>
      <c r="J64" s="25" t="s">
        <v>284</v>
      </c>
      <c r="K64" s="25" t="s">
        <v>209</v>
      </c>
      <c r="L64" s="25" t="s">
        <v>285</v>
      </c>
    </row>
    <row r="65" spans="1:12" s="1" customFormat="1">
      <c r="A65" s="132"/>
      <c r="B65" s="12" t="s">
        <v>764</v>
      </c>
      <c r="C65" s="12" t="s">
        <v>281</v>
      </c>
      <c r="D65" s="9" t="s">
        <v>546</v>
      </c>
      <c r="E65" s="21"/>
      <c r="F65" s="22"/>
      <c r="G65" s="19" t="s">
        <v>691</v>
      </c>
      <c r="H65" s="23"/>
      <c r="I65" s="19"/>
      <c r="J65" s="25" t="s">
        <v>284</v>
      </c>
      <c r="K65" s="25" t="s">
        <v>209</v>
      </c>
      <c r="L65" s="25" t="s">
        <v>285</v>
      </c>
    </row>
    <row r="66" spans="1:12" s="1" customFormat="1">
      <c r="A66" s="132"/>
      <c r="B66" s="12" t="s">
        <v>765</v>
      </c>
      <c r="C66" s="12" t="s">
        <v>281</v>
      </c>
      <c r="D66" s="9" t="s">
        <v>549</v>
      </c>
      <c r="E66" s="21"/>
      <c r="F66" s="22"/>
      <c r="G66" s="19" t="s">
        <v>692</v>
      </c>
      <c r="H66" s="23"/>
      <c r="I66" s="19"/>
      <c r="J66" s="25" t="s">
        <v>284</v>
      </c>
      <c r="K66" s="25" t="s">
        <v>209</v>
      </c>
      <c r="L66" s="25" t="s">
        <v>285</v>
      </c>
    </row>
    <row r="67" spans="1:12" s="1" customFormat="1">
      <c r="A67" s="132"/>
      <c r="B67" s="12" t="s">
        <v>766</v>
      </c>
      <c r="C67" s="12" t="s">
        <v>281</v>
      </c>
      <c r="D67" s="9" t="s">
        <v>552</v>
      </c>
      <c r="E67" s="21"/>
      <c r="F67" s="22"/>
      <c r="G67" s="19" t="s">
        <v>693</v>
      </c>
      <c r="H67" s="23"/>
      <c r="I67" s="19"/>
      <c r="J67" s="25" t="s">
        <v>284</v>
      </c>
      <c r="K67" s="25" t="s">
        <v>209</v>
      </c>
      <c r="L67" s="25" t="s">
        <v>285</v>
      </c>
    </row>
    <row r="68" spans="1:12" s="1" customFormat="1">
      <c r="A68" s="132"/>
      <c r="B68" s="12" t="s">
        <v>767</v>
      </c>
      <c r="C68" s="12" t="s">
        <v>281</v>
      </c>
      <c r="D68" s="9" t="s">
        <v>555</v>
      </c>
      <c r="E68" s="21"/>
      <c r="F68" s="22"/>
      <c r="G68" s="19" t="s">
        <v>694</v>
      </c>
      <c r="H68" s="23"/>
      <c r="I68" s="19"/>
      <c r="J68" s="25" t="s">
        <v>284</v>
      </c>
      <c r="K68" s="25" t="s">
        <v>209</v>
      </c>
      <c r="L68" s="25" t="s">
        <v>285</v>
      </c>
    </row>
    <row r="69" spans="1:12" s="1" customFormat="1">
      <c r="A69" s="132"/>
      <c r="B69" s="12" t="s">
        <v>768</v>
      </c>
      <c r="C69" s="12" t="s">
        <v>281</v>
      </c>
      <c r="D69" s="9" t="s">
        <v>558</v>
      </c>
      <c r="E69" s="21"/>
      <c r="F69" s="22"/>
      <c r="G69" s="19" t="s">
        <v>695</v>
      </c>
      <c r="H69" s="23"/>
      <c r="I69" s="19"/>
      <c r="J69" s="25" t="s">
        <v>284</v>
      </c>
      <c r="K69" s="25" t="s">
        <v>209</v>
      </c>
      <c r="L69" s="25" t="s">
        <v>285</v>
      </c>
    </row>
    <row r="70" spans="1:12" s="1" customFormat="1">
      <c r="A70" s="132"/>
      <c r="B70" s="12" t="s">
        <v>769</v>
      </c>
      <c r="C70" s="12" t="s">
        <v>281</v>
      </c>
      <c r="D70" s="9" t="s">
        <v>561</v>
      </c>
      <c r="E70" s="21"/>
      <c r="F70" s="22"/>
      <c r="G70" s="19" t="s">
        <v>696</v>
      </c>
      <c r="H70" s="23"/>
      <c r="I70" s="19"/>
      <c r="J70" s="25" t="s">
        <v>284</v>
      </c>
      <c r="K70" s="25" t="s">
        <v>209</v>
      </c>
      <c r="L70" s="25" t="s">
        <v>285</v>
      </c>
    </row>
    <row r="71" spans="1:12" s="1" customFormat="1">
      <c r="A71" s="132"/>
      <c r="B71" s="12" t="s">
        <v>770</v>
      </c>
      <c r="C71" s="12" t="s">
        <v>281</v>
      </c>
      <c r="D71" s="9" t="s">
        <v>564</v>
      </c>
      <c r="E71" s="21"/>
      <c r="F71" s="22"/>
      <c r="G71" s="19" t="s">
        <v>697</v>
      </c>
      <c r="H71" s="23"/>
      <c r="I71" s="19"/>
      <c r="J71" s="25" t="s">
        <v>284</v>
      </c>
      <c r="K71" s="25" t="s">
        <v>209</v>
      </c>
      <c r="L71" s="25" t="s">
        <v>285</v>
      </c>
    </row>
    <row r="72" spans="1:12" s="1" customFormat="1">
      <c r="A72" s="132"/>
      <c r="B72" s="12" t="s">
        <v>771</v>
      </c>
      <c r="C72" s="12" t="s">
        <v>281</v>
      </c>
      <c r="D72" s="9" t="s">
        <v>567</v>
      </c>
      <c r="E72" s="21"/>
      <c r="F72" s="22"/>
      <c r="G72" s="19" t="s">
        <v>698</v>
      </c>
      <c r="H72" s="23"/>
      <c r="I72" s="19"/>
      <c r="J72" s="25" t="s">
        <v>284</v>
      </c>
      <c r="K72" s="25" t="s">
        <v>471</v>
      </c>
      <c r="L72" s="25" t="s">
        <v>285</v>
      </c>
    </row>
    <row r="73" spans="1:12" s="1" customFormat="1">
      <c r="A73" s="132"/>
      <c r="B73" s="12" t="s">
        <v>772</v>
      </c>
      <c r="C73" s="12" t="s">
        <v>281</v>
      </c>
      <c r="D73" s="9" t="s">
        <v>570</v>
      </c>
      <c r="E73" s="21"/>
      <c r="F73" s="22"/>
      <c r="G73" s="19" t="s">
        <v>699</v>
      </c>
      <c r="H73" s="23"/>
      <c r="I73" s="19"/>
      <c r="J73" s="25" t="s">
        <v>284</v>
      </c>
      <c r="K73" s="25" t="s">
        <v>471</v>
      </c>
      <c r="L73" s="25" t="s">
        <v>285</v>
      </c>
    </row>
    <row r="74" spans="1:12" s="1" customFormat="1">
      <c r="A74" s="132"/>
      <c r="B74" s="12" t="s">
        <v>572</v>
      </c>
      <c r="C74" s="12" t="s">
        <v>281</v>
      </c>
      <c r="D74" s="9" t="s">
        <v>573</v>
      </c>
      <c r="E74" s="21"/>
      <c r="F74" s="22"/>
      <c r="G74" s="19" t="s">
        <v>700</v>
      </c>
      <c r="H74" s="23"/>
      <c r="I74" s="19"/>
      <c r="J74" s="25" t="s">
        <v>284</v>
      </c>
      <c r="K74" s="25" t="s">
        <v>209</v>
      </c>
      <c r="L74" s="25" t="s">
        <v>285</v>
      </c>
    </row>
    <row r="75" spans="1:12" s="1" customFormat="1">
      <c r="A75" s="132"/>
      <c r="B75" s="12" t="s">
        <v>575</v>
      </c>
      <c r="C75" s="12" t="s">
        <v>281</v>
      </c>
      <c r="D75" s="9" t="s">
        <v>576</v>
      </c>
      <c r="E75" s="21"/>
      <c r="F75" s="22"/>
      <c r="G75" s="19" t="s">
        <v>701</v>
      </c>
      <c r="H75" s="23"/>
      <c r="I75" s="19"/>
      <c r="J75" s="25" t="s">
        <v>284</v>
      </c>
      <c r="K75" s="25" t="s">
        <v>471</v>
      </c>
      <c r="L75" s="25" t="s">
        <v>285</v>
      </c>
    </row>
    <row r="76" spans="1:12" s="1" customFormat="1">
      <c r="A76" s="132"/>
      <c r="B76" s="12" t="s">
        <v>578</v>
      </c>
      <c r="C76" s="12" t="s">
        <v>281</v>
      </c>
      <c r="D76" s="9" t="s">
        <v>579</v>
      </c>
      <c r="E76" s="21"/>
      <c r="F76" s="22"/>
      <c r="G76" s="19" t="s">
        <v>702</v>
      </c>
      <c r="H76" s="23"/>
      <c r="I76" s="19"/>
      <c r="J76" s="25" t="s">
        <v>284</v>
      </c>
      <c r="K76" s="25" t="s">
        <v>471</v>
      </c>
      <c r="L76" s="25" t="s">
        <v>285</v>
      </c>
    </row>
    <row r="77" spans="1:12" s="1" customFormat="1">
      <c r="A77" s="132"/>
      <c r="B77" s="12" t="s">
        <v>581</v>
      </c>
      <c r="C77" s="12" t="s">
        <v>281</v>
      </c>
      <c r="D77" s="9" t="s">
        <v>582</v>
      </c>
      <c r="E77" s="21"/>
      <c r="F77" s="22"/>
      <c r="G77" s="19" t="s">
        <v>703</v>
      </c>
      <c r="H77" s="23"/>
      <c r="I77" s="19"/>
      <c r="J77" s="25" t="s">
        <v>284</v>
      </c>
      <c r="K77" s="25" t="s">
        <v>209</v>
      </c>
      <c r="L77" s="25" t="s">
        <v>285</v>
      </c>
    </row>
    <row r="78" spans="1:12" s="1" customFormat="1">
      <c r="A78" s="132"/>
      <c r="B78" s="12" t="s">
        <v>584</v>
      </c>
      <c r="C78" s="12" t="s">
        <v>281</v>
      </c>
      <c r="D78" s="9" t="s">
        <v>585</v>
      </c>
      <c r="E78" s="21"/>
      <c r="F78" s="22"/>
      <c r="G78" s="19" t="s">
        <v>704</v>
      </c>
      <c r="H78" s="23"/>
      <c r="I78" s="19"/>
      <c r="J78" s="25" t="s">
        <v>284</v>
      </c>
      <c r="K78" s="25" t="s">
        <v>471</v>
      </c>
      <c r="L78" s="25" t="s">
        <v>285</v>
      </c>
    </row>
    <row r="79" spans="1:12" s="1" customFormat="1">
      <c r="A79" s="132"/>
      <c r="B79" s="12" t="s">
        <v>587</v>
      </c>
      <c r="C79" s="12" t="s">
        <v>281</v>
      </c>
      <c r="D79" s="9" t="s">
        <v>588</v>
      </c>
      <c r="E79" s="21"/>
      <c r="F79" s="22"/>
      <c r="G79" s="19" t="s">
        <v>705</v>
      </c>
      <c r="H79" s="23"/>
      <c r="I79" s="19"/>
      <c r="J79" s="25" t="s">
        <v>284</v>
      </c>
      <c r="K79" s="25" t="s">
        <v>471</v>
      </c>
      <c r="L79" s="25" t="s">
        <v>285</v>
      </c>
    </row>
    <row r="80" spans="1:12" s="1" customFormat="1">
      <c r="A80" s="132"/>
      <c r="B80" s="12" t="s">
        <v>773</v>
      </c>
      <c r="C80" s="12" t="s">
        <v>281</v>
      </c>
      <c r="D80" s="9" t="s">
        <v>591</v>
      </c>
      <c r="E80" s="21"/>
      <c r="F80" s="22"/>
      <c r="G80" s="19" t="s">
        <v>706</v>
      </c>
      <c r="H80" s="23"/>
      <c r="I80" s="19"/>
      <c r="J80" s="25" t="s">
        <v>284</v>
      </c>
      <c r="K80" s="25" t="s">
        <v>750</v>
      </c>
      <c r="L80" s="25" t="s">
        <v>285</v>
      </c>
    </row>
    <row r="81" spans="1:12" s="1" customFormat="1">
      <c r="A81" s="132"/>
      <c r="B81" s="12" t="s">
        <v>774</v>
      </c>
      <c r="C81" s="12" t="s">
        <v>281</v>
      </c>
      <c r="D81" s="9" t="s">
        <v>594</v>
      </c>
      <c r="E81" s="21"/>
      <c r="F81" s="22"/>
      <c r="G81" s="19" t="s">
        <v>707</v>
      </c>
      <c r="H81" s="23"/>
      <c r="I81" s="19"/>
      <c r="J81" s="25" t="s">
        <v>284</v>
      </c>
      <c r="K81" s="25" t="s">
        <v>750</v>
      </c>
      <c r="L81" s="25" t="s">
        <v>285</v>
      </c>
    </row>
    <row r="82" spans="1:12" s="1" customFormat="1">
      <c r="A82" s="132"/>
      <c r="B82" s="12" t="s">
        <v>775</v>
      </c>
      <c r="C82" s="12" t="s">
        <v>281</v>
      </c>
      <c r="D82" s="9" t="s">
        <v>597</v>
      </c>
      <c r="E82" s="21"/>
      <c r="F82" s="22"/>
      <c r="G82" s="19" t="s">
        <v>708</v>
      </c>
      <c r="H82" s="23"/>
      <c r="I82" s="19"/>
      <c r="J82" s="25" t="s">
        <v>284</v>
      </c>
      <c r="K82" s="25" t="s">
        <v>750</v>
      </c>
      <c r="L82" s="25" t="s">
        <v>285</v>
      </c>
    </row>
    <row r="83" spans="1:12" s="1" customFormat="1">
      <c r="A83" s="132"/>
      <c r="B83" s="12" t="s">
        <v>776</v>
      </c>
      <c r="C83" s="12" t="s">
        <v>281</v>
      </c>
      <c r="D83" s="9" t="s">
        <v>600</v>
      </c>
      <c r="E83" s="21"/>
      <c r="F83" s="22"/>
      <c r="G83" s="19" t="s">
        <v>709</v>
      </c>
      <c r="H83" s="23"/>
      <c r="I83" s="19"/>
      <c r="J83" s="25" t="s">
        <v>284</v>
      </c>
      <c r="K83" s="25" t="s">
        <v>750</v>
      </c>
      <c r="L83" s="25" t="s">
        <v>285</v>
      </c>
    </row>
    <row r="84" spans="1:12" s="1" customFormat="1">
      <c r="A84" s="132"/>
      <c r="B84" s="12" t="s">
        <v>777</v>
      </c>
      <c r="C84" s="12" t="s">
        <v>281</v>
      </c>
      <c r="D84" s="9" t="s">
        <v>603</v>
      </c>
      <c r="E84" s="21"/>
      <c r="F84" s="22"/>
      <c r="G84" s="19" t="s">
        <v>710</v>
      </c>
      <c r="H84" s="23"/>
      <c r="I84" s="19"/>
      <c r="J84" s="25" t="s">
        <v>284</v>
      </c>
      <c r="K84" s="25" t="s">
        <v>750</v>
      </c>
      <c r="L84" s="25" t="s">
        <v>285</v>
      </c>
    </row>
    <row r="85" spans="1:12" s="1" customFormat="1">
      <c r="A85" s="132"/>
      <c r="B85" s="12" t="s">
        <v>778</v>
      </c>
      <c r="C85" s="12" t="s">
        <v>281</v>
      </c>
      <c r="D85" s="9" t="s">
        <v>606</v>
      </c>
      <c r="E85" s="21"/>
      <c r="F85" s="22"/>
      <c r="G85" s="19" t="s">
        <v>711</v>
      </c>
      <c r="H85" s="23"/>
      <c r="I85" s="19"/>
      <c r="J85" s="25" t="s">
        <v>284</v>
      </c>
      <c r="K85" s="25" t="s">
        <v>750</v>
      </c>
      <c r="L85" s="25" t="s">
        <v>285</v>
      </c>
    </row>
    <row r="86" spans="1:12" s="1" customFormat="1">
      <c r="A86" s="132"/>
      <c r="B86" s="12" t="s">
        <v>608</v>
      </c>
      <c r="C86" s="12" t="s">
        <v>281</v>
      </c>
      <c r="D86" s="9" t="s">
        <v>609</v>
      </c>
      <c r="E86" s="21"/>
      <c r="F86" s="22"/>
      <c r="G86" s="19" t="s">
        <v>712</v>
      </c>
      <c r="H86" s="23"/>
      <c r="I86" s="19"/>
      <c r="J86" s="25" t="s">
        <v>284</v>
      </c>
      <c r="K86" s="25" t="s">
        <v>209</v>
      </c>
      <c r="L86" s="25" t="s">
        <v>285</v>
      </c>
    </row>
    <row r="87" spans="1:12" s="1" customFormat="1">
      <c r="A87" s="132"/>
      <c r="B87" s="12" t="s">
        <v>611</v>
      </c>
      <c r="C87" s="12" t="s">
        <v>281</v>
      </c>
      <c r="D87" s="9" t="s">
        <v>612</v>
      </c>
      <c r="E87" s="21"/>
      <c r="F87" s="22"/>
      <c r="G87" s="19" t="s">
        <v>713</v>
      </c>
      <c r="H87" s="23"/>
      <c r="I87" s="19"/>
      <c r="J87" s="25" t="s">
        <v>284</v>
      </c>
      <c r="K87" s="25" t="s">
        <v>209</v>
      </c>
      <c r="L87" s="25" t="s">
        <v>285</v>
      </c>
    </row>
    <row r="88" spans="1:12" s="1" customFormat="1">
      <c r="A88" s="132"/>
      <c r="B88" s="12" t="s">
        <v>779</v>
      </c>
      <c r="C88" s="12" t="s">
        <v>281</v>
      </c>
      <c r="D88" s="9" t="s">
        <v>615</v>
      </c>
      <c r="E88" s="21"/>
      <c r="F88" s="22"/>
      <c r="G88" s="19" t="s">
        <v>714</v>
      </c>
      <c r="H88" s="23"/>
      <c r="I88" s="19"/>
      <c r="J88" s="25" t="s">
        <v>284</v>
      </c>
      <c r="K88" s="25" t="s">
        <v>538</v>
      </c>
      <c r="L88" s="25" t="s">
        <v>285</v>
      </c>
    </row>
    <row r="89" spans="1:12" s="1" customFormat="1">
      <c r="A89" s="132"/>
      <c r="B89" s="12" t="s">
        <v>780</v>
      </c>
      <c r="C89" s="12" t="s">
        <v>281</v>
      </c>
      <c r="D89" s="9" t="s">
        <v>618</v>
      </c>
      <c r="E89" s="21"/>
      <c r="F89" s="22"/>
      <c r="G89" s="19" t="s">
        <v>715</v>
      </c>
      <c r="H89" s="23"/>
      <c r="I89" s="19"/>
      <c r="J89" s="25" t="s">
        <v>284</v>
      </c>
      <c r="K89" s="25" t="s">
        <v>471</v>
      </c>
      <c r="L89" s="25" t="s">
        <v>285</v>
      </c>
    </row>
    <row r="90" spans="1:12" s="1" customFormat="1">
      <c r="A90" s="132"/>
      <c r="B90" s="12" t="s">
        <v>781</v>
      </c>
      <c r="C90" s="12" t="s">
        <v>281</v>
      </c>
      <c r="D90" s="9" t="s">
        <v>621</v>
      </c>
      <c r="E90" s="21"/>
      <c r="F90" s="22"/>
      <c r="G90" s="19" t="s">
        <v>716</v>
      </c>
      <c r="H90" s="23"/>
      <c r="I90" s="19"/>
      <c r="J90" s="25" t="s">
        <v>284</v>
      </c>
      <c r="K90" s="25" t="s">
        <v>538</v>
      </c>
      <c r="L90" s="25" t="s">
        <v>285</v>
      </c>
    </row>
    <row r="91" spans="1:12" s="1" customFormat="1">
      <c r="A91" s="132"/>
      <c r="B91" s="12" t="s">
        <v>782</v>
      </c>
      <c r="C91" s="12" t="s">
        <v>281</v>
      </c>
      <c r="D91" s="9" t="s">
        <v>624</v>
      </c>
      <c r="E91" s="21"/>
      <c r="F91" s="22"/>
      <c r="G91" s="19" t="s">
        <v>717</v>
      </c>
      <c r="H91" s="23"/>
      <c r="I91" s="19"/>
      <c r="J91" s="25" t="s">
        <v>284</v>
      </c>
      <c r="K91" s="25" t="s">
        <v>471</v>
      </c>
      <c r="L91" s="25" t="s">
        <v>285</v>
      </c>
    </row>
    <row r="92" spans="1:12" s="1" customFormat="1">
      <c r="A92" s="132"/>
      <c r="B92" s="12" t="s">
        <v>626</v>
      </c>
      <c r="C92" s="12" t="s">
        <v>281</v>
      </c>
      <c r="D92" s="9" t="s">
        <v>627</v>
      </c>
      <c r="E92" s="21"/>
      <c r="F92" s="22"/>
      <c r="G92" s="19" t="s">
        <v>718</v>
      </c>
      <c r="H92" s="23"/>
      <c r="I92" s="19"/>
      <c r="J92" s="25" t="s">
        <v>284</v>
      </c>
      <c r="K92" s="25" t="s">
        <v>209</v>
      </c>
      <c r="L92" s="25" t="s">
        <v>285</v>
      </c>
    </row>
    <row r="93" spans="1:12" s="1" customFormat="1">
      <c r="A93" s="132"/>
      <c r="B93" s="12" t="s">
        <v>629</v>
      </c>
      <c r="C93" s="12" t="s">
        <v>281</v>
      </c>
      <c r="D93" s="9" t="s">
        <v>630</v>
      </c>
      <c r="E93" s="21"/>
      <c r="F93" s="22"/>
      <c r="G93" s="19" t="s">
        <v>719</v>
      </c>
      <c r="H93" s="23"/>
      <c r="I93" s="19"/>
      <c r="J93" s="25" t="s">
        <v>284</v>
      </c>
      <c r="K93" s="25" t="s">
        <v>209</v>
      </c>
      <c r="L93" s="25" t="s">
        <v>285</v>
      </c>
    </row>
    <row r="94" spans="1:12" s="1" customFormat="1">
      <c r="A94" s="132"/>
      <c r="B94" s="12" t="s">
        <v>632</v>
      </c>
      <c r="C94" s="12" t="s">
        <v>281</v>
      </c>
      <c r="D94" s="9" t="s">
        <v>633</v>
      </c>
      <c r="E94" s="21"/>
      <c r="F94" s="22"/>
      <c r="G94" s="19" t="s">
        <v>720</v>
      </c>
      <c r="H94" s="23"/>
      <c r="I94" s="19"/>
      <c r="J94" s="25" t="s">
        <v>284</v>
      </c>
      <c r="K94" s="25" t="s">
        <v>209</v>
      </c>
      <c r="L94" s="25" t="s">
        <v>285</v>
      </c>
    </row>
    <row r="95" spans="1:12" s="1" customFormat="1">
      <c r="A95" s="132"/>
      <c r="B95" s="12" t="s">
        <v>635</v>
      </c>
      <c r="C95" s="12" t="s">
        <v>281</v>
      </c>
      <c r="D95" s="9" t="s">
        <v>636</v>
      </c>
      <c r="E95" s="21"/>
      <c r="F95" s="22"/>
      <c r="G95" s="19" t="s">
        <v>721</v>
      </c>
      <c r="H95" s="23"/>
      <c r="I95" s="19"/>
      <c r="J95" s="25" t="s">
        <v>284</v>
      </c>
      <c r="K95" s="25" t="s">
        <v>209</v>
      </c>
      <c r="L95" s="25" t="s">
        <v>285</v>
      </c>
    </row>
    <row r="96" spans="1:12" s="1" customFormat="1">
      <c r="A96" s="132"/>
      <c r="B96" s="12" t="s">
        <v>638</v>
      </c>
      <c r="C96" s="12" t="s">
        <v>281</v>
      </c>
      <c r="D96" s="9" t="s">
        <v>639</v>
      </c>
      <c r="E96" s="21"/>
      <c r="F96" s="22"/>
      <c r="G96" s="19" t="s">
        <v>722</v>
      </c>
      <c r="H96" s="23"/>
      <c r="I96" s="19"/>
      <c r="J96" s="25" t="s">
        <v>284</v>
      </c>
      <c r="K96" s="25" t="s">
        <v>209</v>
      </c>
      <c r="L96" s="25" t="s">
        <v>285</v>
      </c>
    </row>
    <row r="97" spans="1:14" s="1" customFormat="1">
      <c r="A97" s="132"/>
      <c r="B97" s="12" t="s">
        <v>641</v>
      </c>
      <c r="C97" s="12" t="s">
        <v>281</v>
      </c>
      <c r="D97" s="9" t="s">
        <v>642</v>
      </c>
      <c r="E97" s="21"/>
      <c r="F97" s="22"/>
      <c r="G97" s="19" t="s">
        <v>723</v>
      </c>
      <c r="H97" s="23"/>
      <c r="I97" s="19"/>
      <c r="J97" s="25" t="s">
        <v>284</v>
      </c>
      <c r="K97" s="25" t="s">
        <v>209</v>
      </c>
      <c r="L97" s="25" t="s">
        <v>285</v>
      </c>
    </row>
    <row r="98" spans="1:14" s="1" customFormat="1">
      <c r="A98" s="132"/>
      <c r="B98" s="12" t="s">
        <v>644</v>
      </c>
      <c r="C98" s="12" t="s">
        <v>281</v>
      </c>
      <c r="D98" s="9" t="s">
        <v>645</v>
      </c>
      <c r="E98" s="21"/>
      <c r="F98" s="22"/>
      <c r="G98" s="19" t="s">
        <v>724</v>
      </c>
      <c r="H98" s="23"/>
      <c r="I98" s="19"/>
      <c r="J98" s="25" t="s">
        <v>284</v>
      </c>
      <c r="K98" s="25" t="s">
        <v>209</v>
      </c>
      <c r="L98" s="25" t="s">
        <v>285</v>
      </c>
    </row>
    <row r="99" spans="1:14" s="1" customFormat="1">
      <c r="A99" s="132"/>
      <c r="B99" s="12" t="s">
        <v>783</v>
      </c>
      <c r="C99" s="12" t="s">
        <v>281</v>
      </c>
      <c r="D99" s="9" t="s">
        <v>307</v>
      </c>
      <c r="E99" s="21"/>
      <c r="F99" s="22"/>
      <c r="G99" s="19" t="s">
        <v>413</v>
      </c>
      <c r="H99" s="23"/>
      <c r="I99" s="19"/>
      <c r="J99" s="25" t="s">
        <v>284</v>
      </c>
      <c r="K99" s="25" t="s">
        <v>209</v>
      </c>
      <c r="L99" s="25" t="s">
        <v>285</v>
      </c>
    </row>
    <row r="100" spans="1:14" s="2" customFormat="1">
      <c r="B100" s="14" t="s">
        <v>222</v>
      </c>
      <c r="C100" s="15" t="s">
        <v>211</v>
      </c>
      <c r="D100" s="16" t="s">
        <v>344</v>
      </c>
      <c r="E100" s="69"/>
      <c r="F100" s="14"/>
      <c r="G100" s="14"/>
      <c r="H100" s="14"/>
      <c r="I100" s="14"/>
      <c r="J100" s="14"/>
      <c r="K100" s="14"/>
      <c r="L100" s="14"/>
      <c r="M100" s="14"/>
      <c r="N100" s="14"/>
    </row>
    <row r="101" spans="1:14" s="2" customFormat="1">
      <c r="B101" s="14" t="s">
        <v>0</v>
      </c>
      <c r="C101" s="15" t="s">
        <v>206</v>
      </c>
      <c r="D101" s="16" t="s">
        <v>345</v>
      </c>
      <c r="E101" s="69"/>
      <c r="F101" s="14"/>
      <c r="G101" s="14"/>
      <c r="H101" s="14"/>
      <c r="I101" s="14"/>
      <c r="J101" s="14"/>
      <c r="K101" s="14"/>
      <c r="L101" s="14"/>
      <c r="M101" s="14"/>
      <c r="N101" s="14"/>
    </row>
    <row r="102" spans="1:14" s="2" customFormat="1">
      <c r="B102" s="14" t="s">
        <v>1</v>
      </c>
      <c r="C102" s="15" t="s">
        <v>211</v>
      </c>
      <c r="D102" s="16" t="s">
        <v>346</v>
      </c>
      <c r="E102" s="69"/>
      <c r="F102" s="14"/>
      <c r="G102" s="14"/>
      <c r="H102" s="14"/>
      <c r="I102" s="14"/>
      <c r="J102" s="14"/>
      <c r="K102" s="14"/>
      <c r="L102" s="14"/>
      <c r="M102" s="14"/>
      <c r="N102" s="14"/>
    </row>
  </sheetData>
  <autoFilter ref="A13:N102" xr:uid="{00000000-0009-0000-0000-00000B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89"/>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36.109375" style="3" customWidth="1"/>
    <col min="3" max="3" width="24.77734375" style="3" bestFit="1"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80"/>
      <c r="C2" s="180"/>
      <c r="D2" s="180"/>
      <c r="E2" s="180"/>
      <c r="F2" s="180"/>
      <c r="G2" s="180"/>
      <c r="H2" s="180"/>
    </row>
    <row r="3" spans="1:14">
      <c r="B3" s="181" t="s">
        <v>168</v>
      </c>
      <c r="C3" s="181"/>
      <c r="D3" s="181"/>
      <c r="E3" s="181"/>
      <c r="F3" s="181"/>
      <c r="G3" s="181"/>
      <c r="H3" s="181"/>
    </row>
    <row r="4" spans="1:14">
      <c r="B4" s="7" t="s">
        <v>40</v>
      </c>
      <c r="C4" s="7" t="s">
        <v>169</v>
      </c>
      <c r="D4" s="7" t="s">
        <v>170</v>
      </c>
      <c r="E4" s="7" t="s">
        <v>171</v>
      </c>
      <c r="F4" s="7" t="s">
        <v>172</v>
      </c>
      <c r="G4" s="7" t="s">
        <v>43</v>
      </c>
      <c r="H4" s="7" t="s">
        <v>173</v>
      </c>
    </row>
    <row r="5" spans="1:14">
      <c r="B5" s="8" t="s">
        <v>57</v>
      </c>
      <c r="C5" s="9" t="s">
        <v>2418</v>
      </c>
      <c r="D5" s="10" t="s">
        <v>100</v>
      </c>
      <c r="E5" s="12" t="s">
        <v>20</v>
      </c>
      <c r="F5" s="61"/>
      <c r="G5" s="12"/>
      <c r="H5" s="12"/>
      <c r="N5" s="3"/>
    </row>
    <row r="6" spans="1:14">
      <c r="B6" s="6"/>
      <c r="C6" s="6"/>
      <c r="D6" s="6"/>
      <c r="E6" s="6"/>
      <c r="F6" s="6"/>
      <c r="G6" s="6"/>
      <c r="H6" s="6"/>
    </row>
    <row r="7" spans="1:14">
      <c r="B7" s="181" t="s">
        <v>174</v>
      </c>
      <c r="C7" s="181"/>
      <c r="D7" s="181"/>
      <c r="E7" s="181"/>
      <c r="F7" s="181"/>
      <c r="G7" s="181"/>
      <c r="H7" s="181"/>
    </row>
    <row r="8" spans="1:14">
      <c r="B8" s="11" t="s">
        <v>175</v>
      </c>
      <c r="C8" s="11" t="s">
        <v>176</v>
      </c>
      <c r="D8" s="11" t="s">
        <v>177</v>
      </c>
      <c r="E8" s="11" t="s">
        <v>178</v>
      </c>
      <c r="F8" s="11" t="s">
        <v>179</v>
      </c>
      <c r="G8" s="11" t="s">
        <v>53</v>
      </c>
      <c r="H8" s="11" t="s">
        <v>180</v>
      </c>
    </row>
    <row r="9" spans="1:14">
      <c r="B9" s="12"/>
      <c r="C9" s="9" t="s">
        <v>95</v>
      </c>
      <c r="D9" s="10" t="s">
        <v>96</v>
      </c>
      <c r="E9" s="12" t="s">
        <v>182</v>
      </c>
      <c r="F9" s="22"/>
      <c r="G9" s="22"/>
      <c r="H9" s="20" t="s">
        <v>63</v>
      </c>
    </row>
    <row r="10" spans="1:14">
      <c r="G10" s="62"/>
    </row>
    <row r="11" spans="1:14">
      <c r="B11" s="3" t="s">
        <v>194</v>
      </c>
    </row>
    <row r="12" spans="1:14">
      <c r="B12" s="181" t="s">
        <v>194</v>
      </c>
      <c r="C12" s="181"/>
      <c r="D12" s="181"/>
      <c r="E12" s="181"/>
      <c r="F12" s="181"/>
      <c r="G12" s="181"/>
      <c r="H12" s="181"/>
      <c r="I12" s="181"/>
      <c r="J12" s="181"/>
      <c r="K12" s="181"/>
      <c r="L12" s="181"/>
    </row>
    <row r="13" spans="1:14">
      <c r="B13" s="7" t="s">
        <v>195</v>
      </c>
      <c r="C13" s="7" t="s">
        <v>196</v>
      </c>
      <c r="D13" s="7" t="s">
        <v>197</v>
      </c>
      <c r="E13" s="7" t="s">
        <v>198</v>
      </c>
      <c r="F13" s="7" t="s">
        <v>199</v>
      </c>
      <c r="G13" s="7" t="s">
        <v>200</v>
      </c>
      <c r="H13" s="7" t="s">
        <v>201</v>
      </c>
      <c r="I13" s="7" t="s">
        <v>53</v>
      </c>
      <c r="J13" s="7" t="s">
        <v>202</v>
      </c>
      <c r="K13" s="7" t="s">
        <v>203</v>
      </c>
      <c r="L13" s="7" t="s">
        <v>204</v>
      </c>
    </row>
    <row r="14" spans="1:14" s="1" customFormat="1">
      <c r="B14" s="13" t="s">
        <v>205</v>
      </c>
      <c r="C14" s="13" t="s">
        <v>206</v>
      </c>
      <c r="D14" s="9" t="s">
        <v>207</v>
      </c>
      <c r="E14" s="21" t="s">
        <v>182</v>
      </c>
      <c r="F14" s="22" t="s">
        <v>0</v>
      </c>
      <c r="G14" s="22" t="s">
        <v>208</v>
      </c>
      <c r="H14" s="23"/>
      <c r="I14" s="25"/>
      <c r="J14" s="25" t="s">
        <v>4</v>
      </c>
      <c r="K14" s="25" t="s">
        <v>209</v>
      </c>
      <c r="L14" s="25" t="s">
        <v>210</v>
      </c>
    </row>
    <row r="15" spans="1:14" s="1" customFormat="1">
      <c r="B15" s="13" t="s">
        <v>20</v>
      </c>
      <c r="C15" s="13" t="s">
        <v>211</v>
      </c>
      <c r="D15" s="9" t="s">
        <v>73</v>
      </c>
      <c r="E15" s="21" t="s">
        <v>182</v>
      </c>
      <c r="F15" s="22" t="s">
        <v>1</v>
      </c>
      <c r="G15" s="22" t="s">
        <v>208</v>
      </c>
      <c r="H15" s="23"/>
      <c r="I15" s="25"/>
      <c r="J15" s="25" t="s">
        <v>4</v>
      </c>
      <c r="K15" s="25" t="s">
        <v>209</v>
      </c>
      <c r="L15" s="25" t="s">
        <v>212</v>
      </c>
    </row>
    <row r="16" spans="1:14" s="1" customFormat="1">
      <c r="A16" s="132"/>
      <c r="B16" s="13" t="s">
        <v>214</v>
      </c>
      <c r="C16" s="13" t="s">
        <v>211</v>
      </c>
      <c r="D16" s="9" t="s">
        <v>215</v>
      </c>
      <c r="E16" s="21" t="s">
        <v>182</v>
      </c>
      <c r="F16" s="22" t="s">
        <v>214</v>
      </c>
      <c r="G16" s="22" t="s">
        <v>208</v>
      </c>
      <c r="H16" s="23"/>
      <c r="I16" s="133"/>
      <c r="J16" s="25" t="s">
        <v>4</v>
      </c>
      <c r="K16" s="25" t="s">
        <v>209</v>
      </c>
      <c r="L16" s="25" t="s">
        <v>216</v>
      </c>
    </row>
    <row r="17" spans="1:13" s="1" customFormat="1">
      <c r="A17" s="132"/>
      <c r="B17" s="13" t="s">
        <v>220</v>
      </c>
      <c r="C17" s="13" t="s">
        <v>211</v>
      </c>
      <c r="D17" s="9" t="s">
        <v>221</v>
      </c>
      <c r="E17" s="21" t="s">
        <v>182</v>
      </c>
      <c r="F17" s="22" t="s">
        <v>222</v>
      </c>
      <c r="G17" s="22" t="s">
        <v>208</v>
      </c>
      <c r="H17" s="23"/>
      <c r="I17" s="133"/>
      <c r="J17" s="25" t="s">
        <v>4</v>
      </c>
      <c r="K17" s="25" t="s">
        <v>209</v>
      </c>
      <c r="L17" s="25" t="s">
        <v>223</v>
      </c>
    </row>
    <row r="18" spans="1:13" s="1" customFormat="1">
      <c r="A18" s="132"/>
      <c r="B18" s="13" t="s">
        <v>224</v>
      </c>
      <c r="C18" s="13" t="s">
        <v>211</v>
      </c>
      <c r="D18" s="9" t="s">
        <v>225</v>
      </c>
      <c r="E18" s="21" t="s">
        <v>182</v>
      </c>
      <c r="F18" s="9" t="s">
        <v>224</v>
      </c>
      <c r="G18" s="22" t="s">
        <v>208</v>
      </c>
      <c r="H18" s="23"/>
      <c r="I18" s="133"/>
      <c r="J18" s="25" t="s">
        <v>4</v>
      </c>
      <c r="K18" s="25" t="s">
        <v>209</v>
      </c>
      <c r="L18" s="25" t="s">
        <v>223</v>
      </c>
    </row>
    <row r="19" spans="1:13" s="1" customFormat="1">
      <c r="A19" s="132"/>
      <c r="B19" s="12" t="s">
        <v>228</v>
      </c>
      <c r="C19" s="13" t="s">
        <v>211</v>
      </c>
      <c r="D19" s="9" t="s">
        <v>229</v>
      </c>
      <c r="E19" s="21" t="s">
        <v>182</v>
      </c>
      <c r="F19" s="9" t="s">
        <v>228</v>
      </c>
      <c r="G19" s="22" t="s">
        <v>208</v>
      </c>
      <c r="H19" s="23"/>
      <c r="I19" s="133"/>
      <c r="J19" s="25" t="s">
        <v>4</v>
      </c>
      <c r="K19" s="25" t="s">
        <v>209</v>
      </c>
      <c r="L19" s="25" t="s">
        <v>223</v>
      </c>
    </row>
    <row r="20" spans="1:13" s="1" customFormat="1" ht="39.6">
      <c r="A20" s="132"/>
      <c r="B20" s="12" t="s">
        <v>230</v>
      </c>
      <c r="C20" s="13" t="s">
        <v>206</v>
      </c>
      <c r="D20" s="9" t="s">
        <v>231</v>
      </c>
      <c r="E20" s="21" t="s">
        <v>182</v>
      </c>
      <c r="F20" s="27" t="s">
        <v>232</v>
      </c>
      <c r="G20" s="22" t="s">
        <v>208</v>
      </c>
      <c r="H20" s="23"/>
      <c r="I20" s="133"/>
      <c r="J20" s="25" t="s">
        <v>4</v>
      </c>
      <c r="K20" s="25" t="s">
        <v>209</v>
      </c>
      <c r="L20" s="25" t="s">
        <v>209</v>
      </c>
    </row>
    <row r="21" spans="1:13" s="1" customFormat="1" ht="26.4">
      <c r="A21" s="132"/>
      <c r="B21" s="12" t="s">
        <v>233</v>
      </c>
      <c r="C21" s="13" t="s">
        <v>206</v>
      </c>
      <c r="D21" s="9" t="s">
        <v>234</v>
      </c>
      <c r="E21" s="21" t="s">
        <v>182</v>
      </c>
      <c r="F21" s="27" t="s">
        <v>235</v>
      </c>
      <c r="G21" s="22" t="s">
        <v>208</v>
      </c>
      <c r="H21" s="23"/>
      <c r="I21" s="133"/>
      <c r="J21" s="25" t="s">
        <v>4</v>
      </c>
      <c r="K21" s="25" t="s">
        <v>209</v>
      </c>
      <c r="L21" s="25" t="s">
        <v>209</v>
      </c>
    </row>
    <row r="22" spans="1:13" s="1" customFormat="1" ht="26.4">
      <c r="A22" s="132"/>
      <c r="B22" s="12" t="s">
        <v>236</v>
      </c>
      <c r="C22" s="13" t="s">
        <v>206</v>
      </c>
      <c r="D22" s="9" t="s">
        <v>237</v>
      </c>
      <c r="E22" s="21" t="s">
        <v>182</v>
      </c>
      <c r="F22" s="27" t="s">
        <v>238</v>
      </c>
      <c r="G22" s="22" t="s">
        <v>208</v>
      </c>
      <c r="H22" s="23"/>
      <c r="I22" s="133"/>
      <c r="J22" s="25" t="s">
        <v>4</v>
      </c>
      <c r="K22" s="25" t="s">
        <v>209</v>
      </c>
      <c r="L22" s="25" t="s">
        <v>209</v>
      </c>
    </row>
    <row r="23" spans="1:13" s="1" customFormat="1" ht="26.4">
      <c r="A23" s="132"/>
      <c r="B23" s="13" t="s">
        <v>239</v>
      </c>
      <c r="C23" s="12" t="s">
        <v>206</v>
      </c>
      <c r="D23" s="9" t="s">
        <v>240</v>
      </c>
      <c r="E23" s="21" t="s">
        <v>182</v>
      </c>
      <c r="F23" s="27" t="s">
        <v>241</v>
      </c>
      <c r="G23" s="22" t="s">
        <v>208</v>
      </c>
      <c r="H23" s="23"/>
      <c r="I23" s="133"/>
      <c r="J23" s="25" t="s">
        <v>4</v>
      </c>
      <c r="K23" s="25" t="s">
        <v>209</v>
      </c>
      <c r="L23" s="25" t="s">
        <v>209</v>
      </c>
    </row>
    <row r="24" spans="1:13" s="1" customFormat="1">
      <c r="A24" s="132"/>
      <c r="B24" s="12" t="s">
        <v>242</v>
      </c>
      <c r="C24" s="12" t="s">
        <v>206</v>
      </c>
      <c r="D24" s="9" t="s">
        <v>243</v>
      </c>
      <c r="E24" s="21" t="s">
        <v>182</v>
      </c>
      <c r="F24" s="22"/>
      <c r="G24" s="22" t="s">
        <v>208</v>
      </c>
      <c r="H24" s="23"/>
      <c r="I24" s="134"/>
      <c r="J24" s="25" t="s">
        <v>4</v>
      </c>
      <c r="K24" s="25" t="s">
        <v>209</v>
      </c>
      <c r="L24" s="25" t="s">
        <v>209</v>
      </c>
    </row>
    <row r="25" spans="1:13" s="1" customFormat="1">
      <c r="A25" s="132"/>
      <c r="B25" s="12" t="s">
        <v>246</v>
      </c>
      <c r="C25" s="12" t="s">
        <v>206</v>
      </c>
      <c r="D25" s="9" t="s">
        <v>247</v>
      </c>
      <c r="E25" s="21" t="s">
        <v>182</v>
      </c>
      <c r="F25" s="22" t="s">
        <v>246</v>
      </c>
      <c r="G25" s="22" t="s">
        <v>208</v>
      </c>
      <c r="H25" s="23"/>
      <c r="I25" s="133"/>
      <c r="J25" s="25" t="s">
        <v>4</v>
      </c>
      <c r="K25" s="25" t="s">
        <v>209</v>
      </c>
      <c r="L25" s="25" t="s">
        <v>209</v>
      </c>
    </row>
    <row r="26" spans="1:13" s="1" customFormat="1">
      <c r="B26" s="13" t="s">
        <v>262</v>
      </c>
      <c r="C26" s="12" t="s">
        <v>206</v>
      </c>
      <c r="D26" s="9" t="s">
        <v>263</v>
      </c>
      <c r="E26" s="21" t="s">
        <v>182</v>
      </c>
      <c r="F26" s="22" t="s">
        <v>262</v>
      </c>
      <c r="G26" s="22" t="s">
        <v>208</v>
      </c>
      <c r="H26" s="23"/>
      <c r="I26" s="25"/>
      <c r="J26" s="25" t="s">
        <v>4</v>
      </c>
      <c r="K26" s="25" t="s">
        <v>209</v>
      </c>
      <c r="L26" s="25" t="s">
        <v>209</v>
      </c>
    </row>
    <row r="27" spans="1:13" s="1" customFormat="1">
      <c r="A27" s="132"/>
      <c r="B27" s="12" t="s">
        <v>249</v>
      </c>
      <c r="C27" s="12" t="s">
        <v>206</v>
      </c>
      <c r="D27" s="9" t="s">
        <v>250</v>
      </c>
      <c r="E27" s="21" t="s">
        <v>182</v>
      </c>
      <c r="F27" s="22" t="s">
        <v>249</v>
      </c>
      <c r="G27" s="22" t="s">
        <v>208</v>
      </c>
      <c r="H27" s="23"/>
      <c r="I27" s="133"/>
      <c r="J27" s="25" t="s">
        <v>4</v>
      </c>
      <c r="K27" s="25" t="s">
        <v>209</v>
      </c>
      <c r="L27" s="25" t="s">
        <v>209</v>
      </c>
    </row>
    <row r="28" spans="1:13" s="1" customFormat="1">
      <c r="A28" s="132"/>
      <c r="B28" s="12" t="s">
        <v>251</v>
      </c>
      <c r="C28" s="12" t="s">
        <v>206</v>
      </c>
      <c r="D28" s="9" t="s">
        <v>252</v>
      </c>
      <c r="E28" s="21" t="s">
        <v>182</v>
      </c>
      <c r="F28" s="9" t="s">
        <v>251</v>
      </c>
      <c r="G28" s="22" t="s">
        <v>208</v>
      </c>
      <c r="H28" s="23"/>
      <c r="I28" s="133"/>
      <c r="J28" s="25" t="s">
        <v>4</v>
      </c>
      <c r="K28" s="25" t="s">
        <v>209</v>
      </c>
      <c r="L28" s="25" t="s">
        <v>209</v>
      </c>
    </row>
    <row r="29" spans="1:13" s="1" customFormat="1">
      <c r="A29" s="132"/>
      <c r="B29" s="12" t="s">
        <v>254</v>
      </c>
      <c r="C29" s="12" t="s">
        <v>206</v>
      </c>
      <c r="D29" s="9" t="s">
        <v>255</v>
      </c>
      <c r="E29" s="21" t="s">
        <v>182</v>
      </c>
      <c r="F29" s="22" t="s">
        <v>254</v>
      </c>
      <c r="G29" s="22" t="s">
        <v>208</v>
      </c>
      <c r="H29" s="23"/>
      <c r="I29" s="133"/>
      <c r="J29" s="25" t="s">
        <v>4</v>
      </c>
      <c r="K29" s="25" t="s">
        <v>209</v>
      </c>
      <c r="L29" s="25" t="s">
        <v>209</v>
      </c>
    </row>
    <row r="30" spans="1:13" s="1" customFormat="1">
      <c r="B30" s="13" t="s">
        <v>260</v>
      </c>
      <c r="C30" s="12" t="s">
        <v>206</v>
      </c>
      <c r="D30" s="9" t="s">
        <v>261</v>
      </c>
      <c r="E30" s="21" t="s">
        <v>182</v>
      </c>
      <c r="F30" s="22" t="s">
        <v>260</v>
      </c>
      <c r="G30" s="22" t="s">
        <v>208</v>
      </c>
      <c r="H30" s="23"/>
      <c r="I30" s="25"/>
      <c r="J30" s="25" t="s">
        <v>4</v>
      </c>
      <c r="K30" s="25" t="s">
        <v>209</v>
      </c>
      <c r="L30" s="25" t="s">
        <v>209</v>
      </c>
    </row>
    <row r="31" spans="1:13" s="132" customFormat="1">
      <c r="B31" s="13" t="s">
        <v>264</v>
      </c>
      <c r="C31" s="12" t="s">
        <v>206</v>
      </c>
      <c r="D31" s="9" t="s">
        <v>265</v>
      </c>
      <c r="E31" s="21" t="s">
        <v>182</v>
      </c>
      <c r="F31" s="22" t="s">
        <v>264</v>
      </c>
      <c r="G31" s="22" t="s">
        <v>208</v>
      </c>
      <c r="H31" s="23"/>
      <c r="I31" s="133"/>
      <c r="J31" s="25" t="s">
        <v>4</v>
      </c>
      <c r="K31" s="25" t="s">
        <v>209</v>
      </c>
      <c r="L31" s="25" t="s">
        <v>223</v>
      </c>
      <c r="M31" s="1"/>
    </row>
    <row r="32" spans="1:13" s="1" customFormat="1">
      <c r="A32" s="132"/>
      <c r="B32" s="12" t="s">
        <v>468</v>
      </c>
      <c r="C32" s="12" t="s">
        <v>281</v>
      </c>
      <c r="D32" s="9" t="s">
        <v>469</v>
      </c>
      <c r="E32" s="21" t="s">
        <v>182</v>
      </c>
      <c r="F32" s="22"/>
      <c r="G32" s="19" t="s">
        <v>470</v>
      </c>
      <c r="H32" s="23"/>
      <c r="I32" s="19"/>
      <c r="J32" s="25" t="s">
        <v>284</v>
      </c>
      <c r="K32" s="25" t="s">
        <v>471</v>
      </c>
      <c r="L32" s="25" t="s">
        <v>285</v>
      </c>
    </row>
    <row r="33" spans="1:12" s="1" customFormat="1">
      <c r="A33" s="132"/>
      <c r="B33" s="12" t="s">
        <v>309</v>
      </c>
      <c r="C33" s="12" t="s">
        <v>281</v>
      </c>
      <c r="D33" s="9" t="s">
        <v>310</v>
      </c>
      <c r="E33" s="21" t="s">
        <v>182</v>
      </c>
      <c r="F33" s="22"/>
      <c r="G33" s="19" t="s">
        <v>656</v>
      </c>
      <c r="H33" s="23"/>
      <c r="I33" s="19"/>
      <c r="J33" s="25" t="s">
        <v>284</v>
      </c>
      <c r="K33" s="25" t="s">
        <v>209</v>
      </c>
      <c r="L33" s="25" t="s">
        <v>285</v>
      </c>
    </row>
    <row r="34" spans="1:12" s="1" customFormat="1">
      <c r="A34" s="132"/>
      <c r="B34" s="12" t="s">
        <v>473</v>
      </c>
      <c r="C34" s="12" t="s">
        <v>281</v>
      </c>
      <c r="D34" s="9" t="s">
        <v>474</v>
      </c>
      <c r="E34" s="21" t="s">
        <v>182</v>
      </c>
      <c r="F34" s="22"/>
      <c r="G34" s="19" t="s">
        <v>657</v>
      </c>
      <c r="H34" s="23"/>
      <c r="I34" s="19"/>
      <c r="J34" s="25" t="s">
        <v>284</v>
      </c>
      <c r="K34" s="25" t="s">
        <v>209</v>
      </c>
      <c r="L34" s="25" t="s">
        <v>285</v>
      </c>
    </row>
    <row r="35" spans="1:12" s="1" customFormat="1">
      <c r="A35" s="132"/>
      <c r="B35" s="12" t="s">
        <v>476</v>
      </c>
      <c r="C35" s="12" t="s">
        <v>281</v>
      </c>
      <c r="D35" s="9" t="s">
        <v>2419</v>
      </c>
      <c r="E35" s="21" t="s">
        <v>182</v>
      </c>
      <c r="F35" s="22"/>
      <c r="G35" s="19" t="s">
        <v>658</v>
      </c>
      <c r="H35" s="23"/>
      <c r="I35" s="19"/>
      <c r="J35" s="25" t="s">
        <v>284</v>
      </c>
      <c r="K35" s="25" t="s">
        <v>209</v>
      </c>
      <c r="L35" s="25" t="s">
        <v>285</v>
      </c>
    </row>
    <row r="36" spans="1:12" s="1" customFormat="1">
      <c r="A36" s="132"/>
      <c r="B36" s="12" t="s">
        <v>479</v>
      </c>
      <c r="C36" s="12" t="s">
        <v>281</v>
      </c>
      <c r="D36" s="9" t="s">
        <v>480</v>
      </c>
      <c r="E36" s="21" t="s">
        <v>182</v>
      </c>
      <c r="F36" s="22"/>
      <c r="G36" s="19" t="s">
        <v>659</v>
      </c>
      <c r="H36" s="23"/>
      <c r="I36" s="19"/>
      <c r="J36" s="25" t="s">
        <v>284</v>
      </c>
      <c r="K36" s="25" t="s">
        <v>209</v>
      </c>
      <c r="L36" s="25" t="s">
        <v>285</v>
      </c>
    </row>
    <row r="37" spans="1:12" s="1" customFormat="1">
      <c r="A37" s="132"/>
      <c r="B37" s="12" t="s">
        <v>482</v>
      </c>
      <c r="C37" s="12" t="s">
        <v>281</v>
      </c>
      <c r="D37" s="9" t="s">
        <v>483</v>
      </c>
      <c r="E37" s="21" t="s">
        <v>182</v>
      </c>
      <c r="F37" s="22"/>
      <c r="G37" s="19" t="s">
        <v>660</v>
      </c>
      <c r="H37" s="23"/>
      <c r="I37" s="19"/>
      <c r="J37" s="25" t="s">
        <v>284</v>
      </c>
      <c r="K37" s="25" t="s">
        <v>471</v>
      </c>
      <c r="L37" s="25" t="s">
        <v>485</v>
      </c>
    </row>
    <row r="38" spans="1:12" s="1" customFormat="1">
      <c r="A38" s="132"/>
      <c r="B38" s="12" t="s">
        <v>486</v>
      </c>
      <c r="C38" s="12" t="s">
        <v>281</v>
      </c>
      <c r="D38" s="9" t="s">
        <v>487</v>
      </c>
      <c r="E38" s="21" t="s">
        <v>182</v>
      </c>
      <c r="F38" s="22"/>
      <c r="G38" s="19" t="s">
        <v>661</v>
      </c>
      <c r="H38" s="23"/>
      <c r="I38" s="19"/>
      <c r="J38" s="25" t="s">
        <v>284</v>
      </c>
      <c r="K38" s="25" t="s">
        <v>471</v>
      </c>
      <c r="L38" s="25" t="s">
        <v>485</v>
      </c>
    </row>
    <row r="39" spans="1:12" s="1" customFormat="1">
      <c r="A39" s="132"/>
      <c r="B39" s="12" t="s">
        <v>488</v>
      </c>
      <c r="C39" s="12" t="s">
        <v>281</v>
      </c>
      <c r="D39" s="9" t="s">
        <v>662</v>
      </c>
      <c r="E39" s="21" t="s">
        <v>182</v>
      </c>
      <c r="F39" s="22"/>
      <c r="G39" s="19" t="s">
        <v>663</v>
      </c>
      <c r="H39" s="23"/>
      <c r="I39" s="19"/>
      <c r="J39" s="25" t="s">
        <v>284</v>
      </c>
      <c r="K39" s="25" t="s">
        <v>209</v>
      </c>
      <c r="L39" s="25" t="s">
        <v>285</v>
      </c>
    </row>
    <row r="40" spans="1:12" s="1" customFormat="1">
      <c r="A40" s="132"/>
      <c r="B40" s="12" t="s">
        <v>491</v>
      </c>
      <c r="C40" s="12" t="s">
        <v>281</v>
      </c>
      <c r="D40" s="9" t="s">
        <v>664</v>
      </c>
      <c r="E40" s="21" t="s">
        <v>182</v>
      </c>
      <c r="F40" s="22"/>
      <c r="G40" s="19" t="s">
        <v>665</v>
      </c>
      <c r="H40" s="23"/>
      <c r="I40" s="19"/>
      <c r="J40" s="25" t="s">
        <v>284</v>
      </c>
      <c r="K40" s="25" t="s">
        <v>209</v>
      </c>
      <c r="L40" s="25" t="s">
        <v>285</v>
      </c>
    </row>
    <row r="41" spans="1:12" s="1" customFormat="1">
      <c r="A41" s="132"/>
      <c r="B41" s="12" t="s">
        <v>494</v>
      </c>
      <c r="C41" s="12" t="s">
        <v>281</v>
      </c>
      <c r="D41" s="9" t="s">
        <v>666</v>
      </c>
      <c r="E41" s="21" t="s">
        <v>182</v>
      </c>
      <c r="F41" s="22"/>
      <c r="G41" s="19" t="s">
        <v>667</v>
      </c>
      <c r="H41" s="23"/>
      <c r="I41" s="19"/>
      <c r="J41" s="25" t="s">
        <v>284</v>
      </c>
      <c r="K41" s="25" t="s">
        <v>209</v>
      </c>
      <c r="L41" s="25" t="s">
        <v>285</v>
      </c>
    </row>
    <row r="42" spans="1:12" s="1" customFormat="1">
      <c r="A42" s="132"/>
      <c r="B42" s="12" t="s">
        <v>497</v>
      </c>
      <c r="C42" s="12" t="s">
        <v>281</v>
      </c>
      <c r="D42" s="9" t="s">
        <v>668</v>
      </c>
      <c r="E42" s="21" t="s">
        <v>182</v>
      </c>
      <c r="F42" s="22"/>
      <c r="G42" s="19" t="s">
        <v>669</v>
      </c>
      <c r="H42" s="23"/>
      <c r="I42" s="19"/>
      <c r="J42" s="25" t="s">
        <v>284</v>
      </c>
      <c r="K42" s="25" t="s">
        <v>209</v>
      </c>
      <c r="L42" s="25" t="s">
        <v>285</v>
      </c>
    </row>
    <row r="43" spans="1:12" s="1" customFormat="1">
      <c r="A43" s="132"/>
      <c r="B43" s="12" t="s">
        <v>500</v>
      </c>
      <c r="C43" s="12" t="s">
        <v>281</v>
      </c>
      <c r="D43" s="9" t="s">
        <v>670</v>
      </c>
      <c r="E43" s="21" t="s">
        <v>182</v>
      </c>
      <c r="F43" s="22"/>
      <c r="G43" s="19" t="s">
        <v>671</v>
      </c>
      <c r="H43" s="23"/>
      <c r="I43" s="19"/>
      <c r="J43" s="25" t="s">
        <v>284</v>
      </c>
      <c r="K43" s="25" t="s">
        <v>209</v>
      </c>
      <c r="L43" s="25" t="s">
        <v>285</v>
      </c>
    </row>
    <row r="44" spans="1:12" s="1" customFormat="1">
      <c r="A44" s="132"/>
      <c r="B44" s="12" t="s">
        <v>503</v>
      </c>
      <c r="C44" s="12" t="s">
        <v>281</v>
      </c>
      <c r="D44" s="9" t="s">
        <v>504</v>
      </c>
      <c r="E44" s="21" t="s">
        <v>182</v>
      </c>
      <c r="F44" s="22"/>
      <c r="G44" s="19" t="s">
        <v>672</v>
      </c>
      <c r="H44" s="23"/>
      <c r="I44" s="19"/>
      <c r="J44" s="25" t="s">
        <v>284</v>
      </c>
      <c r="K44" s="25" t="s">
        <v>209</v>
      </c>
      <c r="L44" s="25" t="s">
        <v>285</v>
      </c>
    </row>
    <row r="45" spans="1:12" s="1" customFormat="1">
      <c r="A45" s="132"/>
      <c r="B45" s="12" t="s">
        <v>506</v>
      </c>
      <c r="C45" s="12" t="s">
        <v>281</v>
      </c>
      <c r="D45" s="9" t="s">
        <v>507</v>
      </c>
      <c r="E45" s="21" t="s">
        <v>182</v>
      </c>
      <c r="F45" s="22"/>
      <c r="G45" s="19" t="s">
        <v>673</v>
      </c>
      <c r="H45" s="23"/>
      <c r="I45" s="19"/>
      <c r="J45" s="25" t="s">
        <v>284</v>
      </c>
      <c r="K45" s="25" t="s">
        <v>471</v>
      </c>
      <c r="L45" s="25" t="s">
        <v>485</v>
      </c>
    </row>
    <row r="46" spans="1:12" s="1" customFormat="1">
      <c r="A46" s="132"/>
      <c r="B46" s="12" t="s">
        <v>509</v>
      </c>
      <c r="C46" s="12" t="s">
        <v>281</v>
      </c>
      <c r="D46" s="9" t="s">
        <v>510</v>
      </c>
      <c r="E46" s="21" t="s">
        <v>182</v>
      </c>
      <c r="F46" s="22"/>
      <c r="G46" s="19" t="s">
        <v>674</v>
      </c>
      <c r="H46" s="23"/>
      <c r="I46" s="19"/>
      <c r="J46" s="25" t="s">
        <v>284</v>
      </c>
      <c r="K46" s="25" t="s">
        <v>471</v>
      </c>
      <c r="L46" s="25" t="s">
        <v>485</v>
      </c>
    </row>
    <row r="47" spans="1:12" s="1" customFormat="1">
      <c r="A47" s="132"/>
      <c r="B47" s="12" t="s">
        <v>512</v>
      </c>
      <c r="C47" s="12" t="s">
        <v>281</v>
      </c>
      <c r="D47" s="9" t="s">
        <v>675</v>
      </c>
      <c r="E47" s="21" t="s">
        <v>182</v>
      </c>
      <c r="F47" s="22"/>
      <c r="G47" s="19" t="s">
        <v>676</v>
      </c>
      <c r="H47" s="23"/>
      <c r="I47" s="19"/>
      <c r="J47" s="25" t="s">
        <v>284</v>
      </c>
      <c r="K47" s="25" t="s">
        <v>209</v>
      </c>
      <c r="L47" s="25" t="s">
        <v>285</v>
      </c>
    </row>
    <row r="48" spans="1:12" s="1" customFormat="1">
      <c r="A48" s="132"/>
      <c r="B48" s="12" t="s">
        <v>515</v>
      </c>
      <c r="C48" s="12" t="s">
        <v>281</v>
      </c>
      <c r="D48" s="9" t="s">
        <v>677</v>
      </c>
      <c r="E48" s="21" t="s">
        <v>182</v>
      </c>
      <c r="F48" s="22"/>
      <c r="G48" s="19" t="s">
        <v>678</v>
      </c>
      <c r="H48" s="23"/>
      <c r="I48" s="19"/>
      <c r="J48" s="25" t="s">
        <v>284</v>
      </c>
      <c r="K48" s="25" t="s">
        <v>209</v>
      </c>
      <c r="L48" s="25" t="s">
        <v>285</v>
      </c>
    </row>
    <row r="49" spans="1:12" s="1" customFormat="1">
      <c r="A49" s="132"/>
      <c r="B49" s="12" t="s">
        <v>518</v>
      </c>
      <c r="C49" s="12" t="s">
        <v>281</v>
      </c>
      <c r="D49" s="9" t="s">
        <v>679</v>
      </c>
      <c r="E49" s="21" t="s">
        <v>182</v>
      </c>
      <c r="F49" s="22"/>
      <c r="G49" s="19" t="s">
        <v>680</v>
      </c>
      <c r="H49" s="23"/>
      <c r="I49" s="19"/>
      <c r="J49" s="25" t="s">
        <v>284</v>
      </c>
      <c r="K49" s="25" t="s">
        <v>209</v>
      </c>
      <c r="L49" s="25" t="s">
        <v>285</v>
      </c>
    </row>
    <row r="50" spans="1:12" s="1" customFormat="1">
      <c r="A50" s="132"/>
      <c r="B50" s="12" t="s">
        <v>521</v>
      </c>
      <c r="C50" s="12" t="s">
        <v>281</v>
      </c>
      <c r="D50" s="9" t="s">
        <v>681</v>
      </c>
      <c r="E50" s="21" t="s">
        <v>182</v>
      </c>
      <c r="F50" s="22"/>
      <c r="G50" s="19" t="s">
        <v>682</v>
      </c>
      <c r="H50" s="23"/>
      <c r="I50" s="19"/>
      <c r="J50" s="25" t="s">
        <v>284</v>
      </c>
      <c r="K50" s="25" t="s">
        <v>209</v>
      </c>
      <c r="L50" s="25" t="s">
        <v>285</v>
      </c>
    </row>
    <row r="51" spans="1:12" s="1" customFormat="1">
      <c r="A51" s="132"/>
      <c r="B51" s="12" t="s">
        <v>524</v>
      </c>
      <c r="C51" s="12" t="s">
        <v>281</v>
      </c>
      <c r="D51" s="9" t="s">
        <v>683</v>
      </c>
      <c r="E51" s="21" t="s">
        <v>182</v>
      </c>
      <c r="F51" s="22"/>
      <c r="G51" s="19" t="s">
        <v>684</v>
      </c>
      <c r="H51" s="23"/>
      <c r="I51" s="19"/>
      <c r="J51" s="25" t="s">
        <v>284</v>
      </c>
      <c r="K51" s="25" t="s">
        <v>209</v>
      </c>
      <c r="L51" s="25" t="s">
        <v>285</v>
      </c>
    </row>
    <row r="52" spans="1:12" s="1" customFormat="1">
      <c r="A52" s="132"/>
      <c r="B52" s="12" t="s">
        <v>527</v>
      </c>
      <c r="C52" s="12" t="s">
        <v>281</v>
      </c>
      <c r="D52" s="9" t="s">
        <v>528</v>
      </c>
      <c r="E52" s="21" t="s">
        <v>182</v>
      </c>
      <c r="F52" s="22"/>
      <c r="G52" s="19" t="s">
        <v>685</v>
      </c>
      <c r="H52" s="23"/>
      <c r="I52" s="19"/>
      <c r="J52" s="25" t="s">
        <v>284</v>
      </c>
      <c r="K52" s="25" t="s">
        <v>471</v>
      </c>
      <c r="L52" s="25" t="s">
        <v>485</v>
      </c>
    </row>
    <row r="53" spans="1:12" s="1" customFormat="1">
      <c r="A53" s="132"/>
      <c r="B53" s="12" t="s">
        <v>529</v>
      </c>
      <c r="C53" s="12" t="s">
        <v>281</v>
      </c>
      <c r="D53" s="9" t="s">
        <v>530</v>
      </c>
      <c r="E53" s="21" t="s">
        <v>182</v>
      </c>
      <c r="F53" s="22"/>
      <c r="G53" s="19" t="s">
        <v>686</v>
      </c>
      <c r="H53" s="23"/>
      <c r="I53" s="19"/>
      <c r="J53" s="25" t="s">
        <v>284</v>
      </c>
      <c r="K53" s="25" t="s">
        <v>471</v>
      </c>
      <c r="L53" s="25" t="s">
        <v>485</v>
      </c>
    </row>
    <row r="54" spans="1:12" s="1" customFormat="1">
      <c r="A54" s="132"/>
      <c r="B54" s="12" t="s">
        <v>532</v>
      </c>
      <c r="C54" s="12" t="s">
        <v>319</v>
      </c>
      <c r="D54" s="9" t="s">
        <v>533</v>
      </c>
      <c r="E54" s="21" t="s">
        <v>182</v>
      </c>
      <c r="F54" s="22"/>
      <c r="G54" s="19" t="s">
        <v>687</v>
      </c>
      <c r="H54" s="23"/>
      <c r="I54" s="19"/>
      <c r="J54" s="25" t="s">
        <v>284</v>
      </c>
      <c r="K54" s="25" t="s">
        <v>471</v>
      </c>
      <c r="L54" s="25" t="s">
        <v>485</v>
      </c>
    </row>
    <row r="55" spans="1:12" s="1" customFormat="1">
      <c r="A55" s="132"/>
      <c r="B55" s="12" t="s">
        <v>535</v>
      </c>
      <c r="C55" s="12" t="s">
        <v>281</v>
      </c>
      <c r="D55" s="9" t="s">
        <v>536</v>
      </c>
      <c r="E55" s="21" t="s">
        <v>182</v>
      </c>
      <c r="F55" s="22"/>
      <c r="G55" s="19" t="s">
        <v>688</v>
      </c>
      <c r="H55" s="23"/>
      <c r="I55" s="19"/>
      <c r="J55" s="25" t="s">
        <v>284</v>
      </c>
      <c r="K55" s="25" t="s">
        <v>538</v>
      </c>
      <c r="L55" s="25" t="s">
        <v>485</v>
      </c>
    </row>
    <row r="56" spans="1:12" s="1" customFormat="1">
      <c r="A56" s="132"/>
      <c r="B56" s="12" t="s">
        <v>539</v>
      </c>
      <c r="C56" s="12" t="s">
        <v>281</v>
      </c>
      <c r="D56" s="9" t="s">
        <v>540</v>
      </c>
      <c r="E56" s="21" t="s">
        <v>182</v>
      </c>
      <c r="F56" s="22"/>
      <c r="G56" s="19" t="s">
        <v>689</v>
      </c>
      <c r="H56" s="23"/>
      <c r="I56" s="19"/>
      <c r="J56" s="25" t="s">
        <v>284</v>
      </c>
      <c r="K56" s="25" t="s">
        <v>538</v>
      </c>
      <c r="L56" s="25" t="s">
        <v>485</v>
      </c>
    </row>
    <row r="57" spans="1:12" s="1" customFormat="1">
      <c r="A57" s="132"/>
      <c r="B57" s="12" t="s">
        <v>542</v>
      </c>
      <c r="C57" s="12" t="s">
        <v>281</v>
      </c>
      <c r="D57" s="9" t="s">
        <v>543</v>
      </c>
      <c r="E57" s="21" t="s">
        <v>182</v>
      </c>
      <c r="F57" s="22"/>
      <c r="G57" s="19" t="s">
        <v>690</v>
      </c>
      <c r="H57" s="23"/>
      <c r="I57" s="19"/>
      <c r="J57" s="25" t="s">
        <v>284</v>
      </c>
      <c r="K57" s="25" t="s">
        <v>209</v>
      </c>
      <c r="L57" s="25" t="s">
        <v>285</v>
      </c>
    </row>
    <row r="58" spans="1:12" s="1" customFormat="1">
      <c r="A58" s="132"/>
      <c r="B58" s="12" t="s">
        <v>545</v>
      </c>
      <c r="C58" s="12" t="s">
        <v>281</v>
      </c>
      <c r="D58" s="9" t="s">
        <v>546</v>
      </c>
      <c r="E58" s="21" t="s">
        <v>182</v>
      </c>
      <c r="F58" s="22"/>
      <c r="G58" s="19" t="s">
        <v>691</v>
      </c>
      <c r="H58" s="23"/>
      <c r="I58" s="19"/>
      <c r="J58" s="25" t="s">
        <v>284</v>
      </c>
      <c r="K58" s="25" t="s">
        <v>209</v>
      </c>
      <c r="L58" s="25" t="s">
        <v>285</v>
      </c>
    </row>
    <row r="59" spans="1:12" s="1" customFormat="1">
      <c r="A59" s="132"/>
      <c r="B59" s="12" t="s">
        <v>548</v>
      </c>
      <c r="C59" s="12" t="s">
        <v>281</v>
      </c>
      <c r="D59" s="9" t="s">
        <v>549</v>
      </c>
      <c r="E59" s="21" t="s">
        <v>182</v>
      </c>
      <c r="F59" s="22"/>
      <c r="G59" s="19" t="s">
        <v>692</v>
      </c>
      <c r="H59" s="23"/>
      <c r="I59" s="19"/>
      <c r="J59" s="25" t="s">
        <v>284</v>
      </c>
      <c r="K59" s="25" t="s">
        <v>209</v>
      </c>
      <c r="L59" s="25" t="s">
        <v>285</v>
      </c>
    </row>
    <row r="60" spans="1:12" s="1" customFormat="1">
      <c r="A60" s="132"/>
      <c r="B60" s="12" t="s">
        <v>551</v>
      </c>
      <c r="C60" s="12" t="s">
        <v>281</v>
      </c>
      <c r="D60" s="9" t="s">
        <v>552</v>
      </c>
      <c r="E60" s="21" t="s">
        <v>182</v>
      </c>
      <c r="F60" s="22"/>
      <c r="G60" s="19" t="s">
        <v>693</v>
      </c>
      <c r="H60" s="23"/>
      <c r="I60" s="19"/>
      <c r="J60" s="25" t="s">
        <v>284</v>
      </c>
      <c r="K60" s="25" t="s">
        <v>209</v>
      </c>
      <c r="L60" s="25" t="s">
        <v>285</v>
      </c>
    </row>
    <row r="61" spans="1:12" s="1" customFormat="1">
      <c r="A61" s="132"/>
      <c r="B61" s="12" t="s">
        <v>554</v>
      </c>
      <c r="C61" s="12" t="s">
        <v>281</v>
      </c>
      <c r="D61" s="9" t="s">
        <v>555</v>
      </c>
      <c r="E61" s="21" t="s">
        <v>182</v>
      </c>
      <c r="F61" s="22"/>
      <c r="G61" s="19" t="s">
        <v>694</v>
      </c>
      <c r="H61" s="23"/>
      <c r="I61" s="19"/>
      <c r="J61" s="25" t="s">
        <v>284</v>
      </c>
      <c r="K61" s="25" t="s">
        <v>209</v>
      </c>
      <c r="L61" s="25" t="s">
        <v>285</v>
      </c>
    </row>
    <row r="62" spans="1:12" s="1" customFormat="1">
      <c r="A62" s="132"/>
      <c r="B62" s="12" t="s">
        <v>557</v>
      </c>
      <c r="C62" s="12" t="s">
        <v>281</v>
      </c>
      <c r="D62" s="9" t="s">
        <v>558</v>
      </c>
      <c r="E62" s="21" t="s">
        <v>182</v>
      </c>
      <c r="F62" s="22"/>
      <c r="G62" s="19" t="s">
        <v>695</v>
      </c>
      <c r="H62" s="23"/>
      <c r="I62" s="19"/>
      <c r="J62" s="25" t="s">
        <v>284</v>
      </c>
      <c r="K62" s="25" t="s">
        <v>209</v>
      </c>
      <c r="L62" s="25" t="s">
        <v>285</v>
      </c>
    </row>
    <row r="63" spans="1:12" s="1" customFormat="1">
      <c r="A63" s="132"/>
      <c r="B63" s="12" t="s">
        <v>560</v>
      </c>
      <c r="C63" s="12" t="s">
        <v>281</v>
      </c>
      <c r="D63" s="9" t="s">
        <v>561</v>
      </c>
      <c r="E63" s="21" t="s">
        <v>182</v>
      </c>
      <c r="F63" s="22"/>
      <c r="G63" s="19" t="s">
        <v>696</v>
      </c>
      <c r="H63" s="23"/>
      <c r="I63" s="19"/>
      <c r="J63" s="25" t="s">
        <v>284</v>
      </c>
      <c r="K63" s="25" t="s">
        <v>209</v>
      </c>
      <c r="L63" s="25" t="s">
        <v>285</v>
      </c>
    </row>
    <row r="64" spans="1:12" s="1" customFormat="1">
      <c r="A64" s="132"/>
      <c r="B64" s="12" t="s">
        <v>563</v>
      </c>
      <c r="C64" s="12" t="s">
        <v>281</v>
      </c>
      <c r="D64" s="9" t="s">
        <v>564</v>
      </c>
      <c r="E64" s="21" t="s">
        <v>182</v>
      </c>
      <c r="F64" s="22"/>
      <c r="G64" s="19" t="s">
        <v>697</v>
      </c>
      <c r="H64" s="23"/>
      <c r="I64" s="19"/>
      <c r="J64" s="25" t="s">
        <v>284</v>
      </c>
      <c r="K64" s="25" t="s">
        <v>209</v>
      </c>
      <c r="L64" s="25" t="s">
        <v>285</v>
      </c>
    </row>
    <row r="65" spans="1:12" s="1" customFormat="1">
      <c r="A65" s="132"/>
      <c r="B65" s="12" t="s">
        <v>2420</v>
      </c>
      <c r="C65" s="12" t="s">
        <v>281</v>
      </c>
      <c r="D65" s="9" t="s">
        <v>567</v>
      </c>
      <c r="E65" s="21" t="s">
        <v>182</v>
      </c>
      <c r="F65" s="22"/>
      <c r="G65" s="19" t="s">
        <v>2421</v>
      </c>
      <c r="H65" s="23"/>
      <c r="I65" s="19"/>
      <c r="J65" s="25" t="s">
        <v>284</v>
      </c>
      <c r="K65" s="25" t="s">
        <v>471</v>
      </c>
      <c r="L65" s="25" t="s">
        <v>285</v>
      </c>
    </row>
    <row r="66" spans="1:12" s="1" customFormat="1">
      <c r="A66" s="132"/>
      <c r="B66" s="12" t="s">
        <v>772</v>
      </c>
      <c r="C66" s="12" t="s">
        <v>281</v>
      </c>
      <c r="D66" s="9" t="s">
        <v>570</v>
      </c>
      <c r="E66" s="21" t="s">
        <v>182</v>
      </c>
      <c r="F66" s="22"/>
      <c r="G66" s="19" t="s">
        <v>2422</v>
      </c>
      <c r="H66" s="23"/>
      <c r="I66" s="19"/>
      <c r="J66" s="25" t="s">
        <v>284</v>
      </c>
      <c r="K66" s="25" t="s">
        <v>471</v>
      </c>
      <c r="L66" s="25" t="s">
        <v>285</v>
      </c>
    </row>
    <row r="67" spans="1:12" s="1" customFormat="1">
      <c r="A67" s="132"/>
      <c r="B67" s="12" t="s">
        <v>572</v>
      </c>
      <c r="C67" s="12" t="s">
        <v>281</v>
      </c>
      <c r="D67" s="9" t="s">
        <v>573</v>
      </c>
      <c r="E67" s="21" t="s">
        <v>182</v>
      </c>
      <c r="F67" s="22"/>
      <c r="G67" s="19" t="s">
        <v>700</v>
      </c>
      <c r="H67" s="23"/>
      <c r="I67" s="19"/>
      <c r="J67" s="25" t="s">
        <v>284</v>
      </c>
      <c r="K67" s="25" t="s">
        <v>209</v>
      </c>
      <c r="L67" s="25" t="s">
        <v>285</v>
      </c>
    </row>
    <row r="68" spans="1:12" s="1" customFormat="1">
      <c r="A68" s="132"/>
      <c r="B68" s="12" t="s">
        <v>575</v>
      </c>
      <c r="C68" s="12" t="s">
        <v>281</v>
      </c>
      <c r="D68" s="9" t="s">
        <v>576</v>
      </c>
      <c r="E68" s="21" t="s">
        <v>182</v>
      </c>
      <c r="F68" s="22"/>
      <c r="G68" s="19" t="s">
        <v>2423</v>
      </c>
      <c r="H68" s="23"/>
      <c r="I68" s="19"/>
      <c r="J68" s="25" t="s">
        <v>284</v>
      </c>
      <c r="K68" s="25" t="s">
        <v>471</v>
      </c>
      <c r="L68" s="25" t="s">
        <v>285</v>
      </c>
    </row>
    <row r="69" spans="1:12" s="1" customFormat="1">
      <c r="A69" s="132"/>
      <c r="B69" s="12" t="s">
        <v>578</v>
      </c>
      <c r="C69" s="12" t="s">
        <v>281</v>
      </c>
      <c r="D69" s="9" t="s">
        <v>579</v>
      </c>
      <c r="E69" s="21" t="s">
        <v>182</v>
      </c>
      <c r="F69" s="22"/>
      <c r="G69" s="19" t="s">
        <v>702</v>
      </c>
      <c r="H69" s="23"/>
      <c r="I69" s="19"/>
      <c r="J69" s="25" t="s">
        <v>284</v>
      </c>
      <c r="K69" s="25" t="s">
        <v>471</v>
      </c>
      <c r="L69" s="25" t="s">
        <v>285</v>
      </c>
    </row>
    <row r="70" spans="1:12" s="1" customFormat="1">
      <c r="A70" s="132"/>
      <c r="B70" s="12" t="s">
        <v>581</v>
      </c>
      <c r="C70" s="12" t="s">
        <v>281</v>
      </c>
      <c r="D70" s="9" t="s">
        <v>582</v>
      </c>
      <c r="E70" s="21" t="s">
        <v>182</v>
      </c>
      <c r="F70" s="22"/>
      <c r="G70" s="19" t="s">
        <v>703</v>
      </c>
      <c r="H70" s="23"/>
      <c r="I70" s="19"/>
      <c r="J70" s="25" t="s">
        <v>284</v>
      </c>
      <c r="K70" s="25" t="s">
        <v>209</v>
      </c>
      <c r="L70" s="25" t="s">
        <v>285</v>
      </c>
    </row>
    <row r="71" spans="1:12" s="1" customFormat="1">
      <c r="A71" s="132"/>
      <c r="B71" s="12" t="s">
        <v>584</v>
      </c>
      <c r="C71" s="12" t="s">
        <v>281</v>
      </c>
      <c r="D71" s="9" t="s">
        <v>585</v>
      </c>
      <c r="E71" s="21" t="s">
        <v>182</v>
      </c>
      <c r="F71" s="22"/>
      <c r="G71" s="19" t="s">
        <v>704</v>
      </c>
      <c r="H71" s="23"/>
      <c r="I71" s="19"/>
      <c r="J71" s="25" t="s">
        <v>284</v>
      </c>
      <c r="K71" s="25" t="s">
        <v>471</v>
      </c>
      <c r="L71" s="25" t="s">
        <v>285</v>
      </c>
    </row>
    <row r="72" spans="1:12" s="1" customFormat="1">
      <c r="A72" s="132"/>
      <c r="B72" s="12" t="s">
        <v>587</v>
      </c>
      <c r="C72" s="12" t="s">
        <v>281</v>
      </c>
      <c r="D72" s="9" t="s">
        <v>588</v>
      </c>
      <c r="E72" s="21" t="s">
        <v>182</v>
      </c>
      <c r="F72" s="22"/>
      <c r="G72" s="19" t="s">
        <v>705</v>
      </c>
      <c r="H72" s="23"/>
      <c r="I72" s="19"/>
      <c r="J72" s="25" t="s">
        <v>284</v>
      </c>
      <c r="K72" s="25" t="s">
        <v>471</v>
      </c>
      <c r="L72" s="25" t="s">
        <v>285</v>
      </c>
    </row>
    <row r="73" spans="1:12" s="1" customFormat="1">
      <c r="A73" s="132"/>
      <c r="B73" s="12" t="s">
        <v>590</v>
      </c>
      <c r="C73" s="12" t="s">
        <v>281</v>
      </c>
      <c r="D73" s="9" t="s">
        <v>591</v>
      </c>
      <c r="E73" s="21" t="s">
        <v>182</v>
      </c>
      <c r="F73" s="22"/>
      <c r="G73" s="19" t="s">
        <v>706</v>
      </c>
      <c r="H73" s="23"/>
      <c r="I73" s="19"/>
      <c r="J73" s="25" t="s">
        <v>284</v>
      </c>
      <c r="K73" s="25" t="s">
        <v>209</v>
      </c>
      <c r="L73" s="25" t="s">
        <v>285</v>
      </c>
    </row>
    <row r="74" spans="1:12" s="1" customFormat="1">
      <c r="A74" s="132"/>
      <c r="B74" s="12" t="s">
        <v>593</v>
      </c>
      <c r="C74" s="12" t="s">
        <v>281</v>
      </c>
      <c r="D74" s="9" t="s">
        <v>594</v>
      </c>
      <c r="E74" s="21" t="s">
        <v>182</v>
      </c>
      <c r="F74" s="22"/>
      <c r="G74" s="19" t="s">
        <v>707</v>
      </c>
      <c r="H74" s="23"/>
      <c r="I74" s="19"/>
      <c r="J74" s="25" t="s">
        <v>284</v>
      </c>
      <c r="K74" s="25" t="s">
        <v>209</v>
      </c>
      <c r="L74" s="25" t="s">
        <v>285</v>
      </c>
    </row>
    <row r="75" spans="1:12" s="1" customFormat="1">
      <c r="A75" s="132"/>
      <c r="B75" s="12" t="s">
        <v>596</v>
      </c>
      <c r="C75" s="12" t="s">
        <v>281</v>
      </c>
      <c r="D75" s="9" t="s">
        <v>597</v>
      </c>
      <c r="E75" s="21" t="s">
        <v>182</v>
      </c>
      <c r="F75" s="22"/>
      <c r="G75" s="19" t="s">
        <v>708</v>
      </c>
      <c r="H75" s="23"/>
      <c r="I75" s="19"/>
      <c r="J75" s="25" t="s">
        <v>284</v>
      </c>
      <c r="K75" s="25" t="s">
        <v>209</v>
      </c>
      <c r="L75" s="25" t="s">
        <v>285</v>
      </c>
    </row>
    <row r="76" spans="1:12" s="1" customFormat="1">
      <c r="A76" s="132"/>
      <c r="B76" s="12" t="s">
        <v>599</v>
      </c>
      <c r="C76" s="12" t="s">
        <v>281</v>
      </c>
      <c r="D76" s="9" t="s">
        <v>600</v>
      </c>
      <c r="E76" s="21" t="s">
        <v>182</v>
      </c>
      <c r="F76" s="22"/>
      <c r="G76" s="19" t="s">
        <v>709</v>
      </c>
      <c r="H76" s="23"/>
      <c r="I76" s="19"/>
      <c r="J76" s="25" t="s">
        <v>284</v>
      </c>
      <c r="K76" s="25" t="s">
        <v>209</v>
      </c>
      <c r="L76" s="25" t="s">
        <v>285</v>
      </c>
    </row>
    <row r="77" spans="1:12" s="1" customFormat="1">
      <c r="A77" s="132"/>
      <c r="B77" s="12" t="s">
        <v>602</v>
      </c>
      <c r="C77" s="12" t="s">
        <v>281</v>
      </c>
      <c r="D77" s="9" t="s">
        <v>603</v>
      </c>
      <c r="E77" s="21" t="s">
        <v>182</v>
      </c>
      <c r="F77" s="22"/>
      <c r="G77" s="19" t="s">
        <v>710</v>
      </c>
      <c r="H77" s="23"/>
      <c r="I77" s="19"/>
      <c r="J77" s="25" t="s">
        <v>284</v>
      </c>
      <c r="K77" s="25" t="s">
        <v>209</v>
      </c>
      <c r="L77" s="25" t="s">
        <v>285</v>
      </c>
    </row>
    <row r="78" spans="1:12" s="1" customFormat="1">
      <c r="A78" s="132"/>
      <c r="B78" s="12" t="s">
        <v>605</v>
      </c>
      <c r="C78" s="12" t="s">
        <v>281</v>
      </c>
      <c r="D78" s="9" t="s">
        <v>606</v>
      </c>
      <c r="E78" s="21" t="s">
        <v>182</v>
      </c>
      <c r="F78" s="22"/>
      <c r="G78" s="19" t="s">
        <v>711</v>
      </c>
      <c r="H78" s="23"/>
      <c r="I78" s="19"/>
      <c r="J78" s="25" t="s">
        <v>284</v>
      </c>
      <c r="K78" s="25" t="s">
        <v>209</v>
      </c>
      <c r="L78" s="25" t="s">
        <v>285</v>
      </c>
    </row>
    <row r="79" spans="1:12" s="1" customFormat="1">
      <c r="A79" s="132"/>
      <c r="B79" s="12" t="s">
        <v>608</v>
      </c>
      <c r="C79" s="12" t="s">
        <v>281</v>
      </c>
      <c r="D79" s="9" t="s">
        <v>609</v>
      </c>
      <c r="E79" s="21" t="s">
        <v>182</v>
      </c>
      <c r="F79" s="22"/>
      <c r="G79" s="19" t="s">
        <v>712</v>
      </c>
      <c r="H79" s="23"/>
      <c r="I79" s="19"/>
      <c r="J79" s="25" t="s">
        <v>284</v>
      </c>
      <c r="K79" s="25" t="s">
        <v>209</v>
      </c>
      <c r="L79" s="25" t="s">
        <v>285</v>
      </c>
    </row>
    <row r="80" spans="1:12" s="1" customFormat="1">
      <c r="A80" s="132"/>
      <c r="B80" s="12" t="s">
        <v>611</v>
      </c>
      <c r="C80" s="12" t="s">
        <v>281</v>
      </c>
      <c r="D80" s="9" t="s">
        <v>612</v>
      </c>
      <c r="E80" s="21" t="s">
        <v>182</v>
      </c>
      <c r="F80" s="22"/>
      <c r="G80" s="19" t="s">
        <v>713</v>
      </c>
      <c r="H80" s="23"/>
      <c r="I80" s="19"/>
      <c r="J80" s="25" t="s">
        <v>284</v>
      </c>
      <c r="K80" s="25" t="s">
        <v>209</v>
      </c>
      <c r="L80" s="25" t="s">
        <v>285</v>
      </c>
    </row>
    <row r="81" spans="1:17" s="1" customFormat="1">
      <c r="A81" s="132"/>
      <c r="B81" s="12" t="s">
        <v>614</v>
      </c>
      <c r="C81" s="12" t="s">
        <v>281</v>
      </c>
      <c r="D81" s="9" t="s">
        <v>615</v>
      </c>
      <c r="E81" s="21" t="s">
        <v>182</v>
      </c>
      <c r="F81" s="22"/>
      <c r="G81" s="19" t="s">
        <v>714</v>
      </c>
      <c r="H81" s="23"/>
      <c r="I81" s="19"/>
      <c r="J81" s="25" t="s">
        <v>284</v>
      </c>
      <c r="K81" s="25" t="s">
        <v>538</v>
      </c>
      <c r="L81" s="25" t="s">
        <v>285</v>
      </c>
    </row>
    <row r="82" spans="1:17" s="1" customFormat="1">
      <c r="A82" s="132"/>
      <c r="B82" s="12" t="s">
        <v>617</v>
      </c>
      <c r="C82" s="12" t="s">
        <v>281</v>
      </c>
      <c r="D82" s="9" t="s">
        <v>618</v>
      </c>
      <c r="E82" s="21" t="s">
        <v>182</v>
      </c>
      <c r="F82" s="22"/>
      <c r="G82" s="19" t="s">
        <v>715</v>
      </c>
      <c r="H82" s="23"/>
      <c r="I82" s="19"/>
      <c r="J82" s="25" t="s">
        <v>284</v>
      </c>
      <c r="K82" s="25" t="s">
        <v>471</v>
      </c>
      <c r="L82" s="25" t="s">
        <v>285</v>
      </c>
    </row>
    <row r="83" spans="1:17" s="1" customFormat="1">
      <c r="A83" s="132"/>
      <c r="B83" s="12" t="s">
        <v>620</v>
      </c>
      <c r="C83" s="12" t="s">
        <v>281</v>
      </c>
      <c r="D83" s="9" t="s">
        <v>621</v>
      </c>
      <c r="E83" s="21" t="s">
        <v>182</v>
      </c>
      <c r="F83" s="22"/>
      <c r="G83" s="19" t="s">
        <v>716</v>
      </c>
      <c r="H83" s="23"/>
      <c r="I83" s="19"/>
      <c r="J83" s="25" t="s">
        <v>284</v>
      </c>
      <c r="K83" s="25" t="s">
        <v>538</v>
      </c>
      <c r="L83" s="25" t="s">
        <v>285</v>
      </c>
    </row>
    <row r="84" spans="1:17" s="1" customFormat="1">
      <c r="A84" s="132"/>
      <c r="B84" s="12" t="s">
        <v>623</v>
      </c>
      <c r="C84" s="12" t="s">
        <v>281</v>
      </c>
      <c r="D84" s="9" t="s">
        <v>624</v>
      </c>
      <c r="E84" s="21" t="s">
        <v>182</v>
      </c>
      <c r="F84" s="22"/>
      <c r="G84" s="19" t="s">
        <v>717</v>
      </c>
      <c r="H84" s="23"/>
      <c r="I84" s="19"/>
      <c r="J84" s="25" t="s">
        <v>284</v>
      </c>
      <c r="K84" s="25" t="s">
        <v>471</v>
      </c>
      <c r="L84" s="25" t="s">
        <v>285</v>
      </c>
    </row>
    <row r="85" spans="1:17" s="1" customFormat="1">
      <c r="A85" s="132"/>
      <c r="B85" s="12" t="s">
        <v>648</v>
      </c>
      <c r="C85" s="12" t="s">
        <v>206</v>
      </c>
      <c r="D85" s="9" t="s">
        <v>649</v>
      </c>
      <c r="E85" s="21" t="s">
        <v>182</v>
      </c>
      <c r="F85" s="22"/>
      <c r="G85" s="19" t="s">
        <v>725</v>
      </c>
      <c r="H85" s="23"/>
      <c r="I85" s="135" t="s">
        <v>651</v>
      </c>
      <c r="J85" s="25" t="s">
        <v>284</v>
      </c>
      <c r="K85" s="25" t="s">
        <v>209</v>
      </c>
      <c r="L85" s="25" t="s">
        <v>485</v>
      </c>
    </row>
    <row r="86" spans="1:17" s="1" customFormat="1">
      <c r="A86" s="132"/>
      <c r="B86" s="12" t="s">
        <v>652</v>
      </c>
      <c r="C86" s="12" t="s">
        <v>206</v>
      </c>
      <c r="D86" s="9" t="s">
        <v>653</v>
      </c>
      <c r="E86" s="21" t="s">
        <v>182</v>
      </c>
      <c r="F86" s="22"/>
      <c r="G86" s="19" t="s">
        <v>726</v>
      </c>
      <c r="H86" s="23"/>
      <c r="I86" s="135" t="s">
        <v>655</v>
      </c>
      <c r="J86" s="25" t="s">
        <v>284</v>
      </c>
      <c r="K86" s="25" t="s">
        <v>209</v>
      </c>
      <c r="L86" s="25" t="s">
        <v>485</v>
      </c>
    </row>
    <row r="87" spans="1:17" s="2" customFormat="1">
      <c r="B87" s="14" t="s">
        <v>222</v>
      </c>
      <c r="C87" s="15" t="s">
        <v>211</v>
      </c>
      <c r="D87" s="16" t="s">
        <v>344</v>
      </c>
      <c r="E87" s="69"/>
      <c r="F87" s="14"/>
      <c r="G87" s="14"/>
      <c r="H87" s="14"/>
      <c r="I87" s="14"/>
      <c r="J87" s="14"/>
      <c r="K87" s="14"/>
      <c r="L87" s="14"/>
      <c r="M87" s="14"/>
      <c r="N87" s="14"/>
      <c r="O87" s="14"/>
      <c r="P87" s="14"/>
      <c r="Q87" s="14"/>
    </row>
    <row r="88" spans="1:17" s="2" customFormat="1">
      <c r="B88" s="14" t="s">
        <v>0</v>
      </c>
      <c r="C88" s="15" t="s">
        <v>206</v>
      </c>
      <c r="D88" s="16" t="s">
        <v>345</v>
      </c>
      <c r="E88" s="69"/>
      <c r="F88" s="14"/>
      <c r="G88" s="14"/>
      <c r="H88" s="14"/>
      <c r="I88" s="14"/>
      <c r="J88" s="14"/>
      <c r="K88" s="14"/>
      <c r="L88" s="14"/>
      <c r="M88" s="14"/>
      <c r="N88" s="14"/>
      <c r="O88" s="14"/>
      <c r="P88" s="14"/>
      <c r="Q88" s="14"/>
    </row>
    <row r="89" spans="1:17" s="2" customFormat="1">
      <c r="B89" s="14" t="s">
        <v>1</v>
      </c>
      <c r="C89" s="15" t="s">
        <v>211</v>
      </c>
      <c r="D89" s="16" t="s">
        <v>346</v>
      </c>
      <c r="E89" s="69"/>
      <c r="F89" s="14"/>
      <c r="G89" s="14"/>
      <c r="H89" s="14"/>
      <c r="I89" s="14"/>
      <c r="J89" s="14"/>
      <c r="K89" s="14"/>
      <c r="L89" s="14"/>
      <c r="M89" s="14"/>
      <c r="N89" s="14"/>
      <c r="O89" s="14"/>
      <c r="P89" s="14"/>
      <c r="Q89" s="14"/>
    </row>
  </sheetData>
  <autoFilter ref="A13:Q89" xr:uid="{00000000-0009-0000-0000-00000C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38"/>
  <sheetViews>
    <sheetView zoomScale="85" zoomScaleNormal="85" workbookViewId="0">
      <pane ySplit="5" topLeftCell="A6" activePane="bottomLeft" state="frozen"/>
      <selection pane="bottomLeft" activeCell="C5" sqref="B5:H11"/>
    </sheetView>
  </sheetViews>
  <sheetFormatPr defaultColWidth="9" defaultRowHeight="13.2"/>
  <cols>
    <col min="1" max="1" width="1.33203125" style="3" customWidth="1"/>
    <col min="2" max="2" width="36.109375" style="3" customWidth="1"/>
    <col min="3" max="3" width="36.21875" style="3" bestFit="1"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7" t="s">
        <v>172</v>
      </c>
      <c r="G4" s="7" t="s">
        <v>43</v>
      </c>
      <c r="H4" s="7" t="s">
        <v>173</v>
      </c>
    </row>
    <row r="5" spans="2:14">
      <c r="B5" s="8" t="s">
        <v>57</v>
      </c>
      <c r="C5" s="9" t="s">
        <v>101</v>
      </c>
      <c r="D5" s="10" t="s">
        <v>102</v>
      </c>
      <c r="E5" s="12" t="s">
        <v>20</v>
      </c>
      <c r="F5" s="61"/>
      <c r="G5" s="9" t="s">
        <v>103</v>
      </c>
      <c r="H5" s="12"/>
      <c r="N5" s="3"/>
    </row>
    <row r="6" spans="2:14">
      <c r="B6" s="6"/>
      <c r="C6" s="6"/>
      <c r="D6" s="6"/>
      <c r="E6" s="6"/>
      <c r="F6" s="6"/>
      <c r="G6" s="6"/>
      <c r="H6" s="6"/>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99</v>
      </c>
      <c r="D9" s="10" t="s">
        <v>100</v>
      </c>
      <c r="E9" s="12" t="s">
        <v>182</v>
      </c>
      <c r="F9" s="22"/>
      <c r="G9" s="22"/>
      <c r="H9" s="20" t="s">
        <v>63</v>
      </c>
    </row>
    <row r="10" spans="2:14">
      <c r="B10" s="12"/>
      <c r="C10" s="9" t="s">
        <v>784</v>
      </c>
      <c r="D10" s="9" t="s">
        <v>785</v>
      </c>
      <c r="E10" s="12" t="s">
        <v>418</v>
      </c>
      <c r="F10" s="186" t="s">
        <v>786</v>
      </c>
      <c r="G10" s="186"/>
      <c r="H10" s="20"/>
    </row>
    <row r="11" spans="2:14">
      <c r="B11" s="12"/>
      <c r="C11" s="9" t="s">
        <v>787</v>
      </c>
      <c r="D11" s="9" t="s">
        <v>788</v>
      </c>
      <c r="E11" s="12" t="s">
        <v>789</v>
      </c>
      <c r="F11" s="186" t="s">
        <v>790</v>
      </c>
      <c r="G11" s="186"/>
      <c r="H11" s="20" t="s">
        <v>63</v>
      </c>
    </row>
    <row r="12" spans="2:14">
      <c r="G12" s="62"/>
    </row>
    <row r="13" spans="2:14">
      <c r="B13" s="3" t="s">
        <v>194</v>
      </c>
    </row>
    <row r="14" spans="2:14">
      <c r="B14" s="181" t="s">
        <v>194</v>
      </c>
      <c r="C14" s="181"/>
      <c r="D14" s="181"/>
      <c r="E14" s="181"/>
      <c r="F14" s="181"/>
      <c r="G14" s="181"/>
      <c r="H14" s="181"/>
      <c r="I14" s="181"/>
      <c r="J14" s="181"/>
      <c r="K14" s="181"/>
      <c r="L14" s="181"/>
    </row>
    <row r="15" spans="2:14">
      <c r="B15" s="7" t="s">
        <v>195</v>
      </c>
      <c r="C15" s="7" t="s">
        <v>196</v>
      </c>
      <c r="D15" s="7" t="s">
        <v>197</v>
      </c>
      <c r="E15" s="7" t="s">
        <v>198</v>
      </c>
      <c r="F15" s="7" t="s">
        <v>199</v>
      </c>
      <c r="G15" s="7" t="s">
        <v>200</v>
      </c>
      <c r="H15" s="7" t="s">
        <v>201</v>
      </c>
      <c r="I15" s="7" t="s">
        <v>53</v>
      </c>
      <c r="J15" s="7" t="s">
        <v>202</v>
      </c>
      <c r="K15" s="7" t="s">
        <v>203</v>
      </c>
      <c r="L15" s="7" t="s">
        <v>204</v>
      </c>
    </row>
    <row r="16" spans="2:14" s="1" customFormat="1">
      <c r="B16" s="13" t="s">
        <v>205</v>
      </c>
      <c r="C16" s="13" t="s">
        <v>206</v>
      </c>
      <c r="D16" s="9" t="s">
        <v>207</v>
      </c>
      <c r="E16" s="21" t="s">
        <v>182</v>
      </c>
      <c r="F16" s="22" t="s">
        <v>0</v>
      </c>
      <c r="G16" s="22" t="s">
        <v>208</v>
      </c>
      <c r="H16" s="23"/>
      <c r="I16" s="25"/>
      <c r="J16" s="25" t="s">
        <v>4</v>
      </c>
      <c r="K16" s="25" t="s">
        <v>209</v>
      </c>
      <c r="L16" s="25" t="s">
        <v>210</v>
      </c>
    </row>
    <row r="17" spans="1:12" s="1" customFormat="1">
      <c r="B17" s="13" t="s">
        <v>20</v>
      </c>
      <c r="C17" s="13" t="s">
        <v>211</v>
      </c>
      <c r="D17" s="9" t="s">
        <v>73</v>
      </c>
      <c r="E17" s="21" t="s">
        <v>182</v>
      </c>
      <c r="F17" s="22" t="s">
        <v>1</v>
      </c>
      <c r="G17" s="22" t="s">
        <v>208</v>
      </c>
      <c r="H17" s="23"/>
      <c r="I17" s="25"/>
      <c r="J17" s="25" t="s">
        <v>4</v>
      </c>
      <c r="K17" s="25" t="s">
        <v>209</v>
      </c>
      <c r="L17" s="25" t="s">
        <v>212</v>
      </c>
    </row>
    <row r="18" spans="1:12" s="1" customFormat="1">
      <c r="A18" s="132"/>
      <c r="B18" s="13" t="s">
        <v>214</v>
      </c>
      <c r="C18" s="13" t="s">
        <v>211</v>
      </c>
      <c r="D18" s="9" t="s">
        <v>215</v>
      </c>
      <c r="E18" s="21" t="s">
        <v>182</v>
      </c>
      <c r="F18" s="22" t="str">
        <f>VLOOKUP(B18,'9'!B:L,1,0)</f>
        <v>interface</v>
      </c>
      <c r="G18" s="22" t="s">
        <v>208</v>
      </c>
      <c r="H18" s="23"/>
      <c r="I18" s="133"/>
      <c r="J18" s="25" t="s">
        <v>4</v>
      </c>
      <c r="K18" s="25" t="s">
        <v>209</v>
      </c>
      <c r="L18" s="25" t="s">
        <v>216</v>
      </c>
    </row>
    <row r="19" spans="1:12" s="1" customFormat="1">
      <c r="A19" s="132"/>
      <c r="B19" s="13" t="s">
        <v>220</v>
      </c>
      <c r="C19" s="13" t="s">
        <v>211</v>
      </c>
      <c r="D19" s="9" t="s">
        <v>221</v>
      </c>
      <c r="E19" s="21" t="s">
        <v>182</v>
      </c>
      <c r="F19" s="22" t="str">
        <f>VLOOKUP(B19,'9'!B:L,1,0)</f>
        <v>provincecode</v>
      </c>
      <c r="G19" s="22" t="s">
        <v>208</v>
      </c>
      <c r="H19" s="23"/>
      <c r="I19" s="133"/>
      <c r="J19" s="25" t="s">
        <v>4</v>
      </c>
      <c r="K19" s="25" t="s">
        <v>209</v>
      </c>
      <c r="L19" s="25" t="s">
        <v>223</v>
      </c>
    </row>
    <row r="20" spans="1:12" s="1" customFormat="1">
      <c r="A20" s="132"/>
      <c r="B20" s="13" t="s">
        <v>224</v>
      </c>
      <c r="C20" s="13" t="s">
        <v>211</v>
      </c>
      <c r="D20" s="9" t="s">
        <v>225</v>
      </c>
      <c r="E20" s="21" t="s">
        <v>182</v>
      </c>
      <c r="F20" s="22" t="str">
        <f>VLOOKUP(B20,'9'!B:L,1,0)</f>
        <v>citycode</v>
      </c>
      <c r="G20" s="22" t="s">
        <v>208</v>
      </c>
      <c r="H20" s="23"/>
      <c r="I20" s="133"/>
      <c r="J20" s="25" t="s">
        <v>4</v>
      </c>
      <c r="K20" s="25" t="s">
        <v>209</v>
      </c>
      <c r="L20" s="25" t="s">
        <v>223</v>
      </c>
    </row>
    <row r="21" spans="1:12" s="1" customFormat="1">
      <c r="A21" s="132"/>
      <c r="B21" s="12" t="s">
        <v>228</v>
      </c>
      <c r="C21" s="13" t="s">
        <v>211</v>
      </c>
      <c r="D21" s="9" t="s">
        <v>445</v>
      </c>
      <c r="E21" s="21" t="s">
        <v>182</v>
      </c>
      <c r="F21" s="22" t="s">
        <v>228</v>
      </c>
      <c r="G21" s="22" t="s">
        <v>208</v>
      </c>
      <c r="H21" s="23"/>
      <c r="I21" s="133"/>
      <c r="J21" s="25" t="s">
        <v>4</v>
      </c>
      <c r="K21" s="25" t="s">
        <v>209</v>
      </c>
      <c r="L21" s="25" t="s">
        <v>223</v>
      </c>
    </row>
    <row r="22" spans="1:12" s="1" customFormat="1">
      <c r="A22" s="132"/>
      <c r="B22" s="12" t="s">
        <v>242</v>
      </c>
      <c r="C22" s="13" t="s">
        <v>206</v>
      </c>
      <c r="D22" s="9" t="s">
        <v>791</v>
      </c>
      <c r="E22" s="21" t="s">
        <v>182</v>
      </c>
      <c r="F22" s="22" t="s">
        <v>242</v>
      </c>
      <c r="G22" s="22" t="s">
        <v>208</v>
      </c>
      <c r="H22" s="23"/>
      <c r="I22" s="133"/>
      <c r="J22" s="25" t="s">
        <v>4</v>
      </c>
      <c r="K22" s="25" t="s">
        <v>209</v>
      </c>
      <c r="L22" s="25" t="s">
        <v>209</v>
      </c>
    </row>
    <row r="23" spans="1:12" s="1" customFormat="1">
      <c r="A23" s="132"/>
      <c r="B23" s="12" t="s">
        <v>2379</v>
      </c>
      <c r="C23" s="13" t="s">
        <v>206</v>
      </c>
      <c r="D23" s="9" t="s">
        <v>792</v>
      </c>
      <c r="E23" s="21" t="s">
        <v>182</v>
      </c>
      <c r="F23" s="22" t="s">
        <v>249</v>
      </c>
      <c r="G23" s="22" t="s">
        <v>208</v>
      </c>
      <c r="H23" s="23"/>
      <c r="I23" s="133"/>
      <c r="J23" s="25" t="s">
        <v>4</v>
      </c>
      <c r="K23" s="25" t="s">
        <v>209</v>
      </c>
      <c r="L23" s="25" t="s">
        <v>209</v>
      </c>
    </row>
    <row r="24" spans="1:12" s="1" customFormat="1">
      <c r="A24" s="132"/>
      <c r="B24" s="12" t="s">
        <v>251</v>
      </c>
      <c r="C24" s="13" t="s">
        <v>206</v>
      </c>
      <c r="D24" s="9" t="s">
        <v>252</v>
      </c>
      <c r="E24" s="21" t="s">
        <v>182</v>
      </c>
      <c r="F24" s="22" t="s">
        <v>251</v>
      </c>
      <c r="G24" s="22" t="s">
        <v>208</v>
      </c>
      <c r="H24" s="23"/>
      <c r="I24" s="133"/>
      <c r="J24" s="25" t="s">
        <v>4</v>
      </c>
      <c r="K24" s="25" t="s">
        <v>209</v>
      </c>
      <c r="L24" s="25" t="s">
        <v>209</v>
      </c>
    </row>
    <row r="25" spans="1:12" s="1" customFormat="1">
      <c r="A25" s="132"/>
      <c r="B25" s="13" t="s">
        <v>793</v>
      </c>
      <c r="C25" s="12" t="s">
        <v>206</v>
      </c>
      <c r="D25" s="9" t="s">
        <v>794</v>
      </c>
      <c r="E25" s="21" t="s">
        <v>182</v>
      </c>
      <c r="F25" s="22" t="s">
        <v>254</v>
      </c>
      <c r="G25" s="22" t="s">
        <v>208</v>
      </c>
      <c r="H25" s="23"/>
      <c r="I25" s="133"/>
      <c r="J25" s="25" t="s">
        <v>4</v>
      </c>
      <c r="K25" s="25" t="s">
        <v>209</v>
      </c>
      <c r="L25" s="25" t="s">
        <v>209</v>
      </c>
    </row>
    <row r="26" spans="1:12" s="1" customFormat="1">
      <c r="A26" s="132"/>
      <c r="B26" s="12" t="s">
        <v>260</v>
      </c>
      <c r="C26" s="12" t="s">
        <v>206</v>
      </c>
      <c r="D26" s="9" t="s">
        <v>795</v>
      </c>
      <c r="E26" s="21" t="s">
        <v>182</v>
      </c>
      <c r="F26" s="22" t="s">
        <v>260</v>
      </c>
      <c r="G26" s="22" t="s">
        <v>208</v>
      </c>
      <c r="H26" s="23"/>
      <c r="I26" s="134"/>
      <c r="J26" s="25" t="s">
        <v>4</v>
      </c>
      <c r="K26" s="25" t="s">
        <v>209</v>
      </c>
      <c r="L26" s="25" t="s">
        <v>209</v>
      </c>
    </row>
    <row r="27" spans="1:12" s="1" customFormat="1">
      <c r="A27" s="132"/>
      <c r="B27" s="12" t="s">
        <v>796</v>
      </c>
      <c r="C27" s="12" t="s">
        <v>206</v>
      </c>
      <c r="D27" s="9" t="s">
        <v>797</v>
      </c>
      <c r="E27" s="21" t="s">
        <v>182</v>
      </c>
      <c r="F27" s="22"/>
      <c r="G27" s="27" t="s">
        <v>798</v>
      </c>
      <c r="H27" s="23"/>
      <c r="I27" s="133"/>
      <c r="J27" s="25" t="s">
        <v>4</v>
      </c>
      <c r="K27" s="25" t="s">
        <v>209</v>
      </c>
      <c r="L27" s="25" t="s">
        <v>209</v>
      </c>
    </row>
    <row r="28" spans="1:12" s="1" customFormat="1">
      <c r="A28" s="132"/>
      <c r="B28" s="12" t="s">
        <v>799</v>
      </c>
      <c r="C28" s="12" t="s">
        <v>206</v>
      </c>
      <c r="D28" s="9" t="s">
        <v>800</v>
      </c>
      <c r="E28" s="21" t="s">
        <v>418</v>
      </c>
      <c r="F28" s="27" t="s">
        <v>801</v>
      </c>
      <c r="G28" s="27" t="s">
        <v>208</v>
      </c>
      <c r="H28" s="23"/>
      <c r="I28" s="133"/>
      <c r="J28" s="25" t="s">
        <v>4</v>
      </c>
      <c r="K28" s="25" t="s">
        <v>209</v>
      </c>
      <c r="L28" s="25" t="s">
        <v>209</v>
      </c>
    </row>
    <row r="29" spans="1:12" s="1" customFormat="1">
      <c r="A29" s="132"/>
      <c r="B29" s="12" t="s">
        <v>648</v>
      </c>
      <c r="C29" s="12" t="s">
        <v>206</v>
      </c>
      <c r="D29" s="9" t="s">
        <v>649</v>
      </c>
      <c r="E29" s="21" t="s">
        <v>182</v>
      </c>
      <c r="F29" s="22" t="s">
        <v>648</v>
      </c>
      <c r="G29" s="22" t="s">
        <v>802</v>
      </c>
      <c r="H29" s="23"/>
      <c r="I29" s="133"/>
      <c r="J29" s="64" t="s">
        <v>284</v>
      </c>
      <c r="K29" s="64" t="s">
        <v>209</v>
      </c>
      <c r="L29" s="25" t="s">
        <v>485</v>
      </c>
    </row>
    <row r="30" spans="1:12" s="1" customFormat="1">
      <c r="A30" s="132"/>
      <c r="B30" s="12" t="s">
        <v>652</v>
      </c>
      <c r="C30" s="12" t="s">
        <v>206</v>
      </c>
      <c r="D30" s="9" t="s">
        <v>653</v>
      </c>
      <c r="E30" s="21" t="s">
        <v>182</v>
      </c>
      <c r="F30" s="22" t="s">
        <v>652</v>
      </c>
      <c r="G30" s="22" t="s">
        <v>803</v>
      </c>
      <c r="H30" s="23"/>
      <c r="I30" s="133"/>
      <c r="J30" s="64" t="s">
        <v>284</v>
      </c>
      <c r="K30" s="64" t="s">
        <v>209</v>
      </c>
      <c r="L30" s="25" t="s">
        <v>485</v>
      </c>
    </row>
    <row r="31" spans="1:12" s="1" customFormat="1">
      <c r="B31" s="13" t="s">
        <v>2425</v>
      </c>
      <c r="C31" s="12" t="s">
        <v>281</v>
      </c>
      <c r="D31" s="9" t="s">
        <v>805</v>
      </c>
      <c r="E31" s="21" t="s">
        <v>182</v>
      </c>
      <c r="F31" s="22"/>
      <c r="G31" s="22" t="s">
        <v>657</v>
      </c>
      <c r="H31" s="23"/>
      <c r="I31" s="25"/>
      <c r="J31" s="64" t="s">
        <v>284</v>
      </c>
      <c r="K31" s="64" t="s">
        <v>209</v>
      </c>
      <c r="L31" s="64" t="s">
        <v>285</v>
      </c>
    </row>
    <row r="32" spans="1:12" s="132" customFormat="1">
      <c r="B32" s="13" t="s">
        <v>2391</v>
      </c>
      <c r="C32" s="12" t="s">
        <v>281</v>
      </c>
      <c r="D32" s="9" t="s">
        <v>806</v>
      </c>
      <c r="E32" s="21" t="s">
        <v>182</v>
      </c>
      <c r="F32" s="22"/>
      <c r="G32" s="22" t="s">
        <v>362</v>
      </c>
      <c r="H32" s="23"/>
      <c r="I32" s="133"/>
      <c r="J32" s="64" t="s">
        <v>284</v>
      </c>
      <c r="K32" s="64" t="s">
        <v>209</v>
      </c>
      <c r="L32" s="64" t="s">
        <v>285</v>
      </c>
    </row>
    <row r="33" spans="1:17" s="132" customFormat="1">
      <c r="B33" s="13" t="s">
        <v>807</v>
      </c>
      <c r="C33" s="12" t="s">
        <v>319</v>
      </c>
      <c r="D33" s="9" t="s">
        <v>808</v>
      </c>
      <c r="E33" s="21" t="s">
        <v>182</v>
      </c>
      <c r="F33" s="22"/>
      <c r="G33" s="22" t="s">
        <v>809</v>
      </c>
      <c r="H33" s="23"/>
      <c r="I33" s="133"/>
      <c r="J33" s="64" t="s">
        <v>284</v>
      </c>
      <c r="K33" s="64" t="s">
        <v>209</v>
      </c>
      <c r="L33" s="64" t="s">
        <v>322</v>
      </c>
    </row>
    <row r="34" spans="1:17" s="132" customFormat="1">
      <c r="B34" s="13" t="s">
        <v>2390</v>
      </c>
      <c r="C34" s="12" t="s">
        <v>281</v>
      </c>
      <c r="D34" s="9" t="s">
        <v>810</v>
      </c>
      <c r="E34" s="21" t="s">
        <v>182</v>
      </c>
      <c r="F34" s="22"/>
      <c r="G34" s="22" t="s">
        <v>747</v>
      </c>
      <c r="H34" s="23"/>
      <c r="I34" s="133"/>
      <c r="J34" s="64" t="s">
        <v>284</v>
      </c>
      <c r="K34" s="64" t="s">
        <v>471</v>
      </c>
      <c r="L34" s="64" t="s">
        <v>285</v>
      </c>
    </row>
    <row r="35" spans="1:17" s="1" customFormat="1">
      <c r="A35" s="132"/>
      <c r="B35" s="12" t="s">
        <v>2426</v>
      </c>
      <c r="C35" s="12" t="s">
        <v>281</v>
      </c>
      <c r="D35" s="9" t="s">
        <v>812</v>
      </c>
      <c r="E35" s="21" t="s">
        <v>182</v>
      </c>
      <c r="F35" s="22"/>
      <c r="G35" s="22" t="s">
        <v>813</v>
      </c>
      <c r="H35" s="23"/>
      <c r="I35" s="19"/>
      <c r="J35" s="64" t="s">
        <v>284</v>
      </c>
      <c r="K35" s="64" t="s">
        <v>538</v>
      </c>
      <c r="L35" s="64" t="s">
        <v>285</v>
      </c>
    </row>
    <row r="36" spans="1:17" s="2" customFormat="1">
      <c r="B36" s="14" t="s">
        <v>222</v>
      </c>
      <c r="C36" s="15" t="s">
        <v>211</v>
      </c>
      <c r="D36" s="16" t="s">
        <v>344</v>
      </c>
      <c r="E36" s="69"/>
      <c r="F36" s="14"/>
      <c r="G36" s="14"/>
      <c r="H36" s="14"/>
      <c r="I36" s="14"/>
      <c r="J36" s="14"/>
      <c r="K36" s="14"/>
      <c r="L36" s="14"/>
      <c r="M36" s="14"/>
      <c r="N36" s="14"/>
      <c r="O36" s="14"/>
      <c r="P36" s="14"/>
      <c r="Q36" s="14"/>
    </row>
    <row r="37" spans="1:17" s="2" customFormat="1">
      <c r="B37" s="14" t="s">
        <v>0</v>
      </c>
      <c r="C37" s="15" t="s">
        <v>206</v>
      </c>
      <c r="D37" s="16" t="s">
        <v>345</v>
      </c>
      <c r="E37" s="69"/>
      <c r="F37" s="14"/>
      <c r="G37" s="14"/>
      <c r="H37" s="14"/>
      <c r="I37" s="14"/>
      <c r="J37" s="14"/>
      <c r="K37" s="14"/>
      <c r="L37" s="14"/>
      <c r="M37" s="14"/>
      <c r="N37" s="14"/>
      <c r="O37" s="14"/>
      <c r="P37" s="14"/>
      <c r="Q37" s="14"/>
    </row>
    <row r="38" spans="1:17" s="2" customFormat="1">
      <c r="B38" s="14" t="s">
        <v>1</v>
      </c>
      <c r="C38" s="15" t="s">
        <v>211</v>
      </c>
      <c r="D38" s="16" t="s">
        <v>346</v>
      </c>
      <c r="E38" s="69"/>
      <c r="F38" s="14"/>
      <c r="G38" s="14"/>
      <c r="H38" s="14"/>
      <c r="I38" s="14"/>
      <c r="J38" s="14"/>
      <c r="K38" s="14"/>
      <c r="L38" s="14"/>
      <c r="M38" s="14"/>
      <c r="N38" s="14"/>
      <c r="O38" s="14"/>
      <c r="P38" s="14"/>
      <c r="Q38" s="14"/>
    </row>
  </sheetData>
  <autoFilter ref="A15:Q38" xr:uid="{00000000-0009-0000-0000-00000D000000}"/>
  <mergeCells count="6">
    <mergeCell ref="B14:L14"/>
    <mergeCell ref="B2:H2"/>
    <mergeCell ref="B3:H3"/>
    <mergeCell ref="B7:H7"/>
    <mergeCell ref="F10:G10"/>
    <mergeCell ref="F11:G11"/>
  </mergeCells>
  <phoneticPr fontId="33" type="noConversion"/>
  <pageMargins left="0.7" right="0.7"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9"/>
  <sheetViews>
    <sheetView zoomScale="85" zoomScaleNormal="85" workbookViewId="0">
      <selection activeCell="C4" sqref="C4"/>
    </sheetView>
  </sheetViews>
  <sheetFormatPr defaultColWidth="9" defaultRowHeight="15.6"/>
  <cols>
    <col min="1" max="1" width="5" style="111" customWidth="1"/>
    <col min="2" max="2" width="16.33203125" style="111" customWidth="1"/>
    <col min="3" max="3" width="20.33203125" style="111" customWidth="1"/>
    <col min="4" max="4" width="20.44140625" style="111" customWidth="1"/>
    <col min="5" max="5" width="16.21875" style="111" customWidth="1"/>
    <col min="6" max="6" width="23.21875" style="111" customWidth="1"/>
    <col min="7" max="8" width="12.77734375" style="111" customWidth="1"/>
    <col min="9" max="9" width="8.6640625" style="111" customWidth="1"/>
    <col min="10" max="10" width="13" style="111" customWidth="1"/>
    <col min="11" max="11" width="13.77734375" style="111" customWidth="1"/>
    <col min="12" max="12" width="14.88671875" style="112" customWidth="1"/>
    <col min="13" max="16384" width="9" style="112"/>
  </cols>
  <sheetData>
    <row r="1" spans="2:14">
      <c r="B1" s="89" t="str">
        <f>HYPERLINK("#"&amp;"导航应用"&amp;"!B1","返回")</f>
        <v>返回</v>
      </c>
      <c r="C1" s="113"/>
      <c r="D1" s="113"/>
      <c r="E1" s="113"/>
      <c r="F1" s="113"/>
      <c r="G1" s="113"/>
      <c r="H1" s="113"/>
    </row>
    <row r="2" spans="2:14" ht="17.399999999999999" customHeight="1">
      <c r="B2" s="114" t="s">
        <v>168</v>
      </c>
      <c r="C2" s="115"/>
      <c r="D2" s="115"/>
      <c r="E2" s="115"/>
      <c r="F2" s="115"/>
      <c r="G2" s="115"/>
      <c r="H2" s="129"/>
    </row>
    <row r="3" spans="2:14">
      <c r="B3" s="116" t="s">
        <v>40</v>
      </c>
      <c r="C3" s="116" t="s">
        <v>169</v>
      </c>
      <c r="D3" s="116" t="s">
        <v>170</v>
      </c>
      <c r="E3" s="116" t="s">
        <v>171</v>
      </c>
      <c r="F3" s="116" t="s">
        <v>172</v>
      </c>
      <c r="G3" s="116" t="s">
        <v>43</v>
      </c>
      <c r="H3" s="116" t="s">
        <v>173</v>
      </c>
    </row>
    <row r="4" spans="2:14" ht="26.4">
      <c r="B4" s="117"/>
      <c r="C4" s="25" t="s">
        <v>106</v>
      </c>
      <c r="D4" s="19" t="s">
        <v>814</v>
      </c>
      <c r="E4" s="12" t="s">
        <v>815</v>
      </c>
      <c r="F4" s="8" t="s">
        <v>816</v>
      </c>
      <c r="G4" s="130" t="s">
        <v>110</v>
      </c>
      <c r="H4" s="12"/>
      <c r="N4" s="111"/>
    </row>
    <row r="5" spans="2:14">
      <c r="B5" s="118"/>
      <c r="C5" s="118"/>
      <c r="D5" s="118"/>
      <c r="E5" s="118"/>
      <c r="F5" s="118"/>
      <c r="G5" s="118"/>
      <c r="H5" s="118"/>
    </row>
    <row r="6" spans="2:14" ht="17.399999999999999" customHeight="1">
      <c r="B6" s="114" t="s">
        <v>174</v>
      </c>
      <c r="C6" s="115"/>
      <c r="D6" s="115"/>
      <c r="E6" s="115"/>
      <c r="F6" s="115"/>
      <c r="G6" s="115"/>
      <c r="H6" s="129"/>
    </row>
    <row r="7" spans="2:14">
      <c r="B7" s="119" t="s">
        <v>175</v>
      </c>
      <c r="C7" s="119" t="s">
        <v>176</v>
      </c>
      <c r="D7" s="119" t="s">
        <v>177</v>
      </c>
      <c r="E7" s="119" t="s">
        <v>178</v>
      </c>
      <c r="F7" s="119" t="s">
        <v>179</v>
      </c>
      <c r="G7" s="119" t="s">
        <v>53</v>
      </c>
      <c r="H7" s="119" t="s">
        <v>180</v>
      </c>
    </row>
    <row r="8" spans="2:14">
      <c r="B8" s="12"/>
      <c r="C8" s="19"/>
      <c r="D8" s="19"/>
      <c r="E8" s="12" t="s">
        <v>182</v>
      </c>
      <c r="F8" s="12"/>
      <c r="G8" s="25"/>
      <c r="H8" s="106" t="s">
        <v>63</v>
      </c>
    </row>
    <row r="9" spans="2:14">
      <c r="B9" s="12"/>
      <c r="C9" s="19"/>
      <c r="D9" s="19"/>
      <c r="E9" s="12" t="s">
        <v>418</v>
      </c>
      <c r="F9" s="12"/>
      <c r="G9" s="25"/>
      <c r="H9" s="106"/>
    </row>
    <row r="11" spans="2:14">
      <c r="B11" s="187" t="s">
        <v>194</v>
      </c>
      <c r="C11" s="188"/>
      <c r="D11" s="188"/>
      <c r="E11" s="188"/>
      <c r="F11" s="188"/>
      <c r="G11" s="188"/>
      <c r="H11" s="188"/>
      <c r="I11" s="188"/>
      <c r="J11" s="188"/>
      <c r="K11" s="188"/>
      <c r="L11" s="189"/>
    </row>
    <row r="12" spans="2:14">
      <c r="B12" s="7" t="s">
        <v>195</v>
      </c>
      <c r="C12" s="7" t="s">
        <v>196</v>
      </c>
      <c r="D12" s="7" t="s">
        <v>197</v>
      </c>
      <c r="E12" s="7" t="s">
        <v>198</v>
      </c>
      <c r="F12" s="7" t="s">
        <v>199</v>
      </c>
      <c r="G12" s="7" t="s">
        <v>200</v>
      </c>
      <c r="H12" s="7" t="s">
        <v>201</v>
      </c>
      <c r="I12" s="7" t="s">
        <v>53</v>
      </c>
      <c r="J12" s="7" t="s">
        <v>202</v>
      </c>
      <c r="K12" s="7" t="s">
        <v>203</v>
      </c>
      <c r="L12" s="7" t="s">
        <v>204</v>
      </c>
    </row>
    <row r="13" spans="2:14">
      <c r="B13" s="120" t="s">
        <v>817</v>
      </c>
      <c r="C13" s="121" t="s">
        <v>211</v>
      </c>
      <c r="D13" s="122" t="s">
        <v>817</v>
      </c>
      <c r="E13" s="9"/>
      <c r="F13" s="9"/>
      <c r="G13" s="9"/>
      <c r="H13" s="9"/>
      <c r="I13" s="9"/>
      <c r="J13" s="9" t="s">
        <v>818</v>
      </c>
      <c r="K13" s="9" t="s">
        <v>209</v>
      </c>
      <c r="L13" s="9" t="s">
        <v>209</v>
      </c>
    </row>
    <row r="14" spans="2:14" ht="26.4">
      <c r="B14" s="123" t="s">
        <v>819</v>
      </c>
      <c r="C14" s="121" t="s">
        <v>211</v>
      </c>
      <c r="D14" s="122" t="s">
        <v>820</v>
      </c>
      <c r="E14" s="9"/>
      <c r="F14" s="9"/>
      <c r="G14" s="9"/>
      <c r="H14" s="9"/>
      <c r="I14" s="9"/>
      <c r="J14" s="9" t="s">
        <v>818</v>
      </c>
      <c r="K14" s="9" t="s">
        <v>209</v>
      </c>
      <c r="L14" s="9" t="s">
        <v>209</v>
      </c>
    </row>
    <row r="15" spans="2:14">
      <c r="B15" s="27" t="s">
        <v>821</v>
      </c>
      <c r="C15" s="121" t="s">
        <v>211</v>
      </c>
      <c r="D15" s="122" t="s">
        <v>822</v>
      </c>
      <c r="E15" s="9"/>
      <c r="F15" s="9"/>
      <c r="G15" s="9"/>
      <c r="H15" s="9"/>
      <c r="I15" s="9"/>
      <c r="J15" s="9" t="s">
        <v>818</v>
      </c>
      <c r="K15" s="9" t="s">
        <v>209</v>
      </c>
      <c r="L15" s="9" t="s">
        <v>209</v>
      </c>
    </row>
    <row r="16" spans="2:14">
      <c r="B16" s="123" t="s">
        <v>823</v>
      </c>
      <c r="C16" s="9" t="s">
        <v>206</v>
      </c>
      <c r="D16" s="122" t="s">
        <v>824</v>
      </c>
      <c r="E16" s="9"/>
      <c r="F16" s="9"/>
      <c r="G16" s="9"/>
      <c r="H16" s="9"/>
      <c r="I16" s="9"/>
      <c r="J16" s="9" t="s">
        <v>818</v>
      </c>
      <c r="K16" s="9" t="s">
        <v>209</v>
      </c>
      <c r="L16" s="9" t="s">
        <v>209</v>
      </c>
    </row>
    <row r="17" spans="1:12">
      <c r="B17" s="27" t="s">
        <v>825</v>
      </c>
      <c r="C17" s="9" t="s">
        <v>206</v>
      </c>
      <c r="D17" s="122" t="s">
        <v>826</v>
      </c>
      <c r="E17" s="9"/>
      <c r="F17" s="9"/>
      <c r="G17" s="9"/>
      <c r="H17" s="9"/>
      <c r="I17" s="9"/>
      <c r="J17" s="9" t="s">
        <v>818</v>
      </c>
      <c r="K17" s="9" t="s">
        <v>209</v>
      </c>
      <c r="L17" s="9" t="s">
        <v>209</v>
      </c>
    </row>
    <row r="18" spans="1:12" ht="26.4">
      <c r="B18" s="27" t="s">
        <v>827</v>
      </c>
      <c r="C18" s="9" t="s">
        <v>206</v>
      </c>
      <c r="D18" s="122" t="s">
        <v>828</v>
      </c>
      <c r="E18" s="9"/>
      <c r="F18" s="9"/>
      <c r="G18" s="9"/>
      <c r="H18" s="9"/>
      <c r="I18" s="9"/>
      <c r="J18" s="9" t="s">
        <v>818</v>
      </c>
      <c r="K18" s="9" t="s">
        <v>209</v>
      </c>
      <c r="L18" s="9" t="s">
        <v>209</v>
      </c>
    </row>
    <row r="19" spans="1:12" ht="26.4">
      <c r="B19" s="27" t="s">
        <v>829</v>
      </c>
      <c r="C19" s="9" t="s">
        <v>206</v>
      </c>
      <c r="D19" s="122" t="s">
        <v>830</v>
      </c>
      <c r="E19" s="9"/>
      <c r="F19" s="9"/>
      <c r="G19" s="9"/>
      <c r="H19" s="9"/>
      <c r="I19" s="9"/>
      <c r="J19" s="9" t="s">
        <v>818</v>
      </c>
      <c r="K19" s="9" t="s">
        <v>209</v>
      </c>
      <c r="L19" s="9" t="s">
        <v>209</v>
      </c>
    </row>
    <row r="20" spans="1:12">
      <c r="B20" s="124" t="s">
        <v>831</v>
      </c>
      <c r="C20" s="9" t="s">
        <v>206</v>
      </c>
      <c r="D20" s="122" t="s">
        <v>832</v>
      </c>
      <c r="E20" s="9"/>
      <c r="F20" s="9"/>
      <c r="G20" s="9"/>
      <c r="H20" s="9"/>
      <c r="I20" s="9"/>
      <c r="J20" s="9" t="s">
        <v>818</v>
      </c>
      <c r="K20" s="9" t="s">
        <v>209</v>
      </c>
      <c r="L20" s="9" t="s">
        <v>209</v>
      </c>
    </row>
    <row r="21" spans="1:12">
      <c r="B21" s="124" t="s">
        <v>833</v>
      </c>
      <c r="C21" s="9" t="s">
        <v>206</v>
      </c>
      <c r="D21" s="122" t="s">
        <v>834</v>
      </c>
      <c r="E21" s="9"/>
      <c r="F21" s="9"/>
      <c r="G21" s="9"/>
      <c r="H21" s="9"/>
      <c r="I21" s="9"/>
      <c r="J21" s="9" t="s">
        <v>818</v>
      </c>
      <c r="K21" s="9" t="s">
        <v>209</v>
      </c>
      <c r="L21" s="9" t="s">
        <v>209</v>
      </c>
    </row>
    <row r="22" spans="1:12">
      <c r="B22" s="27" t="s">
        <v>835</v>
      </c>
      <c r="C22" s="9" t="s">
        <v>211</v>
      </c>
      <c r="D22" s="122" t="s">
        <v>836</v>
      </c>
      <c r="E22" s="9"/>
      <c r="F22" s="9"/>
      <c r="G22" s="9"/>
      <c r="H22" s="9"/>
      <c r="I22" s="9" t="s">
        <v>837</v>
      </c>
      <c r="J22" s="9" t="s">
        <v>818</v>
      </c>
      <c r="K22" s="9" t="s">
        <v>209</v>
      </c>
      <c r="L22" s="9" t="s">
        <v>209</v>
      </c>
    </row>
    <row r="23" spans="1:12">
      <c r="B23" s="27" t="s">
        <v>838</v>
      </c>
      <c r="C23" s="9" t="s">
        <v>211</v>
      </c>
      <c r="D23" s="84" t="s">
        <v>839</v>
      </c>
      <c r="E23" s="9"/>
      <c r="F23" s="9"/>
      <c r="G23" s="9"/>
      <c r="H23" s="9"/>
      <c r="I23" s="9"/>
      <c r="J23" s="9" t="s">
        <v>818</v>
      </c>
      <c r="K23" s="9" t="s">
        <v>209</v>
      </c>
      <c r="L23" s="9" t="s">
        <v>209</v>
      </c>
    </row>
    <row r="25" spans="1:12">
      <c r="B25" s="102" t="s">
        <v>840</v>
      </c>
    </row>
    <row r="26" spans="1:12">
      <c r="B26" s="103" t="s">
        <v>841</v>
      </c>
      <c r="C26" s="103" t="s">
        <v>841</v>
      </c>
      <c r="E26" s="103" t="s">
        <v>841</v>
      </c>
    </row>
    <row r="27" spans="1:12" s="110" customFormat="1" ht="26.4">
      <c r="A27" s="125"/>
      <c r="B27" s="126" t="s">
        <v>817</v>
      </c>
      <c r="C27" s="127" t="s">
        <v>819</v>
      </c>
      <c r="D27" s="13" t="s">
        <v>821</v>
      </c>
      <c r="E27" s="127" t="s">
        <v>823</v>
      </c>
      <c r="F27" s="13" t="s">
        <v>825</v>
      </c>
      <c r="G27" s="13" t="s">
        <v>827</v>
      </c>
      <c r="H27" s="13" t="s">
        <v>829</v>
      </c>
      <c r="I27" s="131" t="s">
        <v>831</v>
      </c>
      <c r="J27" s="124" t="s">
        <v>833</v>
      </c>
      <c r="K27" s="13" t="s">
        <v>835</v>
      </c>
      <c r="L27" s="124" t="s">
        <v>838</v>
      </c>
    </row>
    <row r="28" spans="1:12">
      <c r="B28" s="128" t="s">
        <v>817</v>
      </c>
      <c r="C28" s="128" t="s">
        <v>820</v>
      </c>
      <c r="D28" s="128" t="s">
        <v>822</v>
      </c>
      <c r="E28" s="128" t="s">
        <v>824</v>
      </c>
      <c r="F28" s="128" t="s">
        <v>826</v>
      </c>
      <c r="G28" s="128" t="s">
        <v>828</v>
      </c>
      <c r="H28" s="128" t="s">
        <v>830</v>
      </c>
      <c r="I28" s="128" t="s">
        <v>832</v>
      </c>
      <c r="J28" s="128" t="s">
        <v>834</v>
      </c>
      <c r="K28" s="128" t="s">
        <v>836</v>
      </c>
      <c r="L28" s="128" t="s">
        <v>842</v>
      </c>
    </row>
    <row r="29" spans="1:12">
      <c r="B29" s="79">
        <v>1</v>
      </c>
      <c r="C29" s="79">
        <v>3</v>
      </c>
      <c r="D29" s="79">
        <v>2</v>
      </c>
      <c r="E29" s="79" t="s">
        <v>843</v>
      </c>
      <c r="F29" s="79" t="s">
        <v>843</v>
      </c>
      <c r="G29" s="79" t="s">
        <v>844</v>
      </c>
      <c r="H29" s="79"/>
      <c r="I29" s="79" t="s">
        <v>845</v>
      </c>
      <c r="J29" s="79"/>
      <c r="K29" s="79">
        <v>0</v>
      </c>
      <c r="L29" s="19">
        <v>0</v>
      </c>
    </row>
    <row r="30" spans="1:12">
      <c r="B30" s="79">
        <v>1</v>
      </c>
      <c r="C30" s="79">
        <v>5</v>
      </c>
      <c r="D30" s="79">
        <v>2</v>
      </c>
      <c r="E30" s="79" t="s">
        <v>843</v>
      </c>
      <c r="F30" s="79" t="s">
        <v>843</v>
      </c>
      <c r="G30" s="79" t="s">
        <v>155</v>
      </c>
      <c r="H30" s="79" t="s">
        <v>846</v>
      </c>
      <c r="I30" s="79" t="s">
        <v>847</v>
      </c>
      <c r="J30" s="79"/>
      <c r="K30" s="79">
        <v>0</v>
      </c>
      <c r="L30" s="19">
        <v>0</v>
      </c>
    </row>
    <row r="31" spans="1:12">
      <c r="B31" s="79">
        <v>1</v>
      </c>
      <c r="C31" s="79">
        <v>6</v>
      </c>
      <c r="D31" s="79">
        <v>2</v>
      </c>
      <c r="E31" s="79" t="s">
        <v>843</v>
      </c>
      <c r="F31" s="79" t="s">
        <v>843</v>
      </c>
      <c r="G31" s="79" t="s">
        <v>155</v>
      </c>
      <c r="H31" s="79" t="s">
        <v>846</v>
      </c>
      <c r="I31" s="79" t="s">
        <v>848</v>
      </c>
      <c r="J31" s="79"/>
      <c r="K31" s="79">
        <v>0</v>
      </c>
      <c r="L31" s="19">
        <v>0</v>
      </c>
    </row>
    <row r="32" spans="1:12">
      <c r="B32" s="79">
        <v>1</v>
      </c>
      <c r="C32" s="79">
        <v>7</v>
      </c>
      <c r="D32" s="79">
        <v>2</v>
      </c>
      <c r="E32" s="79" t="s">
        <v>843</v>
      </c>
      <c r="F32" s="79" t="s">
        <v>843</v>
      </c>
      <c r="G32" s="79" t="s">
        <v>849</v>
      </c>
      <c r="H32" s="79" t="s">
        <v>849</v>
      </c>
      <c r="I32" s="79" t="s">
        <v>850</v>
      </c>
      <c r="J32" s="79"/>
      <c r="K32" s="79">
        <v>0</v>
      </c>
      <c r="L32" s="19">
        <v>0</v>
      </c>
    </row>
    <row r="33" spans="2:12">
      <c r="B33" s="79">
        <v>1</v>
      </c>
      <c r="C33" s="79">
        <v>9</v>
      </c>
      <c r="D33" s="79">
        <v>2</v>
      </c>
      <c r="E33" s="79" t="s">
        <v>843</v>
      </c>
      <c r="F33" s="79" t="s">
        <v>843</v>
      </c>
      <c r="G33" s="79" t="s">
        <v>155</v>
      </c>
      <c r="H33" s="79" t="s">
        <v>846</v>
      </c>
      <c r="I33" s="79" t="s">
        <v>851</v>
      </c>
      <c r="J33" s="79"/>
      <c r="K33" s="79">
        <v>0</v>
      </c>
      <c r="L33" s="19">
        <v>0</v>
      </c>
    </row>
    <row r="34" spans="2:12">
      <c r="B34" s="79">
        <v>1</v>
      </c>
      <c r="C34" s="79">
        <v>10</v>
      </c>
      <c r="D34" s="79">
        <v>2</v>
      </c>
      <c r="E34" s="79" t="s">
        <v>843</v>
      </c>
      <c r="F34" s="79" t="s">
        <v>843</v>
      </c>
      <c r="G34" s="79" t="s">
        <v>849</v>
      </c>
      <c r="H34" s="79" t="s">
        <v>849</v>
      </c>
      <c r="I34" s="79" t="s">
        <v>852</v>
      </c>
      <c r="J34" s="79"/>
      <c r="K34" s="79">
        <v>0</v>
      </c>
      <c r="L34" s="19">
        <v>0</v>
      </c>
    </row>
    <row r="35" spans="2:12">
      <c r="B35" s="79">
        <v>1</v>
      </c>
      <c r="C35" s="79">
        <v>11</v>
      </c>
      <c r="D35" s="79">
        <v>2</v>
      </c>
      <c r="E35" s="79" t="s">
        <v>843</v>
      </c>
      <c r="F35" s="79" t="s">
        <v>843</v>
      </c>
      <c r="G35" s="79" t="s">
        <v>849</v>
      </c>
      <c r="H35" s="79" t="s">
        <v>849</v>
      </c>
      <c r="I35" s="79" t="s">
        <v>853</v>
      </c>
      <c r="J35" s="79"/>
      <c r="K35" s="79">
        <v>0</v>
      </c>
      <c r="L35" s="19">
        <v>0</v>
      </c>
    </row>
    <row r="36" spans="2:12">
      <c r="B36" s="79">
        <v>1</v>
      </c>
      <c r="C36" s="79">
        <v>12</v>
      </c>
      <c r="D36" s="79">
        <v>2</v>
      </c>
      <c r="E36" s="79" t="s">
        <v>843</v>
      </c>
      <c r="F36" s="79" t="s">
        <v>843</v>
      </c>
      <c r="G36" s="79" t="s">
        <v>849</v>
      </c>
      <c r="H36" s="79" t="s">
        <v>849</v>
      </c>
      <c r="I36" s="79" t="s">
        <v>854</v>
      </c>
      <c r="J36" s="79"/>
      <c r="K36" s="79">
        <v>0</v>
      </c>
      <c r="L36" s="19">
        <v>0</v>
      </c>
    </row>
    <row r="37" spans="2:12">
      <c r="B37" s="79">
        <v>1</v>
      </c>
      <c r="C37" s="79">
        <v>13</v>
      </c>
      <c r="D37" s="79">
        <v>2</v>
      </c>
      <c r="E37" s="79" t="s">
        <v>843</v>
      </c>
      <c r="F37" s="79" t="s">
        <v>843</v>
      </c>
      <c r="G37" s="79" t="s">
        <v>849</v>
      </c>
      <c r="H37" s="79" t="s">
        <v>849</v>
      </c>
      <c r="I37" s="79" t="s">
        <v>855</v>
      </c>
      <c r="J37" s="79"/>
      <c r="K37" s="79">
        <v>0</v>
      </c>
      <c r="L37" s="19">
        <v>0</v>
      </c>
    </row>
    <row r="38" spans="2:12">
      <c r="B38" s="79">
        <v>1</v>
      </c>
      <c r="C38" s="79">
        <v>15</v>
      </c>
      <c r="D38" s="79">
        <v>2</v>
      </c>
      <c r="E38" s="79" t="s">
        <v>843</v>
      </c>
      <c r="F38" s="79" t="s">
        <v>843</v>
      </c>
      <c r="G38" s="79" t="s">
        <v>856</v>
      </c>
      <c r="H38" s="79" t="s">
        <v>857</v>
      </c>
      <c r="I38" s="79" t="s">
        <v>858</v>
      </c>
      <c r="J38" s="79"/>
      <c r="K38" s="79">
        <v>0</v>
      </c>
      <c r="L38" s="19">
        <v>0</v>
      </c>
    </row>
    <row r="39" spans="2:12">
      <c r="B39" s="79">
        <v>1</v>
      </c>
      <c r="C39" s="79">
        <v>20</v>
      </c>
      <c r="D39" s="79">
        <v>2</v>
      </c>
      <c r="E39" s="79" t="s">
        <v>843</v>
      </c>
      <c r="F39" s="79" t="s">
        <v>843</v>
      </c>
      <c r="G39" s="79" t="s">
        <v>856</v>
      </c>
      <c r="H39" s="79" t="s">
        <v>857</v>
      </c>
      <c r="I39" s="79" t="s">
        <v>859</v>
      </c>
      <c r="J39" s="79"/>
      <c r="K39" s="79">
        <v>0</v>
      </c>
      <c r="L39" s="19">
        <v>0</v>
      </c>
    </row>
    <row r="40" spans="2:12">
      <c r="B40" s="79">
        <v>1</v>
      </c>
      <c r="C40" s="79">
        <v>21</v>
      </c>
      <c r="D40" s="79">
        <v>2</v>
      </c>
      <c r="E40" s="79" t="s">
        <v>843</v>
      </c>
      <c r="F40" s="79" t="s">
        <v>843</v>
      </c>
      <c r="G40" s="79" t="s">
        <v>856</v>
      </c>
      <c r="H40" s="79" t="s">
        <v>857</v>
      </c>
      <c r="I40" s="79" t="s">
        <v>860</v>
      </c>
      <c r="J40" s="79"/>
      <c r="K40" s="79">
        <v>0</v>
      </c>
      <c r="L40" s="19">
        <v>0</v>
      </c>
    </row>
    <row r="41" spans="2:12">
      <c r="B41" s="79">
        <v>1</v>
      </c>
      <c r="C41" s="79">
        <v>22</v>
      </c>
      <c r="D41" s="79">
        <v>3</v>
      </c>
      <c r="E41" s="79" t="s">
        <v>843</v>
      </c>
      <c r="F41" s="79" t="s">
        <v>843</v>
      </c>
      <c r="G41" s="79" t="s">
        <v>849</v>
      </c>
      <c r="H41" s="79" t="s">
        <v>849</v>
      </c>
      <c r="I41" s="79" t="s">
        <v>861</v>
      </c>
      <c r="J41" s="79"/>
      <c r="K41" s="79">
        <v>0</v>
      </c>
      <c r="L41" s="19">
        <v>0</v>
      </c>
    </row>
    <row r="42" spans="2:12">
      <c r="B42" s="79">
        <v>1</v>
      </c>
      <c r="C42" s="79">
        <v>23</v>
      </c>
      <c r="D42" s="79">
        <v>2</v>
      </c>
      <c r="E42" s="79" t="s">
        <v>843</v>
      </c>
      <c r="F42" s="79" t="s">
        <v>843</v>
      </c>
      <c r="G42" s="79" t="s">
        <v>155</v>
      </c>
      <c r="H42" s="79" t="s">
        <v>846</v>
      </c>
      <c r="I42" s="79" t="s">
        <v>862</v>
      </c>
      <c r="J42" s="79"/>
      <c r="K42" s="79">
        <v>0</v>
      </c>
      <c r="L42" s="19">
        <v>0</v>
      </c>
    </row>
    <row r="43" spans="2:12">
      <c r="B43" s="79">
        <v>1</v>
      </c>
      <c r="C43" s="79">
        <v>24</v>
      </c>
      <c r="D43" s="79">
        <v>2</v>
      </c>
      <c r="E43" s="79" t="s">
        <v>843</v>
      </c>
      <c r="F43" s="79" t="s">
        <v>843</v>
      </c>
      <c r="G43" s="79" t="s">
        <v>155</v>
      </c>
      <c r="H43" s="79" t="s">
        <v>846</v>
      </c>
      <c r="I43" s="79" t="s">
        <v>863</v>
      </c>
      <c r="J43" s="79"/>
      <c r="K43" s="79">
        <v>0</v>
      </c>
      <c r="L43" s="19">
        <v>0</v>
      </c>
    </row>
    <row r="44" spans="2:12">
      <c r="B44" s="79">
        <v>1</v>
      </c>
      <c r="C44" s="79">
        <v>26</v>
      </c>
      <c r="D44" s="79">
        <v>2</v>
      </c>
      <c r="E44" s="79" t="s">
        <v>843</v>
      </c>
      <c r="F44" s="79" t="s">
        <v>843</v>
      </c>
      <c r="G44" s="79" t="s">
        <v>155</v>
      </c>
      <c r="H44" s="79" t="s">
        <v>846</v>
      </c>
      <c r="I44" s="79" t="s">
        <v>864</v>
      </c>
      <c r="J44" s="79"/>
      <c r="K44" s="79">
        <v>0</v>
      </c>
      <c r="L44" s="19">
        <v>0</v>
      </c>
    </row>
    <row r="45" spans="2:12">
      <c r="B45" s="79">
        <v>1</v>
      </c>
      <c r="C45" s="79">
        <v>27</v>
      </c>
      <c r="D45" s="79">
        <v>2</v>
      </c>
      <c r="E45" s="79" t="s">
        <v>843</v>
      </c>
      <c r="F45" s="79" t="s">
        <v>843</v>
      </c>
      <c r="G45" s="79" t="s">
        <v>849</v>
      </c>
      <c r="H45" s="79" t="s">
        <v>849</v>
      </c>
      <c r="I45" s="79" t="s">
        <v>865</v>
      </c>
      <c r="J45" s="79"/>
      <c r="K45" s="79">
        <v>0</v>
      </c>
      <c r="L45" s="19">
        <v>0</v>
      </c>
    </row>
    <row r="46" spans="2:12">
      <c r="B46" s="79">
        <v>1</v>
      </c>
      <c r="C46" s="79">
        <v>28</v>
      </c>
      <c r="D46" s="79">
        <v>2</v>
      </c>
      <c r="E46" s="79" t="s">
        <v>843</v>
      </c>
      <c r="F46" s="79" t="s">
        <v>843</v>
      </c>
      <c r="G46" s="79" t="s">
        <v>856</v>
      </c>
      <c r="H46" s="79" t="s">
        <v>857</v>
      </c>
      <c r="I46" s="79" t="s">
        <v>866</v>
      </c>
      <c r="J46" s="79"/>
      <c r="K46" s="79">
        <v>0</v>
      </c>
      <c r="L46" s="19">
        <v>0</v>
      </c>
    </row>
    <row r="47" spans="2:12">
      <c r="B47" s="79">
        <v>1</v>
      </c>
      <c r="C47" s="79">
        <v>31</v>
      </c>
      <c r="D47" s="79">
        <v>2</v>
      </c>
      <c r="E47" s="79" t="s">
        <v>843</v>
      </c>
      <c r="F47" s="79" t="s">
        <v>843</v>
      </c>
      <c r="G47" s="79" t="s">
        <v>844</v>
      </c>
      <c r="H47" s="79"/>
      <c r="I47" s="79" t="s">
        <v>867</v>
      </c>
      <c r="J47" s="79"/>
      <c r="K47" s="79">
        <v>0</v>
      </c>
      <c r="L47" s="19">
        <v>0</v>
      </c>
    </row>
    <row r="48" spans="2:12">
      <c r="B48" s="79">
        <v>1</v>
      </c>
      <c r="C48" s="79">
        <v>36</v>
      </c>
      <c r="D48" s="79">
        <v>2</v>
      </c>
      <c r="E48" s="79" t="s">
        <v>843</v>
      </c>
      <c r="F48" s="79" t="s">
        <v>843</v>
      </c>
      <c r="G48" s="79" t="s">
        <v>844</v>
      </c>
      <c r="H48" s="79"/>
      <c r="I48" s="79" t="s">
        <v>868</v>
      </c>
      <c r="J48" s="79"/>
      <c r="K48" s="79">
        <v>0</v>
      </c>
      <c r="L48" s="19">
        <v>0</v>
      </c>
    </row>
    <row r="49" spans="2:12">
      <c r="B49" s="79">
        <v>1</v>
      </c>
      <c r="C49" s="79">
        <v>43</v>
      </c>
      <c r="D49" s="79">
        <v>2</v>
      </c>
      <c r="E49" s="79" t="s">
        <v>843</v>
      </c>
      <c r="F49" s="79" t="s">
        <v>843</v>
      </c>
      <c r="G49" s="79" t="s">
        <v>856</v>
      </c>
      <c r="H49" s="79" t="s">
        <v>857</v>
      </c>
      <c r="I49" s="79" t="s">
        <v>869</v>
      </c>
      <c r="J49" s="79"/>
      <c r="K49" s="79">
        <v>0</v>
      </c>
      <c r="L49" s="19">
        <v>0</v>
      </c>
    </row>
    <row r="50" spans="2:12">
      <c r="B50" s="79">
        <v>1</v>
      </c>
      <c r="C50" s="79">
        <v>62</v>
      </c>
      <c r="D50" s="79">
        <v>1</v>
      </c>
      <c r="E50" s="79" t="s">
        <v>843</v>
      </c>
      <c r="F50" s="79" t="s">
        <v>843</v>
      </c>
      <c r="G50" s="79" t="s">
        <v>844</v>
      </c>
      <c r="H50" s="79"/>
      <c r="I50" s="79" t="s">
        <v>870</v>
      </c>
      <c r="J50" s="79"/>
      <c r="K50" s="79">
        <v>0</v>
      </c>
      <c r="L50" s="19">
        <v>0</v>
      </c>
    </row>
    <row r="51" spans="2:12">
      <c r="B51" s="79">
        <v>1</v>
      </c>
      <c r="C51" s="79">
        <v>65</v>
      </c>
      <c r="D51" s="79">
        <v>1</v>
      </c>
      <c r="E51" s="79" t="s">
        <v>843</v>
      </c>
      <c r="F51" s="79" t="s">
        <v>843</v>
      </c>
      <c r="G51" s="79" t="s">
        <v>856</v>
      </c>
      <c r="H51" s="79" t="s">
        <v>857</v>
      </c>
      <c r="I51" s="79" t="s">
        <v>871</v>
      </c>
      <c r="J51" s="79"/>
      <c r="K51" s="79">
        <v>0</v>
      </c>
      <c r="L51" s="19">
        <v>0</v>
      </c>
    </row>
    <row r="52" spans="2:12">
      <c r="B52" s="79">
        <v>1</v>
      </c>
      <c r="C52" s="79">
        <v>67</v>
      </c>
      <c r="D52" s="79">
        <v>1</v>
      </c>
      <c r="E52" s="79" t="s">
        <v>843</v>
      </c>
      <c r="F52" s="79" t="s">
        <v>843</v>
      </c>
      <c r="G52" s="79" t="s">
        <v>856</v>
      </c>
      <c r="H52" s="79" t="s">
        <v>857</v>
      </c>
      <c r="I52" s="79" t="s">
        <v>872</v>
      </c>
      <c r="J52" s="79"/>
      <c r="K52" s="79">
        <v>0</v>
      </c>
      <c r="L52" s="19">
        <v>0</v>
      </c>
    </row>
    <row r="53" spans="2:12">
      <c r="B53" s="79">
        <v>1</v>
      </c>
      <c r="C53" s="79">
        <v>69</v>
      </c>
      <c r="D53" s="79">
        <v>1</v>
      </c>
      <c r="E53" s="79" t="s">
        <v>843</v>
      </c>
      <c r="F53" s="79" t="s">
        <v>843</v>
      </c>
      <c r="G53" s="79" t="s">
        <v>856</v>
      </c>
      <c r="H53" s="79" t="s">
        <v>857</v>
      </c>
      <c r="I53" s="79" t="s">
        <v>873</v>
      </c>
      <c r="J53" s="79"/>
      <c r="K53" s="79">
        <v>0</v>
      </c>
      <c r="L53" s="19">
        <v>0</v>
      </c>
    </row>
    <row r="54" spans="2:12">
      <c r="B54" s="79">
        <v>1</v>
      </c>
      <c r="C54" s="79">
        <v>71</v>
      </c>
      <c r="D54" s="79">
        <v>1</v>
      </c>
      <c r="E54" s="79" t="s">
        <v>843</v>
      </c>
      <c r="F54" s="79" t="s">
        <v>843</v>
      </c>
      <c r="G54" s="79" t="s">
        <v>849</v>
      </c>
      <c r="H54" s="79" t="s">
        <v>849</v>
      </c>
      <c r="I54" s="79" t="s">
        <v>874</v>
      </c>
      <c r="J54" s="79"/>
      <c r="K54" s="79">
        <v>0</v>
      </c>
      <c r="L54" s="19">
        <v>0</v>
      </c>
    </row>
    <row r="55" spans="2:12">
      <c r="B55" s="79">
        <v>1</v>
      </c>
      <c r="C55" s="79">
        <v>72</v>
      </c>
      <c r="D55" s="79">
        <v>1</v>
      </c>
      <c r="E55" s="79" t="s">
        <v>843</v>
      </c>
      <c r="F55" s="79" t="s">
        <v>843</v>
      </c>
      <c r="G55" s="79" t="s">
        <v>849</v>
      </c>
      <c r="H55" s="79" t="s">
        <v>849</v>
      </c>
      <c r="I55" s="79" t="s">
        <v>875</v>
      </c>
      <c r="J55" s="79"/>
      <c r="K55" s="79">
        <v>0</v>
      </c>
      <c r="L55" s="19">
        <v>0</v>
      </c>
    </row>
    <row r="56" spans="2:12">
      <c r="B56" s="79">
        <v>1</v>
      </c>
      <c r="C56" s="79">
        <v>73</v>
      </c>
      <c r="D56" s="79">
        <v>1</v>
      </c>
      <c r="E56" s="79" t="s">
        <v>843</v>
      </c>
      <c r="F56" s="79" t="s">
        <v>843</v>
      </c>
      <c r="G56" s="79" t="s">
        <v>849</v>
      </c>
      <c r="H56" s="79" t="s">
        <v>849</v>
      </c>
      <c r="I56" s="79" t="s">
        <v>876</v>
      </c>
      <c r="J56" s="79"/>
      <c r="K56" s="79">
        <v>0</v>
      </c>
      <c r="L56" s="19">
        <v>0</v>
      </c>
    </row>
    <row r="57" spans="2:12">
      <c r="B57" s="79">
        <v>1</v>
      </c>
      <c r="C57" s="79">
        <v>74</v>
      </c>
      <c r="D57" s="79">
        <v>1</v>
      </c>
      <c r="E57" s="79" t="s">
        <v>843</v>
      </c>
      <c r="F57" s="79" t="s">
        <v>843</v>
      </c>
      <c r="G57" s="79" t="s">
        <v>844</v>
      </c>
      <c r="H57" s="79"/>
      <c r="I57" s="79" t="s">
        <v>877</v>
      </c>
      <c r="J57" s="79"/>
      <c r="K57" s="79">
        <v>0</v>
      </c>
      <c r="L57" s="19">
        <v>0</v>
      </c>
    </row>
    <row r="58" spans="2:12">
      <c r="B58" s="79">
        <v>1</v>
      </c>
      <c r="C58" s="79">
        <v>75</v>
      </c>
      <c r="D58" s="79">
        <v>1</v>
      </c>
      <c r="E58" s="79" t="s">
        <v>843</v>
      </c>
      <c r="F58" s="79" t="s">
        <v>843</v>
      </c>
      <c r="G58" s="79" t="s">
        <v>844</v>
      </c>
      <c r="H58" s="79"/>
      <c r="I58" s="79" t="s">
        <v>878</v>
      </c>
      <c r="J58" s="79"/>
      <c r="K58" s="79">
        <v>0</v>
      </c>
      <c r="L58" s="19">
        <v>0</v>
      </c>
    </row>
    <row r="59" spans="2:12">
      <c r="B59" s="79">
        <v>1</v>
      </c>
      <c r="C59" s="79">
        <v>76</v>
      </c>
      <c r="D59" s="79">
        <v>1</v>
      </c>
      <c r="E59" s="79" t="s">
        <v>843</v>
      </c>
      <c r="F59" s="79" t="s">
        <v>843</v>
      </c>
      <c r="G59" s="79" t="s">
        <v>844</v>
      </c>
      <c r="H59" s="79"/>
      <c r="I59" s="79" t="s">
        <v>879</v>
      </c>
      <c r="J59" s="79"/>
      <c r="K59" s="79">
        <v>0</v>
      </c>
      <c r="L59" s="19">
        <v>0</v>
      </c>
    </row>
    <row r="60" spans="2:12">
      <c r="B60" s="79">
        <v>1</v>
      </c>
      <c r="C60" s="79">
        <v>77</v>
      </c>
      <c r="D60" s="79">
        <v>1</v>
      </c>
      <c r="E60" s="79" t="s">
        <v>843</v>
      </c>
      <c r="F60" s="79" t="s">
        <v>843</v>
      </c>
      <c r="G60" s="79" t="s">
        <v>844</v>
      </c>
      <c r="H60" s="79"/>
      <c r="I60" s="79" t="s">
        <v>880</v>
      </c>
      <c r="J60" s="79"/>
      <c r="K60" s="79">
        <v>0</v>
      </c>
      <c r="L60" s="19">
        <v>0</v>
      </c>
    </row>
    <row r="61" spans="2:12">
      <c r="B61" s="79">
        <v>1</v>
      </c>
      <c r="C61" s="79">
        <v>78</v>
      </c>
      <c r="D61" s="79">
        <v>1</v>
      </c>
      <c r="E61" s="79" t="s">
        <v>843</v>
      </c>
      <c r="F61" s="79" t="s">
        <v>843</v>
      </c>
      <c r="G61" s="79" t="s">
        <v>844</v>
      </c>
      <c r="H61" s="79"/>
      <c r="I61" s="79" t="s">
        <v>881</v>
      </c>
      <c r="J61" s="79"/>
      <c r="K61" s="79">
        <v>0</v>
      </c>
      <c r="L61" s="19">
        <v>0</v>
      </c>
    </row>
    <row r="62" spans="2:12">
      <c r="B62" s="79">
        <v>1</v>
      </c>
      <c r="C62" s="79">
        <v>79</v>
      </c>
      <c r="D62" s="79">
        <v>1</v>
      </c>
      <c r="E62" s="79" t="s">
        <v>843</v>
      </c>
      <c r="F62" s="79" t="s">
        <v>843</v>
      </c>
      <c r="G62" s="79" t="s">
        <v>844</v>
      </c>
      <c r="H62" s="79"/>
      <c r="I62" s="79" t="s">
        <v>882</v>
      </c>
      <c r="J62" s="79"/>
      <c r="K62" s="79">
        <v>0</v>
      </c>
      <c r="L62" s="19">
        <v>0</v>
      </c>
    </row>
    <row r="63" spans="2:12">
      <c r="B63" s="79">
        <v>1</v>
      </c>
      <c r="C63" s="79">
        <v>80</v>
      </c>
      <c r="D63" s="79">
        <v>1</v>
      </c>
      <c r="E63" s="79" t="s">
        <v>843</v>
      </c>
      <c r="F63" s="79" t="s">
        <v>843</v>
      </c>
      <c r="G63" s="79" t="s">
        <v>844</v>
      </c>
      <c r="H63" s="79"/>
      <c r="I63" s="79" t="s">
        <v>883</v>
      </c>
      <c r="J63" s="79"/>
      <c r="K63" s="79">
        <v>0</v>
      </c>
      <c r="L63" s="19">
        <v>0</v>
      </c>
    </row>
    <row r="64" spans="2:12">
      <c r="B64" s="79">
        <v>1</v>
      </c>
      <c r="C64" s="79">
        <v>81</v>
      </c>
      <c r="D64" s="79">
        <v>2</v>
      </c>
      <c r="E64" s="79" t="s">
        <v>843</v>
      </c>
      <c r="F64" s="79" t="s">
        <v>843</v>
      </c>
      <c r="G64" s="79" t="s">
        <v>844</v>
      </c>
      <c r="H64" s="79"/>
      <c r="I64" s="79" t="s">
        <v>884</v>
      </c>
      <c r="J64" s="79"/>
      <c r="K64" s="79">
        <v>0</v>
      </c>
      <c r="L64" s="19">
        <v>0</v>
      </c>
    </row>
    <row r="65" spans="2:13">
      <c r="B65" s="79">
        <v>1</v>
      </c>
      <c r="C65" s="79">
        <v>82</v>
      </c>
      <c r="D65" s="79">
        <v>1</v>
      </c>
      <c r="E65" s="79" t="s">
        <v>843</v>
      </c>
      <c r="F65" s="79" t="s">
        <v>843</v>
      </c>
      <c r="G65" s="79" t="s">
        <v>844</v>
      </c>
      <c r="H65" s="79"/>
      <c r="I65" s="79" t="s">
        <v>885</v>
      </c>
      <c r="J65" s="79"/>
      <c r="K65" s="79">
        <v>0</v>
      </c>
      <c r="L65" s="19">
        <v>0</v>
      </c>
    </row>
    <row r="66" spans="2:13">
      <c r="B66" s="79">
        <v>1</v>
      </c>
      <c r="C66" s="79">
        <v>90</v>
      </c>
      <c r="D66" s="79">
        <v>1</v>
      </c>
      <c r="E66" s="79" t="s">
        <v>843</v>
      </c>
      <c r="F66" s="79" t="s">
        <v>843</v>
      </c>
      <c r="G66" s="79" t="s">
        <v>856</v>
      </c>
      <c r="H66" s="79" t="s">
        <v>857</v>
      </c>
      <c r="I66" s="79" t="s">
        <v>886</v>
      </c>
      <c r="J66" s="79"/>
      <c r="K66" s="79">
        <v>0</v>
      </c>
      <c r="L66" s="19">
        <v>0</v>
      </c>
    </row>
    <row r="67" spans="2:13">
      <c r="B67" s="79">
        <v>1</v>
      </c>
      <c r="C67" s="79">
        <v>91</v>
      </c>
      <c r="D67" s="79">
        <v>1</v>
      </c>
      <c r="E67" s="79" t="s">
        <v>843</v>
      </c>
      <c r="F67" s="79" t="s">
        <v>843</v>
      </c>
      <c r="G67" s="79" t="s">
        <v>849</v>
      </c>
      <c r="H67" s="79" t="s">
        <v>849</v>
      </c>
      <c r="I67" s="79" t="s">
        <v>887</v>
      </c>
      <c r="J67" s="79"/>
      <c r="K67" s="79">
        <v>0</v>
      </c>
      <c r="L67" s="19">
        <v>0</v>
      </c>
    </row>
    <row r="68" spans="2:13">
      <c r="B68" s="79">
        <v>1</v>
      </c>
      <c r="C68" s="79">
        <v>92</v>
      </c>
      <c r="D68" s="79">
        <v>1</v>
      </c>
      <c r="E68" s="79" t="s">
        <v>843</v>
      </c>
      <c r="F68" s="79" t="s">
        <v>843</v>
      </c>
      <c r="G68" s="79" t="s">
        <v>856</v>
      </c>
      <c r="H68" s="79" t="s">
        <v>857</v>
      </c>
      <c r="I68" s="79" t="s">
        <v>888</v>
      </c>
      <c r="J68" s="79"/>
      <c r="K68" s="79">
        <v>0</v>
      </c>
      <c r="L68" s="19">
        <v>0</v>
      </c>
    </row>
    <row r="69" spans="2:13">
      <c r="B69" s="79">
        <v>1</v>
      </c>
      <c r="C69" s="79">
        <v>93</v>
      </c>
      <c r="D69" s="79">
        <v>1</v>
      </c>
      <c r="E69" s="79" t="s">
        <v>843</v>
      </c>
      <c r="F69" s="79" t="s">
        <v>843</v>
      </c>
      <c r="G69" s="79" t="s">
        <v>844</v>
      </c>
      <c r="H69" s="79"/>
      <c r="I69" s="79" t="s">
        <v>889</v>
      </c>
      <c r="J69" s="79"/>
      <c r="K69" s="79">
        <v>0</v>
      </c>
      <c r="L69" s="19">
        <v>0</v>
      </c>
    </row>
    <row r="70" spans="2:13">
      <c r="B70" s="79">
        <v>1</v>
      </c>
      <c r="C70" s="79">
        <v>94</v>
      </c>
      <c r="D70" s="79">
        <v>1</v>
      </c>
      <c r="E70" s="79" t="s">
        <v>843</v>
      </c>
      <c r="F70" s="79" t="s">
        <v>843</v>
      </c>
      <c r="G70" s="79" t="s">
        <v>844</v>
      </c>
      <c r="H70" s="79"/>
      <c r="I70" s="79" t="s">
        <v>890</v>
      </c>
      <c r="J70" s="79"/>
      <c r="K70" s="79">
        <v>0</v>
      </c>
      <c r="L70" s="19">
        <v>0</v>
      </c>
    </row>
    <row r="71" spans="2:13">
      <c r="B71" s="79">
        <v>1</v>
      </c>
      <c r="C71" s="79">
        <v>95</v>
      </c>
      <c r="D71" s="79">
        <v>2</v>
      </c>
      <c r="E71" s="79" t="s">
        <v>843</v>
      </c>
      <c r="F71" s="79" t="s">
        <v>843</v>
      </c>
      <c r="G71" s="79" t="s">
        <v>155</v>
      </c>
      <c r="H71" s="79" t="s">
        <v>846</v>
      </c>
      <c r="I71" s="79" t="s">
        <v>891</v>
      </c>
      <c r="J71" s="79"/>
      <c r="K71" s="79">
        <v>0</v>
      </c>
      <c r="L71" s="19">
        <v>0</v>
      </c>
    </row>
    <row r="72" spans="2:13">
      <c r="B72" s="79">
        <v>1</v>
      </c>
      <c r="C72" s="79">
        <v>96</v>
      </c>
      <c r="D72" s="79">
        <v>2</v>
      </c>
      <c r="E72" s="79" t="s">
        <v>843</v>
      </c>
      <c r="F72" s="79" t="s">
        <v>843</v>
      </c>
      <c r="G72" s="79" t="s">
        <v>155</v>
      </c>
      <c r="H72" s="79" t="s">
        <v>846</v>
      </c>
      <c r="I72" s="79" t="s">
        <v>892</v>
      </c>
      <c r="J72" s="79"/>
      <c r="K72" s="79">
        <v>0</v>
      </c>
      <c r="L72" s="19">
        <v>0</v>
      </c>
    </row>
    <row r="73" spans="2:13">
      <c r="B73" s="79">
        <v>1</v>
      </c>
      <c r="C73" s="79">
        <v>97</v>
      </c>
      <c r="D73" s="79">
        <v>2</v>
      </c>
      <c r="E73" s="79" t="s">
        <v>843</v>
      </c>
      <c r="F73" s="79" t="s">
        <v>843</v>
      </c>
      <c r="G73" s="79" t="s">
        <v>155</v>
      </c>
      <c r="H73" s="79" t="s">
        <v>846</v>
      </c>
      <c r="I73" s="79" t="s">
        <v>893</v>
      </c>
      <c r="J73" s="79"/>
      <c r="K73" s="79">
        <v>0</v>
      </c>
      <c r="L73" s="19">
        <v>0</v>
      </c>
    </row>
    <row r="74" spans="2:13">
      <c r="B74" s="79">
        <v>1</v>
      </c>
      <c r="C74" s="79">
        <v>98</v>
      </c>
      <c r="D74" s="79">
        <v>2</v>
      </c>
      <c r="E74" s="79" t="s">
        <v>843</v>
      </c>
      <c r="F74" s="79" t="s">
        <v>843</v>
      </c>
      <c r="G74" s="79" t="s">
        <v>155</v>
      </c>
      <c r="H74" s="79" t="s">
        <v>846</v>
      </c>
      <c r="I74" s="79" t="s">
        <v>894</v>
      </c>
      <c r="J74" s="79"/>
      <c r="K74" s="79">
        <v>0</v>
      </c>
      <c r="L74" s="19">
        <v>0</v>
      </c>
    </row>
    <row r="75" spans="2:13">
      <c r="B75" s="79">
        <v>1</v>
      </c>
      <c r="C75" s="79">
        <v>99</v>
      </c>
      <c r="D75" s="79">
        <v>2</v>
      </c>
      <c r="E75" s="79" t="s">
        <v>843</v>
      </c>
      <c r="F75" s="79" t="s">
        <v>843</v>
      </c>
      <c r="G75" s="79" t="s">
        <v>155</v>
      </c>
      <c r="H75" s="79" t="s">
        <v>846</v>
      </c>
      <c r="I75" s="79" t="s">
        <v>895</v>
      </c>
      <c r="J75" s="79"/>
      <c r="K75" s="79">
        <v>0</v>
      </c>
      <c r="L75" s="19">
        <v>0</v>
      </c>
    </row>
    <row r="76" spans="2:13">
      <c r="B76" s="79">
        <v>1</v>
      </c>
      <c r="C76" s="79">
        <v>100</v>
      </c>
      <c r="D76" s="79">
        <v>1</v>
      </c>
      <c r="E76" s="79" t="s">
        <v>843</v>
      </c>
      <c r="F76" s="79" t="s">
        <v>843</v>
      </c>
      <c r="G76" s="79" t="s">
        <v>155</v>
      </c>
      <c r="H76" s="79" t="s">
        <v>846</v>
      </c>
      <c r="I76" s="79" t="s">
        <v>896</v>
      </c>
      <c r="J76" s="79"/>
      <c r="K76" s="79">
        <v>0</v>
      </c>
      <c r="L76" s="19">
        <v>0</v>
      </c>
      <c r="M76" s="117"/>
    </row>
    <row r="77" spans="2:13">
      <c r="B77" s="79">
        <v>1</v>
      </c>
      <c r="C77" s="79">
        <v>101</v>
      </c>
      <c r="D77" s="79">
        <v>1</v>
      </c>
      <c r="E77" s="79" t="s">
        <v>843</v>
      </c>
      <c r="F77" s="79" t="s">
        <v>843</v>
      </c>
      <c r="G77" s="79" t="s">
        <v>155</v>
      </c>
      <c r="H77" s="79" t="s">
        <v>846</v>
      </c>
      <c r="I77" s="79" t="s">
        <v>897</v>
      </c>
      <c r="J77" s="79"/>
      <c r="K77" s="79">
        <v>0</v>
      </c>
      <c r="L77" s="19">
        <v>0</v>
      </c>
    </row>
    <row r="78" spans="2:13">
      <c r="B78" s="79">
        <v>1</v>
      </c>
      <c r="C78" s="79">
        <v>111</v>
      </c>
      <c r="D78" s="79">
        <v>2</v>
      </c>
      <c r="E78" s="79" t="s">
        <v>843</v>
      </c>
      <c r="F78" s="79" t="s">
        <v>843</v>
      </c>
      <c r="G78" s="79" t="s">
        <v>856</v>
      </c>
      <c r="H78" s="79" t="s">
        <v>857</v>
      </c>
      <c r="I78" s="79" t="s">
        <v>898</v>
      </c>
      <c r="J78" s="79"/>
      <c r="K78" s="79">
        <v>0</v>
      </c>
      <c r="L78" s="19">
        <v>0</v>
      </c>
    </row>
    <row r="79" spans="2:13">
      <c r="B79" s="79">
        <v>2</v>
      </c>
      <c r="C79" s="79">
        <v>8</v>
      </c>
      <c r="D79" s="79">
        <v>2</v>
      </c>
      <c r="E79" s="79" t="s">
        <v>899</v>
      </c>
      <c r="F79" s="79" t="s">
        <v>899</v>
      </c>
      <c r="G79" s="79" t="s">
        <v>844</v>
      </c>
      <c r="H79" s="79"/>
      <c r="I79" s="79" t="s">
        <v>900</v>
      </c>
      <c r="J79" s="79"/>
      <c r="K79" s="79">
        <v>0</v>
      </c>
      <c r="L79" s="19">
        <v>0</v>
      </c>
    </row>
    <row r="80" spans="2:13">
      <c r="B80" s="79">
        <v>2</v>
      </c>
      <c r="C80" s="79">
        <v>26</v>
      </c>
      <c r="D80" s="79">
        <v>1</v>
      </c>
      <c r="E80" s="79" t="s">
        <v>899</v>
      </c>
      <c r="F80" s="79" t="s">
        <v>899</v>
      </c>
      <c r="G80" s="79" t="s">
        <v>856</v>
      </c>
      <c r="H80" s="79" t="s">
        <v>857</v>
      </c>
      <c r="I80" s="79" t="s">
        <v>901</v>
      </c>
      <c r="J80" s="79"/>
      <c r="K80" s="79">
        <v>0</v>
      </c>
      <c r="L80" s="19">
        <v>0</v>
      </c>
    </row>
    <row r="81" spans="2:12">
      <c r="B81" s="79">
        <v>2</v>
      </c>
      <c r="C81" s="79">
        <v>27</v>
      </c>
      <c r="D81" s="79">
        <v>2</v>
      </c>
      <c r="E81" s="79" t="s">
        <v>899</v>
      </c>
      <c r="F81" s="79" t="s">
        <v>899</v>
      </c>
      <c r="G81" s="79" t="s">
        <v>849</v>
      </c>
      <c r="H81" s="79" t="s">
        <v>849</v>
      </c>
      <c r="I81" s="79" t="s">
        <v>902</v>
      </c>
      <c r="J81" s="79"/>
      <c r="K81" s="79">
        <v>0</v>
      </c>
      <c r="L81" s="19">
        <v>0</v>
      </c>
    </row>
    <row r="82" spans="2:12">
      <c r="B82" s="79">
        <v>2</v>
      </c>
      <c r="C82" s="79">
        <v>28</v>
      </c>
      <c r="D82" s="79">
        <v>2</v>
      </c>
      <c r="E82" s="79" t="s">
        <v>899</v>
      </c>
      <c r="F82" s="79" t="s">
        <v>899</v>
      </c>
      <c r="G82" s="79" t="s">
        <v>849</v>
      </c>
      <c r="H82" s="79" t="s">
        <v>849</v>
      </c>
      <c r="I82" s="79" t="s">
        <v>903</v>
      </c>
      <c r="J82" s="79"/>
      <c r="K82" s="79">
        <v>0</v>
      </c>
      <c r="L82" s="19">
        <v>0</v>
      </c>
    </row>
    <row r="83" spans="2:12">
      <c r="B83" s="79">
        <v>2</v>
      </c>
      <c r="C83" s="79">
        <v>29</v>
      </c>
      <c r="D83" s="79">
        <v>2</v>
      </c>
      <c r="E83" s="79" t="s">
        <v>899</v>
      </c>
      <c r="F83" s="79" t="s">
        <v>899</v>
      </c>
      <c r="G83" s="79" t="s">
        <v>155</v>
      </c>
      <c r="H83" s="79" t="s">
        <v>846</v>
      </c>
      <c r="I83" s="79" t="s">
        <v>904</v>
      </c>
      <c r="J83" s="79"/>
      <c r="K83" s="79">
        <v>0</v>
      </c>
      <c r="L83" s="19">
        <v>0</v>
      </c>
    </row>
    <row r="84" spans="2:12">
      <c r="B84" s="79">
        <v>2</v>
      </c>
      <c r="C84" s="79">
        <v>31</v>
      </c>
      <c r="D84" s="79">
        <v>1</v>
      </c>
      <c r="E84" s="79" t="s">
        <v>899</v>
      </c>
      <c r="F84" s="79" t="s">
        <v>899</v>
      </c>
      <c r="G84" s="79" t="s">
        <v>849</v>
      </c>
      <c r="H84" s="79" t="s">
        <v>849</v>
      </c>
      <c r="I84" s="79" t="s">
        <v>905</v>
      </c>
      <c r="J84" s="79"/>
      <c r="K84" s="79">
        <v>0</v>
      </c>
      <c r="L84" s="19">
        <v>0</v>
      </c>
    </row>
    <row r="85" spans="2:12">
      <c r="B85" s="79">
        <v>2</v>
      </c>
      <c r="C85" s="79">
        <v>32</v>
      </c>
      <c r="D85" s="79">
        <v>1</v>
      </c>
      <c r="E85" s="79" t="s">
        <v>899</v>
      </c>
      <c r="F85" s="79" t="s">
        <v>899</v>
      </c>
      <c r="G85" s="79" t="s">
        <v>844</v>
      </c>
      <c r="H85" s="79"/>
      <c r="I85" s="79" t="s">
        <v>906</v>
      </c>
      <c r="J85" s="79"/>
      <c r="K85" s="79">
        <v>0</v>
      </c>
      <c r="L85" s="19">
        <v>0</v>
      </c>
    </row>
    <row r="86" spans="2:12">
      <c r="B86" s="79">
        <v>2</v>
      </c>
      <c r="C86" s="79">
        <v>33</v>
      </c>
      <c r="D86" s="79">
        <v>1</v>
      </c>
      <c r="E86" s="79" t="s">
        <v>899</v>
      </c>
      <c r="F86" s="79" t="s">
        <v>899</v>
      </c>
      <c r="G86" s="79" t="s">
        <v>844</v>
      </c>
      <c r="H86" s="79"/>
      <c r="I86" s="79" t="s">
        <v>907</v>
      </c>
      <c r="J86" s="79"/>
      <c r="K86" s="79">
        <v>0</v>
      </c>
      <c r="L86" s="19">
        <v>0</v>
      </c>
    </row>
    <row r="87" spans="2:12">
      <c r="B87" s="79">
        <v>2</v>
      </c>
      <c r="C87" s="79">
        <v>35</v>
      </c>
      <c r="D87" s="79">
        <v>1</v>
      </c>
      <c r="E87" s="79" t="s">
        <v>899</v>
      </c>
      <c r="F87" s="79" t="s">
        <v>899</v>
      </c>
      <c r="G87" s="79" t="s">
        <v>849</v>
      </c>
      <c r="H87" s="79" t="s">
        <v>849</v>
      </c>
      <c r="I87" s="79" t="s">
        <v>908</v>
      </c>
      <c r="J87" s="79"/>
      <c r="K87" s="79">
        <v>0</v>
      </c>
      <c r="L87" s="19">
        <v>0</v>
      </c>
    </row>
    <row r="88" spans="2:12">
      <c r="B88" s="79">
        <v>2</v>
      </c>
      <c r="C88" s="79">
        <v>36</v>
      </c>
      <c r="D88" s="79">
        <v>1</v>
      </c>
      <c r="E88" s="79" t="s">
        <v>899</v>
      </c>
      <c r="F88" s="79" t="s">
        <v>899</v>
      </c>
      <c r="G88" s="79" t="s">
        <v>849</v>
      </c>
      <c r="H88" s="79" t="s">
        <v>849</v>
      </c>
      <c r="I88" s="79" t="s">
        <v>909</v>
      </c>
      <c r="J88" s="79"/>
      <c r="K88" s="79">
        <v>0</v>
      </c>
      <c r="L88" s="19">
        <v>0</v>
      </c>
    </row>
    <row r="89" spans="2:12">
      <c r="B89" s="79">
        <v>2</v>
      </c>
      <c r="C89" s="79">
        <v>37</v>
      </c>
      <c r="D89" s="79">
        <v>1</v>
      </c>
      <c r="E89" s="79" t="s">
        <v>899</v>
      </c>
      <c r="F89" s="79" t="s">
        <v>899</v>
      </c>
      <c r="G89" s="79" t="s">
        <v>844</v>
      </c>
      <c r="H89" s="79"/>
      <c r="I89" s="79" t="s">
        <v>910</v>
      </c>
      <c r="J89" s="79"/>
      <c r="K89" s="79">
        <v>0</v>
      </c>
      <c r="L89" s="19">
        <v>0</v>
      </c>
    </row>
    <row r="90" spans="2:12">
      <c r="B90" s="79">
        <v>2</v>
      </c>
      <c r="C90" s="79">
        <v>38</v>
      </c>
      <c r="D90" s="79">
        <v>2</v>
      </c>
      <c r="E90" s="79" t="s">
        <v>899</v>
      </c>
      <c r="F90" s="79" t="s">
        <v>899</v>
      </c>
      <c r="G90" s="79" t="s">
        <v>856</v>
      </c>
      <c r="H90" s="79" t="s">
        <v>857</v>
      </c>
      <c r="I90" s="79" t="s">
        <v>911</v>
      </c>
      <c r="J90" s="79"/>
      <c r="K90" s="79">
        <v>0</v>
      </c>
      <c r="L90" s="19">
        <v>0</v>
      </c>
    </row>
    <row r="91" spans="2:12">
      <c r="B91" s="79">
        <v>2</v>
      </c>
      <c r="C91" s="79">
        <v>39</v>
      </c>
      <c r="D91" s="79">
        <v>1</v>
      </c>
      <c r="E91" s="79" t="s">
        <v>899</v>
      </c>
      <c r="F91" s="79" t="s">
        <v>899</v>
      </c>
      <c r="G91" s="79" t="s">
        <v>849</v>
      </c>
      <c r="H91" s="79" t="s">
        <v>849</v>
      </c>
      <c r="I91" s="79" t="s">
        <v>912</v>
      </c>
      <c r="J91" s="79"/>
      <c r="K91" s="79">
        <v>0</v>
      </c>
      <c r="L91" s="19">
        <v>0</v>
      </c>
    </row>
    <row r="92" spans="2:12">
      <c r="B92" s="79">
        <v>2</v>
      </c>
      <c r="C92" s="79">
        <v>41</v>
      </c>
      <c r="D92" s="79">
        <v>2</v>
      </c>
      <c r="E92" s="79" t="s">
        <v>899</v>
      </c>
      <c r="F92" s="79" t="s">
        <v>899</v>
      </c>
      <c r="G92" s="79" t="s">
        <v>844</v>
      </c>
      <c r="H92" s="79"/>
      <c r="I92" s="79" t="s">
        <v>913</v>
      </c>
      <c r="J92" s="79"/>
      <c r="K92" s="79">
        <v>0</v>
      </c>
      <c r="L92" s="19">
        <v>0</v>
      </c>
    </row>
    <row r="93" spans="2:12">
      <c r="B93" s="79">
        <v>2</v>
      </c>
      <c r="C93" s="79">
        <v>42</v>
      </c>
      <c r="D93" s="79">
        <v>2</v>
      </c>
      <c r="E93" s="79" t="s">
        <v>899</v>
      </c>
      <c r="F93" s="79" t="s">
        <v>899</v>
      </c>
      <c r="G93" s="79" t="s">
        <v>844</v>
      </c>
      <c r="H93" s="79"/>
      <c r="I93" s="79" t="s">
        <v>914</v>
      </c>
      <c r="J93" s="79"/>
      <c r="K93" s="79">
        <v>0</v>
      </c>
      <c r="L93" s="19">
        <v>0</v>
      </c>
    </row>
    <row r="94" spans="2:12">
      <c r="B94" s="79">
        <v>2</v>
      </c>
      <c r="C94" s="79">
        <v>43</v>
      </c>
      <c r="D94" s="79">
        <v>1</v>
      </c>
      <c r="E94" s="79" t="s">
        <v>899</v>
      </c>
      <c r="F94" s="79" t="s">
        <v>899</v>
      </c>
      <c r="G94" s="79" t="s">
        <v>856</v>
      </c>
      <c r="H94" s="79" t="s">
        <v>857</v>
      </c>
      <c r="I94" s="79" t="s">
        <v>915</v>
      </c>
      <c r="J94" s="79"/>
      <c r="K94" s="79">
        <v>0</v>
      </c>
      <c r="L94" s="19">
        <v>0</v>
      </c>
    </row>
    <row r="95" spans="2:12">
      <c r="B95" s="79">
        <v>2</v>
      </c>
      <c r="C95" s="79">
        <v>44</v>
      </c>
      <c r="D95" s="79">
        <v>1</v>
      </c>
      <c r="E95" s="79" t="s">
        <v>899</v>
      </c>
      <c r="F95" s="79" t="s">
        <v>899</v>
      </c>
      <c r="G95" s="79" t="s">
        <v>849</v>
      </c>
      <c r="H95" s="79" t="s">
        <v>849</v>
      </c>
      <c r="I95" s="79" t="s">
        <v>916</v>
      </c>
      <c r="J95" s="79"/>
      <c r="K95" s="79">
        <v>0</v>
      </c>
      <c r="L95" s="19">
        <v>0</v>
      </c>
    </row>
    <row r="96" spans="2:12">
      <c r="B96" s="79">
        <v>2</v>
      </c>
      <c r="C96" s="79">
        <v>45</v>
      </c>
      <c r="D96" s="79">
        <v>1</v>
      </c>
      <c r="E96" s="79" t="s">
        <v>899</v>
      </c>
      <c r="F96" s="79" t="s">
        <v>899</v>
      </c>
      <c r="G96" s="79" t="s">
        <v>849</v>
      </c>
      <c r="H96" s="79" t="s">
        <v>849</v>
      </c>
      <c r="I96" s="79" t="s">
        <v>917</v>
      </c>
      <c r="J96" s="79"/>
      <c r="K96" s="79">
        <v>0</v>
      </c>
      <c r="L96" s="19">
        <v>0</v>
      </c>
    </row>
    <row r="97" spans="2:12">
      <c r="B97" s="79">
        <v>2</v>
      </c>
      <c r="C97" s="79">
        <v>46</v>
      </c>
      <c r="D97" s="79">
        <v>1</v>
      </c>
      <c r="E97" s="79" t="s">
        <v>899</v>
      </c>
      <c r="F97" s="79" t="s">
        <v>899</v>
      </c>
      <c r="G97" s="79" t="s">
        <v>844</v>
      </c>
      <c r="H97" s="79"/>
      <c r="I97" s="79" t="s">
        <v>918</v>
      </c>
      <c r="J97" s="79"/>
      <c r="K97" s="79">
        <v>0</v>
      </c>
      <c r="L97" s="19">
        <v>0</v>
      </c>
    </row>
    <row r="98" spans="2:12">
      <c r="B98" s="79">
        <v>2</v>
      </c>
      <c r="C98" s="79">
        <v>47</v>
      </c>
      <c r="D98" s="79">
        <v>2</v>
      </c>
      <c r="E98" s="79" t="s">
        <v>899</v>
      </c>
      <c r="F98" s="79" t="s">
        <v>899</v>
      </c>
      <c r="G98" s="79" t="s">
        <v>849</v>
      </c>
      <c r="H98" s="79" t="s">
        <v>849</v>
      </c>
      <c r="I98" s="79" t="s">
        <v>919</v>
      </c>
      <c r="J98" s="79"/>
      <c r="K98" s="79">
        <v>0</v>
      </c>
      <c r="L98" s="19">
        <v>0</v>
      </c>
    </row>
    <row r="99" spans="2:12">
      <c r="B99" s="79">
        <v>2</v>
      </c>
      <c r="C99" s="79">
        <v>50</v>
      </c>
      <c r="D99" s="79">
        <v>2</v>
      </c>
      <c r="E99" s="79" t="s">
        <v>899</v>
      </c>
      <c r="F99" s="79" t="s">
        <v>899</v>
      </c>
      <c r="G99" s="79" t="s">
        <v>849</v>
      </c>
      <c r="H99" s="79" t="s">
        <v>849</v>
      </c>
      <c r="I99" s="79" t="s">
        <v>920</v>
      </c>
      <c r="J99" s="79"/>
      <c r="K99" s="79">
        <v>0</v>
      </c>
      <c r="L99" s="19">
        <v>0</v>
      </c>
    </row>
    <row r="100" spans="2:12">
      <c r="B100" s="79">
        <v>2</v>
      </c>
      <c r="C100" s="79">
        <v>51</v>
      </c>
      <c r="D100" s="79">
        <v>1</v>
      </c>
      <c r="E100" s="79" t="s">
        <v>899</v>
      </c>
      <c r="F100" s="79" t="s">
        <v>899</v>
      </c>
      <c r="G100" s="79" t="s">
        <v>849</v>
      </c>
      <c r="H100" s="79" t="s">
        <v>849</v>
      </c>
      <c r="I100" s="79" t="s">
        <v>921</v>
      </c>
      <c r="J100" s="79"/>
      <c r="K100" s="79">
        <v>0</v>
      </c>
      <c r="L100" s="19">
        <v>0</v>
      </c>
    </row>
    <row r="101" spans="2:12">
      <c r="B101" s="79">
        <v>2</v>
      </c>
      <c r="C101" s="79">
        <v>54</v>
      </c>
      <c r="D101" s="79">
        <v>1</v>
      </c>
      <c r="E101" s="79" t="s">
        <v>899</v>
      </c>
      <c r="F101" s="79" t="s">
        <v>899</v>
      </c>
      <c r="G101" s="79" t="s">
        <v>849</v>
      </c>
      <c r="H101" s="79" t="s">
        <v>849</v>
      </c>
      <c r="I101" s="79" t="s">
        <v>922</v>
      </c>
      <c r="J101" s="79"/>
      <c r="K101" s="79">
        <v>0</v>
      </c>
      <c r="L101" s="19">
        <v>0</v>
      </c>
    </row>
    <row r="102" spans="2:12">
      <c r="B102" s="79">
        <v>2</v>
      </c>
      <c r="C102" s="79">
        <v>57</v>
      </c>
      <c r="D102" s="79">
        <v>1</v>
      </c>
      <c r="E102" s="79" t="s">
        <v>899</v>
      </c>
      <c r="F102" s="79" t="s">
        <v>899</v>
      </c>
      <c r="G102" s="79" t="s">
        <v>844</v>
      </c>
      <c r="H102" s="79"/>
      <c r="I102" s="79" t="s">
        <v>923</v>
      </c>
      <c r="J102" s="79"/>
      <c r="K102" s="79">
        <v>0</v>
      </c>
      <c r="L102" s="19">
        <v>0</v>
      </c>
    </row>
    <row r="103" spans="2:12">
      <c r="B103" s="79">
        <v>2</v>
      </c>
      <c r="C103" s="79">
        <v>58</v>
      </c>
      <c r="D103" s="79">
        <v>1</v>
      </c>
      <c r="E103" s="79" t="s">
        <v>899</v>
      </c>
      <c r="F103" s="79" t="s">
        <v>899</v>
      </c>
      <c r="G103" s="79" t="s">
        <v>844</v>
      </c>
      <c r="H103" s="79"/>
      <c r="I103" s="79" t="s">
        <v>924</v>
      </c>
      <c r="J103" s="79"/>
      <c r="K103" s="79">
        <v>0</v>
      </c>
      <c r="L103" s="19">
        <v>0</v>
      </c>
    </row>
    <row r="104" spans="2:12">
      <c r="B104" s="79">
        <v>2</v>
      </c>
      <c r="C104" s="79">
        <v>59</v>
      </c>
      <c r="D104" s="79">
        <v>1</v>
      </c>
      <c r="E104" s="79" t="s">
        <v>899</v>
      </c>
      <c r="F104" s="79" t="s">
        <v>899</v>
      </c>
      <c r="G104" s="79" t="s">
        <v>844</v>
      </c>
      <c r="H104" s="79"/>
      <c r="I104" s="79" t="s">
        <v>925</v>
      </c>
      <c r="J104" s="79"/>
      <c r="K104" s="79">
        <v>0</v>
      </c>
      <c r="L104" s="19">
        <v>0</v>
      </c>
    </row>
    <row r="105" spans="2:12">
      <c r="B105" s="79">
        <v>2</v>
      </c>
      <c r="C105" s="79">
        <v>61</v>
      </c>
      <c r="D105" s="79">
        <v>1</v>
      </c>
      <c r="E105" s="79" t="s">
        <v>899</v>
      </c>
      <c r="F105" s="79" t="s">
        <v>899</v>
      </c>
      <c r="G105" s="79" t="s">
        <v>844</v>
      </c>
      <c r="H105" s="79"/>
      <c r="I105" s="79" t="s">
        <v>926</v>
      </c>
      <c r="J105" s="79"/>
      <c r="K105" s="79">
        <v>0</v>
      </c>
      <c r="L105" s="19">
        <v>0</v>
      </c>
    </row>
    <row r="106" spans="2:12">
      <c r="B106" s="79">
        <v>2</v>
      </c>
      <c r="C106" s="79">
        <v>67</v>
      </c>
      <c r="D106" s="79">
        <v>1</v>
      </c>
      <c r="E106" s="79" t="s">
        <v>899</v>
      </c>
      <c r="F106" s="79" t="s">
        <v>899</v>
      </c>
      <c r="G106" s="79" t="s">
        <v>849</v>
      </c>
      <c r="H106" s="79" t="s">
        <v>849</v>
      </c>
      <c r="I106" s="79" t="s">
        <v>872</v>
      </c>
      <c r="J106" s="79"/>
      <c r="K106" s="79">
        <v>0</v>
      </c>
      <c r="L106" s="19">
        <v>0</v>
      </c>
    </row>
    <row r="107" spans="2:12">
      <c r="B107" s="79">
        <v>2</v>
      </c>
      <c r="C107" s="79">
        <v>68</v>
      </c>
      <c r="D107" s="79">
        <v>1</v>
      </c>
      <c r="E107" s="79" t="s">
        <v>899</v>
      </c>
      <c r="F107" s="79" t="s">
        <v>899</v>
      </c>
      <c r="G107" s="79" t="s">
        <v>849</v>
      </c>
      <c r="H107" s="79" t="s">
        <v>849</v>
      </c>
      <c r="I107" s="79" t="s">
        <v>927</v>
      </c>
      <c r="J107" s="79"/>
      <c r="K107" s="79">
        <v>0</v>
      </c>
      <c r="L107" s="19">
        <v>0</v>
      </c>
    </row>
    <row r="108" spans="2:12">
      <c r="B108" s="79">
        <v>2</v>
      </c>
      <c r="C108" s="79">
        <v>69</v>
      </c>
      <c r="D108" s="79">
        <v>2</v>
      </c>
      <c r="E108" s="79" t="s">
        <v>899</v>
      </c>
      <c r="F108" s="79" t="s">
        <v>899</v>
      </c>
      <c r="G108" s="79" t="s">
        <v>849</v>
      </c>
      <c r="H108" s="79" t="s">
        <v>849</v>
      </c>
      <c r="I108" s="79" t="s">
        <v>873</v>
      </c>
      <c r="J108" s="79"/>
      <c r="K108" s="79">
        <v>0</v>
      </c>
      <c r="L108" s="19">
        <v>0</v>
      </c>
    </row>
    <row r="109" spans="2:12">
      <c r="B109" s="79">
        <v>2</v>
      </c>
      <c r="C109" s="79">
        <v>70</v>
      </c>
      <c r="D109" s="79">
        <v>1</v>
      </c>
      <c r="E109" s="79" t="s">
        <v>899</v>
      </c>
      <c r="F109" s="79" t="s">
        <v>899</v>
      </c>
      <c r="G109" s="79" t="s">
        <v>849</v>
      </c>
      <c r="H109" s="79" t="s">
        <v>849</v>
      </c>
      <c r="I109" s="79" t="s">
        <v>928</v>
      </c>
      <c r="J109" s="79"/>
      <c r="K109" s="79">
        <v>0</v>
      </c>
      <c r="L109" s="19">
        <v>0</v>
      </c>
    </row>
    <row r="110" spans="2:12">
      <c r="B110" s="79">
        <v>2</v>
      </c>
      <c r="C110" s="79">
        <v>81</v>
      </c>
      <c r="D110" s="79">
        <v>2</v>
      </c>
      <c r="E110" s="79" t="s">
        <v>899</v>
      </c>
      <c r="F110" s="79" t="s">
        <v>899</v>
      </c>
      <c r="G110" s="79" t="s">
        <v>849</v>
      </c>
      <c r="H110" s="79" t="s">
        <v>849</v>
      </c>
      <c r="I110" s="79" t="s">
        <v>929</v>
      </c>
      <c r="J110" s="79"/>
      <c r="K110" s="79">
        <v>0</v>
      </c>
      <c r="L110" s="19">
        <v>0</v>
      </c>
    </row>
    <row r="111" spans="2:12">
      <c r="B111" s="79">
        <v>2</v>
      </c>
      <c r="C111" s="79">
        <v>82</v>
      </c>
      <c r="D111" s="79">
        <v>1</v>
      </c>
      <c r="E111" s="79" t="s">
        <v>899</v>
      </c>
      <c r="F111" s="79" t="s">
        <v>899</v>
      </c>
      <c r="G111" s="79" t="s">
        <v>849</v>
      </c>
      <c r="H111" s="79" t="s">
        <v>849</v>
      </c>
      <c r="I111" s="79" t="s">
        <v>930</v>
      </c>
      <c r="J111" s="79"/>
      <c r="K111" s="79">
        <v>0</v>
      </c>
      <c r="L111" s="19">
        <v>0</v>
      </c>
    </row>
    <row r="112" spans="2:12">
      <c r="B112" s="79">
        <v>2</v>
      </c>
      <c r="C112" s="79">
        <v>83</v>
      </c>
      <c r="D112" s="79">
        <v>1</v>
      </c>
      <c r="E112" s="79" t="s">
        <v>899</v>
      </c>
      <c r="F112" s="79" t="s">
        <v>899</v>
      </c>
      <c r="G112" s="79" t="s">
        <v>849</v>
      </c>
      <c r="H112" s="79" t="s">
        <v>849</v>
      </c>
      <c r="I112" s="79" t="s">
        <v>931</v>
      </c>
      <c r="J112" s="79"/>
      <c r="K112" s="79">
        <v>0</v>
      </c>
      <c r="L112" s="19">
        <v>0</v>
      </c>
    </row>
    <row r="113" spans="2:13">
      <c r="B113" s="79">
        <v>2</v>
      </c>
      <c r="C113" s="79">
        <v>84</v>
      </c>
      <c r="D113" s="79">
        <v>1</v>
      </c>
      <c r="E113" s="79" t="s">
        <v>899</v>
      </c>
      <c r="F113" s="79" t="s">
        <v>899</v>
      </c>
      <c r="G113" s="79" t="s">
        <v>849</v>
      </c>
      <c r="H113" s="79" t="s">
        <v>849</v>
      </c>
      <c r="I113" s="79" t="s">
        <v>932</v>
      </c>
      <c r="J113" s="79"/>
      <c r="K113" s="79">
        <v>0</v>
      </c>
      <c r="L113" s="19">
        <v>0</v>
      </c>
    </row>
    <row r="114" spans="2:13">
      <c r="B114" s="79">
        <v>2</v>
      </c>
      <c r="C114" s="79">
        <v>85</v>
      </c>
      <c r="D114" s="79">
        <v>1</v>
      </c>
      <c r="E114" s="79" t="s">
        <v>899</v>
      </c>
      <c r="F114" s="79" t="s">
        <v>899</v>
      </c>
      <c r="G114" s="79" t="s">
        <v>844</v>
      </c>
      <c r="H114" s="79"/>
      <c r="I114" s="79" t="s">
        <v>933</v>
      </c>
      <c r="J114" s="79"/>
      <c r="K114" s="79">
        <v>0</v>
      </c>
      <c r="L114" s="19">
        <v>0</v>
      </c>
    </row>
    <row r="115" spans="2:13">
      <c r="B115" s="79">
        <v>2</v>
      </c>
      <c r="C115" s="79">
        <v>86</v>
      </c>
      <c r="D115" s="79">
        <v>1</v>
      </c>
      <c r="E115" s="79" t="s">
        <v>899</v>
      </c>
      <c r="F115" s="79" t="s">
        <v>899</v>
      </c>
      <c r="G115" s="79" t="s">
        <v>844</v>
      </c>
      <c r="H115" s="79"/>
      <c r="I115" s="79" t="s">
        <v>882</v>
      </c>
      <c r="J115" s="79"/>
      <c r="K115" s="79">
        <v>0</v>
      </c>
      <c r="L115" s="19">
        <v>0</v>
      </c>
    </row>
    <row r="116" spans="2:13">
      <c r="B116" s="79">
        <v>2</v>
      </c>
      <c r="C116" s="79">
        <v>95</v>
      </c>
      <c r="D116" s="79">
        <v>2</v>
      </c>
      <c r="E116" s="79" t="s">
        <v>899</v>
      </c>
      <c r="F116" s="79" t="s">
        <v>899</v>
      </c>
      <c r="G116" s="79" t="s">
        <v>155</v>
      </c>
      <c r="H116" s="79" t="s">
        <v>846</v>
      </c>
      <c r="I116" s="79" t="s">
        <v>891</v>
      </c>
      <c r="J116" s="79"/>
      <c r="K116" s="79">
        <v>0</v>
      </c>
      <c r="L116" s="19">
        <v>0</v>
      </c>
    </row>
    <row r="117" spans="2:13">
      <c r="B117" s="79">
        <v>2</v>
      </c>
      <c r="C117" s="79">
        <v>96</v>
      </c>
      <c r="D117" s="79">
        <v>2</v>
      </c>
      <c r="E117" s="79" t="s">
        <v>899</v>
      </c>
      <c r="F117" s="79" t="s">
        <v>899</v>
      </c>
      <c r="G117" s="79" t="s">
        <v>155</v>
      </c>
      <c r="H117" s="79" t="s">
        <v>846</v>
      </c>
      <c r="I117" s="79" t="s">
        <v>892</v>
      </c>
      <c r="J117" s="79"/>
      <c r="K117" s="79">
        <v>0</v>
      </c>
      <c r="L117" s="19">
        <v>0</v>
      </c>
    </row>
    <row r="118" spans="2:13">
      <c r="B118" s="79">
        <v>2</v>
      </c>
      <c r="C118" s="79">
        <v>97</v>
      </c>
      <c r="D118" s="79">
        <v>2</v>
      </c>
      <c r="E118" s="79" t="s">
        <v>899</v>
      </c>
      <c r="F118" s="79" t="s">
        <v>899</v>
      </c>
      <c r="G118" s="79" t="s">
        <v>155</v>
      </c>
      <c r="H118" s="79" t="s">
        <v>846</v>
      </c>
      <c r="I118" s="79" t="s">
        <v>893</v>
      </c>
      <c r="J118" s="79"/>
      <c r="K118" s="79">
        <v>0</v>
      </c>
      <c r="L118" s="19">
        <v>0</v>
      </c>
    </row>
    <row r="119" spans="2:13">
      <c r="B119" s="79">
        <v>2</v>
      </c>
      <c r="C119" s="79">
        <v>98</v>
      </c>
      <c r="D119" s="79">
        <v>2</v>
      </c>
      <c r="E119" s="79" t="s">
        <v>899</v>
      </c>
      <c r="F119" s="79" t="s">
        <v>899</v>
      </c>
      <c r="G119" s="79" t="s">
        <v>155</v>
      </c>
      <c r="H119" s="79" t="s">
        <v>846</v>
      </c>
      <c r="I119" s="79" t="s">
        <v>894</v>
      </c>
      <c r="J119" s="79"/>
      <c r="K119" s="79">
        <v>0</v>
      </c>
      <c r="L119" s="19">
        <v>0</v>
      </c>
    </row>
    <row r="120" spans="2:13">
      <c r="B120" s="79">
        <v>2</v>
      </c>
      <c r="C120" s="79">
        <v>99</v>
      </c>
      <c r="D120" s="79">
        <v>2</v>
      </c>
      <c r="E120" s="79" t="s">
        <v>899</v>
      </c>
      <c r="F120" s="79" t="s">
        <v>899</v>
      </c>
      <c r="G120" s="79" t="s">
        <v>155</v>
      </c>
      <c r="H120" s="79" t="s">
        <v>846</v>
      </c>
      <c r="I120" s="79" t="s">
        <v>895</v>
      </c>
      <c r="J120" s="79"/>
      <c r="K120" s="79">
        <v>0</v>
      </c>
      <c r="L120" s="19">
        <v>0</v>
      </c>
    </row>
    <row r="121" spans="2:13">
      <c r="B121" s="79">
        <v>2</v>
      </c>
      <c r="C121" s="79">
        <v>100</v>
      </c>
      <c r="D121" s="79">
        <v>1</v>
      </c>
      <c r="E121" s="79" t="s">
        <v>899</v>
      </c>
      <c r="F121" s="79" t="s">
        <v>899</v>
      </c>
      <c r="G121" s="79" t="s">
        <v>155</v>
      </c>
      <c r="H121" s="79" t="s">
        <v>846</v>
      </c>
      <c r="I121" s="79" t="s">
        <v>896</v>
      </c>
      <c r="J121" s="79"/>
      <c r="K121" s="79">
        <v>0</v>
      </c>
      <c r="L121" s="19">
        <v>0</v>
      </c>
      <c r="M121" s="117"/>
    </row>
    <row r="122" spans="2:13">
      <c r="B122" s="79">
        <v>2</v>
      </c>
      <c r="C122" s="79">
        <v>101</v>
      </c>
      <c r="D122" s="79">
        <v>1</v>
      </c>
      <c r="E122" s="79" t="s">
        <v>899</v>
      </c>
      <c r="F122" s="79" t="s">
        <v>899</v>
      </c>
      <c r="G122" s="79" t="s">
        <v>155</v>
      </c>
      <c r="H122" s="79" t="s">
        <v>846</v>
      </c>
      <c r="I122" s="79" t="s">
        <v>897</v>
      </c>
      <c r="J122" s="79"/>
      <c r="K122" s="79">
        <v>0</v>
      </c>
      <c r="L122" s="19">
        <v>0</v>
      </c>
    </row>
    <row r="123" spans="2:13">
      <c r="B123" s="79">
        <v>2</v>
      </c>
      <c r="C123" s="79">
        <v>111</v>
      </c>
      <c r="D123" s="79">
        <v>2</v>
      </c>
      <c r="E123" s="79" t="s">
        <v>899</v>
      </c>
      <c r="F123" s="79" t="s">
        <v>899</v>
      </c>
      <c r="G123" s="79" t="s">
        <v>844</v>
      </c>
      <c r="H123" s="79" t="s">
        <v>844</v>
      </c>
      <c r="I123" s="79" t="s">
        <v>898</v>
      </c>
      <c r="J123" s="79"/>
      <c r="K123" s="79">
        <v>0</v>
      </c>
      <c r="L123" s="19">
        <v>0</v>
      </c>
    </row>
    <row r="124" spans="2:13">
      <c r="B124" s="79">
        <v>1</v>
      </c>
      <c r="C124" s="79">
        <v>0</v>
      </c>
      <c r="D124" s="79">
        <v>1</v>
      </c>
      <c r="E124" s="79" t="s">
        <v>934</v>
      </c>
      <c r="F124" s="79" t="s">
        <v>935</v>
      </c>
      <c r="G124" s="79" t="s">
        <v>856</v>
      </c>
      <c r="H124" s="79" t="s">
        <v>857</v>
      </c>
      <c r="I124" s="79" t="s">
        <v>936</v>
      </c>
      <c r="J124" s="79" t="s">
        <v>937</v>
      </c>
      <c r="K124" s="79">
        <v>1</v>
      </c>
      <c r="L124" s="19">
        <v>0</v>
      </c>
    </row>
    <row r="125" spans="2:13">
      <c r="B125" s="79">
        <v>1</v>
      </c>
      <c r="C125" s="79">
        <v>1</v>
      </c>
      <c r="D125" s="79">
        <v>1</v>
      </c>
      <c r="E125" s="79" t="s">
        <v>934</v>
      </c>
      <c r="F125" s="79" t="s">
        <v>935</v>
      </c>
      <c r="G125" s="79" t="s">
        <v>856</v>
      </c>
      <c r="H125" s="79" t="s">
        <v>857</v>
      </c>
      <c r="I125" s="79" t="s">
        <v>938</v>
      </c>
      <c r="J125" s="79" t="s">
        <v>939</v>
      </c>
      <c r="K125" s="79">
        <v>0</v>
      </c>
      <c r="L125" s="19">
        <v>0</v>
      </c>
    </row>
    <row r="126" spans="2:13">
      <c r="B126" s="79">
        <v>1</v>
      </c>
      <c r="C126" s="79">
        <v>2</v>
      </c>
      <c r="D126" s="79">
        <v>1</v>
      </c>
      <c r="E126" s="79" t="s">
        <v>934</v>
      </c>
      <c r="F126" s="79" t="s">
        <v>935</v>
      </c>
      <c r="G126" s="79"/>
      <c r="H126" s="79" t="s">
        <v>940</v>
      </c>
      <c r="I126" s="79" t="s">
        <v>941</v>
      </c>
      <c r="J126" s="79" t="s">
        <v>942</v>
      </c>
      <c r="K126" s="79">
        <v>0</v>
      </c>
      <c r="L126" s="19">
        <v>1</v>
      </c>
    </row>
    <row r="127" spans="2:13">
      <c r="B127" s="79">
        <v>1</v>
      </c>
      <c r="C127" s="79">
        <v>3</v>
      </c>
      <c r="D127" s="79">
        <v>2</v>
      </c>
      <c r="E127" s="79" t="s">
        <v>934</v>
      </c>
      <c r="F127" s="79" t="s">
        <v>935</v>
      </c>
      <c r="G127" s="79" t="s">
        <v>856</v>
      </c>
      <c r="H127" s="79" t="s">
        <v>857</v>
      </c>
      <c r="I127" s="79" t="s">
        <v>943</v>
      </c>
      <c r="J127" s="79" t="s">
        <v>944</v>
      </c>
      <c r="K127" s="79">
        <v>0</v>
      </c>
      <c r="L127" s="19">
        <v>0</v>
      </c>
    </row>
    <row r="128" spans="2:13">
      <c r="B128" s="79">
        <v>1</v>
      </c>
      <c r="C128" s="79">
        <v>4</v>
      </c>
      <c r="D128" s="79">
        <v>1</v>
      </c>
      <c r="E128" s="79" t="s">
        <v>934</v>
      </c>
      <c r="F128" s="79" t="s">
        <v>935</v>
      </c>
      <c r="G128" s="79" t="s">
        <v>856</v>
      </c>
      <c r="H128" s="79" t="s">
        <v>857</v>
      </c>
      <c r="I128" s="79" t="s">
        <v>945</v>
      </c>
      <c r="J128" s="79" t="s">
        <v>946</v>
      </c>
      <c r="K128" s="79">
        <v>0</v>
      </c>
      <c r="L128" s="19">
        <v>0</v>
      </c>
    </row>
    <row r="129" spans="2:12">
      <c r="B129" s="79">
        <v>1</v>
      </c>
      <c r="C129" s="79">
        <v>5</v>
      </c>
      <c r="D129" s="79">
        <v>2</v>
      </c>
      <c r="E129" s="79" t="s">
        <v>934</v>
      </c>
      <c r="F129" s="79" t="s">
        <v>935</v>
      </c>
      <c r="G129" s="79"/>
      <c r="H129" s="79" t="s">
        <v>940</v>
      </c>
      <c r="I129" s="79" t="s">
        <v>947</v>
      </c>
      <c r="J129" s="79" t="s">
        <v>948</v>
      </c>
      <c r="K129" s="79">
        <v>0</v>
      </c>
      <c r="L129" s="19">
        <v>1</v>
      </c>
    </row>
    <row r="130" spans="2:12">
      <c r="B130" s="79">
        <v>1</v>
      </c>
      <c r="C130" s="79">
        <v>6</v>
      </c>
      <c r="D130" s="79">
        <v>2</v>
      </c>
      <c r="E130" s="79" t="s">
        <v>934</v>
      </c>
      <c r="F130" s="79" t="s">
        <v>935</v>
      </c>
      <c r="G130" s="79"/>
      <c r="H130" s="79" t="s">
        <v>940</v>
      </c>
      <c r="I130" s="79" t="s">
        <v>949</v>
      </c>
      <c r="J130" s="79" t="s">
        <v>950</v>
      </c>
      <c r="K130" s="79">
        <v>0</v>
      </c>
      <c r="L130" s="19">
        <v>1</v>
      </c>
    </row>
    <row r="131" spans="2:12">
      <c r="B131" s="79">
        <v>1</v>
      </c>
      <c r="C131" s="79">
        <v>7</v>
      </c>
      <c r="D131" s="79">
        <v>2</v>
      </c>
      <c r="E131" s="79" t="s">
        <v>934</v>
      </c>
      <c r="F131" s="79" t="s">
        <v>935</v>
      </c>
      <c r="G131" s="79" t="s">
        <v>856</v>
      </c>
      <c r="H131" s="79" t="s">
        <v>857</v>
      </c>
      <c r="I131" s="79" t="s">
        <v>951</v>
      </c>
      <c r="J131" s="79" t="s">
        <v>952</v>
      </c>
      <c r="K131" s="79">
        <v>0</v>
      </c>
      <c r="L131" s="19">
        <v>0</v>
      </c>
    </row>
    <row r="132" spans="2:12">
      <c r="B132" s="79">
        <v>1</v>
      </c>
      <c r="C132" s="79">
        <v>8</v>
      </c>
      <c r="D132" s="79">
        <v>1</v>
      </c>
      <c r="E132" s="79" t="s">
        <v>934</v>
      </c>
      <c r="F132" s="79" t="s">
        <v>935</v>
      </c>
      <c r="G132" s="79" t="s">
        <v>856</v>
      </c>
      <c r="H132" s="79" t="s">
        <v>857</v>
      </c>
      <c r="I132" s="79" t="s">
        <v>953</v>
      </c>
      <c r="J132" s="79" t="s">
        <v>954</v>
      </c>
      <c r="K132" s="79">
        <v>0</v>
      </c>
      <c r="L132" s="19">
        <v>0</v>
      </c>
    </row>
    <row r="133" spans="2:12">
      <c r="B133" s="79">
        <v>1</v>
      </c>
      <c r="C133" s="79">
        <v>9</v>
      </c>
      <c r="D133" s="79">
        <v>2</v>
      </c>
      <c r="E133" s="79" t="s">
        <v>934</v>
      </c>
      <c r="F133" s="79" t="s">
        <v>935</v>
      </c>
      <c r="G133" s="79" t="s">
        <v>856</v>
      </c>
      <c r="H133" s="79" t="s">
        <v>857</v>
      </c>
      <c r="I133" s="79" t="s">
        <v>955</v>
      </c>
      <c r="J133" s="79" t="s">
        <v>956</v>
      </c>
      <c r="K133" s="79">
        <v>0</v>
      </c>
      <c r="L133" s="19">
        <v>0</v>
      </c>
    </row>
    <row r="134" spans="2:12">
      <c r="B134" s="79">
        <v>1</v>
      </c>
      <c r="C134" s="79">
        <v>10</v>
      </c>
      <c r="D134" s="79">
        <v>2</v>
      </c>
      <c r="E134" s="79" t="s">
        <v>934</v>
      </c>
      <c r="F134" s="79" t="s">
        <v>935</v>
      </c>
      <c r="G134" s="79" t="s">
        <v>856</v>
      </c>
      <c r="H134" s="79" t="s">
        <v>857</v>
      </c>
      <c r="I134" s="79" t="s">
        <v>957</v>
      </c>
      <c r="J134" s="79" t="s">
        <v>958</v>
      </c>
      <c r="K134" s="79">
        <v>0</v>
      </c>
      <c r="L134" s="19">
        <v>0</v>
      </c>
    </row>
    <row r="135" spans="2:12">
      <c r="B135" s="79">
        <v>1</v>
      </c>
      <c r="C135" s="79">
        <v>11</v>
      </c>
      <c r="D135" s="79">
        <v>2</v>
      </c>
      <c r="E135" s="79" t="s">
        <v>934</v>
      </c>
      <c r="F135" s="79" t="s">
        <v>935</v>
      </c>
      <c r="G135" s="79" t="s">
        <v>856</v>
      </c>
      <c r="H135" s="79" t="s">
        <v>857</v>
      </c>
      <c r="I135" s="79" t="s">
        <v>959</v>
      </c>
      <c r="J135" s="79" t="s">
        <v>960</v>
      </c>
      <c r="K135" s="79">
        <v>0</v>
      </c>
      <c r="L135" s="19">
        <v>0</v>
      </c>
    </row>
    <row r="136" spans="2:12">
      <c r="B136" s="79">
        <v>1</v>
      </c>
      <c r="C136" s="79">
        <v>12</v>
      </c>
      <c r="D136" s="79">
        <v>2</v>
      </c>
      <c r="E136" s="79" t="s">
        <v>934</v>
      </c>
      <c r="F136" s="79" t="s">
        <v>935</v>
      </c>
      <c r="G136" s="79" t="s">
        <v>856</v>
      </c>
      <c r="H136" s="79" t="s">
        <v>857</v>
      </c>
      <c r="I136" s="79" t="s">
        <v>961</v>
      </c>
      <c r="J136" s="79" t="s">
        <v>962</v>
      </c>
      <c r="K136" s="79">
        <v>0</v>
      </c>
      <c r="L136" s="19">
        <v>0</v>
      </c>
    </row>
    <row r="137" spans="2:12">
      <c r="B137" s="79">
        <v>1</v>
      </c>
      <c r="C137" s="79">
        <v>13</v>
      </c>
      <c r="D137" s="79">
        <v>2</v>
      </c>
      <c r="E137" s="79" t="s">
        <v>934</v>
      </c>
      <c r="F137" s="79" t="s">
        <v>935</v>
      </c>
      <c r="G137" s="79" t="s">
        <v>856</v>
      </c>
      <c r="H137" s="79" t="s">
        <v>857</v>
      </c>
      <c r="I137" s="79" t="s">
        <v>963</v>
      </c>
      <c r="J137" s="79" t="s">
        <v>964</v>
      </c>
      <c r="K137" s="79">
        <v>0</v>
      </c>
      <c r="L137" s="19">
        <v>0</v>
      </c>
    </row>
    <row r="138" spans="2:12">
      <c r="B138" s="79">
        <v>1</v>
      </c>
      <c r="C138" s="79">
        <v>14</v>
      </c>
      <c r="D138" s="79">
        <v>1</v>
      </c>
      <c r="E138" s="79" t="s">
        <v>934</v>
      </c>
      <c r="F138" s="79" t="s">
        <v>935</v>
      </c>
      <c r="G138" s="79" t="s">
        <v>856</v>
      </c>
      <c r="H138" s="79" t="s">
        <v>857</v>
      </c>
      <c r="I138" s="79" t="s">
        <v>965</v>
      </c>
      <c r="J138" s="79" t="s">
        <v>966</v>
      </c>
      <c r="K138" s="79">
        <v>0</v>
      </c>
      <c r="L138" s="19">
        <v>0</v>
      </c>
    </row>
    <row r="139" spans="2:12">
      <c r="B139" s="79">
        <v>1</v>
      </c>
      <c r="C139" s="79">
        <v>15</v>
      </c>
      <c r="D139" s="79">
        <v>2</v>
      </c>
      <c r="E139" s="79" t="s">
        <v>934</v>
      </c>
      <c r="F139" s="79" t="s">
        <v>935</v>
      </c>
      <c r="G139" s="79" t="s">
        <v>856</v>
      </c>
      <c r="H139" s="79" t="s">
        <v>857</v>
      </c>
      <c r="I139" s="79" t="s">
        <v>967</v>
      </c>
      <c r="J139" s="79" t="s">
        <v>968</v>
      </c>
      <c r="K139" s="79">
        <v>0</v>
      </c>
      <c r="L139" s="19">
        <v>0</v>
      </c>
    </row>
    <row r="140" spans="2:12">
      <c r="B140" s="79">
        <v>1</v>
      </c>
      <c r="C140" s="79">
        <v>16</v>
      </c>
      <c r="D140" s="79">
        <v>1</v>
      </c>
      <c r="E140" s="79" t="s">
        <v>934</v>
      </c>
      <c r="F140" s="79" t="s">
        <v>935</v>
      </c>
      <c r="G140" s="79"/>
      <c r="H140" s="79" t="s">
        <v>940</v>
      </c>
      <c r="I140" s="79" t="s">
        <v>969</v>
      </c>
      <c r="J140" s="79" t="s">
        <v>970</v>
      </c>
      <c r="K140" s="79">
        <v>0</v>
      </c>
      <c r="L140" s="19">
        <v>1</v>
      </c>
    </row>
    <row r="141" spans="2:12">
      <c r="B141" s="79">
        <v>1</v>
      </c>
      <c r="C141" s="79">
        <v>17</v>
      </c>
      <c r="D141" s="79">
        <v>2</v>
      </c>
      <c r="E141" s="79" t="s">
        <v>934</v>
      </c>
      <c r="F141" s="79" t="s">
        <v>935</v>
      </c>
      <c r="G141" s="79"/>
      <c r="H141" s="79" t="s">
        <v>940</v>
      </c>
      <c r="I141" s="79" t="s">
        <v>971</v>
      </c>
      <c r="J141" s="79" t="s">
        <v>972</v>
      </c>
      <c r="K141" s="79">
        <v>0</v>
      </c>
      <c r="L141" s="19">
        <v>1</v>
      </c>
    </row>
    <row r="142" spans="2:12">
      <c r="B142" s="79">
        <v>1</v>
      </c>
      <c r="C142" s="79">
        <v>18</v>
      </c>
      <c r="D142" s="79">
        <v>1</v>
      </c>
      <c r="E142" s="79" t="s">
        <v>934</v>
      </c>
      <c r="F142" s="79" t="s">
        <v>935</v>
      </c>
      <c r="G142" s="79"/>
      <c r="H142" s="79" t="s">
        <v>940</v>
      </c>
      <c r="I142" s="79" t="s">
        <v>973</v>
      </c>
      <c r="J142" s="79" t="s">
        <v>974</v>
      </c>
      <c r="K142" s="79">
        <v>0</v>
      </c>
      <c r="L142" s="19">
        <v>1</v>
      </c>
    </row>
    <row r="143" spans="2:12">
      <c r="B143" s="79">
        <v>1</v>
      </c>
      <c r="C143" s="79">
        <v>19</v>
      </c>
      <c r="D143" s="79">
        <v>1</v>
      </c>
      <c r="E143" s="79" t="s">
        <v>934</v>
      </c>
      <c r="F143" s="79" t="s">
        <v>935</v>
      </c>
      <c r="G143" s="79"/>
      <c r="H143" s="79" t="s">
        <v>940</v>
      </c>
      <c r="I143" s="79" t="s">
        <v>975</v>
      </c>
      <c r="J143" s="79" t="s">
        <v>976</v>
      </c>
      <c r="K143" s="79">
        <v>0</v>
      </c>
      <c r="L143" s="19">
        <v>1</v>
      </c>
    </row>
    <row r="144" spans="2:12">
      <c r="B144" s="79">
        <v>1</v>
      </c>
      <c r="C144" s="79">
        <v>20</v>
      </c>
      <c r="D144" s="79">
        <v>2</v>
      </c>
      <c r="E144" s="79" t="s">
        <v>934</v>
      </c>
      <c r="F144" s="79" t="s">
        <v>935</v>
      </c>
      <c r="G144" s="79"/>
      <c r="H144" s="79" t="s">
        <v>940</v>
      </c>
      <c r="I144" s="79" t="s">
        <v>977</v>
      </c>
      <c r="J144" s="79" t="s">
        <v>978</v>
      </c>
      <c r="K144" s="79">
        <v>0</v>
      </c>
      <c r="L144" s="19">
        <v>1</v>
      </c>
    </row>
    <row r="145" spans="2:12">
      <c r="B145" s="79">
        <v>1</v>
      </c>
      <c r="C145" s="79">
        <v>21</v>
      </c>
      <c r="D145" s="79">
        <v>2</v>
      </c>
      <c r="E145" s="79" t="s">
        <v>934</v>
      </c>
      <c r="F145" s="79" t="s">
        <v>935</v>
      </c>
      <c r="G145" s="79" t="s">
        <v>856</v>
      </c>
      <c r="H145" s="79" t="s">
        <v>857</v>
      </c>
      <c r="I145" s="79" t="s">
        <v>979</v>
      </c>
      <c r="J145" s="79" t="s">
        <v>980</v>
      </c>
      <c r="K145" s="79">
        <v>1</v>
      </c>
      <c r="L145" s="19">
        <v>0</v>
      </c>
    </row>
    <row r="146" spans="2:12">
      <c r="B146" s="79">
        <v>1</v>
      </c>
      <c r="C146" s="79">
        <v>22</v>
      </c>
      <c r="D146" s="79">
        <v>3</v>
      </c>
      <c r="E146" s="79" t="s">
        <v>934</v>
      </c>
      <c r="F146" s="79" t="s">
        <v>935</v>
      </c>
      <c r="G146" s="79" t="s">
        <v>856</v>
      </c>
      <c r="H146" s="79" t="s">
        <v>857</v>
      </c>
      <c r="I146" s="79" t="s">
        <v>981</v>
      </c>
      <c r="J146" s="79" t="s">
        <v>982</v>
      </c>
      <c r="K146" s="79">
        <v>1</v>
      </c>
      <c r="L146" s="19">
        <v>0</v>
      </c>
    </row>
    <row r="147" spans="2:12">
      <c r="B147" s="79">
        <v>1</v>
      </c>
      <c r="C147" s="79">
        <v>23</v>
      </c>
      <c r="D147" s="79">
        <v>2</v>
      </c>
      <c r="E147" s="79" t="s">
        <v>934</v>
      </c>
      <c r="F147" s="79" t="s">
        <v>935</v>
      </c>
      <c r="G147" s="79" t="s">
        <v>856</v>
      </c>
      <c r="H147" s="79" t="s">
        <v>857</v>
      </c>
      <c r="I147" s="79" t="s">
        <v>983</v>
      </c>
      <c r="J147" s="79" t="s">
        <v>984</v>
      </c>
      <c r="K147" s="79">
        <v>1</v>
      </c>
      <c r="L147" s="19">
        <v>0</v>
      </c>
    </row>
    <row r="148" spans="2:12">
      <c r="B148" s="79">
        <v>1</v>
      </c>
      <c r="C148" s="79">
        <v>24</v>
      </c>
      <c r="D148" s="79">
        <v>2</v>
      </c>
      <c r="E148" s="79" t="s">
        <v>934</v>
      </c>
      <c r="F148" s="79" t="s">
        <v>935</v>
      </c>
      <c r="G148" s="79" t="s">
        <v>856</v>
      </c>
      <c r="H148" s="79" t="s">
        <v>857</v>
      </c>
      <c r="I148" s="79" t="s">
        <v>985</v>
      </c>
      <c r="J148" s="79" t="s">
        <v>986</v>
      </c>
      <c r="K148" s="79">
        <v>1</v>
      </c>
      <c r="L148" s="19">
        <v>0</v>
      </c>
    </row>
    <row r="149" spans="2:12">
      <c r="B149" s="79">
        <v>1</v>
      </c>
      <c r="C149" s="79">
        <v>25</v>
      </c>
      <c r="D149" s="79">
        <v>1</v>
      </c>
      <c r="E149" s="79" t="s">
        <v>934</v>
      </c>
      <c r="F149" s="79" t="s">
        <v>935</v>
      </c>
      <c r="G149" s="79" t="s">
        <v>856</v>
      </c>
      <c r="H149" s="79" t="s">
        <v>857</v>
      </c>
      <c r="I149" s="79" t="s">
        <v>987</v>
      </c>
      <c r="J149" s="79" t="s">
        <v>988</v>
      </c>
      <c r="K149" s="79">
        <v>1</v>
      </c>
      <c r="L149" s="19">
        <v>0</v>
      </c>
    </row>
    <row r="150" spans="2:12">
      <c r="B150" s="79">
        <v>1</v>
      </c>
      <c r="C150" s="79">
        <v>26</v>
      </c>
      <c r="D150" s="79">
        <v>2</v>
      </c>
      <c r="E150" s="79" t="s">
        <v>934</v>
      </c>
      <c r="F150" s="79" t="s">
        <v>935</v>
      </c>
      <c r="G150" s="79" t="s">
        <v>856</v>
      </c>
      <c r="H150" s="79" t="s">
        <v>857</v>
      </c>
      <c r="I150" s="79" t="s">
        <v>989</v>
      </c>
      <c r="J150" s="79" t="s">
        <v>990</v>
      </c>
      <c r="K150" s="79">
        <v>1</v>
      </c>
      <c r="L150" s="19">
        <v>0</v>
      </c>
    </row>
    <row r="151" spans="2:12">
      <c r="B151" s="79">
        <v>1</v>
      </c>
      <c r="C151" s="79">
        <v>27</v>
      </c>
      <c r="D151" s="79">
        <v>2</v>
      </c>
      <c r="E151" s="79" t="s">
        <v>934</v>
      </c>
      <c r="F151" s="79" t="s">
        <v>935</v>
      </c>
      <c r="G151" s="79" t="s">
        <v>856</v>
      </c>
      <c r="H151" s="79" t="s">
        <v>857</v>
      </c>
      <c r="I151" s="79" t="s">
        <v>991</v>
      </c>
      <c r="J151" s="79" t="s">
        <v>992</v>
      </c>
      <c r="K151" s="79">
        <v>1</v>
      </c>
      <c r="L151" s="19">
        <v>0</v>
      </c>
    </row>
    <row r="152" spans="2:12">
      <c r="B152" s="79">
        <v>1</v>
      </c>
      <c r="C152" s="79">
        <v>28</v>
      </c>
      <c r="D152" s="79">
        <v>2</v>
      </c>
      <c r="E152" s="79" t="s">
        <v>934</v>
      </c>
      <c r="F152" s="79" t="s">
        <v>935</v>
      </c>
      <c r="G152" s="79" t="s">
        <v>849</v>
      </c>
      <c r="H152" s="79" t="s">
        <v>849</v>
      </c>
      <c r="I152" s="79" t="s">
        <v>993</v>
      </c>
      <c r="J152" s="79" t="s">
        <v>994</v>
      </c>
      <c r="K152" s="79">
        <v>0</v>
      </c>
      <c r="L152" s="19">
        <v>0</v>
      </c>
    </row>
    <row r="153" spans="2:12">
      <c r="B153" s="79">
        <v>1</v>
      </c>
      <c r="C153" s="79">
        <v>29</v>
      </c>
      <c r="D153" s="79">
        <v>1</v>
      </c>
      <c r="E153" s="79" t="s">
        <v>934</v>
      </c>
      <c r="F153" s="79" t="s">
        <v>935</v>
      </c>
      <c r="G153" s="79" t="s">
        <v>849</v>
      </c>
      <c r="H153" s="79" t="s">
        <v>849</v>
      </c>
      <c r="I153" s="79" t="s">
        <v>995</v>
      </c>
      <c r="J153" s="79" t="s">
        <v>996</v>
      </c>
      <c r="K153" s="79">
        <v>0</v>
      </c>
      <c r="L153" s="19">
        <v>0</v>
      </c>
    </row>
    <row r="154" spans="2:12">
      <c r="B154" s="79">
        <v>1</v>
      </c>
      <c r="C154" s="79">
        <v>30</v>
      </c>
      <c r="D154" s="79">
        <v>1</v>
      </c>
      <c r="E154" s="79" t="s">
        <v>934</v>
      </c>
      <c r="F154" s="79" t="s">
        <v>935</v>
      </c>
      <c r="G154" s="79" t="s">
        <v>856</v>
      </c>
      <c r="H154" s="79" t="s">
        <v>857</v>
      </c>
      <c r="I154" s="79" t="s">
        <v>997</v>
      </c>
      <c r="J154" s="79" t="s">
        <v>998</v>
      </c>
      <c r="K154" s="79">
        <v>1</v>
      </c>
      <c r="L154" s="19">
        <v>0</v>
      </c>
    </row>
    <row r="155" spans="2:12">
      <c r="B155" s="79">
        <v>1</v>
      </c>
      <c r="C155" s="79">
        <v>31</v>
      </c>
      <c r="D155" s="79">
        <v>2</v>
      </c>
      <c r="E155" s="79" t="s">
        <v>934</v>
      </c>
      <c r="F155" s="79" t="s">
        <v>935</v>
      </c>
      <c r="G155" s="79"/>
      <c r="H155" s="79" t="s">
        <v>940</v>
      </c>
      <c r="I155" s="79" t="s">
        <v>999</v>
      </c>
      <c r="J155" s="79" t="s">
        <v>1000</v>
      </c>
      <c r="K155" s="79">
        <v>0</v>
      </c>
      <c r="L155" s="19">
        <v>1</v>
      </c>
    </row>
    <row r="156" spans="2:12">
      <c r="B156" s="79">
        <v>1</v>
      </c>
      <c r="C156" s="79">
        <v>32</v>
      </c>
      <c r="D156" s="79">
        <v>1</v>
      </c>
      <c r="E156" s="79" t="s">
        <v>934</v>
      </c>
      <c r="F156" s="79" t="s">
        <v>935</v>
      </c>
      <c r="G156" s="79"/>
      <c r="H156" s="79" t="s">
        <v>940</v>
      </c>
      <c r="I156" s="79" t="s">
        <v>1001</v>
      </c>
      <c r="J156" s="79" t="s">
        <v>1002</v>
      </c>
      <c r="K156" s="79">
        <v>0</v>
      </c>
      <c r="L156" s="19">
        <v>1</v>
      </c>
    </row>
    <row r="157" spans="2:12">
      <c r="B157" s="79">
        <v>1</v>
      </c>
      <c r="C157" s="79">
        <v>33</v>
      </c>
      <c r="D157" s="79">
        <v>1</v>
      </c>
      <c r="E157" s="79" t="s">
        <v>934</v>
      </c>
      <c r="F157" s="79" t="s">
        <v>935</v>
      </c>
      <c r="G157" s="79"/>
      <c r="H157" s="79" t="s">
        <v>940</v>
      </c>
      <c r="I157" s="79" t="s">
        <v>1003</v>
      </c>
      <c r="J157" s="79" t="s">
        <v>1004</v>
      </c>
      <c r="K157" s="79">
        <v>0</v>
      </c>
      <c r="L157" s="19">
        <v>1</v>
      </c>
    </row>
    <row r="158" spans="2:12">
      <c r="B158" s="79">
        <v>1</v>
      </c>
      <c r="C158" s="79">
        <v>34</v>
      </c>
      <c r="D158" s="79">
        <v>1</v>
      </c>
      <c r="E158" s="79" t="s">
        <v>934</v>
      </c>
      <c r="F158" s="79" t="s">
        <v>935</v>
      </c>
      <c r="G158" s="79" t="s">
        <v>856</v>
      </c>
      <c r="H158" s="79" t="s">
        <v>857</v>
      </c>
      <c r="I158" s="79" t="s">
        <v>1005</v>
      </c>
      <c r="J158" s="79" t="s">
        <v>1006</v>
      </c>
      <c r="K158" s="79">
        <v>1</v>
      </c>
      <c r="L158" s="19">
        <v>0</v>
      </c>
    </row>
    <row r="159" spans="2:12">
      <c r="B159" s="79">
        <v>1</v>
      </c>
      <c r="C159" s="79">
        <v>35</v>
      </c>
      <c r="D159" s="79">
        <v>1</v>
      </c>
      <c r="E159" s="79" t="s">
        <v>934</v>
      </c>
      <c r="F159" s="79" t="s">
        <v>935</v>
      </c>
      <c r="G159" s="79" t="s">
        <v>849</v>
      </c>
      <c r="H159" s="79" t="s">
        <v>849</v>
      </c>
      <c r="I159" s="79" t="s">
        <v>1007</v>
      </c>
      <c r="J159" s="79" t="s">
        <v>1008</v>
      </c>
      <c r="K159" s="79">
        <v>0</v>
      </c>
      <c r="L159" s="19">
        <v>0</v>
      </c>
    </row>
    <row r="160" spans="2:12">
      <c r="B160" s="79">
        <v>1</v>
      </c>
      <c r="C160" s="79">
        <v>36</v>
      </c>
      <c r="D160" s="79">
        <v>2</v>
      </c>
      <c r="E160" s="79" t="s">
        <v>934</v>
      </c>
      <c r="F160" s="79" t="s">
        <v>935</v>
      </c>
      <c r="G160" s="79"/>
      <c r="H160" s="79" t="s">
        <v>940</v>
      </c>
      <c r="I160" s="79" t="s">
        <v>1009</v>
      </c>
      <c r="J160" s="79" t="s">
        <v>1010</v>
      </c>
      <c r="K160" s="79">
        <v>0</v>
      </c>
      <c r="L160" s="19">
        <v>1</v>
      </c>
    </row>
    <row r="161" spans="2:12">
      <c r="B161" s="79">
        <v>1</v>
      </c>
      <c r="C161" s="79">
        <v>37</v>
      </c>
      <c r="D161" s="79">
        <v>1</v>
      </c>
      <c r="E161" s="79" t="s">
        <v>934</v>
      </c>
      <c r="F161" s="79" t="s">
        <v>935</v>
      </c>
      <c r="G161" s="79" t="s">
        <v>856</v>
      </c>
      <c r="H161" s="79" t="s">
        <v>857</v>
      </c>
      <c r="I161" s="79" t="s">
        <v>1011</v>
      </c>
      <c r="J161" s="79" t="s">
        <v>1012</v>
      </c>
      <c r="K161" s="79">
        <v>0</v>
      </c>
      <c r="L161" s="19">
        <v>0</v>
      </c>
    </row>
    <row r="162" spans="2:12">
      <c r="B162" s="79">
        <v>1</v>
      </c>
      <c r="C162" s="79">
        <v>38</v>
      </c>
      <c r="D162" s="79">
        <v>1</v>
      </c>
      <c r="E162" s="79" t="s">
        <v>934</v>
      </c>
      <c r="F162" s="79" t="s">
        <v>935</v>
      </c>
      <c r="G162" s="79" t="s">
        <v>856</v>
      </c>
      <c r="H162" s="79" t="s">
        <v>857</v>
      </c>
      <c r="I162" s="79" t="s">
        <v>1013</v>
      </c>
      <c r="J162" s="79" t="s">
        <v>1014</v>
      </c>
      <c r="K162" s="79">
        <v>0</v>
      </c>
      <c r="L162" s="19">
        <v>0</v>
      </c>
    </row>
    <row r="163" spans="2:12">
      <c r="B163" s="79">
        <v>1</v>
      </c>
      <c r="C163" s="79">
        <v>39</v>
      </c>
      <c r="D163" s="79">
        <v>1</v>
      </c>
      <c r="E163" s="79" t="s">
        <v>934</v>
      </c>
      <c r="F163" s="79" t="s">
        <v>935</v>
      </c>
      <c r="G163" s="79" t="s">
        <v>856</v>
      </c>
      <c r="H163" s="79" t="s">
        <v>857</v>
      </c>
      <c r="I163" s="79" t="s">
        <v>1015</v>
      </c>
      <c r="J163" s="79" t="s">
        <v>1016</v>
      </c>
      <c r="K163" s="79">
        <v>1</v>
      </c>
      <c r="L163" s="19">
        <v>0</v>
      </c>
    </row>
    <row r="164" spans="2:12">
      <c r="B164" s="79">
        <v>1</v>
      </c>
      <c r="C164" s="79">
        <v>40</v>
      </c>
      <c r="D164" s="79">
        <v>1</v>
      </c>
      <c r="E164" s="79" t="s">
        <v>934</v>
      </c>
      <c r="F164" s="79" t="s">
        <v>935</v>
      </c>
      <c r="G164" s="79" t="s">
        <v>856</v>
      </c>
      <c r="H164" s="79" t="s">
        <v>857</v>
      </c>
      <c r="I164" s="79" t="s">
        <v>1017</v>
      </c>
      <c r="J164" s="79" t="s">
        <v>1018</v>
      </c>
      <c r="K164" s="79">
        <v>1</v>
      </c>
      <c r="L164" s="19">
        <v>0</v>
      </c>
    </row>
    <row r="165" spans="2:12">
      <c r="B165" s="79">
        <v>1</v>
      </c>
      <c r="C165" s="79">
        <v>41</v>
      </c>
      <c r="D165" s="79">
        <v>1</v>
      </c>
      <c r="E165" s="79" t="s">
        <v>934</v>
      </c>
      <c r="F165" s="79" t="s">
        <v>935</v>
      </c>
      <c r="G165" s="79"/>
      <c r="H165" s="79" t="s">
        <v>940</v>
      </c>
      <c r="I165" s="79" t="s">
        <v>1019</v>
      </c>
      <c r="J165" s="79" t="s">
        <v>1020</v>
      </c>
      <c r="K165" s="79">
        <v>0</v>
      </c>
      <c r="L165" s="19">
        <v>1</v>
      </c>
    </row>
    <row r="166" spans="2:12">
      <c r="B166" s="79">
        <v>1</v>
      </c>
      <c r="C166" s="79">
        <v>42</v>
      </c>
      <c r="D166" s="79">
        <v>1</v>
      </c>
      <c r="E166" s="79" t="s">
        <v>934</v>
      </c>
      <c r="F166" s="79" t="s">
        <v>935</v>
      </c>
      <c r="G166" s="79" t="s">
        <v>856</v>
      </c>
      <c r="H166" s="79" t="s">
        <v>857</v>
      </c>
      <c r="I166" s="79" t="s">
        <v>1021</v>
      </c>
      <c r="J166" s="79" t="s">
        <v>1022</v>
      </c>
      <c r="K166" s="79">
        <v>1</v>
      </c>
      <c r="L166" s="19">
        <v>0</v>
      </c>
    </row>
    <row r="167" spans="2:12">
      <c r="B167" s="79">
        <v>1</v>
      </c>
      <c r="C167" s="79">
        <v>43</v>
      </c>
      <c r="D167" s="79">
        <v>2</v>
      </c>
      <c r="E167" s="79" t="s">
        <v>934</v>
      </c>
      <c r="F167" s="79" t="s">
        <v>935</v>
      </c>
      <c r="G167" s="79" t="s">
        <v>849</v>
      </c>
      <c r="H167" s="79" t="s">
        <v>849</v>
      </c>
      <c r="I167" s="79" t="s">
        <v>1023</v>
      </c>
      <c r="J167" s="79" t="s">
        <v>1024</v>
      </c>
      <c r="K167" s="79">
        <v>0</v>
      </c>
      <c r="L167" s="19">
        <v>0</v>
      </c>
    </row>
    <row r="168" spans="2:12">
      <c r="B168" s="79">
        <v>1</v>
      </c>
      <c r="C168" s="79">
        <v>44</v>
      </c>
      <c r="D168" s="79">
        <v>1</v>
      </c>
      <c r="E168" s="79" t="s">
        <v>934</v>
      </c>
      <c r="F168" s="79" t="s">
        <v>935</v>
      </c>
      <c r="G168" s="79" t="s">
        <v>849</v>
      </c>
      <c r="H168" s="79" t="s">
        <v>849</v>
      </c>
      <c r="I168" s="79" t="s">
        <v>1025</v>
      </c>
      <c r="J168" s="79" t="s">
        <v>1026</v>
      </c>
      <c r="K168" s="79">
        <v>0</v>
      </c>
      <c r="L168" s="19">
        <v>0</v>
      </c>
    </row>
    <row r="169" spans="2:12">
      <c r="B169" s="79">
        <v>2</v>
      </c>
      <c r="C169" s="79">
        <v>0</v>
      </c>
      <c r="D169" s="79">
        <v>1</v>
      </c>
      <c r="E169" s="79" t="s">
        <v>934</v>
      </c>
      <c r="F169" s="79" t="s">
        <v>1027</v>
      </c>
      <c r="G169" s="79" t="s">
        <v>849</v>
      </c>
      <c r="H169" s="79" t="s">
        <v>849</v>
      </c>
      <c r="I169" s="79" t="s">
        <v>1028</v>
      </c>
      <c r="J169" s="79" t="s">
        <v>1029</v>
      </c>
      <c r="K169" s="79">
        <v>0</v>
      </c>
      <c r="L169" s="19">
        <v>0</v>
      </c>
    </row>
    <row r="170" spans="2:12">
      <c r="B170" s="79">
        <v>2</v>
      </c>
      <c r="C170" s="79">
        <v>1</v>
      </c>
      <c r="D170" s="79">
        <v>2</v>
      </c>
      <c r="E170" s="79" t="s">
        <v>934</v>
      </c>
      <c r="F170" s="79" t="s">
        <v>1027</v>
      </c>
      <c r="G170" s="79" t="s">
        <v>844</v>
      </c>
      <c r="H170" s="79" t="s">
        <v>844</v>
      </c>
      <c r="I170" s="79" t="s">
        <v>936</v>
      </c>
      <c r="J170" s="79" t="s">
        <v>1030</v>
      </c>
      <c r="K170" s="79">
        <v>1</v>
      </c>
      <c r="L170" s="19">
        <v>0</v>
      </c>
    </row>
    <row r="171" spans="2:12">
      <c r="B171" s="79">
        <v>3</v>
      </c>
      <c r="C171" s="79">
        <v>0</v>
      </c>
      <c r="D171" s="79">
        <v>1</v>
      </c>
      <c r="E171" s="79" t="s">
        <v>934</v>
      </c>
      <c r="F171" s="79" t="s">
        <v>1031</v>
      </c>
      <c r="G171" s="79"/>
      <c r="H171" s="79" t="s">
        <v>940</v>
      </c>
      <c r="I171" s="79" t="s">
        <v>1032</v>
      </c>
      <c r="J171" s="79" t="s">
        <v>1033</v>
      </c>
      <c r="K171" s="79">
        <v>0</v>
      </c>
      <c r="L171" s="19">
        <v>1</v>
      </c>
    </row>
    <row r="172" spans="2:12">
      <c r="B172" s="79">
        <v>3</v>
      </c>
      <c r="C172" s="79">
        <v>1</v>
      </c>
      <c r="D172" s="79">
        <v>1</v>
      </c>
      <c r="E172" s="79" t="s">
        <v>934</v>
      </c>
      <c r="F172" s="79" t="s">
        <v>1031</v>
      </c>
      <c r="G172" s="79" t="s">
        <v>155</v>
      </c>
      <c r="H172" s="79" t="s">
        <v>846</v>
      </c>
      <c r="I172" s="79" t="s">
        <v>1034</v>
      </c>
      <c r="J172" s="79" t="s">
        <v>1035</v>
      </c>
      <c r="K172" s="79">
        <v>0</v>
      </c>
      <c r="L172" s="19">
        <v>0</v>
      </c>
    </row>
    <row r="173" spans="2:12">
      <c r="B173" s="79">
        <v>3</v>
      </c>
      <c r="C173" s="79">
        <v>2</v>
      </c>
      <c r="D173" s="79">
        <v>1</v>
      </c>
      <c r="E173" s="79" t="s">
        <v>934</v>
      </c>
      <c r="F173" s="79" t="s">
        <v>1031</v>
      </c>
      <c r="G173" s="79"/>
      <c r="H173" s="79" t="s">
        <v>940</v>
      </c>
      <c r="I173" s="79" t="s">
        <v>1036</v>
      </c>
      <c r="J173" s="79" t="s">
        <v>1037</v>
      </c>
      <c r="K173" s="79">
        <v>0</v>
      </c>
      <c r="L173" s="19">
        <v>1</v>
      </c>
    </row>
    <row r="174" spans="2:12">
      <c r="B174" s="79">
        <v>3</v>
      </c>
      <c r="C174" s="79">
        <v>3</v>
      </c>
      <c r="D174" s="79">
        <v>1</v>
      </c>
      <c r="E174" s="79" t="s">
        <v>934</v>
      </c>
      <c r="F174" s="79" t="s">
        <v>1031</v>
      </c>
      <c r="G174" s="79" t="s">
        <v>844</v>
      </c>
      <c r="H174" s="79" t="s">
        <v>844</v>
      </c>
      <c r="I174" s="79" t="s">
        <v>936</v>
      </c>
      <c r="J174" s="79" t="s">
        <v>1038</v>
      </c>
      <c r="K174" s="79">
        <v>1</v>
      </c>
      <c r="L174" s="19">
        <v>0</v>
      </c>
    </row>
    <row r="175" spans="2:12">
      <c r="B175" s="79">
        <v>4</v>
      </c>
      <c r="C175" s="79">
        <v>0</v>
      </c>
      <c r="D175" s="79">
        <v>1</v>
      </c>
      <c r="E175" s="79" t="s">
        <v>934</v>
      </c>
      <c r="F175" s="79" t="s">
        <v>1039</v>
      </c>
      <c r="G175" s="79" t="s">
        <v>849</v>
      </c>
      <c r="H175" s="79" t="s">
        <v>849</v>
      </c>
      <c r="I175" s="79" t="s">
        <v>1040</v>
      </c>
      <c r="J175" s="79" t="s">
        <v>1041</v>
      </c>
      <c r="K175" s="79">
        <v>1</v>
      </c>
      <c r="L175" s="19">
        <v>0</v>
      </c>
    </row>
    <row r="176" spans="2:12">
      <c r="B176" s="79">
        <v>4</v>
      </c>
      <c r="C176" s="79">
        <v>1</v>
      </c>
      <c r="D176" s="79">
        <v>1</v>
      </c>
      <c r="E176" s="79" t="s">
        <v>934</v>
      </c>
      <c r="F176" s="79" t="s">
        <v>1039</v>
      </c>
      <c r="G176" s="79" t="s">
        <v>849</v>
      </c>
      <c r="H176" s="79" t="s">
        <v>849</v>
      </c>
      <c r="I176" s="79" t="s">
        <v>1042</v>
      </c>
      <c r="J176" s="79" t="s">
        <v>1043</v>
      </c>
      <c r="K176" s="79">
        <v>1</v>
      </c>
      <c r="L176" s="19">
        <v>0</v>
      </c>
    </row>
    <row r="177" spans="2:12">
      <c r="B177" s="79">
        <v>4</v>
      </c>
      <c r="C177" s="79">
        <v>2</v>
      </c>
      <c r="D177" s="79">
        <v>1</v>
      </c>
      <c r="E177" s="79" t="s">
        <v>934</v>
      </c>
      <c r="F177" s="79" t="s">
        <v>1039</v>
      </c>
      <c r="G177" s="79" t="s">
        <v>849</v>
      </c>
      <c r="H177" s="79" t="s">
        <v>849</v>
      </c>
      <c r="I177" s="79" t="s">
        <v>1044</v>
      </c>
      <c r="J177" s="79" t="s">
        <v>1045</v>
      </c>
      <c r="K177" s="79">
        <v>1</v>
      </c>
      <c r="L177" s="19">
        <v>0</v>
      </c>
    </row>
    <row r="178" spans="2:12">
      <c r="B178" s="79">
        <v>4</v>
      </c>
      <c r="C178" s="79">
        <v>3</v>
      </c>
      <c r="D178" s="79">
        <v>1</v>
      </c>
      <c r="E178" s="79" t="s">
        <v>934</v>
      </c>
      <c r="F178" s="79" t="s">
        <v>1039</v>
      </c>
      <c r="G178" s="79" t="s">
        <v>849</v>
      </c>
      <c r="H178" s="79" t="s">
        <v>849</v>
      </c>
      <c r="I178" s="79" t="s">
        <v>1046</v>
      </c>
      <c r="J178" s="79" t="s">
        <v>1047</v>
      </c>
      <c r="K178" s="79">
        <v>1</v>
      </c>
      <c r="L178" s="19">
        <v>0</v>
      </c>
    </row>
    <row r="179" spans="2:12">
      <c r="B179" s="79">
        <v>4</v>
      </c>
      <c r="C179" s="79">
        <v>4</v>
      </c>
      <c r="D179" s="79">
        <v>1</v>
      </c>
      <c r="E179" s="79" t="s">
        <v>934</v>
      </c>
      <c r="F179" s="79" t="s">
        <v>1039</v>
      </c>
      <c r="G179" s="79" t="s">
        <v>849</v>
      </c>
      <c r="H179" s="79" t="s">
        <v>849</v>
      </c>
      <c r="I179" s="79" t="s">
        <v>1048</v>
      </c>
      <c r="J179" s="79" t="s">
        <v>1049</v>
      </c>
      <c r="K179" s="79">
        <v>1</v>
      </c>
      <c r="L179" s="19">
        <v>0</v>
      </c>
    </row>
    <row r="180" spans="2:12">
      <c r="B180" s="79">
        <v>4</v>
      </c>
      <c r="C180" s="79">
        <v>5</v>
      </c>
      <c r="D180" s="79">
        <v>1</v>
      </c>
      <c r="E180" s="79" t="s">
        <v>934</v>
      </c>
      <c r="F180" s="79" t="s">
        <v>1039</v>
      </c>
      <c r="G180" s="79" t="s">
        <v>849</v>
      </c>
      <c r="H180" s="79" t="s">
        <v>849</v>
      </c>
      <c r="I180" s="79" t="s">
        <v>1050</v>
      </c>
      <c r="J180" s="79" t="s">
        <v>1051</v>
      </c>
      <c r="K180" s="79">
        <v>1</v>
      </c>
      <c r="L180" s="19">
        <v>0</v>
      </c>
    </row>
    <row r="181" spans="2:12">
      <c r="B181" s="79">
        <v>4</v>
      </c>
      <c r="C181" s="79">
        <v>6</v>
      </c>
      <c r="D181" s="79">
        <v>1</v>
      </c>
      <c r="E181" s="79" t="s">
        <v>934</v>
      </c>
      <c r="F181" s="79" t="s">
        <v>1039</v>
      </c>
      <c r="G181" s="79" t="s">
        <v>849</v>
      </c>
      <c r="H181" s="79" t="s">
        <v>849</v>
      </c>
      <c r="I181" s="79" t="s">
        <v>936</v>
      </c>
      <c r="J181" s="79" t="s">
        <v>1052</v>
      </c>
      <c r="K181" s="79">
        <v>1</v>
      </c>
      <c r="L181" s="19">
        <v>0</v>
      </c>
    </row>
    <row r="182" spans="2:12">
      <c r="B182" s="79">
        <v>5</v>
      </c>
      <c r="C182" s="79">
        <v>0</v>
      </c>
      <c r="D182" s="79">
        <v>1</v>
      </c>
      <c r="E182" s="79" t="s">
        <v>934</v>
      </c>
      <c r="F182" s="79" t="s">
        <v>1053</v>
      </c>
      <c r="G182" s="79" t="s">
        <v>849</v>
      </c>
      <c r="H182" s="79" t="s">
        <v>849</v>
      </c>
      <c r="I182" s="79" t="s">
        <v>1054</v>
      </c>
      <c r="J182" s="79" t="s">
        <v>1055</v>
      </c>
      <c r="K182" s="79">
        <v>0</v>
      </c>
      <c r="L182" s="19">
        <v>0</v>
      </c>
    </row>
    <row r="183" spans="2:12">
      <c r="B183" s="79">
        <v>5</v>
      </c>
      <c r="C183" s="79">
        <v>1</v>
      </c>
      <c r="D183" s="79">
        <v>1</v>
      </c>
      <c r="E183" s="79" t="s">
        <v>934</v>
      </c>
      <c r="F183" s="79" t="s">
        <v>1053</v>
      </c>
      <c r="G183" s="79" t="s">
        <v>849</v>
      </c>
      <c r="H183" s="79" t="s">
        <v>849</v>
      </c>
      <c r="I183" s="79" t="s">
        <v>1056</v>
      </c>
      <c r="J183" s="79" t="s">
        <v>1057</v>
      </c>
      <c r="K183" s="79">
        <v>1</v>
      </c>
      <c r="L183" s="19">
        <v>0</v>
      </c>
    </row>
    <row r="184" spans="2:12">
      <c r="B184" s="79">
        <v>5</v>
      </c>
      <c r="C184" s="79">
        <v>2</v>
      </c>
      <c r="D184" s="79">
        <v>1</v>
      </c>
      <c r="E184" s="79" t="s">
        <v>934</v>
      </c>
      <c r="F184" s="79" t="s">
        <v>1053</v>
      </c>
      <c r="G184" s="79" t="s">
        <v>849</v>
      </c>
      <c r="H184" s="79" t="s">
        <v>849</v>
      </c>
      <c r="I184" s="79" t="s">
        <v>1058</v>
      </c>
      <c r="J184" s="79" t="s">
        <v>1059</v>
      </c>
      <c r="K184" s="79">
        <v>1</v>
      </c>
      <c r="L184" s="19">
        <v>0</v>
      </c>
    </row>
    <row r="185" spans="2:12">
      <c r="B185" s="79">
        <v>5</v>
      </c>
      <c r="C185" s="79">
        <v>3</v>
      </c>
      <c r="D185" s="79">
        <v>1</v>
      </c>
      <c r="E185" s="79" t="s">
        <v>934</v>
      </c>
      <c r="F185" s="79" t="s">
        <v>1053</v>
      </c>
      <c r="G185" s="79" t="s">
        <v>849</v>
      </c>
      <c r="H185" s="79" t="s">
        <v>849</v>
      </c>
      <c r="I185" s="79" t="s">
        <v>1060</v>
      </c>
      <c r="J185" s="79" t="s">
        <v>1061</v>
      </c>
      <c r="K185" s="79">
        <v>1</v>
      </c>
      <c r="L185" s="19">
        <v>0</v>
      </c>
    </row>
    <row r="186" spans="2:12">
      <c r="B186" s="79">
        <v>5</v>
      </c>
      <c r="C186" s="79">
        <v>4</v>
      </c>
      <c r="D186" s="79">
        <v>1</v>
      </c>
      <c r="E186" s="79" t="s">
        <v>934</v>
      </c>
      <c r="F186" s="79" t="s">
        <v>1053</v>
      </c>
      <c r="G186" s="79" t="s">
        <v>849</v>
      </c>
      <c r="H186" s="79" t="s">
        <v>849</v>
      </c>
      <c r="I186" s="79" t="s">
        <v>1062</v>
      </c>
      <c r="J186" s="79" t="s">
        <v>1063</v>
      </c>
      <c r="K186" s="79">
        <v>1</v>
      </c>
      <c r="L186" s="19">
        <v>0</v>
      </c>
    </row>
    <row r="187" spans="2:12">
      <c r="B187" s="79">
        <v>5</v>
      </c>
      <c r="C187" s="79">
        <v>5</v>
      </c>
      <c r="D187" s="79">
        <v>1</v>
      </c>
      <c r="E187" s="79" t="s">
        <v>934</v>
      </c>
      <c r="F187" s="79" t="s">
        <v>1053</v>
      </c>
      <c r="G187" s="79" t="s">
        <v>849</v>
      </c>
      <c r="H187" s="79" t="s">
        <v>849</v>
      </c>
      <c r="I187" s="79" t="s">
        <v>936</v>
      </c>
      <c r="J187" s="79" t="s">
        <v>1064</v>
      </c>
      <c r="K187" s="79">
        <v>1</v>
      </c>
      <c r="L187" s="19">
        <v>0</v>
      </c>
    </row>
    <row r="188" spans="2:12">
      <c r="B188" s="79">
        <v>1</v>
      </c>
      <c r="C188" s="79">
        <v>17</v>
      </c>
      <c r="D188" s="79">
        <v>2</v>
      </c>
      <c r="E188" s="79" t="s">
        <v>1065</v>
      </c>
      <c r="F188" s="79" t="s">
        <v>1066</v>
      </c>
      <c r="G188" s="79" t="s">
        <v>155</v>
      </c>
      <c r="H188" s="79" t="s">
        <v>155</v>
      </c>
      <c r="I188" s="79" t="s">
        <v>911</v>
      </c>
      <c r="J188" s="79" t="s">
        <v>1067</v>
      </c>
      <c r="K188" s="79">
        <v>0</v>
      </c>
      <c r="L188" s="19">
        <v>0</v>
      </c>
    </row>
    <row r="189" spans="2:12">
      <c r="B189" s="79">
        <v>1</v>
      </c>
      <c r="C189" s="79">
        <v>22</v>
      </c>
      <c r="D189" s="79">
        <v>3</v>
      </c>
      <c r="E189" s="79" t="s">
        <v>1065</v>
      </c>
      <c r="F189" s="79" t="s">
        <v>1066</v>
      </c>
      <c r="G189" s="79" t="s">
        <v>155</v>
      </c>
      <c r="H189" s="79" t="s">
        <v>155</v>
      </c>
      <c r="I189" s="79" t="s">
        <v>861</v>
      </c>
      <c r="J189" s="79" t="s">
        <v>1068</v>
      </c>
      <c r="K189" s="79">
        <v>0</v>
      </c>
      <c r="L189" s="19">
        <v>0</v>
      </c>
    </row>
    <row r="190" spans="2:12">
      <c r="B190" s="79">
        <v>1</v>
      </c>
      <c r="C190" s="79">
        <v>81</v>
      </c>
      <c r="D190" s="79">
        <v>2</v>
      </c>
      <c r="E190" s="79" t="s">
        <v>1065</v>
      </c>
      <c r="F190" s="79" t="s">
        <v>1066</v>
      </c>
      <c r="G190" s="79" t="s">
        <v>155</v>
      </c>
      <c r="H190" s="79" t="s">
        <v>155</v>
      </c>
      <c r="I190" s="79" t="s">
        <v>1069</v>
      </c>
      <c r="J190" s="79" t="s">
        <v>1070</v>
      </c>
      <c r="K190" s="79">
        <v>0</v>
      </c>
      <c r="L190" s="19">
        <v>0</v>
      </c>
    </row>
    <row r="191" spans="2:12">
      <c r="B191" s="79">
        <v>1</v>
      </c>
      <c r="C191" s="79">
        <v>95</v>
      </c>
      <c r="D191" s="79">
        <v>2</v>
      </c>
      <c r="E191" s="79" t="s">
        <v>1065</v>
      </c>
      <c r="F191" s="79" t="s">
        <v>1066</v>
      </c>
      <c r="G191" s="79" t="s">
        <v>155</v>
      </c>
      <c r="H191" s="79" t="s">
        <v>155</v>
      </c>
      <c r="I191" s="79" t="s">
        <v>891</v>
      </c>
      <c r="J191" s="79" t="s">
        <v>1071</v>
      </c>
      <c r="K191" s="79">
        <v>0</v>
      </c>
      <c r="L191" s="19">
        <v>0</v>
      </c>
    </row>
    <row r="192" spans="2:12">
      <c r="B192" s="79">
        <v>1</v>
      </c>
      <c r="C192" s="79">
        <v>96</v>
      </c>
      <c r="D192" s="79">
        <v>2</v>
      </c>
      <c r="E192" s="79" t="s">
        <v>1065</v>
      </c>
      <c r="F192" s="79" t="s">
        <v>1066</v>
      </c>
      <c r="G192" s="79" t="s">
        <v>155</v>
      </c>
      <c r="H192" s="79" t="s">
        <v>155</v>
      </c>
      <c r="I192" s="79" t="s">
        <v>892</v>
      </c>
      <c r="J192" s="79" t="s">
        <v>1072</v>
      </c>
      <c r="K192" s="79">
        <v>0</v>
      </c>
      <c r="L192" s="19">
        <v>0</v>
      </c>
    </row>
    <row r="193" spans="2:12">
      <c r="B193" s="79">
        <v>1</v>
      </c>
      <c r="C193" s="79">
        <v>97</v>
      </c>
      <c r="D193" s="79">
        <v>2</v>
      </c>
      <c r="E193" s="79" t="s">
        <v>1065</v>
      </c>
      <c r="F193" s="79" t="s">
        <v>1066</v>
      </c>
      <c r="G193" s="79" t="s">
        <v>155</v>
      </c>
      <c r="H193" s="79" t="s">
        <v>155</v>
      </c>
      <c r="I193" s="79" t="s">
        <v>893</v>
      </c>
      <c r="J193" s="79" t="s">
        <v>1073</v>
      </c>
      <c r="K193" s="79">
        <v>0</v>
      </c>
      <c r="L193" s="19">
        <v>0</v>
      </c>
    </row>
    <row r="194" spans="2:12">
      <c r="B194" s="79">
        <v>1</v>
      </c>
      <c r="C194" s="79">
        <v>98</v>
      </c>
      <c r="D194" s="79">
        <v>2</v>
      </c>
      <c r="E194" s="79" t="s">
        <v>1065</v>
      </c>
      <c r="F194" s="79" t="s">
        <v>1066</v>
      </c>
      <c r="G194" s="79" t="s">
        <v>155</v>
      </c>
      <c r="H194" s="79" t="s">
        <v>155</v>
      </c>
      <c r="I194" s="79" t="s">
        <v>1074</v>
      </c>
      <c r="J194" s="79"/>
      <c r="K194" s="79">
        <v>0</v>
      </c>
      <c r="L194" s="19">
        <v>0</v>
      </c>
    </row>
    <row r="195" spans="2:12">
      <c r="B195" s="79">
        <v>1</v>
      </c>
      <c r="C195" s="79">
        <v>99</v>
      </c>
      <c r="D195" s="79">
        <v>2</v>
      </c>
      <c r="E195" s="79" t="s">
        <v>1065</v>
      </c>
      <c r="F195" s="79" t="s">
        <v>1066</v>
      </c>
      <c r="G195" s="79" t="s">
        <v>155</v>
      </c>
      <c r="H195" s="79" t="s">
        <v>155</v>
      </c>
      <c r="I195" s="79" t="s">
        <v>895</v>
      </c>
      <c r="J195" s="79"/>
      <c r="K195" s="79">
        <v>0</v>
      </c>
      <c r="L195" s="19">
        <v>0</v>
      </c>
    </row>
    <row r="196" spans="2:12">
      <c r="B196" s="79">
        <v>1</v>
      </c>
      <c r="C196" s="79">
        <v>111</v>
      </c>
      <c r="D196" s="79">
        <v>2</v>
      </c>
      <c r="E196" s="79" t="s">
        <v>1065</v>
      </c>
      <c r="F196" s="79" t="s">
        <v>1066</v>
      </c>
      <c r="G196" s="79" t="s">
        <v>155</v>
      </c>
      <c r="H196" s="79" t="s">
        <v>155</v>
      </c>
      <c r="I196" s="79" t="s">
        <v>898</v>
      </c>
      <c r="J196" s="79"/>
      <c r="K196" s="79">
        <v>0</v>
      </c>
      <c r="L196" s="19">
        <v>0</v>
      </c>
    </row>
    <row r="197" spans="2:12">
      <c r="B197" s="79">
        <v>2</v>
      </c>
      <c r="C197" s="79">
        <v>1</v>
      </c>
      <c r="D197" s="79">
        <v>2</v>
      </c>
      <c r="E197" s="79" t="s">
        <v>1065</v>
      </c>
      <c r="F197" s="79" t="s">
        <v>1075</v>
      </c>
      <c r="G197" s="79" t="s">
        <v>155</v>
      </c>
      <c r="H197" s="79" t="s">
        <v>155</v>
      </c>
      <c r="I197" s="79" t="s">
        <v>1076</v>
      </c>
      <c r="J197" s="79"/>
      <c r="K197" s="79">
        <v>0</v>
      </c>
      <c r="L197" s="19">
        <v>0</v>
      </c>
    </row>
    <row r="198" spans="2:12">
      <c r="B198" s="79">
        <v>2</v>
      </c>
      <c r="C198" s="79">
        <v>8</v>
      </c>
      <c r="D198" s="79">
        <v>2</v>
      </c>
      <c r="E198" s="79" t="s">
        <v>1065</v>
      </c>
      <c r="F198" s="79" t="s">
        <v>1075</v>
      </c>
      <c r="G198" s="79" t="s">
        <v>155</v>
      </c>
      <c r="H198" s="79" t="s">
        <v>155</v>
      </c>
      <c r="I198" s="79" t="s">
        <v>900</v>
      </c>
      <c r="J198" s="79"/>
      <c r="K198" s="79">
        <v>0</v>
      </c>
      <c r="L198" s="19">
        <v>0</v>
      </c>
    </row>
    <row r="199" spans="2:12">
      <c r="B199" s="79">
        <v>2</v>
      </c>
      <c r="C199" s="79">
        <v>10</v>
      </c>
      <c r="D199" s="79">
        <v>1</v>
      </c>
      <c r="E199" s="79" t="s">
        <v>1065</v>
      </c>
      <c r="F199" s="79" t="s">
        <v>1075</v>
      </c>
      <c r="G199" s="79" t="s">
        <v>155</v>
      </c>
      <c r="H199" s="79" t="s">
        <v>155</v>
      </c>
      <c r="I199" s="79" t="s">
        <v>1077</v>
      </c>
      <c r="J199" s="79"/>
      <c r="K199" s="79">
        <v>0</v>
      </c>
      <c r="L199" s="19">
        <v>0</v>
      </c>
    </row>
    <row r="200" spans="2:12">
      <c r="B200" s="79">
        <v>2</v>
      </c>
      <c r="C200" s="79">
        <v>11</v>
      </c>
      <c r="D200" s="79">
        <v>1</v>
      </c>
      <c r="E200" s="79" t="s">
        <v>1065</v>
      </c>
      <c r="F200" s="79" t="s">
        <v>1075</v>
      </c>
      <c r="G200" s="79" t="s">
        <v>155</v>
      </c>
      <c r="H200" s="79" t="s">
        <v>155</v>
      </c>
      <c r="I200" s="79" t="s">
        <v>1078</v>
      </c>
      <c r="J200" s="79"/>
      <c r="K200" s="79">
        <v>0</v>
      </c>
      <c r="L200" s="19">
        <v>0</v>
      </c>
    </row>
    <row r="201" spans="2:12">
      <c r="B201" s="79">
        <v>2</v>
      </c>
      <c r="C201" s="79">
        <v>21</v>
      </c>
      <c r="D201" s="79">
        <v>1</v>
      </c>
      <c r="E201" s="79" t="s">
        <v>1065</v>
      </c>
      <c r="F201" s="79" t="s">
        <v>1075</v>
      </c>
      <c r="G201" s="79" t="s">
        <v>155</v>
      </c>
      <c r="H201" s="79" t="s">
        <v>155</v>
      </c>
      <c r="I201" s="79" t="s">
        <v>1079</v>
      </c>
      <c r="J201" s="79"/>
      <c r="K201" s="79">
        <v>0</v>
      </c>
      <c r="L201" s="19">
        <v>0</v>
      </c>
    </row>
    <row r="202" spans="2:12">
      <c r="B202" s="79">
        <v>2</v>
      </c>
      <c r="C202" s="79">
        <v>27</v>
      </c>
      <c r="D202" s="79">
        <v>2</v>
      </c>
      <c r="E202" s="79" t="s">
        <v>1065</v>
      </c>
      <c r="F202" s="79" t="s">
        <v>1075</v>
      </c>
      <c r="G202" s="79" t="s">
        <v>155</v>
      </c>
      <c r="H202" s="79" t="s">
        <v>155</v>
      </c>
      <c r="I202" s="79" t="s">
        <v>1080</v>
      </c>
      <c r="J202" s="79"/>
      <c r="K202" s="79">
        <v>0</v>
      </c>
      <c r="L202" s="19">
        <v>0</v>
      </c>
    </row>
    <row r="203" spans="2:12">
      <c r="B203" s="79">
        <v>2</v>
      </c>
      <c r="C203" s="79">
        <v>28</v>
      </c>
      <c r="D203" s="79">
        <v>2</v>
      </c>
      <c r="E203" s="79" t="s">
        <v>1065</v>
      </c>
      <c r="F203" s="79" t="s">
        <v>1075</v>
      </c>
      <c r="G203" s="79" t="s">
        <v>155</v>
      </c>
      <c r="H203" s="79" t="s">
        <v>155</v>
      </c>
      <c r="I203" s="79" t="s">
        <v>1081</v>
      </c>
      <c r="J203" s="79"/>
      <c r="K203" s="79">
        <v>0</v>
      </c>
      <c r="L203" s="19">
        <v>0</v>
      </c>
    </row>
    <row r="204" spans="2:12">
      <c r="B204" s="79">
        <v>2</v>
      </c>
      <c r="C204" s="79">
        <v>29</v>
      </c>
      <c r="D204" s="79">
        <v>2</v>
      </c>
      <c r="E204" s="79" t="s">
        <v>1065</v>
      </c>
      <c r="F204" s="79" t="s">
        <v>1075</v>
      </c>
      <c r="G204" s="79" t="s">
        <v>155</v>
      </c>
      <c r="H204" s="79" t="s">
        <v>155</v>
      </c>
      <c r="I204" s="79" t="s">
        <v>1082</v>
      </c>
      <c r="J204" s="79"/>
      <c r="K204" s="79">
        <v>0</v>
      </c>
      <c r="L204" s="19">
        <v>0</v>
      </c>
    </row>
    <row r="205" spans="2:12">
      <c r="B205" s="79">
        <v>2</v>
      </c>
      <c r="C205" s="79">
        <v>30</v>
      </c>
      <c r="D205" s="79">
        <v>1</v>
      </c>
      <c r="E205" s="79" t="s">
        <v>1065</v>
      </c>
      <c r="F205" s="79" t="s">
        <v>1075</v>
      </c>
      <c r="G205" s="79" t="s">
        <v>155</v>
      </c>
      <c r="H205" s="79" t="s">
        <v>155</v>
      </c>
      <c r="I205" s="79" t="s">
        <v>1083</v>
      </c>
      <c r="J205" s="79"/>
      <c r="K205" s="79">
        <v>0</v>
      </c>
      <c r="L205" s="19">
        <v>0</v>
      </c>
    </row>
    <row r="206" spans="2:12">
      <c r="B206" s="79">
        <v>2</v>
      </c>
      <c r="C206" s="79">
        <v>38</v>
      </c>
      <c r="D206" s="79">
        <v>2</v>
      </c>
      <c r="E206" s="79" t="s">
        <v>1065</v>
      </c>
      <c r="F206" s="79" t="s">
        <v>1075</v>
      </c>
      <c r="G206" s="79" t="s">
        <v>155</v>
      </c>
      <c r="H206" s="79" t="s">
        <v>155</v>
      </c>
      <c r="I206" s="79" t="s">
        <v>1084</v>
      </c>
      <c r="J206" s="79"/>
      <c r="K206" s="79">
        <v>0</v>
      </c>
      <c r="L206" s="19">
        <v>0</v>
      </c>
    </row>
    <row r="207" spans="2:12">
      <c r="B207" s="79">
        <v>2</v>
      </c>
      <c r="C207" s="79">
        <v>41</v>
      </c>
      <c r="D207" s="79">
        <v>2</v>
      </c>
      <c r="E207" s="79" t="s">
        <v>1065</v>
      </c>
      <c r="F207" s="79" t="s">
        <v>1075</v>
      </c>
      <c r="G207" s="79" t="s">
        <v>155</v>
      </c>
      <c r="H207" s="79" t="s">
        <v>155</v>
      </c>
      <c r="I207" s="79" t="s">
        <v>1085</v>
      </c>
      <c r="J207" s="79"/>
      <c r="K207" s="79">
        <v>0</v>
      </c>
      <c r="L207" s="19">
        <v>0</v>
      </c>
    </row>
    <row r="208" spans="2:12">
      <c r="B208" s="79">
        <v>2</v>
      </c>
      <c r="C208" s="79">
        <v>42</v>
      </c>
      <c r="D208" s="79">
        <v>2</v>
      </c>
      <c r="E208" s="79" t="s">
        <v>1065</v>
      </c>
      <c r="F208" s="79" t="s">
        <v>1075</v>
      </c>
      <c r="G208" s="79" t="s">
        <v>155</v>
      </c>
      <c r="H208" s="79" t="s">
        <v>155</v>
      </c>
      <c r="I208" s="79" t="s">
        <v>861</v>
      </c>
      <c r="J208" s="79"/>
      <c r="K208" s="79">
        <v>0</v>
      </c>
      <c r="L208" s="19">
        <v>0</v>
      </c>
    </row>
    <row r="209" spans="2:12">
      <c r="B209" s="79">
        <v>2</v>
      </c>
      <c r="C209" s="79">
        <v>47</v>
      </c>
      <c r="D209" s="79">
        <v>2</v>
      </c>
      <c r="E209" s="79" t="s">
        <v>1065</v>
      </c>
      <c r="F209" s="79" t="s">
        <v>1075</v>
      </c>
      <c r="G209" s="79" t="s">
        <v>155</v>
      </c>
      <c r="H209" s="79" t="s">
        <v>155</v>
      </c>
      <c r="I209" s="79" t="s">
        <v>1086</v>
      </c>
      <c r="J209" s="79"/>
      <c r="K209" s="79">
        <v>0</v>
      </c>
      <c r="L209" s="19">
        <v>0</v>
      </c>
    </row>
    <row r="210" spans="2:12">
      <c r="B210" s="79">
        <v>2</v>
      </c>
      <c r="C210" s="79">
        <v>50</v>
      </c>
      <c r="D210" s="79">
        <v>2</v>
      </c>
      <c r="E210" s="79" t="s">
        <v>1065</v>
      </c>
      <c r="F210" s="79" t="s">
        <v>1075</v>
      </c>
      <c r="G210" s="79" t="s">
        <v>155</v>
      </c>
      <c r="H210" s="79" t="s">
        <v>155</v>
      </c>
      <c r="I210" s="79" t="s">
        <v>1087</v>
      </c>
      <c r="J210" s="79"/>
      <c r="K210" s="79">
        <v>0</v>
      </c>
      <c r="L210" s="19">
        <v>0</v>
      </c>
    </row>
    <row r="211" spans="2:12">
      <c r="B211" s="79">
        <v>2</v>
      </c>
      <c r="C211" s="79">
        <v>69</v>
      </c>
      <c r="D211" s="79">
        <v>2</v>
      </c>
      <c r="E211" s="79" t="s">
        <v>1065</v>
      </c>
      <c r="F211" s="79" t="s">
        <v>1075</v>
      </c>
      <c r="G211" s="79" t="s">
        <v>155</v>
      </c>
      <c r="H211" s="79" t="s">
        <v>155</v>
      </c>
      <c r="I211" s="79" t="s">
        <v>1088</v>
      </c>
      <c r="J211" s="79"/>
      <c r="K211" s="79">
        <v>0</v>
      </c>
      <c r="L211" s="19">
        <v>0</v>
      </c>
    </row>
    <row r="212" spans="2:12">
      <c r="B212" s="79">
        <v>2</v>
      </c>
      <c r="C212" s="79">
        <v>81</v>
      </c>
      <c r="D212" s="79">
        <v>2</v>
      </c>
      <c r="E212" s="79" t="s">
        <v>1065</v>
      </c>
      <c r="F212" s="79" t="s">
        <v>1075</v>
      </c>
      <c r="G212" s="79" t="s">
        <v>155</v>
      </c>
      <c r="H212" s="79" t="s">
        <v>155</v>
      </c>
      <c r="I212" s="79" t="s">
        <v>1089</v>
      </c>
      <c r="J212" s="79"/>
      <c r="K212" s="79">
        <v>0</v>
      </c>
      <c r="L212" s="19">
        <v>0</v>
      </c>
    </row>
    <row r="213" spans="2:12">
      <c r="B213" s="79">
        <v>2</v>
      </c>
      <c r="C213" s="79">
        <v>95</v>
      </c>
      <c r="D213" s="79">
        <v>2</v>
      </c>
      <c r="E213" s="79" t="s">
        <v>1065</v>
      </c>
      <c r="F213" s="79" t="s">
        <v>1075</v>
      </c>
      <c r="G213" s="79" t="s">
        <v>155</v>
      </c>
      <c r="H213" s="79" t="s">
        <v>155</v>
      </c>
      <c r="I213" s="79" t="s">
        <v>891</v>
      </c>
      <c r="J213" s="79"/>
      <c r="K213" s="79">
        <v>0</v>
      </c>
      <c r="L213" s="19">
        <v>0</v>
      </c>
    </row>
    <row r="214" spans="2:12">
      <c r="B214" s="79">
        <v>2</v>
      </c>
      <c r="C214" s="79">
        <v>96</v>
      </c>
      <c r="D214" s="79">
        <v>2</v>
      </c>
      <c r="E214" s="79" t="s">
        <v>1065</v>
      </c>
      <c r="F214" s="79" t="s">
        <v>1075</v>
      </c>
      <c r="G214" s="79" t="s">
        <v>155</v>
      </c>
      <c r="H214" s="79" t="s">
        <v>155</v>
      </c>
      <c r="I214" s="79" t="s">
        <v>892</v>
      </c>
      <c r="J214" s="79"/>
      <c r="K214" s="79">
        <v>0</v>
      </c>
      <c r="L214" s="19">
        <v>0</v>
      </c>
    </row>
    <row r="215" spans="2:12">
      <c r="B215" s="79">
        <v>2</v>
      </c>
      <c r="C215" s="79">
        <v>97</v>
      </c>
      <c r="D215" s="79">
        <v>2</v>
      </c>
      <c r="E215" s="79" t="s">
        <v>1065</v>
      </c>
      <c r="F215" s="79" t="s">
        <v>1075</v>
      </c>
      <c r="G215" s="79" t="s">
        <v>155</v>
      </c>
      <c r="H215" s="79" t="s">
        <v>155</v>
      </c>
      <c r="I215" s="79" t="s">
        <v>893</v>
      </c>
      <c r="J215" s="79"/>
      <c r="K215" s="79">
        <v>0</v>
      </c>
      <c r="L215" s="19">
        <v>0</v>
      </c>
    </row>
    <row r="216" spans="2:12">
      <c r="B216" s="79">
        <v>2</v>
      </c>
      <c r="C216" s="79">
        <v>98</v>
      </c>
      <c r="D216" s="79">
        <v>2</v>
      </c>
      <c r="E216" s="79" t="s">
        <v>1065</v>
      </c>
      <c r="F216" s="79" t="s">
        <v>1075</v>
      </c>
      <c r="G216" s="79" t="s">
        <v>155</v>
      </c>
      <c r="H216" s="79" t="s">
        <v>155</v>
      </c>
      <c r="I216" s="79" t="s">
        <v>1090</v>
      </c>
      <c r="J216" s="79"/>
      <c r="K216" s="79">
        <v>0</v>
      </c>
      <c r="L216" s="19">
        <v>0</v>
      </c>
    </row>
    <row r="217" spans="2:12">
      <c r="B217" s="79">
        <v>2</v>
      </c>
      <c r="C217" s="79">
        <v>99</v>
      </c>
      <c r="D217" s="79">
        <v>2</v>
      </c>
      <c r="E217" s="79" t="s">
        <v>1065</v>
      </c>
      <c r="F217" s="79" t="s">
        <v>1075</v>
      </c>
      <c r="G217" s="79" t="s">
        <v>155</v>
      </c>
      <c r="H217" s="79" t="s">
        <v>155</v>
      </c>
      <c r="I217" s="79" t="s">
        <v>895</v>
      </c>
      <c r="J217" s="79"/>
      <c r="K217" s="79">
        <v>0</v>
      </c>
      <c r="L217" s="19">
        <v>0</v>
      </c>
    </row>
    <row r="218" spans="2:12">
      <c r="B218" s="79">
        <v>2</v>
      </c>
      <c r="C218" s="79">
        <v>111</v>
      </c>
      <c r="D218" s="79">
        <v>2</v>
      </c>
      <c r="E218" s="79" t="s">
        <v>1065</v>
      </c>
      <c r="F218" s="79" t="s">
        <v>1075</v>
      </c>
      <c r="G218" s="79" t="s">
        <v>155</v>
      </c>
      <c r="H218" s="79" t="s">
        <v>155</v>
      </c>
      <c r="I218" s="79" t="s">
        <v>898</v>
      </c>
      <c r="J218" s="79"/>
      <c r="K218" s="79">
        <v>0</v>
      </c>
      <c r="L218" s="19">
        <v>0</v>
      </c>
    </row>
    <row r="219" spans="2:12">
      <c r="B219" s="79">
        <v>2</v>
      </c>
      <c r="C219" s="79">
        <v>127</v>
      </c>
      <c r="D219" s="79">
        <v>1</v>
      </c>
      <c r="E219" s="79" t="s">
        <v>1065</v>
      </c>
      <c r="F219" s="79" t="s">
        <v>1075</v>
      </c>
      <c r="G219" s="79" t="s">
        <v>155</v>
      </c>
      <c r="H219" s="79" t="s">
        <v>155</v>
      </c>
      <c r="I219" s="79" t="s">
        <v>1091</v>
      </c>
      <c r="J219" s="79"/>
      <c r="K219" s="79">
        <v>0</v>
      </c>
      <c r="L219" s="19">
        <v>0</v>
      </c>
    </row>
  </sheetData>
  <autoFilter ref="A28:N219" xr:uid="{00000000-0009-0000-0000-00000E000000}"/>
  <mergeCells count="1">
    <mergeCell ref="B11:L11"/>
  </mergeCells>
  <phoneticPr fontId="33" type="noConversion"/>
  <dataValidations count="1">
    <dataValidation type="list" allowBlank="1" showInputMessage="1" showErrorMessage="1" sqref="E4" xr:uid="{00000000-0002-0000-0E00-000000000000}">
      <formula1>"quarter,hour,day,week,month,year,维表"</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67"/>
  <sheetViews>
    <sheetView zoomScale="85" zoomScaleNormal="85" workbookViewId="0">
      <selection activeCell="H13" sqref="H13"/>
    </sheetView>
  </sheetViews>
  <sheetFormatPr defaultColWidth="9" defaultRowHeight="15.6"/>
  <cols>
    <col min="1" max="1" width="5" style="87" customWidth="1"/>
    <col min="2" max="2" width="19.77734375" style="87" customWidth="1"/>
    <col min="3" max="3" width="22.21875" style="87" bestFit="1" customWidth="1"/>
    <col min="4" max="4" width="20.44140625" style="87" customWidth="1"/>
    <col min="5" max="5" width="16.21875" style="87" customWidth="1"/>
    <col min="6" max="6" width="13.88671875" style="87" customWidth="1"/>
    <col min="7" max="7" width="9.109375" style="87" customWidth="1"/>
    <col min="8" max="8" width="12" style="87" customWidth="1"/>
    <col min="9" max="9" width="10.88671875" style="87" customWidth="1"/>
    <col min="10" max="10" width="12.44140625" style="87" customWidth="1"/>
    <col min="11" max="11" width="14.109375" style="87" customWidth="1"/>
    <col min="12" max="12" width="12.33203125" style="88" customWidth="1"/>
    <col min="13" max="16384" width="9" style="88"/>
  </cols>
  <sheetData>
    <row r="1" spans="2:14">
      <c r="B1" s="89" t="str">
        <f>HYPERLINK("#"&amp;"导航应用"&amp;"!B1","返回")</f>
        <v>返回</v>
      </c>
      <c r="C1" s="90"/>
      <c r="D1" s="90"/>
      <c r="E1" s="90"/>
      <c r="F1" s="90"/>
      <c r="G1" s="90"/>
      <c r="H1" s="90"/>
    </row>
    <row r="2" spans="2:14" ht="17.399999999999999">
      <c r="B2" s="190" t="s">
        <v>168</v>
      </c>
      <c r="C2" s="190"/>
      <c r="D2" s="190"/>
      <c r="E2" s="190"/>
      <c r="F2" s="190"/>
      <c r="G2" s="190"/>
      <c r="H2" s="190"/>
    </row>
    <row r="3" spans="2:14">
      <c r="B3" s="91" t="s">
        <v>40</v>
      </c>
      <c r="C3" s="91" t="s">
        <v>169</v>
      </c>
      <c r="D3" s="91" t="s">
        <v>170</v>
      </c>
      <c r="E3" s="91" t="s">
        <v>171</v>
      </c>
      <c r="F3" s="91" t="s">
        <v>172</v>
      </c>
      <c r="G3" s="91" t="s">
        <v>43</v>
      </c>
      <c r="H3" s="91" t="s">
        <v>173</v>
      </c>
    </row>
    <row r="4" spans="2:14">
      <c r="B4" s="86"/>
      <c r="C4" s="92" t="s">
        <v>111</v>
      </c>
      <c r="D4" s="93" t="s">
        <v>112</v>
      </c>
      <c r="E4" s="86" t="s">
        <v>815</v>
      </c>
      <c r="F4" s="105" t="s">
        <v>1092</v>
      </c>
      <c r="G4" s="86"/>
      <c r="H4" s="86"/>
      <c r="N4" s="87"/>
    </row>
    <row r="5" spans="2:14">
      <c r="B5" s="94"/>
      <c r="C5" s="94"/>
      <c r="D5" s="94"/>
      <c r="E5" s="94"/>
      <c r="F5" s="94"/>
      <c r="G5" s="94"/>
      <c r="H5" s="94"/>
    </row>
    <row r="6" spans="2:14" ht="17.399999999999999">
      <c r="B6" s="190" t="s">
        <v>174</v>
      </c>
      <c r="C6" s="190"/>
      <c r="D6" s="190"/>
      <c r="E6" s="190"/>
      <c r="F6" s="190"/>
      <c r="G6" s="190"/>
      <c r="H6" s="190"/>
    </row>
    <row r="7" spans="2:14">
      <c r="B7" s="95" t="s">
        <v>175</v>
      </c>
      <c r="C7" s="95" t="s">
        <v>176</v>
      </c>
      <c r="D7" s="95" t="s">
        <v>177</v>
      </c>
      <c r="E7" s="95" t="s">
        <v>178</v>
      </c>
      <c r="F7" s="95" t="s">
        <v>179</v>
      </c>
      <c r="G7" s="95" t="s">
        <v>53</v>
      </c>
      <c r="H7" s="95" t="s">
        <v>180</v>
      </c>
    </row>
    <row r="8" spans="2:14">
      <c r="B8" s="86"/>
      <c r="C8" s="96"/>
      <c r="D8" s="96"/>
      <c r="E8" s="86" t="s">
        <v>182</v>
      </c>
      <c r="F8" s="86"/>
      <c r="G8" s="25"/>
      <c r="H8" s="106" t="s">
        <v>63</v>
      </c>
    </row>
    <row r="9" spans="2:14">
      <c r="B9" s="86"/>
      <c r="C9" s="96"/>
      <c r="D9" s="96"/>
      <c r="E9" s="86" t="s">
        <v>418</v>
      </c>
      <c r="F9" s="86"/>
      <c r="G9" s="25"/>
      <c r="H9" s="106"/>
    </row>
    <row r="11" spans="2:14">
      <c r="B11" s="191" t="s">
        <v>194</v>
      </c>
      <c r="C11" s="192"/>
      <c r="D11" s="192"/>
      <c r="E11" s="192"/>
      <c r="F11" s="192"/>
      <c r="G11" s="192"/>
      <c r="H11" s="192"/>
      <c r="I11" s="192"/>
      <c r="J11" s="192"/>
      <c r="K11" s="192"/>
      <c r="L11" s="193"/>
    </row>
    <row r="12" spans="2:14" ht="24">
      <c r="B12" s="97" t="s">
        <v>195</v>
      </c>
      <c r="C12" s="97" t="s">
        <v>196</v>
      </c>
      <c r="D12" s="97" t="s">
        <v>197</v>
      </c>
      <c r="E12" s="97" t="s">
        <v>198</v>
      </c>
      <c r="F12" s="97" t="s">
        <v>199</v>
      </c>
      <c r="G12" s="97" t="s">
        <v>200</v>
      </c>
      <c r="H12" s="97" t="s">
        <v>201</v>
      </c>
      <c r="I12" s="97" t="s">
        <v>53</v>
      </c>
      <c r="J12" s="97" t="s">
        <v>202</v>
      </c>
      <c r="K12" s="97" t="s">
        <v>203</v>
      </c>
      <c r="L12" s="97" t="s">
        <v>204</v>
      </c>
    </row>
    <row r="13" spans="2:14" ht="26.4">
      <c r="B13" s="98" t="s">
        <v>1093</v>
      </c>
      <c r="C13" s="86" t="s">
        <v>211</v>
      </c>
      <c r="D13" s="99" t="s">
        <v>1094</v>
      </c>
      <c r="E13" s="86"/>
      <c r="F13" s="86"/>
      <c r="G13" s="86"/>
      <c r="H13" s="86" t="str">
        <f>_xlfn.CONCAT(",",B13," ",C13," comment '",D13,"'")</f>
        <v>,procedure_type int comment '流程类型
procedure_type'</v>
      </c>
      <c r="I13" s="96"/>
      <c r="J13" s="9" t="s">
        <v>818</v>
      </c>
      <c r="K13" s="9" t="s">
        <v>209</v>
      </c>
      <c r="L13" s="9" t="s">
        <v>209</v>
      </c>
    </row>
    <row r="14" spans="2:14" ht="26.4">
      <c r="B14" s="100" t="s">
        <v>1095</v>
      </c>
      <c r="C14" s="86" t="s">
        <v>206</v>
      </c>
      <c r="D14" s="99" t="s">
        <v>1096</v>
      </c>
      <c r="E14" s="86"/>
      <c r="F14" s="86"/>
      <c r="G14" s="86"/>
      <c r="H14" s="86" t="str">
        <f>_xlfn.CONCAT(",",B14," ",C14," comment '",D14,"'")</f>
        <v>,procedure_type_name string comment '流程类型
映射值'</v>
      </c>
      <c r="I14" s="86"/>
      <c r="J14" s="9" t="s">
        <v>818</v>
      </c>
      <c r="K14" s="9" t="s">
        <v>209</v>
      </c>
      <c r="L14" s="9" t="s">
        <v>209</v>
      </c>
    </row>
    <row r="15" spans="2:14">
      <c r="B15" s="98" t="s">
        <v>1097</v>
      </c>
      <c r="C15" s="86" t="s">
        <v>206</v>
      </c>
      <c r="D15" s="101" t="s">
        <v>1098</v>
      </c>
      <c r="E15" s="86"/>
      <c r="F15" s="86"/>
      <c r="G15" s="86"/>
      <c r="H15" s="86" t="str">
        <f>_xlfn.CONCAT(",",B15," ",C15," comment '",D15,"'")</f>
        <v>,keyword string comment 'Keyword_xx取值'</v>
      </c>
      <c r="I15" s="86"/>
      <c r="J15" s="9" t="s">
        <v>818</v>
      </c>
      <c r="K15" s="9" t="s">
        <v>209</v>
      </c>
      <c r="L15" s="9" t="s">
        <v>209</v>
      </c>
    </row>
    <row r="16" spans="2:14" ht="26.4">
      <c r="B16" s="100" t="s">
        <v>1099</v>
      </c>
      <c r="C16" s="86" t="s">
        <v>206</v>
      </c>
      <c r="D16" s="99" t="s">
        <v>1100</v>
      </c>
      <c r="E16" s="86"/>
      <c r="F16" s="86"/>
      <c r="G16" s="86"/>
      <c r="H16" s="86" t="str">
        <f>_xlfn.CONCAT(",",B16," ",C16," comment '",D16,"'")</f>
        <v>,keyword_desc string comment 'Keyword
映射值'</v>
      </c>
      <c r="I16" s="86"/>
      <c r="J16" s="9" t="s">
        <v>818</v>
      </c>
      <c r="K16" s="9" t="s">
        <v>209</v>
      </c>
      <c r="L16" s="9" t="s">
        <v>209</v>
      </c>
    </row>
    <row r="17" spans="2:12">
      <c r="B17" s="100" t="s">
        <v>1101</v>
      </c>
      <c r="C17" s="86" t="s">
        <v>206</v>
      </c>
      <c r="D17" s="101" t="s">
        <v>53</v>
      </c>
      <c r="E17" s="86"/>
      <c r="F17" s="86"/>
      <c r="G17" s="86"/>
      <c r="H17" s="86" t="str">
        <f>_xlfn.CONCAT(",",B17," ",C17," comment '",D17,"'")</f>
        <v>,remark string comment '备注'</v>
      </c>
      <c r="I17" s="86"/>
      <c r="J17" s="9" t="s">
        <v>818</v>
      </c>
      <c r="K17" s="9" t="s">
        <v>209</v>
      </c>
      <c r="L17" s="9" t="s">
        <v>209</v>
      </c>
    </row>
    <row r="20" spans="2:12">
      <c r="B20" s="102" t="s">
        <v>840</v>
      </c>
    </row>
    <row r="21" spans="2:12">
      <c r="B21" s="102"/>
    </row>
    <row r="22" spans="2:12">
      <c r="B22" s="103" t="s">
        <v>841</v>
      </c>
      <c r="D22" s="103" t="s">
        <v>841</v>
      </c>
      <c r="K22" s="88"/>
    </row>
    <row r="23" spans="2:12">
      <c r="B23" s="103" t="s">
        <v>1093</v>
      </c>
      <c r="C23" s="86" t="s">
        <v>1095</v>
      </c>
      <c r="D23" s="103" t="s">
        <v>1097</v>
      </c>
      <c r="E23" s="107" t="s">
        <v>1099</v>
      </c>
      <c r="F23" s="86" t="s">
        <v>1101</v>
      </c>
      <c r="K23" s="88"/>
    </row>
    <row r="24" spans="2:12" ht="26.4">
      <c r="B24" s="99" t="s">
        <v>1094</v>
      </c>
      <c r="C24" s="104" t="s">
        <v>1096</v>
      </c>
      <c r="D24" s="101" t="s">
        <v>1098</v>
      </c>
      <c r="E24" s="99" t="s">
        <v>1100</v>
      </c>
      <c r="F24" s="108" t="s">
        <v>53</v>
      </c>
      <c r="K24" s="88"/>
    </row>
    <row r="25" spans="2:12">
      <c r="B25" s="93">
        <v>0</v>
      </c>
      <c r="C25" s="93" t="s">
        <v>1102</v>
      </c>
      <c r="D25" s="93">
        <v>1</v>
      </c>
      <c r="E25" s="109" t="s">
        <v>1103</v>
      </c>
      <c r="F25" s="93" t="s">
        <v>1104</v>
      </c>
    </row>
    <row r="26" spans="2:12" ht="39.6">
      <c r="B26" s="93">
        <v>0</v>
      </c>
      <c r="C26" s="93" t="s">
        <v>1102</v>
      </c>
      <c r="D26" s="93">
        <v>2</v>
      </c>
      <c r="E26" s="109" t="s">
        <v>1105</v>
      </c>
      <c r="F26" s="93"/>
    </row>
    <row r="27" spans="2:12" ht="39.6">
      <c r="B27" s="93">
        <v>0</v>
      </c>
      <c r="C27" s="93" t="s">
        <v>1102</v>
      </c>
      <c r="D27" s="93">
        <v>3</v>
      </c>
      <c r="E27" s="109" t="s">
        <v>1106</v>
      </c>
      <c r="F27" s="93"/>
    </row>
    <row r="28" spans="2:12" ht="26.4">
      <c r="B28" s="93">
        <v>0</v>
      </c>
      <c r="C28" s="93" t="s">
        <v>1102</v>
      </c>
      <c r="D28" s="93">
        <v>4</v>
      </c>
      <c r="E28" s="109" t="s">
        <v>1107</v>
      </c>
      <c r="F28" s="93"/>
    </row>
    <row r="29" spans="2:12" ht="26.4">
      <c r="B29" s="93">
        <v>0</v>
      </c>
      <c r="C29" s="93" t="s">
        <v>1102</v>
      </c>
      <c r="D29" s="93">
        <v>5</v>
      </c>
      <c r="E29" s="109" t="s">
        <v>1108</v>
      </c>
      <c r="F29" s="93"/>
    </row>
    <row r="30" spans="2:12" ht="52.8">
      <c r="B30" s="93">
        <v>0</v>
      </c>
      <c r="C30" s="93" t="s">
        <v>1102</v>
      </c>
      <c r="D30" s="93">
        <v>6</v>
      </c>
      <c r="E30" s="109" t="s">
        <v>1109</v>
      </c>
      <c r="F30" s="93"/>
    </row>
    <row r="31" spans="2:12" ht="26.4">
      <c r="B31" s="93">
        <v>0</v>
      </c>
      <c r="C31" s="93" t="s">
        <v>1102</v>
      </c>
      <c r="D31" s="93">
        <v>7</v>
      </c>
      <c r="E31" s="109" t="s">
        <v>1110</v>
      </c>
      <c r="F31" s="93"/>
    </row>
    <row r="32" spans="2:12">
      <c r="B32" s="93">
        <v>1</v>
      </c>
      <c r="C32" s="93" t="s">
        <v>1111</v>
      </c>
      <c r="D32" s="93">
        <v>1</v>
      </c>
      <c r="E32" s="93" t="s">
        <v>1112</v>
      </c>
      <c r="F32" s="93" t="s">
        <v>1113</v>
      </c>
    </row>
    <row r="33" spans="2:6">
      <c r="B33" s="93">
        <v>1</v>
      </c>
      <c r="C33" s="93" t="s">
        <v>1111</v>
      </c>
      <c r="D33" s="93">
        <v>2</v>
      </c>
      <c r="E33" s="93" t="s">
        <v>1114</v>
      </c>
      <c r="F33" s="93"/>
    </row>
    <row r="34" spans="2:6">
      <c r="B34" s="93">
        <v>1</v>
      </c>
      <c r="C34" s="93" t="s">
        <v>1111</v>
      </c>
      <c r="D34" s="93">
        <v>3</v>
      </c>
      <c r="E34" s="93" t="s">
        <v>1115</v>
      </c>
      <c r="F34" s="93"/>
    </row>
    <row r="35" spans="2:6">
      <c r="B35" s="93">
        <v>1</v>
      </c>
      <c r="C35" s="93" t="s">
        <v>1111</v>
      </c>
      <c r="D35" s="93">
        <v>5</v>
      </c>
      <c r="E35" s="93" t="s">
        <v>1116</v>
      </c>
      <c r="F35" s="93"/>
    </row>
    <row r="36" spans="2:6">
      <c r="B36" s="93">
        <v>1</v>
      </c>
      <c r="C36" s="93" t="s">
        <v>1111</v>
      </c>
      <c r="D36" s="93">
        <v>6</v>
      </c>
      <c r="E36" s="93" t="s">
        <v>1117</v>
      </c>
      <c r="F36" s="93"/>
    </row>
    <row r="37" spans="2:6">
      <c r="B37" s="93">
        <v>1</v>
      </c>
      <c r="C37" s="93" t="s">
        <v>1111</v>
      </c>
      <c r="D37" s="93">
        <v>7</v>
      </c>
      <c r="E37" s="93" t="s">
        <v>1118</v>
      </c>
      <c r="F37" s="93"/>
    </row>
    <row r="38" spans="2:6">
      <c r="B38" s="93">
        <v>2</v>
      </c>
      <c r="C38" s="93" t="s">
        <v>1119</v>
      </c>
      <c r="D38" s="93">
        <v>0</v>
      </c>
      <c r="E38" s="109" t="s">
        <v>1120</v>
      </c>
      <c r="F38" s="93" t="s">
        <v>1121</v>
      </c>
    </row>
    <row r="39" spans="2:6">
      <c r="B39" s="93">
        <v>2</v>
      </c>
      <c r="C39" s="93" t="s">
        <v>1119</v>
      </c>
      <c r="D39" s="93">
        <v>1</v>
      </c>
      <c r="E39" s="109" t="s">
        <v>1122</v>
      </c>
      <c r="F39" s="93"/>
    </row>
    <row r="40" spans="2:6" ht="26.4">
      <c r="B40" s="93">
        <v>2</v>
      </c>
      <c r="C40" s="93" t="s">
        <v>1119</v>
      </c>
      <c r="D40" s="93">
        <v>2</v>
      </c>
      <c r="E40" s="109" t="s">
        <v>1123</v>
      </c>
      <c r="F40" s="93"/>
    </row>
    <row r="41" spans="2:6" ht="26.4">
      <c r="B41" s="93">
        <v>2</v>
      </c>
      <c r="C41" s="93" t="s">
        <v>1119</v>
      </c>
      <c r="D41" s="93">
        <v>3</v>
      </c>
      <c r="E41" s="109" t="s">
        <v>1124</v>
      </c>
      <c r="F41" s="93"/>
    </row>
    <row r="42" spans="2:6" ht="26.4">
      <c r="B42" s="93">
        <v>2</v>
      </c>
      <c r="C42" s="93" t="s">
        <v>1119</v>
      </c>
      <c r="D42" s="93">
        <v>4</v>
      </c>
      <c r="E42" s="109" t="s">
        <v>1125</v>
      </c>
      <c r="F42" s="93"/>
    </row>
    <row r="43" spans="2:6" ht="26.4">
      <c r="B43" s="93">
        <v>2</v>
      </c>
      <c r="C43" s="93" t="s">
        <v>1119</v>
      </c>
      <c r="D43" s="93">
        <v>5</v>
      </c>
      <c r="E43" s="109" t="s">
        <v>1126</v>
      </c>
      <c r="F43" s="93"/>
    </row>
    <row r="44" spans="2:6">
      <c r="B44" s="93">
        <v>2</v>
      </c>
      <c r="C44" s="93" t="s">
        <v>1119</v>
      </c>
      <c r="D44" s="93">
        <v>6</v>
      </c>
      <c r="E44" s="109" t="s">
        <v>1127</v>
      </c>
      <c r="F44" s="93"/>
    </row>
    <row r="45" spans="2:6">
      <c r="B45" s="93">
        <v>2</v>
      </c>
      <c r="C45" s="93" t="s">
        <v>1119</v>
      </c>
      <c r="D45" s="93">
        <v>7</v>
      </c>
      <c r="E45" s="93" t="s">
        <v>1128</v>
      </c>
      <c r="F45" s="93"/>
    </row>
    <row r="46" spans="2:6">
      <c r="B46" s="93">
        <v>2</v>
      </c>
      <c r="C46" s="93" t="s">
        <v>1119</v>
      </c>
      <c r="D46" s="93">
        <v>8</v>
      </c>
      <c r="E46" s="93" t="s">
        <v>1128</v>
      </c>
      <c r="F46" s="93"/>
    </row>
    <row r="47" spans="2:6">
      <c r="B47" s="93">
        <v>2</v>
      </c>
      <c r="C47" s="93" t="s">
        <v>1119</v>
      </c>
      <c r="D47" s="93">
        <v>9</v>
      </c>
      <c r="E47" s="93" t="s">
        <v>1129</v>
      </c>
      <c r="F47" s="93"/>
    </row>
    <row r="48" spans="2:6">
      <c r="B48" s="93">
        <v>2</v>
      </c>
      <c r="C48" s="93" t="s">
        <v>1119</v>
      </c>
      <c r="D48" s="93">
        <v>10</v>
      </c>
      <c r="E48" s="93" t="s">
        <v>1129</v>
      </c>
      <c r="F48" s="93"/>
    </row>
    <row r="49" spans="2:6">
      <c r="B49" s="93">
        <v>2</v>
      </c>
      <c r="C49" s="93" t="s">
        <v>1119</v>
      </c>
      <c r="D49" s="93">
        <v>11</v>
      </c>
      <c r="E49" s="93" t="s">
        <v>1129</v>
      </c>
      <c r="F49" s="93"/>
    </row>
    <row r="50" spans="2:6">
      <c r="B50" s="93">
        <v>4</v>
      </c>
      <c r="C50" s="93" t="s">
        <v>1065</v>
      </c>
      <c r="D50" s="93">
        <v>0</v>
      </c>
      <c r="E50" s="93" t="s">
        <v>1130</v>
      </c>
      <c r="F50" s="93"/>
    </row>
    <row r="51" spans="2:6">
      <c r="B51" s="93">
        <v>4</v>
      </c>
      <c r="C51" s="93" t="s">
        <v>1065</v>
      </c>
      <c r="D51" s="93">
        <v>1</v>
      </c>
      <c r="E51" s="93" t="s">
        <v>1131</v>
      </c>
      <c r="F51" s="93"/>
    </row>
    <row r="52" spans="2:6">
      <c r="B52" s="93">
        <v>4</v>
      </c>
      <c r="C52" s="93" t="s">
        <v>1065</v>
      </c>
      <c r="D52" s="93">
        <v>2</v>
      </c>
      <c r="E52" s="93" t="s">
        <v>1132</v>
      </c>
      <c r="F52" s="93"/>
    </row>
    <row r="53" spans="2:6">
      <c r="B53" s="93">
        <v>4</v>
      </c>
      <c r="C53" s="93" t="s">
        <v>1065</v>
      </c>
      <c r="D53" s="93">
        <v>3</v>
      </c>
      <c r="E53" s="93" t="s">
        <v>1133</v>
      </c>
      <c r="F53" s="93"/>
    </row>
    <row r="54" spans="2:6">
      <c r="B54" s="93">
        <v>4</v>
      </c>
      <c r="C54" s="93" t="s">
        <v>1065</v>
      </c>
      <c r="D54" s="93">
        <v>4</v>
      </c>
      <c r="E54" s="93" t="s">
        <v>1134</v>
      </c>
      <c r="F54" s="93"/>
    </row>
    <row r="55" spans="2:6">
      <c r="B55" s="93">
        <v>4</v>
      </c>
      <c r="C55" s="93" t="s">
        <v>1065</v>
      </c>
      <c r="D55" s="93">
        <v>5</v>
      </c>
      <c r="E55" s="93" t="s">
        <v>1135</v>
      </c>
      <c r="F55" s="93"/>
    </row>
    <row r="56" spans="2:6">
      <c r="B56" s="93">
        <v>4</v>
      </c>
      <c r="C56" s="93" t="s">
        <v>1065</v>
      </c>
      <c r="D56" s="93">
        <v>6</v>
      </c>
      <c r="E56" s="93" t="s">
        <v>1136</v>
      </c>
      <c r="F56" s="93"/>
    </row>
    <row r="57" spans="2:6">
      <c r="B57" s="93">
        <v>4</v>
      </c>
      <c r="C57" s="93" t="s">
        <v>1065</v>
      </c>
      <c r="D57" s="93">
        <v>254</v>
      </c>
      <c r="E57" s="93" t="s">
        <v>1137</v>
      </c>
      <c r="F57" s="93"/>
    </row>
    <row r="58" spans="2:6">
      <c r="B58" s="93">
        <v>60</v>
      </c>
      <c r="C58" s="93" t="s">
        <v>1138</v>
      </c>
      <c r="D58" s="93">
        <v>1</v>
      </c>
      <c r="E58" s="93" t="s">
        <v>1139</v>
      </c>
      <c r="F58" s="93" t="s">
        <v>1140</v>
      </c>
    </row>
    <row r="59" spans="2:6">
      <c r="B59" s="93">
        <v>60</v>
      </c>
      <c r="C59" s="93" t="s">
        <v>1138</v>
      </c>
      <c r="D59" s="93">
        <v>2</v>
      </c>
      <c r="E59" s="93" t="s">
        <v>1141</v>
      </c>
      <c r="F59" s="93"/>
    </row>
    <row r="60" spans="2:6">
      <c r="B60" s="93">
        <v>60</v>
      </c>
      <c r="C60" s="93" t="s">
        <v>1138</v>
      </c>
      <c r="D60" s="93">
        <v>3</v>
      </c>
      <c r="E60" s="93" t="s">
        <v>1142</v>
      </c>
      <c r="F60" s="93"/>
    </row>
    <row r="61" spans="2:6">
      <c r="B61" s="93">
        <v>61</v>
      </c>
      <c r="C61" s="93" t="s">
        <v>1143</v>
      </c>
      <c r="D61" s="93">
        <v>1</v>
      </c>
      <c r="E61" s="93" t="s">
        <v>1139</v>
      </c>
      <c r="F61" s="93" t="s">
        <v>1140</v>
      </c>
    </row>
    <row r="62" spans="2:6">
      <c r="B62" s="93">
        <v>61</v>
      </c>
      <c r="C62" s="93" t="s">
        <v>1143</v>
      </c>
      <c r="D62" s="93">
        <v>2</v>
      </c>
      <c r="E62" s="93" t="s">
        <v>1141</v>
      </c>
      <c r="F62" s="93"/>
    </row>
    <row r="63" spans="2:6">
      <c r="B63" s="93">
        <v>61</v>
      </c>
      <c r="C63" s="93" t="s">
        <v>1143</v>
      </c>
      <c r="D63" s="93">
        <v>3</v>
      </c>
      <c r="E63" s="93" t="s">
        <v>1142</v>
      </c>
      <c r="F63" s="93"/>
    </row>
    <row r="64" spans="2:6">
      <c r="B64" s="93">
        <v>64</v>
      </c>
      <c r="C64" s="93" t="s">
        <v>1144</v>
      </c>
      <c r="D64" s="93">
        <v>1</v>
      </c>
      <c r="E64" s="93" t="s">
        <v>1145</v>
      </c>
      <c r="F64" s="93"/>
    </row>
    <row r="65" spans="2:6">
      <c r="B65" s="93">
        <v>64</v>
      </c>
      <c r="C65" s="93" t="s">
        <v>1144</v>
      </c>
      <c r="D65" s="93">
        <v>2</v>
      </c>
      <c r="E65" s="93" t="s">
        <v>1146</v>
      </c>
      <c r="F65" s="93"/>
    </row>
    <row r="66" spans="2:6">
      <c r="B66" s="93">
        <v>78</v>
      </c>
      <c r="C66" s="93" t="s">
        <v>1147</v>
      </c>
      <c r="D66" s="93">
        <v>1</v>
      </c>
      <c r="E66" s="93" t="s">
        <v>1148</v>
      </c>
      <c r="F66" s="93"/>
    </row>
    <row r="67" spans="2:6">
      <c r="B67" s="93">
        <v>78</v>
      </c>
      <c r="C67" s="93" t="s">
        <v>1147</v>
      </c>
      <c r="D67" s="93">
        <v>2</v>
      </c>
      <c r="E67" s="93" t="s">
        <v>1149</v>
      </c>
      <c r="F67" s="93"/>
    </row>
  </sheetData>
  <mergeCells count="3">
    <mergeCell ref="B2:H2"/>
    <mergeCell ref="B6:H6"/>
    <mergeCell ref="B11:L11"/>
  </mergeCells>
  <phoneticPr fontId="33" type="noConversion"/>
  <dataValidations count="1">
    <dataValidation type="list" allowBlank="1" showInputMessage="1" showErrorMessage="1" sqref="E4" xr:uid="{00000000-0002-0000-0F00-000000000000}">
      <formula1>"quarter,hour,day,week,month,season(季度),year,维表,手动"</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89"/>
  <sheetViews>
    <sheetView topLeftCell="A4" zoomScale="85" zoomScaleNormal="85" workbookViewId="0">
      <pane ySplit="19" topLeftCell="A62" activePane="bottomLeft" state="frozen"/>
      <selection pane="bottomLeft" activeCell="H13" sqref="H13"/>
    </sheetView>
  </sheetViews>
  <sheetFormatPr defaultColWidth="9" defaultRowHeight="15.6"/>
  <cols>
    <col min="1" max="1" width="5" style="73" customWidth="1"/>
    <col min="2" max="2" width="18.88671875" style="73" customWidth="1"/>
    <col min="3" max="3" width="22.88671875" style="73" bestFit="1" customWidth="1"/>
    <col min="4" max="4" width="20.44140625" style="73" customWidth="1"/>
    <col min="5" max="5" width="16.21875" style="73" customWidth="1"/>
    <col min="6" max="6" width="22.6640625" style="73" customWidth="1"/>
    <col min="7" max="8" width="12.77734375" style="73" customWidth="1"/>
    <col min="9" max="11" width="8.6640625" style="73" customWidth="1"/>
    <col min="12" max="12" width="8.6640625" style="74" customWidth="1"/>
    <col min="13" max="16384" width="9" style="74"/>
  </cols>
  <sheetData>
    <row r="1" spans="2:14">
      <c r="B1" s="75" t="str">
        <f>HYPERLINK("#"&amp;"导航应用"&amp;"!B1","返回")</f>
        <v>返回</v>
      </c>
      <c r="C1" s="76"/>
      <c r="D1" s="76"/>
      <c r="E1" s="76"/>
      <c r="F1" s="76"/>
      <c r="G1" s="76"/>
      <c r="H1" s="76"/>
    </row>
    <row r="2" spans="2:14" ht="18" customHeight="1">
      <c r="B2" s="194" t="s">
        <v>168</v>
      </c>
      <c r="C2" s="195"/>
      <c r="D2" s="195"/>
      <c r="E2" s="195"/>
      <c r="F2" s="195"/>
      <c r="G2" s="195"/>
      <c r="H2" s="196"/>
    </row>
    <row r="3" spans="2:14">
      <c r="B3" s="77" t="s">
        <v>40</v>
      </c>
      <c r="C3" s="77" t="s">
        <v>169</v>
      </c>
      <c r="D3" s="77" t="s">
        <v>170</v>
      </c>
      <c r="E3" s="77" t="s">
        <v>171</v>
      </c>
      <c r="F3" s="77" t="s">
        <v>172</v>
      </c>
      <c r="G3" s="77" t="s">
        <v>43</v>
      </c>
      <c r="H3" s="77" t="s">
        <v>173</v>
      </c>
    </row>
    <row r="4" spans="2:14">
      <c r="B4" s="78"/>
      <c r="C4" s="79" t="s">
        <v>113</v>
      </c>
      <c r="D4" s="79" t="s">
        <v>114</v>
      </c>
      <c r="E4" s="82" t="s">
        <v>815</v>
      </c>
      <c r="F4" s="8"/>
      <c r="G4" s="82"/>
      <c r="H4" s="82"/>
      <c r="N4" s="73"/>
    </row>
    <row r="5" spans="2:14">
      <c r="B5" s="80"/>
      <c r="C5" s="80"/>
      <c r="D5" s="80"/>
      <c r="E5" s="80"/>
      <c r="F5" s="80"/>
      <c r="G5" s="80"/>
      <c r="H5" s="80"/>
    </row>
    <row r="6" spans="2:14" ht="18" customHeight="1">
      <c r="B6" s="194" t="s">
        <v>174</v>
      </c>
      <c r="C6" s="195"/>
      <c r="D6" s="195"/>
      <c r="E6" s="195"/>
      <c r="F6" s="195"/>
      <c r="G6" s="195"/>
      <c r="H6" s="196"/>
    </row>
    <row r="7" spans="2:14">
      <c r="B7" s="81" t="s">
        <v>175</v>
      </c>
      <c r="C7" s="81" t="s">
        <v>176</v>
      </c>
      <c r="D7" s="81" t="s">
        <v>177</v>
      </c>
      <c r="E7" s="81" t="s">
        <v>178</v>
      </c>
      <c r="F7" s="81" t="s">
        <v>179</v>
      </c>
      <c r="G7" s="81" t="s">
        <v>53</v>
      </c>
      <c r="H7" s="81" t="s">
        <v>180</v>
      </c>
    </row>
    <row r="8" spans="2:14">
      <c r="B8" s="82"/>
      <c r="C8" s="79"/>
      <c r="D8" s="79"/>
      <c r="E8" s="82" t="s">
        <v>182</v>
      </c>
      <c r="F8" s="82"/>
      <c r="G8" s="79"/>
      <c r="H8" s="66" t="s">
        <v>63</v>
      </c>
    </row>
    <row r="9" spans="2:14">
      <c r="B9" s="82"/>
      <c r="C9" s="79"/>
      <c r="D9" s="79"/>
      <c r="E9" s="82" t="s">
        <v>418</v>
      </c>
      <c r="F9" s="82"/>
      <c r="G9" s="79"/>
      <c r="H9" s="66"/>
    </row>
    <row r="11" spans="2:14">
      <c r="B11" s="197" t="s">
        <v>194</v>
      </c>
      <c r="C11" s="198"/>
      <c r="D11" s="198"/>
      <c r="E11" s="198"/>
      <c r="F11" s="198"/>
      <c r="G11" s="198"/>
      <c r="H11" s="198"/>
      <c r="I11" s="198"/>
      <c r="J11" s="198"/>
      <c r="K11" s="198"/>
      <c r="L11" s="199"/>
    </row>
    <row r="12" spans="2:14">
      <c r="B12" s="83" t="s">
        <v>195</v>
      </c>
      <c r="C12" s="83" t="s">
        <v>196</v>
      </c>
      <c r="D12" s="83" t="s">
        <v>197</v>
      </c>
      <c r="E12" s="83" t="s">
        <v>198</v>
      </c>
      <c r="F12" s="83" t="s">
        <v>199</v>
      </c>
      <c r="G12" s="83" t="s">
        <v>200</v>
      </c>
      <c r="H12" s="83" t="s">
        <v>201</v>
      </c>
      <c r="I12" s="83" t="s">
        <v>53</v>
      </c>
      <c r="J12" s="83" t="s">
        <v>202</v>
      </c>
      <c r="K12" s="83" t="s">
        <v>203</v>
      </c>
      <c r="L12" s="83" t="s">
        <v>204</v>
      </c>
    </row>
    <row r="13" spans="2:14">
      <c r="B13" s="84" t="s">
        <v>1150</v>
      </c>
      <c r="C13" s="82" t="s">
        <v>206</v>
      </c>
      <c r="D13" s="79" t="s">
        <v>1151</v>
      </c>
      <c r="E13" s="82"/>
      <c r="F13" s="82"/>
      <c r="G13" s="82"/>
      <c r="H13" s="86" t="str">
        <f t="shared" ref="H13:H18" si="0">_xlfn.CONCAT(",",B13," ",C13," comment '",D13,"'")</f>
        <v>,net_type string comment '网络类型'</v>
      </c>
      <c r="I13" s="82"/>
      <c r="J13" s="9" t="s">
        <v>818</v>
      </c>
      <c r="K13" s="9" t="s">
        <v>209</v>
      </c>
      <c r="L13" s="9" t="s">
        <v>209</v>
      </c>
    </row>
    <row r="14" spans="2:14">
      <c r="B14" s="84" t="s">
        <v>1093</v>
      </c>
      <c r="C14" s="82" t="s">
        <v>211</v>
      </c>
      <c r="D14" s="79" t="s">
        <v>1094</v>
      </c>
      <c r="E14" s="82"/>
      <c r="F14" s="82"/>
      <c r="G14" s="82"/>
      <c r="H14" s="86" t="str">
        <f t="shared" si="0"/>
        <v>,procedure_type int comment '流程类型
procedure_type'</v>
      </c>
      <c r="I14" s="82"/>
      <c r="J14" s="9" t="s">
        <v>818</v>
      </c>
      <c r="K14" s="9" t="s">
        <v>209</v>
      </c>
      <c r="L14" s="9" t="s">
        <v>209</v>
      </c>
    </row>
    <row r="15" spans="2:14">
      <c r="B15" s="84" t="s">
        <v>1095</v>
      </c>
      <c r="C15" s="82" t="s">
        <v>206</v>
      </c>
      <c r="D15" s="79" t="s">
        <v>1096</v>
      </c>
      <c r="E15" s="82"/>
      <c r="F15" s="82"/>
      <c r="G15" s="82"/>
      <c r="H15" s="86" t="str">
        <f t="shared" si="0"/>
        <v>,procedure_type_name string comment '流程类型
映射值'</v>
      </c>
      <c r="I15" s="82"/>
      <c r="J15" s="9" t="s">
        <v>818</v>
      </c>
      <c r="K15" s="9" t="s">
        <v>209</v>
      </c>
      <c r="L15" s="9" t="s">
        <v>209</v>
      </c>
    </row>
    <row r="16" spans="2:14">
      <c r="B16" s="84" t="s">
        <v>823</v>
      </c>
      <c r="C16" s="82" t="s">
        <v>206</v>
      </c>
      <c r="D16" s="79" t="s">
        <v>824</v>
      </c>
      <c r="E16" s="82"/>
      <c r="F16" s="82"/>
      <c r="G16" s="82"/>
      <c r="H16" s="86" t="str">
        <f t="shared" si="0"/>
        <v>,process_class string comment '流程分类'</v>
      </c>
      <c r="I16" s="82"/>
      <c r="J16" s="9" t="s">
        <v>818</v>
      </c>
      <c r="K16" s="9" t="s">
        <v>209</v>
      </c>
      <c r="L16" s="9" t="s">
        <v>209</v>
      </c>
    </row>
    <row r="17" spans="2:12">
      <c r="B17" s="84" t="s">
        <v>1152</v>
      </c>
      <c r="C17" s="82" t="s">
        <v>206</v>
      </c>
      <c r="D17" s="79" t="s">
        <v>1153</v>
      </c>
      <c r="E17" s="82"/>
      <c r="F17" s="82"/>
      <c r="G17" s="82"/>
      <c r="H17" s="86" t="str">
        <f t="shared" si="0"/>
        <v>,main_process_flag string comment '是否主要流程'</v>
      </c>
      <c r="I17" s="82"/>
      <c r="J17" s="9" t="s">
        <v>818</v>
      </c>
      <c r="K17" s="9" t="s">
        <v>209</v>
      </c>
      <c r="L17" s="9" t="s">
        <v>209</v>
      </c>
    </row>
    <row r="18" spans="2:12">
      <c r="B18" s="84" t="s">
        <v>1154</v>
      </c>
      <c r="C18" s="82" t="s">
        <v>206</v>
      </c>
      <c r="D18" s="79" t="s">
        <v>1155</v>
      </c>
      <c r="E18" s="82"/>
      <c r="F18" s="82"/>
      <c r="G18" s="82"/>
      <c r="H18" s="86" t="str">
        <f t="shared" si="0"/>
        <v>,process_name string comment '过程'</v>
      </c>
      <c r="I18" s="82"/>
      <c r="J18" s="9" t="s">
        <v>818</v>
      </c>
      <c r="K18" s="9" t="s">
        <v>209</v>
      </c>
      <c r="L18" s="9" t="s">
        <v>209</v>
      </c>
    </row>
    <row r="20" spans="2:12">
      <c r="B20" s="85" t="s">
        <v>840</v>
      </c>
    </row>
    <row r="21" spans="2:12">
      <c r="B21" s="82" t="s">
        <v>1150</v>
      </c>
      <c r="C21" s="84" t="s">
        <v>1093</v>
      </c>
      <c r="D21" s="84" t="s">
        <v>1095</v>
      </c>
      <c r="E21" s="79" t="s">
        <v>823</v>
      </c>
      <c r="F21" s="79" t="s">
        <v>1152</v>
      </c>
      <c r="G21" s="79" t="s">
        <v>1154</v>
      </c>
    </row>
    <row r="22" spans="2:12">
      <c r="B22" s="79" t="s">
        <v>1151</v>
      </c>
      <c r="C22" s="79" t="s">
        <v>1156</v>
      </c>
      <c r="D22" s="79" t="s">
        <v>1157</v>
      </c>
      <c r="E22" s="79" t="s">
        <v>824</v>
      </c>
      <c r="F22" s="79" t="s">
        <v>1153</v>
      </c>
      <c r="G22" s="79" t="s">
        <v>1155</v>
      </c>
    </row>
    <row r="23" spans="2:12">
      <c r="B23" s="79" t="s">
        <v>1158</v>
      </c>
      <c r="C23" s="79">
        <v>1</v>
      </c>
      <c r="D23" s="79" t="s">
        <v>1159</v>
      </c>
      <c r="E23" s="79" t="s">
        <v>1160</v>
      </c>
      <c r="F23" s="79" t="s">
        <v>63</v>
      </c>
      <c r="G23" s="79" t="s">
        <v>1161</v>
      </c>
    </row>
    <row r="24" spans="2:12">
      <c r="B24" s="79" t="s">
        <v>1158</v>
      </c>
      <c r="C24" s="79">
        <v>2</v>
      </c>
      <c r="D24" s="79" t="s">
        <v>1119</v>
      </c>
      <c r="E24" s="79" t="s">
        <v>1160</v>
      </c>
      <c r="F24" s="79" t="s">
        <v>63</v>
      </c>
      <c r="G24" s="79" t="s">
        <v>1161</v>
      </c>
    </row>
    <row r="25" spans="2:12">
      <c r="B25" s="79" t="s">
        <v>1158</v>
      </c>
      <c r="C25" s="79">
        <v>3</v>
      </c>
      <c r="D25" s="79" t="s">
        <v>1162</v>
      </c>
      <c r="E25" s="79" t="s">
        <v>1160</v>
      </c>
      <c r="F25" s="79" t="s">
        <v>63</v>
      </c>
      <c r="G25" s="79" t="s">
        <v>1161</v>
      </c>
    </row>
    <row r="26" spans="2:12">
      <c r="B26" s="79" t="s">
        <v>1158</v>
      </c>
      <c r="C26" s="79">
        <v>4</v>
      </c>
      <c r="D26" s="79" t="s">
        <v>1163</v>
      </c>
      <c r="E26" s="79" t="s">
        <v>1164</v>
      </c>
      <c r="F26" s="79" t="s">
        <v>63</v>
      </c>
      <c r="G26" s="79" t="s">
        <v>1161</v>
      </c>
    </row>
    <row r="27" spans="2:12">
      <c r="B27" s="79" t="s">
        <v>1158</v>
      </c>
      <c r="C27" s="79">
        <v>5</v>
      </c>
      <c r="D27" s="79" t="s">
        <v>1165</v>
      </c>
      <c r="E27" s="79" t="s">
        <v>1160</v>
      </c>
      <c r="F27" s="79" t="s">
        <v>63</v>
      </c>
      <c r="G27" s="79" t="s">
        <v>1161</v>
      </c>
    </row>
    <row r="28" spans="2:12">
      <c r="B28" s="79" t="s">
        <v>1158</v>
      </c>
      <c r="C28" s="79">
        <v>6</v>
      </c>
      <c r="D28" s="79" t="s">
        <v>1166</v>
      </c>
      <c r="E28" s="79" t="s">
        <v>1160</v>
      </c>
      <c r="F28" s="79" t="s">
        <v>63</v>
      </c>
      <c r="G28" s="79" t="s">
        <v>1167</v>
      </c>
    </row>
    <row r="29" spans="2:12">
      <c r="B29" s="79" t="s">
        <v>1158</v>
      </c>
      <c r="C29" s="79">
        <v>7</v>
      </c>
      <c r="D29" s="79" t="s">
        <v>1168</v>
      </c>
      <c r="E29" s="79" t="s">
        <v>1169</v>
      </c>
      <c r="F29" s="79" t="s">
        <v>108</v>
      </c>
      <c r="G29" s="79" t="s">
        <v>1161</v>
      </c>
    </row>
    <row r="30" spans="2:12">
      <c r="B30" s="79" t="s">
        <v>1158</v>
      </c>
      <c r="C30" s="79">
        <v>8</v>
      </c>
      <c r="D30" s="79" t="s">
        <v>1170</v>
      </c>
      <c r="E30" s="79" t="s">
        <v>1169</v>
      </c>
      <c r="F30" s="79" t="s">
        <v>108</v>
      </c>
      <c r="G30" s="79" t="s">
        <v>1167</v>
      </c>
    </row>
    <row r="31" spans="2:12">
      <c r="B31" s="79" t="s">
        <v>1158</v>
      </c>
      <c r="C31" s="79">
        <v>9</v>
      </c>
      <c r="D31" s="79" t="s">
        <v>1171</v>
      </c>
      <c r="E31" s="79" t="s">
        <v>1169</v>
      </c>
      <c r="F31" s="79" t="s">
        <v>108</v>
      </c>
      <c r="G31" s="79" t="s">
        <v>1167</v>
      </c>
    </row>
    <row r="32" spans="2:12">
      <c r="B32" s="79" t="s">
        <v>1158</v>
      </c>
      <c r="C32" s="79">
        <v>10</v>
      </c>
      <c r="D32" s="79" t="s">
        <v>1172</v>
      </c>
      <c r="E32" s="79" t="s">
        <v>1169</v>
      </c>
      <c r="F32" s="79" t="s">
        <v>108</v>
      </c>
      <c r="G32" s="79" t="s">
        <v>1167</v>
      </c>
    </row>
    <row r="33" spans="2:7">
      <c r="B33" s="79" t="s">
        <v>1158</v>
      </c>
      <c r="C33" s="79">
        <v>11</v>
      </c>
      <c r="D33" s="79" t="s">
        <v>1173</v>
      </c>
      <c r="E33" s="79" t="s">
        <v>1169</v>
      </c>
      <c r="F33" s="79" t="s">
        <v>108</v>
      </c>
      <c r="G33" s="79" t="s">
        <v>1167</v>
      </c>
    </row>
    <row r="34" spans="2:7">
      <c r="B34" s="79" t="s">
        <v>1158</v>
      </c>
      <c r="C34" s="79">
        <v>12</v>
      </c>
      <c r="D34" s="79" t="s">
        <v>1174</v>
      </c>
      <c r="E34" s="79" t="s">
        <v>1169</v>
      </c>
      <c r="F34" s="79" t="s">
        <v>108</v>
      </c>
      <c r="G34" s="79" t="s">
        <v>1167</v>
      </c>
    </row>
    <row r="35" spans="2:7">
      <c r="B35" s="79" t="s">
        <v>1158</v>
      </c>
      <c r="C35" s="79">
        <v>13</v>
      </c>
      <c r="D35" s="79" t="s">
        <v>1175</v>
      </c>
      <c r="E35" s="79" t="s">
        <v>1169</v>
      </c>
      <c r="F35" s="79" t="s">
        <v>108</v>
      </c>
      <c r="G35" s="79" t="s">
        <v>1161</v>
      </c>
    </row>
    <row r="36" spans="2:7">
      <c r="B36" s="79" t="s">
        <v>1158</v>
      </c>
      <c r="C36" s="79">
        <v>14</v>
      </c>
      <c r="D36" s="79" t="s">
        <v>1176</v>
      </c>
      <c r="E36" s="79" t="s">
        <v>1164</v>
      </c>
      <c r="F36" s="79" t="s">
        <v>108</v>
      </c>
      <c r="G36" s="79" t="s">
        <v>1167</v>
      </c>
    </row>
    <row r="37" spans="2:7">
      <c r="B37" s="79" t="s">
        <v>1158</v>
      </c>
      <c r="C37" s="79">
        <v>15</v>
      </c>
      <c r="D37" s="79" t="s">
        <v>1177</v>
      </c>
      <c r="E37" s="79" t="s">
        <v>1164</v>
      </c>
      <c r="F37" s="79" t="s">
        <v>108</v>
      </c>
      <c r="G37" s="79" t="s">
        <v>1167</v>
      </c>
    </row>
    <row r="38" spans="2:7">
      <c r="B38" s="79" t="s">
        <v>1158</v>
      </c>
      <c r="C38" s="79">
        <v>16</v>
      </c>
      <c r="D38" s="79" t="s">
        <v>1178</v>
      </c>
      <c r="E38" s="79" t="s">
        <v>1164</v>
      </c>
      <c r="F38" s="79" t="s">
        <v>108</v>
      </c>
      <c r="G38" s="79" t="s">
        <v>1167</v>
      </c>
    </row>
    <row r="39" spans="2:7">
      <c r="B39" s="79" t="s">
        <v>1158</v>
      </c>
      <c r="C39" s="79">
        <v>17</v>
      </c>
      <c r="D39" s="79" t="s">
        <v>1179</v>
      </c>
      <c r="E39" s="79" t="s">
        <v>1164</v>
      </c>
      <c r="F39" s="79" t="s">
        <v>108</v>
      </c>
      <c r="G39" s="79" t="s">
        <v>1167</v>
      </c>
    </row>
    <row r="40" spans="2:7">
      <c r="B40" s="79" t="s">
        <v>1158</v>
      </c>
      <c r="C40" s="79">
        <v>18</v>
      </c>
      <c r="D40" s="79" t="s">
        <v>1180</v>
      </c>
      <c r="E40" s="79" t="s">
        <v>1164</v>
      </c>
      <c r="F40" s="79" t="s">
        <v>108</v>
      </c>
      <c r="G40" s="79" t="s">
        <v>1161</v>
      </c>
    </row>
    <row r="41" spans="2:7">
      <c r="B41" s="79" t="s">
        <v>1158</v>
      </c>
      <c r="C41" s="79">
        <v>19</v>
      </c>
      <c r="D41" s="79" t="s">
        <v>1181</v>
      </c>
      <c r="E41" s="79" t="s">
        <v>1164</v>
      </c>
      <c r="F41" s="79" t="s">
        <v>108</v>
      </c>
      <c r="G41" s="79" t="s">
        <v>1167</v>
      </c>
    </row>
    <row r="42" spans="2:7">
      <c r="B42" s="79" t="s">
        <v>1158</v>
      </c>
      <c r="C42" s="79">
        <v>20</v>
      </c>
      <c r="D42" s="79" t="s">
        <v>1182</v>
      </c>
      <c r="E42" s="79" t="s">
        <v>1164</v>
      </c>
      <c r="F42" s="79" t="s">
        <v>63</v>
      </c>
      <c r="G42" s="79" t="s">
        <v>1167</v>
      </c>
    </row>
    <row r="43" spans="2:7">
      <c r="B43" s="79" t="s">
        <v>1158</v>
      </c>
      <c r="C43" s="79">
        <v>21</v>
      </c>
      <c r="D43" s="79" t="s">
        <v>1183</v>
      </c>
      <c r="E43" s="79" t="s">
        <v>1164</v>
      </c>
      <c r="F43" s="79" t="s">
        <v>108</v>
      </c>
      <c r="G43" s="79" t="s">
        <v>1167</v>
      </c>
    </row>
    <row r="44" spans="2:7">
      <c r="B44" s="79" t="s">
        <v>1158</v>
      </c>
      <c r="C44" s="79">
        <v>22</v>
      </c>
      <c r="D44" s="79" t="s">
        <v>1184</v>
      </c>
      <c r="E44" s="79" t="s">
        <v>1164</v>
      </c>
      <c r="F44" s="79" t="s">
        <v>108</v>
      </c>
      <c r="G44" s="79" t="s">
        <v>1167</v>
      </c>
    </row>
    <row r="45" spans="2:7">
      <c r="B45" s="79" t="s">
        <v>1158</v>
      </c>
      <c r="C45" s="79">
        <v>23</v>
      </c>
      <c r="D45" s="79" t="s">
        <v>1185</v>
      </c>
      <c r="E45" s="79" t="s">
        <v>1164</v>
      </c>
      <c r="F45" s="79" t="s">
        <v>108</v>
      </c>
      <c r="G45" s="79" t="s">
        <v>1167</v>
      </c>
    </row>
    <row r="46" spans="2:7">
      <c r="B46" s="79" t="s">
        <v>1158</v>
      </c>
      <c r="C46" s="79">
        <v>24</v>
      </c>
      <c r="D46" s="79" t="s">
        <v>1186</v>
      </c>
      <c r="E46" s="79" t="s">
        <v>1164</v>
      </c>
      <c r="F46" s="79" t="s">
        <v>108</v>
      </c>
      <c r="G46" s="79" t="s">
        <v>1187</v>
      </c>
    </row>
    <row r="47" spans="2:7">
      <c r="B47" s="79" t="s">
        <v>1158</v>
      </c>
      <c r="C47" s="79">
        <v>25</v>
      </c>
      <c r="D47" s="79" t="s">
        <v>1188</v>
      </c>
      <c r="E47" s="79" t="s">
        <v>1164</v>
      </c>
      <c r="F47" s="79" t="s">
        <v>108</v>
      </c>
      <c r="G47" s="79" t="s">
        <v>1167</v>
      </c>
    </row>
    <row r="48" spans="2:7">
      <c r="B48" s="79" t="s">
        <v>1158</v>
      </c>
      <c r="C48" s="79">
        <v>26</v>
      </c>
      <c r="D48" s="79" t="s">
        <v>1189</v>
      </c>
      <c r="E48" s="79" t="s">
        <v>1164</v>
      </c>
      <c r="F48" s="79" t="s">
        <v>108</v>
      </c>
      <c r="G48" s="79" t="s">
        <v>1167</v>
      </c>
    </row>
    <row r="49" spans="2:7">
      <c r="B49" s="79" t="s">
        <v>1158</v>
      </c>
      <c r="C49" s="79">
        <v>27</v>
      </c>
      <c r="D49" s="79" t="s">
        <v>1190</v>
      </c>
      <c r="E49" s="79" t="s">
        <v>1164</v>
      </c>
      <c r="F49" s="79" t="s">
        <v>108</v>
      </c>
      <c r="G49" s="79" t="s">
        <v>1167</v>
      </c>
    </row>
    <row r="50" spans="2:7">
      <c r="B50" s="79" t="s">
        <v>1158</v>
      </c>
      <c r="C50" s="79">
        <v>28</v>
      </c>
      <c r="D50" s="79" t="s">
        <v>1191</v>
      </c>
      <c r="E50" s="79" t="s">
        <v>1164</v>
      </c>
      <c r="F50" s="79" t="s">
        <v>108</v>
      </c>
      <c r="G50" s="79" t="s">
        <v>1167</v>
      </c>
    </row>
    <row r="51" spans="2:7">
      <c r="B51" s="79" t="s">
        <v>1158</v>
      </c>
      <c r="C51" s="79">
        <v>29</v>
      </c>
      <c r="D51" s="79" t="s">
        <v>1192</v>
      </c>
      <c r="E51" s="79" t="s">
        <v>1160</v>
      </c>
      <c r="F51" s="79" t="s">
        <v>108</v>
      </c>
      <c r="G51" s="79" t="s">
        <v>1161</v>
      </c>
    </row>
    <row r="52" spans="2:7">
      <c r="B52" s="79" t="s">
        <v>1158</v>
      </c>
      <c r="C52" s="79">
        <v>30</v>
      </c>
      <c r="D52" s="79" t="s">
        <v>1193</v>
      </c>
      <c r="E52" s="79" t="s">
        <v>1160</v>
      </c>
      <c r="F52" s="79" t="s">
        <v>108</v>
      </c>
      <c r="G52" s="79" t="s">
        <v>1161</v>
      </c>
    </row>
    <row r="53" spans="2:7">
      <c r="B53" s="79" t="s">
        <v>1158</v>
      </c>
      <c r="C53" s="79">
        <v>31</v>
      </c>
      <c r="D53" s="79" t="s">
        <v>1194</v>
      </c>
      <c r="E53" s="79" t="s">
        <v>1160</v>
      </c>
      <c r="F53" s="79" t="s">
        <v>108</v>
      </c>
      <c r="G53" s="79" t="s">
        <v>1161</v>
      </c>
    </row>
    <row r="54" spans="2:7">
      <c r="B54" s="79" t="s">
        <v>1158</v>
      </c>
      <c r="C54" s="79">
        <v>32</v>
      </c>
      <c r="D54" s="79" t="s">
        <v>1065</v>
      </c>
      <c r="E54" s="79" t="s">
        <v>1065</v>
      </c>
      <c r="F54" s="79" t="s">
        <v>63</v>
      </c>
      <c r="G54" s="79" t="s">
        <v>1161</v>
      </c>
    </row>
    <row r="55" spans="2:7">
      <c r="B55" s="79" t="s">
        <v>1158</v>
      </c>
      <c r="C55" s="79">
        <v>36</v>
      </c>
      <c r="D55" s="79" t="s">
        <v>1195</v>
      </c>
      <c r="E55" s="79" t="s">
        <v>1164</v>
      </c>
      <c r="F55" s="79" t="s">
        <v>108</v>
      </c>
      <c r="G55" s="79" t="s">
        <v>1161</v>
      </c>
    </row>
    <row r="56" spans="2:7">
      <c r="B56" s="79" t="s">
        <v>1158</v>
      </c>
      <c r="C56" s="79">
        <v>100</v>
      </c>
      <c r="D56" s="79" t="s">
        <v>1196</v>
      </c>
      <c r="E56" s="79" t="s">
        <v>1164</v>
      </c>
      <c r="F56" s="79" t="s">
        <v>108</v>
      </c>
      <c r="G56" s="79" t="s">
        <v>1187</v>
      </c>
    </row>
    <row r="57" spans="2:7">
      <c r="B57" s="79" t="s">
        <v>1158</v>
      </c>
      <c r="C57" s="79">
        <v>101</v>
      </c>
      <c r="D57" s="79" t="s">
        <v>1197</v>
      </c>
      <c r="E57" s="79" t="s">
        <v>1164</v>
      </c>
      <c r="F57" s="79" t="s">
        <v>108</v>
      </c>
      <c r="G57" s="79" t="s">
        <v>1167</v>
      </c>
    </row>
    <row r="58" spans="2:7">
      <c r="B58" s="79" t="s">
        <v>1158</v>
      </c>
      <c r="C58" s="79">
        <v>102</v>
      </c>
      <c r="D58" s="79" t="s">
        <v>1198</v>
      </c>
      <c r="E58" s="79" t="s">
        <v>1169</v>
      </c>
      <c r="F58" s="79" t="s">
        <v>108</v>
      </c>
      <c r="G58" s="79" t="s">
        <v>1161</v>
      </c>
    </row>
    <row r="59" spans="2:7">
      <c r="B59" s="79" t="s">
        <v>1158</v>
      </c>
      <c r="C59" s="79">
        <v>103</v>
      </c>
      <c r="D59" s="79" t="s">
        <v>1199</v>
      </c>
      <c r="E59" s="79" t="s">
        <v>1160</v>
      </c>
      <c r="F59" s="79" t="s">
        <v>108</v>
      </c>
      <c r="G59" s="79" t="s">
        <v>1161</v>
      </c>
    </row>
    <row r="60" spans="2:7">
      <c r="B60" s="79" t="s">
        <v>1158</v>
      </c>
      <c r="C60" s="79">
        <v>104</v>
      </c>
      <c r="D60" s="79" t="s">
        <v>1200</v>
      </c>
      <c r="E60" s="79" t="s">
        <v>1164</v>
      </c>
      <c r="F60" s="79" t="s">
        <v>108</v>
      </c>
      <c r="G60" s="79" t="s">
        <v>1167</v>
      </c>
    </row>
    <row r="61" spans="2:7">
      <c r="B61" s="79" t="s">
        <v>1158</v>
      </c>
      <c r="C61" s="79">
        <v>105</v>
      </c>
      <c r="D61" s="79" t="s">
        <v>1201</v>
      </c>
      <c r="E61" s="79" t="s">
        <v>1164</v>
      </c>
      <c r="F61" s="79" t="s">
        <v>108</v>
      </c>
      <c r="G61" s="79" t="s">
        <v>1167</v>
      </c>
    </row>
    <row r="62" spans="2:7">
      <c r="B62" s="79" t="s">
        <v>1158</v>
      </c>
      <c r="C62" s="79">
        <v>106</v>
      </c>
      <c r="D62" s="79" t="s">
        <v>1202</v>
      </c>
      <c r="E62" s="79" t="s">
        <v>1164</v>
      </c>
      <c r="F62" s="79" t="s">
        <v>108</v>
      </c>
      <c r="G62" s="79" t="s">
        <v>1167</v>
      </c>
    </row>
    <row r="63" spans="2:7">
      <c r="B63" s="79" t="s">
        <v>1158</v>
      </c>
      <c r="C63" s="79">
        <v>107</v>
      </c>
      <c r="D63" s="79" t="s">
        <v>1203</v>
      </c>
      <c r="E63" s="79" t="s">
        <v>1164</v>
      </c>
      <c r="F63" s="79" t="s">
        <v>108</v>
      </c>
      <c r="G63" s="79" t="s">
        <v>1167</v>
      </c>
    </row>
    <row r="64" spans="2:7">
      <c r="B64" s="79" t="s">
        <v>1158</v>
      </c>
      <c r="C64" s="79">
        <v>108</v>
      </c>
      <c r="D64" s="79" t="s">
        <v>1204</v>
      </c>
      <c r="E64" s="79" t="s">
        <v>1164</v>
      </c>
      <c r="F64" s="79" t="s">
        <v>108</v>
      </c>
      <c r="G64" s="79" t="s">
        <v>1167</v>
      </c>
    </row>
    <row r="65" spans="2:7">
      <c r="B65" s="79" t="s">
        <v>1158</v>
      </c>
      <c r="C65" s="79">
        <v>109</v>
      </c>
      <c r="D65" s="79" t="s">
        <v>1195</v>
      </c>
      <c r="E65" s="79" t="s">
        <v>1164</v>
      </c>
      <c r="F65" s="79" t="s">
        <v>108</v>
      </c>
      <c r="G65" s="79" t="s">
        <v>1161</v>
      </c>
    </row>
    <row r="66" spans="2:7">
      <c r="B66" s="79" t="s">
        <v>1205</v>
      </c>
      <c r="C66" s="79">
        <v>0</v>
      </c>
      <c r="D66" s="79" t="s">
        <v>1102</v>
      </c>
      <c r="E66" s="79" t="s">
        <v>843</v>
      </c>
      <c r="F66" s="79"/>
      <c r="G66" s="79"/>
    </row>
    <row r="67" spans="2:7">
      <c r="B67" s="79" t="s">
        <v>1205</v>
      </c>
      <c r="C67" s="79">
        <v>1</v>
      </c>
      <c r="D67" s="79" t="s">
        <v>1111</v>
      </c>
      <c r="E67" s="79" t="s">
        <v>843</v>
      </c>
      <c r="F67" s="79"/>
      <c r="G67" s="79"/>
    </row>
    <row r="68" spans="2:7">
      <c r="B68" s="79" t="s">
        <v>1205</v>
      </c>
      <c r="C68" s="79">
        <v>2</v>
      </c>
      <c r="D68" s="79" t="s">
        <v>1206</v>
      </c>
      <c r="E68" s="79" t="s">
        <v>843</v>
      </c>
      <c r="F68" s="79"/>
      <c r="G68" s="79"/>
    </row>
    <row r="69" spans="2:7">
      <c r="B69" s="79" t="s">
        <v>1205</v>
      </c>
      <c r="C69" s="79">
        <v>3</v>
      </c>
      <c r="D69" s="79" t="s">
        <v>1207</v>
      </c>
      <c r="E69" s="79" t="s">
        <v>843</v>
      </c>
      <c r="F69" s="79"/>
      <c r="G69" s="79"/>
    </row>
    <row r="70" spans="2:7">
      <c r="B70" s="79" t="s">
        <v>1205</v>
      </c>
      <c r="C70" s="79">
        <v>4</v>
      </c>
      <c r="D70" s="79" t="s">
        <v>1065</v>
      </c>
      <c r="E70" s="79" t="s">
        <v>1065</v>
      </c>
      <c r="F70" s="79"/>
      <c r="G70" s="79"/>
    </row>
    <row r="71" spans="2:7">
      <c r="B71" s="79" t="s">
        <v>1205</v>
      </c>
      <c r="C71" s="79">
        <v>30</v>
      </c>
      <c r="D71" s="79" t="s">
        <v>1208</v>
      </c>
      <c r="E71" s="79" t="s">
        <v>899</v>
      </c>
      <c r="F71" s="79"/>
      <c r="G71" s="79"/>
    </row>
    <row r="72" spans="2:7">
      <c r="B72" s="79" t="s">
        <v>1205</v>
      </c>
      <c r="C72" s="79">
        <v>31</v>
      </c>
      <c r="D72" s="79" t="s">
        <v>1209</v>
      </c>
      <c r="E72" s="79" t="s">
        <v>899</v>
      </c>
      <c r="F72" s="79"/>
      <c r="G72" s="79"/>
    </row>
    <row r="73" spans="2:7">
      <c r="B73" s="79" t="s">
        <v>1205</v>
      </c>
      <c r="C73" s="79">
        <v>32</v>
      </c>
      <c r="D73" s="79" t="s">
        <v>1210</v>
      </c>
      <c r="E73" s="79" t="s">
        <v>899</v>
      </c>
      <c r="F73" s="79"/>
      <c r="G73" s="79"/>
    </row>
    <row r="74" spans="2:7">
      <c r="B74" s="79" t="s">
        <v>1205</v>
      </c>
      <c r="C74" s="79">
        <v>60</v>
      </c>
      <c r="D74" s="79" t="s">
        <v>1138</v>
      </c>
      <c r="E74" s="79" t="s">
        <v>934</v>
      </c>
      <c r="F74" s="79"/>
      <c r="G74" s="79"/>
    </row>
    <row r="75" spans="2:7">
      <c r="B75" s="79" t="s">
        <v>1205</v>
      </c>
      <c r="C75" s="79">
        <v>61</v>
      </c>
      <c r="D75" s="79" t="s">
        <v>1143</v>
      </c>
      <c r="E75" s="79" t="s">
        <v>934</v>
      </c>
      <c r="F75" s="79"/>
      <c r="G75" s="79"/>
    </row>
    <row r="76" spans="2:7">
      <c r="B76" s="79" t="s">
        <v>1205</v>
      </c>
      <c r="C76" s="79">
        <v>62</v>
      </c>
      <c r="D76" s="79" t="s">
        <v>1211</v>
      </c>
      <c r="E76" s="79" t="s">
        <v>934</v>
      </c>
      <c r="F76" s="79"/>
      <c r="G76" s="79"/>
    </row>
    <row r="77" spans="2:7">
      <c r="B77" s="79" t="s">
        <v>1205</v>
      </c>
      <c r="C77" s="79">
        <v>63</v>
      </c>
      <c r="D77" s="79" t="s">
        <v>1212</v>
      </c>
      <c r="E77" s="79" t="s">
        <v>934</v>
      </c>
      <c r="F77" s="79"/>
      <c r="G77" s="79"/>
    </row>
    <row r="78" spans="2:7">
      <c r="B78" s="79" t="s">
        <v>1205</v>
      </c>
      <c r="C78" s="79">
        <v>64</v>
      </c>
      <c r="D78" s="79" t="s">
        <v>1182</v>
      </c>
      <c r="E78" s="79" t="s">
        <v>934</v>
      </c>
      <c r="F78" s="79"/>
      <c r="G78" s="79"/>
    </row>
    <row r="79" spans="2:7">
      <c r="B79" s="79" t="s">
        <v>1205</v>
      </c>
      <c r="C79" s="79">
        <v>73</v>
      </c>
      <c r="D79" s="79" t="s">
        <v>1195</v>
      </c>
      <c r="E79" s="79" t="s">
        <v>934</v>
      </c>
      <c r="F79" s="79"/>
      <c r="G79" s="79"/>
    </row>
    <row r="80" spans="2:7">
      <c r="B80" s="79" t="s">
        <v>1205</v>
      </c>
      <c r="C80" s="79">
        <v>74</v>
      </c>
      <c r="D80" s="79" t="s">
        <v>1213</v>
      </c>
      <c r="E80" s="79" t="s">
        <v>934</v>
      </c>
      <c r="F80" s="79"/>
      <c r="G80" s="79"/>
    </row>
    <row r="81" spans="2:7">
      <c r="B81" s="79" t="s">
        <v>1205</v>
      </c>
      <c r="C81" s="79">
        <v>75</v>
      </c>
      <c r="D81" s="79" t="s">
        <v>1214</v>
      </c>
      <c r="E81" s="79" t="s">
        <v>934</v>
      </c>
      <c r="F81" s="79"/>
      <c r="G81" s="79"/>
    </row>
    <row r="82" spans="2:7">
      <c r="B82" s="79" t="s">
        <v>1205</v>
      </c>
      <c r="C82" s="79">
        <v>76</v>
      </c>
      <c r="D82" s="79" t="s">
        <v>1215</v>
      </c>
      <c r="E82" s="79" t="s">
        <v>934</v>
      </c>
      <c r="F82" s="79"/>
      <c r="G82" s="79"/>
    </row>
    <row r="83" spans="2:7">
      <c r="B83" s="79" t="s">
        <v>1205</v>
      </c>
      <c r="C83" s="79">
        <v>77</v>
      </c>
      <c r="D83" s="79" t="s">
        <v>1216</v>
      </c>
      <c r="E83" s="79" t="s">
        <v>934</v>
      </c>
      <c r="F83" s="79"/>
      <c r="G83" s="79"/>
    </row>
    <row r="84" spans="2:7">
      <c r="B84" s="79" t="s">
        <v>1205</v>
      </c>
      <c r="C84" s="79">
        <v>78</v>
      </c>
      <c r="D84" s="79" t="s">
        <v>1147</v>
      </c>
      <c r="E84" s="79" t="s">
        <v>934</v>
      </c>
      <c r="F84" s="79"/>
      <c r="G84" s="79"/>
    </row>
    <row r="85" spans="2:7">
      <c r="B85" s="79" t="s">
        <v>1205</v>
      </c>
      <c r="C85" s="79">
        <v>79</v>
      </c>
      <c r="D85" s="79" t="s">
        <v>1185</v>
      </c>
      <c r="E85" s="79" t="s">
        <v>934</v>
      </c>
      <c r="F85" s="79"/>
      <c r="G85" s="79"/>
    </row>
    <row r="86" spans="2:7">
      <c r="B86" s="79" t="s">
        <v>1205</v>
      </c>
      <c r="C86" s="79">
        <v>80</v>
      </c>
      <c r="D86" s="79" t="s">
        <v>1217</v>
      </c>
      <c r="E86" s="79" t="s">
        <v>934</v>
      </c>
      <c r="F86" s="79"/>
      <c r="G86" s="79"/>
    </row>
    <row r="87" spans="2:7">
      <c r="B87" s="79" t="s">
        <v>1205</v>
      </c>
      <c r="C87" s="79">
        <v>81</v>
      </c>
      <c r="D87" s="79" t="s">
        <v>1218</v>
      </c>
      <c r="E87" s="79" t="s">
        <v>934</v>
      </c>
      <c r="F87" s="79"/>
      <c r="G87" s="79"/>
    </row>
    <row r="88" spans="2:7">
      <c r="B88" s="79" t="s">
        <v>1205</v>
      </c>
      <c r="C88" s="79">
        <v>82</v>
      </c>
      <c r="D88" s="79" t="s">
        <v>1219</v>
      </c>
      <c r="E88" s="79" t="s">
        <v>934</v>
      </c>
      <c r="F88" s="79"/>
      <c r="G88" s="79"/>
    </row>
    <row r="89" spans="2:7">
      <c r="B89" s="79" t="s">
        <v>1205</v>
      </c>
      <c r="C89" s="79">
        <v>83</v>
      </c>
      <c r="D89" s="79" t="s">
        <v>1220</v>
      </c>
      <c r="E89" s="79" t="s">
        <v>934</v>
      </c>
      <c r="F89" s="79"/>
      <c r="G89" s="79"/>
    </row>
  </sheetData>
  <mergeCells count="3">
    <mergeCell ref="B2:H2"/>
    <mergeCell ref="B6:H6"/>
    <mergeCell ref="B11:L11"/>
  </mergeCells>
  <phoneticPr fontId="33" type="noConversion"/>
  <dataValidations count="1">
    <dataValidation type="list" allowBlank="1" showInputMessage="1" showErrorMessage="1" sqref="E4" xr:uid="{00000000-0002-0000-1000-000000000000}">
      <formula1>"quarter,hour,day,week,month,season(季度),year,维表,手动"</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38"/>
  <sheetViews>
    <sheetView zoomScale="85" zoomScaleNormal="85" workbookViewId="0">
      <pane ySplit="5" topLeftCell="A6" activePane="bottomLeft" state="frozen"/>
      <selection pane="bottomLeft" activeCell="C13" sqref="C13"/>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71"/>
      <c r="C2" s="171"/>
      <c r="D2" s="171"/>
      <c r="E2" s="171"/>
      <c r="F2" s="173"/>
      <c r="G2" s="171"/>
      <c r="H2" s="173"/>
    </row>
    <row r="3" spans="2:14">
      <c r="B3" s="172" t="s">
        <v>168</v>
      </c>
      <c r="C3" s="172"/>
      <c r="D3" s="172"/>
      <c r="E3" s="172"/>
      <c r="F3" s="174"/>
      <c r="G3" s="172"/>
      <c r="H3" s="174"/>
    </row>
    <row r="4" spans="2:14">
      <c r="B4" s="7" t="s">
        <v>40</v>
      </c>
      <c r="C4" s="7" t="s">
        <v>169</v>
      </c>
      <c r="D4" s="7" t="s">
        <v>170</v>
      </c>
      <c r="E4" s="7" t="s">
        <v>171</v>
      </c>
      <c r="F4" s="11" t="s">
        <v>172</v>
      </c>
      <c r="G4" s="7" t="s">
        <v>43</v>
      </c>
      <c r="H4" s="11" t="s">
        <v>173</v>
      </c>
    </row>
    <row r="5" spans="2:14">
      <c r="B5" s="8" t="s">
        <v>19</v>
      </c>
      <c r="C5" s="9" t="s">
        <v>115</v>
      </c>
      <c r="D5" s="10" t="s">
        <v>116</v>
      </c>
      <c r="E5" s="12" t="s">
        <v>12</v>
      </c>
      <c r="F5" s="17"/>
      <c r="G5" s="12"/>
      <c r="H5" s="12"/>
      <c r="N5" s="3"/>
    </row>
    <row r="6" spans="2:14">
      <c r="B6" s="6"/>
      <c r="C6" s="6"/>
      <c r="D6" s="6"/>
      <c r="E6" s="6"/>
      <c r="F6" s="18"/>
      <c r="G6" s="6"/>
      <c r="H6" s="18"/>
    </row>
    <row r="7" spans="2:14">
      <c r="B7" s="172" t="s">
        <v>174</v>
      </c>
      <c r="C7" s="172"/>
      <c r="D7" s="172"/>
      <c r="E7" s="172"/>
      <c r="F7" s="174"/>
      <c r="G7" s="172"/>
      <c r="H7" s="174"/>
    </row>
    <row r="8" spans="2:14">
      <c r="B8" s="11" t="s">
        <v>175</v>
      </c>
      <c r="C8" s="11" t="s">
        <v>176</v>
      </c>
      <c r="D8" s="11" t="s">
        <v>177</v>
      </c>
      <c r="E8" s="11" t="s">
        <v>178</v>
      </c>
      <c r="F8" s="11" t="s">
        <v>179</v>
      </c>
      <c r="G8" s="11" t="s">
        <v>53</v>
      </c>
      <c r="H8" s="11" t="s">
        <v>180</v>
      </c>
    </row>
    <row r="9" spans="2:14">
      <c r="B9" s="12"/>
      <c r="C9" s="9" t="s">
        <v>1221</v>
      </c>
      <c r="D9" s="10" t="s">
        <v>1222</v>
      </c>
      <c r="E9" s="12" t="s">
        <v>182</v>
      </c>
      <c r="F9" s="19"/>
      <c r="G9" s="22"/>
      <c r="H9" s="20" t="s">
        <v>63</v>
      </c>
    </row>
    <row r="10" spans="2:14">
      <c r="B10" s="12"/>
      <c r="C10" s="9" t="s">
        <v>113</v>
      </c>
      <c r="D10" s="10" t="s">
        <v>114</v>
      </c>
      <c r="E10" s="12" t="s">
        <v>418</v>
      </c>
      <c r="F10" s="19" t="s">
        <v>1223</v>
      </c>
      <c r="G10" s="22" t="s">
        <v>1224</v>
      </c>
      <c r="H10" s="20"/>
    </row>
    <row r="11" spans="2:14" ht="39.6">
      <c r="B11" s="12"/>
      <c r="C11" s="9" t="s">
        <v>106</v>
      </c>
      <c r="D11" s="10" t="s">
        <v>107</v>
      </c>
      <c r="E11" s="12" t="s">
        <v>789</v>
      </c>
      <c r="F11" s="19"/>
      <c r="G11" s="22" t="s">
        <v>1225</v>
      </c>
      <c r="H11" s="20"/>
    </row>
    <row r="12" spans="2:14" ht="26.4">
      <c r="B12" s="12"/>
      <c r="C12" s="9" t="s">
        <v>111</v>
      </c>
      <c r="D12" s="10" t="s">
        <v>112</v>
      </c>
      <c r="E12" s="12" t="s">
        <v>1226</v>
      </c>
      <c r="F12" s="19"/>
      <c r="G12" s="22" t="s">
        <v>1227</v>
      </c>
      <c r="H12" s="20"/>
    </row>
    <row r="13" spans="2:14">
      <c r="B13" s="12"/>
      <c r="C13" s="9" t="s">
        <v>183</v>
      </c>
      <c r="D13" s="9" t="s">
        <v>1228</v>
      </c>
      <c r="E13" s="12" t="s">
        <v>1229</v>
      </c>
      <c r="F13" s="19" t="s">
        <v>1230</v>
      </c>
      <c r="G13" s="22" t="s">
        <v>1231</v>
      </c>
      <c r="H13" s="20"/>
    </row>
    <row r="14" spans="2:14">
      <c r="G14" s="62"/>
    </row>
    <row r="15" spans="2:14">
      <c r="B15" s="3" t="s">
        <v>194</v>
      </c>
    </row>
    <row r="16" spans="2:14">
      <c r="B16" s="172" t="s">
        <v>194</v>
      </c>
      <c r="C16" s="172"/>
      <c r="D16" s="172"/>
      <c r="E16" s="172"/>
      <c r="F16" s="174"/>
      <c r="G16" s="172"/>
      <c r="H16" s="174"/>
      <c r="I16" s="172"/>
      <c r="J16" s="172"/>
      <c r="K16" s="172"/>
      <c r="L16" s="172"/>
    </row>
    <row r="17" spans="2:12">
      <c r="B17" s="7" t="s">
        <v>195</v>
      </c>
      <c r="C17" s="7" t="s">
        <v>196</v>
      </c>
      <c r="D17" s="7" t="s">
        <v>197</v>
      </c>
      <c r="E17" s="7" t="s">
        <v>198</v>
      </c>
      <c r="F17" s="11" t="s">
        <v>199</v>
      </c>
      <c r="G17" s="7" t="s">
        <v>200</v>
      </c>
      <c r="H17" s="11" t="s">
        <v>201</v>
      </c>
      <c r="I17" s="7" t="s">
        <v>53</v>
      </c>
      <c r="J17" s="7" t="s">
        <v>202</v>
      </c>
      <c r="K17" s="7" t="s">
        <v>203</v>
      </c>
      <c r="L17" s="7" t="s">
        <v>204</v>
      </c>
    </row>
    <row r="18" spans="2:12" s="1" customFormat="1">
      <c r="B18" s="13" t="s">
        <v>214</v>
      </c>
      <c r="C18" s="13" t="s">
        <v>211</v>
      </c>
      <c r="D18" s="9" t="s">
        <v>1232</v>
      </c>
      <c r="E18" s="21" t="s">
        <v>182</v>
      </c>
      <c r="F18" s="19" t="s">
        <v>214</v>
      </c>
      <c r="G18" s="22" t="s">
        <v>208</v>
      </c>
      <c r="H18" s="164" t="str">
        <f>_xlfn.CONCAT(",",F18," as ",B18)</f>
        <v>,interface as interface</v>
      </c>
      <c r="I18" s="25"/>
      <c r="J18" s="25" t="s">
        <v>117</v>
      </c>
      <c r="K18" s="25" t="s">
        <v>209</v>
      </c>
      <c r="L18" s="25" t="s">
        <v>209</v>
      </c>
    </row>
    <row r="19" spans="2:12" s="1" customFormat="1">
      <c r="B19" s="13" t="s">
        <v>1233</v>
      </c>
      <c r="C19" s="13" t="s">
        <v>206</v>
      </c>
      <c r="D19" s="9" t="s">
        <v>1234</v>
      </c>
      <c r="E19" s="21" t="s">
        <v>182</v>
      </c>
      <c r="F19" s="19" t="s">
        <v>1233</v>
      </c>
      <c r="G19" s="22" t="s">
        <v>208</v>
      </c>
      <c r="H19" s="164" t="str">
        <f t="shared" ref="H19:H50" si="0">_xlfn.CONCAT(",",F19," as ",B19)</f>
        <v>,xdr_id as xdr_id</v>
      </c>
      <c r="I19" s="25"/>
      <c r="J19" s="25" t="s">
        <v>117</v>
      </c>
      <c r="K19" s="25" t="s">
        <v>209</v>
      </c>
      <c r="L19" s="25" t="s">
        <v>209</v>
      </c>
    </row>
    <row r="20" spans="2:12" s="1" customFormat="1">
      <c r="B20" s="13" t="s">
        <v>2371</v>
      </c>
      <c r="C20" s="13" t="s">
        <v>206</v>
      </c>
      <c r="D20" s="9" t="s">
        <v>1235</v>
      </c>
      <c r="E20" s="21" t="s">
        <v>182</v>
      </c>
      <c r="F20" s="19" t="s">
        <v>249</v>
      </c>
      <c r="G20" s="22" t="s">
        <v>208</v>
      </c>
      <c r="H20" s="164" t="str">
        <f t="shared" si="0"/>
        <v>,supi as supi</v>
      </c>
      <c r="I20" s="25"/>
      <c r="J20" s="25" t="s">
        <v>117</v>
      </c>
      <c r="K20" s="25" t="s">
        <v>209</v>
      </c>
      <c r="L20" s="25" t="s">
        <v>209</v>
      </c>
    </row>
    <row r="21" spans="2:12" s="1" customFormat="1">
      <c r="B21" s="13" t="s">
        <v>254</v>
      </c>
      <c r="C21" s="13" t="s">
        <v>206</v>
      </c>
      <c r="D21" s="9" t="s">
        <v>1236</v>
      </c>
      <c r="E21" s="21" t="s">
        <v>182</v>
      </c>
      <c r="F21" s="19" t="s">
        <v>254</v>
      </c>
      <c r="G21" s="22" t="s">
        <v>208</v>
      </c>
      <c r="H21" s="164" t="str">
        <f t="shared" si="0"/>
        <v>,pei as pei</v>
      </c>
      <c r="I21" s="25"/>
      <c r="J21" s="25" t="s">
        <v>117</v>
      </c>
      <c r="K21" s="25" t="s">
        <v>209</v>
      </c>
      <c r="L21" s="25" t="s">
        <v>209</v>
      </c>
    </row>
    <row r="22" spans="2:12" s="1" customFormat="1">
      <c r="B22" s="13" t="s">
        <v>2428</v>
      </c>
      <c r="C22" s="13" t="s">
        <v>206</v>
      </c>
      <c r="D22" s="9" t="s">
        <v>1237</v>
      </c>
      <c r="E22" s="21" t="s">
        <v>182</v>
      </c>
      <c r="F22" s="19" t="s">
        <v>253</v>
      </c>
      <c r="G22" s="22" t="s">
        <v>253</v>
      </c>
      <c r="H22" s="164" t="str">
        <f t="shared" si="0"/>
        <v>,regexp_replace(trim(msisdn),'^86','') as msisdn</v>
      </c>
      <c r="I22" s="25"/>
      <c r="J22" s="25" t="s">
        <v>117</v>
      </c>
      <c r="K22" s="25" t="s">
        <v>209</v>
      </c>
      <c r="L22" s="25" t="s">
        <v>209</v>
      </c>
    </row>
    <row r="23" spans="2:12" s="1" customFormat="1">
      <c r="B23" s="13" t="s">
        <v>1238</v>
      </c>
      <c r="C23" s="13" t="s">
        <v>211</v>
      </c>
      <c r="D23" s="9" t="s">
        <v>1239</v>
      </c>
      <c r="E23" s="21" t="s">
        <v>182</v>
      </c>
      <c r="F23" s="19" t="s">
        <v>1238</v>
      </c>
      <c r="G23" s="22" t="s">
        <v>208</v>
      </c>
      <c r="H23" s="164" t="str">
        <f t="shared" si="0"/>
        <v>,rat as rat</v>
      </c>
      <c r="I23" s="25"/>
      <c r="J23" s="25" t="s">
        <v>117</v>
      </c>
      <c r="K23" s="25" t="s">
        <v>209</v>
      </c>
      <c r="L23" s="25" t="s">
        <v>209</v>
      </c>
    </row>
    <row r="24" spans="2:12" s="1" customFormat="1">
      <c r="B24" s="13" t="s">
        <v>264</v>
      </c>
      <c r="C24" s="13" t="s">
        <v>206</v>
      </c>
      <c r="D24" s="9" t="s">
        <v>1240</v>
      </c>
      <c r="E24" s="21" t="s">
        <v>182</v>
      </c>
      <c r="F24" s="19" t="s">
        <v>264</v>
      </c>
      <c r="G24" s="22" t="s">
        <v>208</v>
      </c>
      <c r="H24" s="164" t="str">
        <f t="shared" si="0"/>
        <v>,home_province as home_province</v>
      </c>
      <c r="I24" s="25"/>
      <c r="J24" s="25" t="s">
        <v>117</v>
      </c>
      <c r="K24" s="25" t="s">
        <v>209</v>
      </c>
      <c r="L24" s="25" t="s">
        <v>209</v>
      </c>
    </row>
    <row r="25" spans="2:12" s="1" customFormat="1">
      <c r="B25" s="13" t="s">
        <v>2429</v>
      </c>
      <c r="C25" s="13" t="s">
        <v>211</v>
      </c>
      <c r="D25" s="9" t="s">
        <v>1241</v>
      </c>
      <c r="E25" s="21" t="s">
        <v>182</v>
      </c>
      <c r="F25" s="19" t="s">
        <v>1093</v>
      </c>
      <c r="G25" s="22" t="s">
        <v>208</v>
      </c>
      <c r="H25" s="164" t="str">
        <f t="shared" si="0"/>
        <v>,procedure_type as procedure_type</v>
      </c>
      <c r="I25" s="25"/>
      <c r="J25" s="25" t="s">
        <v>117</v>
      </c>
      <c r="K25" s="25" t="s">
        <v>209</v>
      </c>
      <c r="L25" s="25" t="s">
        <v>209</v>
      </c>
    </row>
    <row r="26" spans="2:12" s="1" customFormat="1">
      <c r="B26" s="13" t="s">
        <v>1242</v>
      </c>
      <c r="C26" s="13" t="s">
        <v>281</v>
      </c>
      <c r="D26" s="9" t="s">
        <v>1243</v>
      </c>
      <c r="E26" s="21" t="s">
        <v>182</v>
      </c>
      <c r="F26" s="19" t="s">
        <v>1242</v>
      </c>
      <c r="G26" s="22" t="s">
        <v>208</v>
      </c>
      <c r="H26" s="164" t="str">
        <f t="shared" si="0"/>
        <v>,procedure_start_time as procedure_start_time</v>
      </c>
      <c r="I26" s="25"/>
      <c r="J26" s="25" t="s">
        <v>117</v>
      </c>
      <c r="K26" s="25" t="s">
        <v>209</v>
      </c>
      <c r="L26" s="25" t="s">
        <v>209</v>
      </c>
    </row>
    <row r="27" spans="2:12" s="1" customFormat="1">
      <c r="B27" s="13" t="s">
        <v>1244</v>
      </c>
      <c r="C27" s="13" t="s">
        <v>281</v>
      </c>
      <c r="D27" s="9" t="s">
        <v>1245</v>
      </c>
      <c r="E27" s="21" t="s">
        <v>182</v>
      </c>
      <c r="F27" s="19" t="s">
        <v>1244</v>
      </c>
      <c r="G27" s="22" t="s">
        <v>208</v>
      </c>
      <c r="H27" s="164" t="str">
        <f t="shared" si="0"/>
        <v>,procedure_end_time as procedure_end_time</v>
      </c>
      <c r="I27" s="25"/>
      <c r="J27" s="25" t="s">
        <v>117</v>
      </c>
      <c r="K27" s="25" t="s">
        <v>209</v>
      </c>
      <c r="L27" s="25" t="s">
        <v>209</v>
      </c>
    </row>
    <row r="28" spans="2:12" s="1" customFormat="1">
      <c r="B28" s="13" t="s">
        <v>1246</v>
      </c>
      <c r="C28" s="13" t="s">
        <v>211</v>
      </c>
      <c r="D28" s="9" t="s">
        <v>1247</v>
      </c>
      <c r="E28" s="21" t="s">
        <v>182</v>
      </c>
      <c r="F28" s="19" t="s">
        <v>1246</v>
      </c>
      <c r="G28" s="22" t="s">
        <v>208</v>
      </c>
      <c r="H28" s="164" t="str">
        <f t="shared" si="0"/>
        <v>,procedure_status as procedure_status</v>
      </c>
      <c r="I28" s="25"/>
      <c r="J28" s="25" t="s">
        <v>117</v>
      </c>
      <c r="K28" s="25" t="s">
        <v>209</v>
      </c>
      <c r="L28" s="25" t="s">
        <v>209</v>
      </c>
    </row>
    <row r="29" spans="2:12" s="1" customFormat="1">
      <c r="B29" s="13" t="s">
        <v>1248</v>
      </c>
      <c r="C29" s="13" t="s">
        <v>211</v>
      </c>
      <c r="D29" s="9" t="s">
        <v>1249</v>
      </c>
      <c r="E29" s="21" t="s">
        <v>182</v>
      </c>
      <c r="F29" s="19" t="s">
        <v>1248</v>
      </c>
      <c r="G29" s="22" t="s">
        <v>208</v>
      </c>
      <c r="H29" s="164" t="str">
        <f t="shared" si="0"/>
        <v>,request_cause_type as request_cause_type</v>
      </c>
      <c r="I29" s="25"/>
      <c r="J29" s="25" t="s">
        <v>117</v>
      </c>
      <c r="K29" s="25" t="s">
        <v>209</v>
      </c>
      <c r="L29" s="25" t="s">
        <v>209</v>
      </c>
    </row>
    <row r="30" spans="2:12" s="1" customFormat="1">
      <c r="B30" s="13" t="s">
        <v>1250</v>
      </c>
      <c r="C30" s="13" t="s">
        <v>211</v>
      </c>
      <c r="D30" s="9" t="s">
        <v>1251</v>
      </c>
      <c r="E30" s="21" t="s">
        <v>182</v>
      </c>
      <c r="F30" s="19" t="s">
        <v>1250</v>
      </c>
      <c r="G30" s="22" t="s">
        <v>208</v>
      </c>
      <c r="H30" s="164" t="str">
        <f t="shared" si="0"/>
        <v>,request_cause as request_cause</v>
      </c>
      <c r="I30" s="25"/>
      <c r="J30" s="25" t="s">
        <v>117</v>
      </c>
      <c r="K30" s="25" t="s">
        <v>209</v>
      </c>
      <c r="L30" s="25" t="s">
        <v>209</v>
      </c>
    </row>
    <row r="31" spans="2:12" s="1" customFormat="1">
      <c r="B31" s="13" t="s">
        <v>1252</v>
      </c>
      <c r="C31" s="13" t="s">
        <v>211</v>
      </c>
      <c r="D31" s="9" t="s">
        <v>1253</v>
      </c>
      <c r="E31" s="21" t="s">
        <v>182</v>
      </c>
      <c r="F31" s="19" t="s">
        <v>1252</v>
      </c>
      <c r="G31" s="22" t="s">
        <v>208</v>
      </c>
      <c r="H31" s="164" t="str">
        <f t="shared" si="0"/>
        <v>,failure_cause_type as failure_cause_type</v>
      </c>
      <c r="I31" s="25"/>
      <c r="J31" s="25" t="s">
        <v>117</v>
      </c>
      <c r="K31" s="25" t="s">
        <v>209</v>
      </c>
      <c r="L31" s="25" t="s">
        <v>209</v>
      </c>
    </row>
    <row r="32" spans="2:12" s="1" customFormat="1">
      <c r="B32" s="13" t="s">
        <v>1254</v>
      </c>
      <c r="C32" s="13" t="s">
        <v>211</v>
      </c>
      <c r="D32" s="9" t="s">
        <v>1255</v>
      </c>
      <c r="E32" s="21" t="s">
        <v>182</v>
      </c>
      <c r="F32" s="19" t="s">
        <v>1254</v>
      </c>
      <c r="G32" s="22" t="s">
        <v>208</v>
      </c>
      <c r="H32" s="164" t="str">
        <f t="shared" si="0"/>
        <v>,failure_cause as failure_cause</v>
      </c>
      <c r="I32" s="25"/>
      <c r="J32" s="25" t="s">
        <v>117</v>
      </c>
      <c r="K32" s="25" t="s">
        <v>209</v>
      </c>
      <c r="L32" s="25" t="s">
        <v>209</v>
      </c>
    </row>
    <row r="33" spans="2:12" s="1" customFormat="1">
      <c r="B33" s="13" t="s">
        <v>1097</v>
      </c>
      <c r="C33" s="13" t="s">
        <v>211</v>
      </c>
      <c r="D33" s="9" t="s">
        <v>1256</v>
      </c>
      <c r="E33" s="21" t="s">
        <v>182</v>
      </c>
      <c r="F33" s="19" t="s">
        <v>1097</v>
      </c>
      <c r="G33" s="22" t="s">
        <v>208</v>
      </c>
      <c r="H33" s="164" t="str">
        <f t="shared" si="0"/>
        <v>,keyword as keyword</v>
      </c>
      <c r="I33" s="25"/>
      <c r="J33" s="25" t="s">
        <v>117</v>
      </c>
      <c r="K33" s="25" t="s">
        <v>209</v>
      </c>
      <c r="L33" s="25" t="s">
        <v>209</v>
      </c>
    </row>
    <row r="34" spans="2:12" s="1" customFormat="1">
      <c r="B34" s="13" t="s">
        <v>1257</v>
      </c>
      <c r="C34" s="13" t="s">
        <v>281</v>
      </c>
      <c r="D34" s="9" t="s">
        <v>1258</v>
      </c>
      <c r="E34" s="21" t="s">
        <v>182</v>
      </c>
      <c r="F34" s="19" t="s">
        <v>1257</v>
      </c>
      <c r="G34" s="22" t="s">
        <v>208</v>
      </c>
      <c r="H34" s="164" t="str">
        <f t="shared" si="0"/>
        <v>,amf_ue_ngap_id as amf_ue_ngap_id</v>
      </c>
      <c r="I34" s="25"/>
      <c r="J34" s="25" t="s">
        <v>117</v>
      </c>
      <c r="K34" s="25" t="s">
        <v>209</v>
      </c>
      <c r="L34" s="25" t="s">
        <v>209</v>
      </c>
    </row>
    <row r="35" spans="2:12" s="1" customFormat="1">
      <c r="B35" s="13" t="s">
        <v>1259</v>
      </c>
      <c r="C35" s="13" t="s">
        <v>281</v>
      </c>
      <c r="D35" s="9" t="s">
        <v>1260</v>
      </c>
      <c r="E35" s="21" t="s">
        <v>182</v>
      </c>
      <c r="F35" s="19" t="s">
        <v>1259</v>
      </c>
      <c r="G35" s="22" t="s">
        <v>208</v>
      </c>
      <c r="H35" s="164" t="str">
        <f t="shared" si="0"/>
        <v>,ran_ue_ngap_id as ran_ue_ngap_id</v>
      </c>
      <c r="I35" s="25"/>
      <c r="J35" s="25" t="s">
        <v>117</v>
      </c>
      <c r="K35" s="25" t="s">
        <v>209</v>
      </c>
      <c r="L35" s="25" t="s">
        <v>209</v>
      </c>
    </row>
    <row r="36" spans="2:12" s="1" customFormat="1">
      <c r="B36" s="13" t="s">
        <v>1261</v>
      </c>
      <c r="C36" s="13" t="s">
        <v>206</v>
      </c>
      <c r="D36" s="9" t="s">
        <v>1262</v>
      </c>
      <c r="E36" s="21" t="s">
        <v>182</v>
      </c>
      <c r="F36" s="19" t="s">
        <v>1261</v>
      </c>
      <c r="G36" s="22" t="s">
        <v>208</v>
      </c>
      <c r="H36" s="164" t="str">
        <f t="shared" si="0"/>
        <v>,suci as suci</v>
      </c>
      <c r="I36" s="25"/>
      <c r="J36" s="25" t="s">
        <v>117</v>
      </c>
      <c r="K36" s="25" t="s">
        <v>209</v>
      </c>
      <c r="L36" s="25" t="s">
        <v>209</v>
      </c>
    </row>
    <row r="37" spans="2:12" s="1" customFormat="1">
      <c r="B37" s="13" t="s">
        <v>1263</v>
      </c>
      <c r="C37" s="13" t="s">
        <v>211</v>
      </c>
      <c r="D37" s="9" t="s">
        <v>1264</v>
      </c>
      <c r="E37" s="21" t="s">
        <v>182</v>
      </c>
      <c r="F37" s="19" t="s">
        <v>1263</v>
      </c>
      <c r="G37" s="22" t="s">
        <v>208</v>
      </c>
      <c r="H37" s="164" t="str">
        <f t="shared" si="0"/>
        <v>,machine_ip_add_type as machine_ip_add_type</v>
      </c>
      <c r="I37" s="25"/>
      <c r="J37" s="25" t="s">
        <v>117</v>
      </c>
      <c r="K37" s="25" t="s">
        <v>209</v>
      </c>
      <c r="L37" s="25" t="s">
        <v>209</v>
      </c>
    </row>
    <row r="38" spans="2:12" s="1" customFormat="1">
      <c r="B38" s="13" t="s">
        <v>1265</v>
      </c>
      <c r="C38" s="13" t="s">
        <v>206</v>
      </c>
      <c r="D38" s="9" t="s">
        <v>1266</v>
      </c>
      <c r="E38" s="21" t="s">
        <v>182</v>
      </c>
      <c r="F38" s="19" t="s">
        <v>1265</v>
      </c>
      <c r="G38" s="22" t="s">
        <v>208</v>
      </c>
      <c r="H38" s="164" t="str">
        <f t="shared" si="0"/>
        <v>,amf_ip_add as amf_ip_add</v>
      </c>
      <c r="I38" s="25"/>
      <c r="J38" s="25" t="s">
        <v>117</v>
      </c>
      <c r="K38" s="25" t="s">
        <v>209</v>
      </c>
      <c r="L38" s="25" t="s">
        <v>209</v>
      </c>
    </row>
    <row r="39" spans="2:12" s="1" customFormat="1">
      <c r="B39" s="13" t="s">
        <v>1267</v>
      </c>
      <c r="C39" s="13" t="s">
        <v>206</v>
      </c>
      <c r="D39" s="9" t="s">
        <v>1268</v>
      </c>
      <c r="E39" s="21" t="s">
        <v>182</v>
      </c>
      <c r="F39" s="19" t="s">
        <v>1267</v>
      </c>
      <c r="G39" s="22" t="s">
        <v>208</v>
      </c>
      <c r="H39" s="164" t="str">
        <f t="shared" si="0"/>
        <v>,gnb_ip_add as gnb_ip_add</v>
      </c>
      <c r="I39" s="25"/>
      <c r="J39" s="25" t="s">
        <v>117</v>
      </c>
      <c r="K39" s="25" t="s">
        <v>209</v>
      </c>
      <c r="L39" s="25" t="s">
        <v>209</v>
      </c>
    </row>
    <row r="40" spans="2:12" s="1" customFormat="1">
      <c r="B40" s="13" t="s">
        <v>1269</v>
      </c>
      <c r="C40" s="13" t="s">
        <v>211</v>
      </c>
      <c r="D40" s="9" t="s">
        <v>1270</v>
      </c>
      <c r="E40" s="21" t="s">
        <v>182</v>
      </c>
      <c r="F40" s="19" t="s">
        <v>1269</v>
      </c>
      <c r="G40" s="22" t="s">
        <v>208</v>
      </c>
      <c r="H40" s="164" t="str">
        <f t="shared" si="0"/>
        <v>,amf_port as amf_port</v>
      </c>
      <c r="I40" s="25"/>
      <c r="J40" s="25" t="s">
        <v>117</v>
      </c>
      <c r="K40" s="25" t="s">
        <v>209</v>
      </c>
      <c r="L40" s="25" t="s">
        <v>209</v>
      </c>
    </row>
    <row r="41" spans="2:12" s="1" customFormat="1">
      <c r="B41" s="13" t="s">
        <v>1271</v>
      </c>
      <c r="C41" s="13" t="s">
        <v>211</v>
      </c>
      <c r="D41" s="9" t="s">
        <v>1272</v>
      </c>
      <c r="E41" s="21" t="s">
        <v>182</v>
      </c>
      <c r="F41" s="19" t="s">
        <v>1271</v>
      </c>
      <c r="G41" s="22" t="s">
        <v>208</v>
      </c>
      <c r="H41" s="164" t="str">
        <f t="shared" si="0"/>
        <v>,gnb_port as gnb_port</v>
      </c>
      <c r="I41" s="25"/>
      <c r="J41" s="25" t="s">
        <v>117</v>
      </c>
      <c r="K41" s="25" t="s">
        <v>209</v>
      </c>
      <c r="L41" s="25" t="s">
        <v>209</v>
      </c>
    </row>
    <row r="42" spans="2:12" s="1" customFormat="1">
      <c r="B42" s="13" t="s">
        <v>1273</v>
      </c>
      <c r="C42" s="13" t="s">
        <v>211</v>
      </c>
      <c r="D42" s="9" t="s">
        <v>1274</v>
      </c>
      <c r="E42" s="21" t="s">
        <v>182</v>
      </c>
      <c r="F42" s="19" t="s">
        <v>1273</v>
      </c>
      <c r="G42" s="22" t="s">
        <v>208</v>
      </c>
      <c r="H42" s="164" t="str">
        <f t="shared" si="0"/>
        <v>,old_amf_region_id as old_amf_region_id</v>
      </c>
      <c r="I42" s="25"/>
      <c r="J42" s="25" t="s">
        <v>117</v>
      </c>
      <c r="K42" s="25" t="s">
        <v>209</v>
      </c>
      <c r="L42" s="25" t="s">
        <v>209</v>
      </c>
    </row>
    <row r="43" spans="2:12" s="1" customFormat="1">
      <c r="B43" s="13" t="s">
        <v>1275</v>
      </c>
      <c r="C43" s="13" t="s">
        <v>211</v>
      </c>
      <c r="D43" s="9" t="s">
        <v>1276</v>
      </c>
      <c r="E43" s="21" t="s">
        <v>182</v>
      </c>
      <c r="F43" s="19" t="s">
        <v>1275</v>
      </c>
      <c r="G43" s="22" t="s">
        <v>208</v>
      </c>
      <c r="H43" s="164" t="str">
        <f t="shared" si="0"/>
        <v>,old_amf_set_id as old_amf_set_id</v>
      </c>
      <c r="I43" s="25"/>
      <c r="J43" s="25" t="s">
        <v>117</v>
      </c>
      <c r="K43" s="25" t="s">
        <v>209</v>
      </c>
      <c r="L43" s="25" t="s">
        <v>209</v>
      </c>
    </row>
    <row r="44" spans="2:12" s="1" customFormat="1">
      <c r="B44" s="13" t="s">
        <v>1277</v>
      </c>
      <c r="C44" s="13" t="s">
        <v>211</v>
      </c>
      <c r="D44" s="9" t="s">
        <v>1278</v>
      </c>
      <c r="E44" s="21" t="s">
        <v>182</v>
      </c>
      <c r="F44" s="19" t="s">
        <v>1277</v>
      </c>
      <c r="G44" s="22" t="s">
        <v>208</v>
      </c>
      <c r="H44" s="164" t="str">
        <f t="shared" si="0"/>
        <v>,old_amf_pointer as old_amf_pointer</v>
      </c>
      <c r="I44" s="25"/>
      <c r="J44" s="25" t="s">
        <v>117</v>
      </c>
      <c r="K44" s="25" t="s">
        <v>209</v>
      </c>
      <c r="L44" s="25" t="s">
        <v>209</v>
      </c>
    </row>
    <row r="45" spans="2:12" s="1" customFormat="1">
      <c r="B45" s="13" t="s">
        <v>1279</v>
      </c>
      <c r="C45" s="13" t="s">
        <v>281</v>
      </c>
      <c r="D45" s="9" t="s">
        <v>1280</v>
      </c>
      <c r="E45" s="21" t="s">
        <v>182</v>
      </c>
      <c r="F45" s="19" t="s">
        <v>1279</v>
      </c>
      <c r="G45" s="22" t="s">
        <v>208</v>
      </c>
      <c r="H45" s="164" t="str">
        <f t="shared" si="0"/>
        <v>,old_5g_tmsi as old_5g_tmsi</v>
      </c>
      <c r="I45" s="25"/>
      <c r="J45" s="25" t="s">
        <v>117</v>
      </c>
      <c r="K45" s="25" t="s">
        <v>209</v>
      </c>
      <c r="L45" s="25" t="s">
        <v>209</v>
      </c>
    </row>
    <row r="46" spans="2:12" s="1" customFormat="1">
      <c r="B46" s="13" t="s">
        <v>1281</v>
      </c>
      <c r="C46" s="13" t="s">
        <v>211</v>
      </c>
      <c r="D46" s="9" t="s">
        <v>1282</v>
      </c>
      <c r="E46" s="21" t="s">
        <v>182</v>
      </c>
      <c r="F46" s="19" t="s">
        <v>1281</v>
      </c>
      <c r="G46" s="22" t="s">
        <v>208</v>
      </c>
      <c r="H46" s="164" t="str">
        <f t="shared" si="0"/>
        <v>,amf_region_id as amf_region_id</v>
      </c>
      <c r="I46" s="25"/>
      <c r="J46" s="25" t="s">
        <v>117</v>
      </c>
      <c r="K46" s="25" t="s">
        <v>209</v>
      </c>
      <c r="L46" s="25" t="s">
        <v>209</v>
      </c>
    </row>
    <row r="47" spans="2:12" s="1" customFormat="1">
      <c r="B47" s="13" t="s">
        <v>1283</v>
      </c>
      <c r="C47" s="13" t="s">
        <v>211</v>
      </c>
      <c r="D47" s="9" t="s">
        <v>1284</v>
      </c>
      <c r="E47" s="21" t="s">
        <v>182</v>
      </c>
      <c r="F47" s="19" t="s">
        <v>1283</v>
      </c>
      <c r="G47" s="22" t="s">
        <v>208</v>
      </c>
      <c r="H47" s="164" t="str">
        <f t="shared" si="0"/>
        <v>,amf_set_id as amf_set_id</v>
      </c>
      <c r="I47" s="25"/>
      <c r="J47" s="25" t="s">
        <v>117</v>
      </c>
      <c r="K47" s="25" t="s">
        <v>209</v>
      </c>
      <c r="L47" s="25" t="s">
        <v>209</v>
      </c>
    </row>
    <row r="48" spans="2:12" s="1" customFormat="1">
      <c r="B48" s="13" t="s">
        <v>1285</v>
      </c>
      <c r="C48" s="13" t="s">
        <v>211</v>
      </c>
      <c r="D48" s="9" t="s">
        <v>1286</v>
      </c>
      <c r="E48" s="21" t="s">
        <v>182</v>
      </c>
      <c r="F48" s="19" t="s">
        <v>1285</v>
      </c>
      <c r="G48" s="22" t="s">
        <v>208</v>
      </c>
      <c r="H48" s="164" t="str">
        <f t="shared" si="0"/>
        <v>,amf_pointer as amf_pointer</v>
      </c>
      <c r="I48" s="25"/>
      <c r="J48" s="25" t="s">
        <v>117</v>
      </c>
      <c r="K48" s="25" t="s">
        <v>209</v>
      </c>
      <c r="L48" s="25" t="s">
        <v>209</v>
      </c>
    </row>
    <row r="49" spans="2:12" s="1" customFormat="1">
      <c r="B49" s="13" t="s">
        <v>1287</v>
      </c>
      <c r="C49" s="13" t="s">
        <v>281</v>
      </c>
      <c r="D49" s="9" t="s">
        <v>1288</v>
      </c>
      <c r="E49" s="21" t="s">
        <v>182</v>
      </c>
      <c r="F49" s="19" t="s">
        <v>1287</v>
      </c>
      <c r="G49" s="22" t="s">
        <v>208</v>
      </c>
      <c r="H49" s="164" t="str">
        <f t="shared" si="0"/>
        <v>,5g_tmsi as 5g_tmsi</v>
      </c>
      <c r="I49" s="25"/>
      <c r="J49" s="25" t="s">
        <v>117</v>
      </c>
      <c r="K49" s="25" t="s">
        <v>209</v>
      </c>
      <c r="L49" s="25" t="s">
        <v>209</v>
      </c>
    </row>
    <row r="50" spans="2:12" s="1" customFormat="1">
      <c r="B50" s="13" t="s">
        <v>1289</v>
      </c>
      <c r="C50" s="13" t="s">
        <v>211</v>
      </c>
      <c r="D50" s="9" t="s">
        <v>1290</v>
      </c>
      <c r="E50" s="21" t="s">
        <v>182</v>
      </c>
      <c r="F50" s="19" t="s">
        <v>1289</v>
      </c>
      <c r="G50" s="22" t="s">
        <v>208</v>
      </c>
      <c r="H50" s="164" t="str">
        <f t="shared" si="0"/>
        <v>,other_location_type as other_location_type</v>
      </c>
      <c r="I50" s="25"/>
      <c r="J50" s="25" t="s">
        <v>117</v>
      </c>
      <c r="K50" s="25" t="s">
        <v>209</v>
      </c>
      <c r="L50" s="25" t="s">
        <v>209</v>
      </c>
    </row>
    <row r="51" spans="2:12" s="1" customFormat="1">
      <c r="B51" s="13" t="s">
        <v>1291</v>
      </c>
      <c r="C51" s="13" t="s">
        <v>281</v>
      </c>
      <c r="D51" s="9" t="s">
        <v>1292</v>
      </c>
      <c r="E51" s="21" t="s">
        <v>182</v>
      </c>
      <c r="F51" s="19" t="s">
        <v>1291</v>
      </c>
      <c r="G51" s="22" t="s">
        <v>208</v>
      </c>
      <c r="H51" s="164" t="str">
        <f t="shared" ref="H51:H82" si="1">_xlfn.CONCAT(",",F51," as ",B51)</f>
        <v>,other_tac as other_tac</v>
      </c>
      <c r="I51" s="25"/>
      <c r="J51" s="25" t="s">
        <v>117</v>
      </c>
      <c r="K51" s="25" t="s">
        <v>209</v>
      </c>
      <c r="L51" s="25" t="s">
        <v>209</v>
      </c>
    </row>
    <row r="52" spans="2:12" s="1" customFormat="1">
      <c r="B52" s="13" t="s">
        <v>1293</v>
      </c>
      <c r="C52" s="13" t="s">
        <v>281</v>
      </c>
      <c r="D52" s="9" t="s">
        <v>1294</v>
      </c>
      <c r="E52" s="21" t="s">
        <v>182</v>
      </c>
      <c r="F52" s="19" t="s">
        <v>1293</v>
      </c>
      <c r="G52" s="22" t="s">
        <v>208</v>
      </c>
      <c r="H52" s="164" t="str">
        <f t="shared" si="1"/>
        <v>,other_cell_id as other_cell_id</v>
      </c>
      <c r="I52" s="25"/>
      <c r="J52" s="25" t="s">
        <v>117</v>
      </c>
      <c r="K52" s="25" t="s">
        <v>209</v>
      </c>
      <c r="L52" s="25" t="s">
        <v>209</v>
      </c>
    </row>
    <row r="53" spans="2:12" s="1" customFormat="1">
      <c r="B53" s="13" t="s">
        <v>1295</v>
      </c>
      <c r="C53" s="13" t="s">
        <v>211</v>
      </c>
      <c r="D53" s="9" t="s">
        <v>1296</v>
      </c>
      <c r="E53" s="21" t="s">
        <v>182</v>
      </c>
      <c r="F53" s="19" t="s">
        <v>1295</v>
      </c>
      <c r="G53" s="22" t="s">
        <v>208</v>
      </c>
      <c r="H53" s="164" t="str">
        <f t="shared" si="1"/>
        <v>,paging_tac_number as paging_tac_number</v>
      </c>
      <c r="I53" s="25"/>
      <c r="J53" s="25" t="s">
        <v>117</v>
      </c>
      <c r="K53" s="25" t="s">
        <v>209</v>
      </c>
      <c r="L53" s="25" t="s">
        <v>209</v>
      </c>
    </row>
    <row r="54" spans="2:12" s="1" customFormat="1">
      <c r="B54" s="13" t="s">
        <v>1297</v>
      </c>
      <c r="C54" s="13" t="s">
        <v>211</v>
      </c>
      <c r="D54" s="9" t="s">
        <v>1298</v>
      </c>
      <c r="E54" s="21" t="s">
        <v>182</v>
      </c>
      <c r="F54" s="19" t="s">
        <v>1297</v>
      </c>
      <c r="G54" s="22" t="s">
        <v>208</v>
      </c>
      <c r="H54" s="164" t="str">
        <f t="shared" si="1"/>
        <v>,auth_type as auth_type</v>
      </c>
      <c r="I54" s="25"/>
      <c r="J54" s="25" t="s">
        <v>117</v>
      </c>
      <c r="K54" s="25" t="s">
        <v>209</v>
      </c>
      <c r="L54" s="25" t="s">
        <v>209</v>
      </c>
    </row>
    <row r="55" spans="2:12" s="1" customFormat="1">
      <c r="B55" s="13" t="s">
        <v>1299</v>
      </c>
      <c r="C55" s="13" t="s">
        <v>211</v>
      </c>
      <c r="D55" s="9" t="s">
        <v>1300</v>
      </c>
      <c r="E55" s="21" t="s">
        <v>182</v>
      </c>
      <c r="F55" s="19" t="s">
        <v>1299</v>
      </c>
      <c r="G55" s="22" t="s">
        <v>208</v>
      </c>
      <c r="H55" s="164" t="str">
        <f t="shared" si="1"/>
        <v>,selected_nas_ciphering_algorithm as selected_nas_ciphering_algorithm</v>
      </c>
      <c r="I55" s="25"/>
      <c r="J55" s="25" t="s">
        <v>117</v>
      </c>
      <c r="K55" s="25" t="s">
        <v>209</v>
      </c>
      <c r="L55" s="25" t="s">
        <v>209</v>
      </c>
    </row>
    <row r="56" spans="2:12" s="1" customFormat="1">
      <c r="B56" s="13" t="s">
        <v>1301</v>
      </c>
      <c r="C56" s="13" t="s">
        <v>211</v>
      </c>
      <c r="D56" s="9" t="s">
        <v>1302</v>
      </c>
      <c r="E56" s="21" t="s">
        <v>182</v>
      </c>
      <c r="F56" s="19" t="s">
        <v>1301</v>
      </c>
      <c r="G56" s="22" t="s">
        <v>208</v>
      </c>
      <c r="H56" s="164" t="str">
        <f t="shared" si="1"/>
        <v>,registration_result as registration_result</v>
      </c>
      <c r="I56" s="25"/>
      <c r="J56" s="25" t="s">
        <v>117</v>
      </c>
      <c r="K56" s="25" t="s">
        <v>209</v>
      </c>
      <c r="L56" s="25" t="s">
        <v>209</v>
      </c>
    </row>
    <row r="57" spans="2:12" s="1" customFormat="1">
      <c r="B57" s="13" t="s">
        <v>1303</v>
      </c>
      <c r="C57" s="13" t="s">
        <v>211</v>
      </c>
      <c r="D57" s="9" t="s">
        <v>1304</v>
      </c>
      <c r="E57" s="21" t="s">
        <v>182</v>
      </c>
      <c r="F57" s="19" t="s">
        <v>1303</v>
      </c>
      <c r="G57" s="22" t="s">
        <v>208</v>
      </c>
      <c r="H57" s="164" t="str">
        <f t="shared" si="1"/>
        <v>,de_registration_direction as de_registration_direction</v>
      </c>
      <c r="I57" s="25"/>
      <c r="J57" s="25" t="s">
        <v>117</v>
      </c>
      <c r="K57" s="25" t="s">
        <v>209</v>
      </c>
      <c r="L57" s="25" t="s">
        <v>209</v>
      </c>
    </row>
    <row r="58" spans="2:12" s="1" customFormat="1">
      <c r="B58" s="13" t="s">
        <v>1305</v>
      </c>
      <c r="C58" s="13" t="s">
        <v>211</v>
      </c>
      <c r="D58" s="9" t="s">
        <v>1306</v>
      </c>
      <c r="E58" s="21" t="s">
        <v>182</v>
      </c>
      <c r="F58" s="19" t="s">
        <v>1305</v>
      </c>
      <c r="G58" s="22" t="s">
        <v>208</v>
      </c>
      <c r="H58" s="164" t="str">
        <f t="shared" si="1"/>
        <v>,auth_failure_direction as auth_failure_direction</v>
      </c>
      <c r="I58" s="25"/>
      <c r="J58" s="25" t="s">
        <v>117</v>
      </c>
      <c r="K58" s="25" t="s">
        <v>209</v>
      </c>
      <c r="L58" s="25" t="s">
        <v>209</v>
      </c>
    </row>
    <row r="59" spans="2:12" s="1" customFormat="1" ht="26.4">
      <c r="B59" s="13" t="s">
        <v>1307</v>
      </c>
      <c r="C59" s="13" t="s">
        <v>211</v>
      </c>
      <c r="D59" s="9" t="s">
        <v>1308</v>
      </c>
      <c r="E59" s="21" t="s">
        <v>182</v>
      </c>
      <c r="F59" s="19" t="s">
        <v>1307</v>
      </c>
      <c r="G59" s="22" t="s">
        <v>208</v>
      </c>
      <c r="H59" s="164" t="str">
        <f t="shared" si="1"/>
        <v>,selected_nas_integrity_protection_algorithm as selected_nas_integrity_protection_algorithm</v>
      </c>
      <c r="I59" s="25"/>
      <c r="J59" s="25" t="s">
        <v>117</v>
      </c>
      <c r="K59" s="25" t="s">
        <v>209</v>
      </c>
      <c r="L59" s="25" t="s">
        <v>209</v>
      </c>
    </row>
    <row r="60" spans="2:12" s="1" customFormat="1">
      <c r="B60" s="13" t="s">
        <v>1309</v>
      </c>
      <c r="C60" s="13" t="s">
        <v>211</v>
      </c>
      <c r="D60" s="9" t="s">
        <v>1310</v>
      </c>
      <c r="E60" s="21" t="s">
        <v>182</v>
      </c>
      <c r="F60" s="19" t="s">
        <v>1309</v>
      </c>
      <c r="G60" s="22" t="s">
        <v>208</v>
      </c>
      <c r="H60" s="164" t="str">
        <f t="shared" si="1"/>
        <v>,ues_usage_setting as ues_usage_setting</v>
      </c>
      <c r="I60" s="25"/>
      <c r="J60" s="25" t="s">
        <v>117</v>
      </c>
      <c r="K60" s="25" t="s">
        <v>209</v>
      </c>
      <c r="L60" s="25" t="s">
        <v>209</v>
      </c>
    </row>
    <row r="61" spans="2:12" s="1" customFormat="1">
      <c r="B61" s="13" t="s">
        <v>1311</v>
      </c>
      <c r="C61" s="13" t="s">
        <v>211</v>
      </c>
      <c r="D61" s="9" t="s">
        <v>1312</v>
      </c>
      <c r="E61" s="21" t="s">
        <v>182</v>
      </c>
      <c r="F61" s="19" t="s">
        <v>1311</v>
      </c>
      <c r="G61" s="22" t="s">
        <v>208</v>
      </c>
      <c r="H61" s="164" t="str">
        <f t="shared" si="1"/>
        <v>,re_registration_flag as re_registration_flag</v>
      </c>
      <c r="I61" s="25"/>
      <c r="J61" s="25" t="s">
        <v>117</v>
      </c>
      <c r="K61" s="25" t="s">
        <v>209</v>
      </c>
      <c r="L61" s="25" t="s">
        <v>209</v>
      </c>
    </row>
    <row r="62" spans="2:12" s="1" customFormat="1">
      <c r="B62" s="13" t="s">
        <v>1313</v>
      </c>
      <c r="C62" s="13" t="s">
        <v>211</v>
      </c>
      <c r="D62" s="9" t="s">
        <v>1314</v>
      </c>
      <c r="E62" s="21" t="s">
        <v>182</v>
      </c>
      <c r="F62" s="19" t="s">
        <v>1313</v>
      </c>
      <c r="G62" s="22" t="s">
        <v>208</v>
      </c>
      <c r="H62" s="164" t="str">
        <f t="shared" si="1"/>
        <v>,s1_mode_support as s1_mode_support</v>
      </c>
      <c r="I62" s="25"/>
      <c r="J62" s="25" t="s">
        <v>117</v>
      </c>
      <c r="K62" s="25" t="s">
        <v>209</v>
      </c>
      <c r="L62" s="25" t="s">
        <v>209</v>
      </c>
    </row>
    <row r="63" spans="2:12" s="1" customFormat="1">
      <c r="B63" s="13" t="s">
        <v>1315</v>
      </c>
      <c r="C63" s="13" t="s">
        <v>211</v>
      </c>
      <c r="D63" s="9" t="s">
        <v>1316</v>
      </c>
      <c r="E63" s="21" t="s">
        <v>182</v>
      </c>
      <c r="F63" s="19" t="s">
        <v>1315</v>
      </c>
      <c r="G63" s="22" t="s">
        <v>208</v>
      </c>
      <c r="H63" s="164" t="str">
        <f t="shared" si="1"/>
        <v>,ims_vops as ims_vops</v>
      </c>
      <c r="I63" s="25"/>
      <c r="J63" s="25" t="s">
        <v>117</v>
      </c>
      <c r="K63" s="25" t="s">
        <v>209</v>
      </c>
      <c r="L63" s="25" t="s">
        <v>209</v>
      </c>
    </row>
    <row r="64" spans="2:12" s="1" customFormat="1">
      <c r="B64" s="13" t="s">
        <v>1317</v>
      </c>
      <c r="C64" s="13" t="s">
        <v>211</v>
      </c>
      <c r="D64" s="9" t="s">
        <v>1318</v>
      </c>
      <c r="E64" s="21" t="s">
        <v>182</v>
      </c>
      <c r="F64" s="19" t="s">
        <v>1317</v>
      </c>
      <c r="G64" s="22" t="s">
        <v>208</v>
      </c>
      <c r="H64" s="164" t="str">
        <f t="shared" si="1"/>
        <v>,iwk_n26 as iwk_n26</v>
      </c>
      <c r="I64" s="25"/>
      <c r="J64" s="25" t="s">
        <v>117</v>
      </c>
      <c r="K64" s="25" t="s">
        <v>209</v>
      </c>
      <c r="L64" s="25" t="s">
        <v>209</v>
      </c>
    </row>
    <row r="65" spans="2:12" s="1" customFormat="1">
      <c r="B65" s="13" t="s">
        <v>1319</v>
      </c>
      <c r="C65" s="13" t="s">
        <v>211</v>
      </c>
      <c r="D65" s="9" t="s">
        <v>1320</v>
      </c>
      <c r="E65" s="21" t="s">
        <v>182</v>
      </c>
      <c r="F65" s="19" t="s">
        <v>1319</v>
      </c>
      <c r="G65" s="22" t="s">
        <v>208</v>
      </c>
      <c r="H65" s="164" t="str">
        <f t="shared" si="1"/>
        <v>,mulit_homed_ipv6_support as mulit_homed_ipv6_support</v>
      </c>
      <c r="I65" s="25"/>
      <c r="J65" s="25" t="s">
        <v>117</v>
      </c>
      <c r="K65" s="25" t="s">
        <v>209</v>
      </c>
      <c r="L65" s="25" t="s">
        <v>209</v>
      </c>
    </row>
    <row r="66" spans="2:12" s="1" customFormat="1">
      <c r="B66" s="13" t="s">
        <v>1321</v>
      </c>
      <c r="C66" s="13" t="s">
        <v>281</v>
      </c>
      <c r="D66" s="9" t="s">
        <v>1322</v>
      </c>
      <c r="E66" s="21" t="s">
        <v>182</v>
      </c>
      <c r="F66" s="19" t="s">
        <v>1321</v>
      </c>
      <c r="G66" s="22" t="s">
        <v>208</v>
      </c>
      <c r="H66" s="164" t="str">
        <f t="shared" si="1"/>
        <v>,ul_session_ambr as ul_session_ambr</v>
      </c>
      <c r="I66" s="25"/>
      <c r="J66" s="25" t="s">
        <v>117</v>
      </c>
      <c r="K66" s="25" t="s">
        <v>209</v>
      </c>
      <c r="L66" s="25" t="s">
        <v>209</v>
      </c>
    </row>
    <row r="67" spans="2:12" s="1" customFormat="1">
      <c r="B67" s="13" t="s">
        <v>1323</v>
      </c>
      <c r="C67" s="13" t="s">
        <v>281</v>
      </c>
      <c r="D67" s="9" t="s">
        <v>1324</v>
      </c>
      <c r="E67" s="21" t="s">
        <v>182</v>
      </c>
      <c r="F67" s="19" t="s">
        <v>1323</v>
      </c>
      <c r="G67" s="22" t="s">
        <v>208</v>
      </c>
      <c r="H67" s="164" t="str">
        <f t="shared" si="1"/>
        <v>,dl_session_ambr as dl_session_ambr</v>
      </c>
      <c r="I67" s="25"/>
      <c r="J67" s="25" t="s">
        <v>117</v>
      </c>
      <c r="K67" s="25" t="s">
        <v>209</v>
      </c>
      <c r="L67" s="25" t="s">
        <v>209</v>
      </c>
    </row>
    <row r="68" spans="2:12" s="1" customFormat="1">
      <c r="B68" s="13" t="s">
        <v>1325</v>
      </c>
      <c r="C68" s="13" t="s">
        <v>206</v>
      </c>
      <c r="D68" s="9" t="s">
        <v>730</v>
      </c>
      <c r="E68" s="21" t="s">
        <v>182</v>
      </c>
      <c r="F68" s="19" t="s">
        <v>1325</v>
      </c>
      <c r="G68" s="22" t="s">
        <v>208</v>
      </c>
      <c r="H68" s="164" t="str">
        <f t="shared" si="1"/>
        <v>,s_nssai_sst as s_nssai_sst</v>
      </c>
      <c r="I68" s="25"/>
      <c r="J68" s="25" t="s">
        <v>117</v>
      </c>
      <c r="K68" s="25" t="s">
        <v>209</v>
      </c>
      <c r="L68" s="25" t="s">
        <v>209</v>
      </c>
    </row>
    <row r="69" spans="2:12" s="1" customFormat="1">
      <c r="B69" s="13" t="s">
        <v>1326</v>
      </c>
      <c r="C69" s="13" t="s">
        <v>206</v>
      </c>
      <c r="D69" s="9" t="s">
        <v>731</v>
      </c>
      <c r="E69" s="21" t="s">
        <v>182</v>
      </c>
      <c r="F69" s="19" t="s">
        <v>1326</v>
      </c>
      <c r="G69" s="22" t="s">
        <v>208</v>
      </c>
      <c r="H69" s="164" t="str">
        <f t="shared" si="1"/>
        <v>,s_nssai_sd as s_nssai_sd</v>
      </c>
      <c r="I69" s="25"/>
      <c r="J69" s="25" t="s">
        <v>117</v>
      </c>
      <c r="K69" s="25" t="s">
        <v>209</v>
      </c>
      <c r="L69" s="25" t="s">
        <v>209</v>
      </c>
    </row>
    <row r="70" spans="2:12" s="1" customFormat="1">
      <c r="B70" s="13" t="s">
        <v>1327</v>
      </c>
      <c r="C70" s="13" t="s">
        <v>211</v>
      </c>
      <c r="D70" s="9" t="s">
        <v>1290</v>
      </c>
      <c r="E70" s="21" t="s">
        <v>182</v>
      </c>
      <c r="F70" s="19" t="s">
        <v>1327</v>
      </c>
      <c r="G70" s="22" t="s">
        <v>208</v>
      </c>
      <c r="H70" s="164" t="str">
        <f t="shared" si="1"/>
        <v>,location_type as location_type</v>
      </c>
      <c r="I70" s="25"/>
      <c r="J70" s="25" t="s">
        <v>117</v>
      </c>
      <c r="K70" s="25" t="s">
        <v>209</v>
      </c>
      <c r="L70" s="25" t="s">
        <v>209</v>
      </c>
    </row>
    <row r="71" spans="2:12" s="1" customFormat="1">
      <c r="B71" s="13" t="s">
        <v>1328</v>
      </c>
      <c r="C71" s="13" t="s">
        <v>281</v>
      </c>
      <c r="D71" s="9" t="s">
        <v>1329</v>
      </c>
      <c r="E71" s="21" t="s">
        <v>182</v>
      </c>
      <c r="F71" s="19" t="s">
        <v>1328</v>
      </c>
      <c r="G71" s="22" t="s">
        <v>208</v>
      </c>
      <c r="H71" s="164" t="str">
        <f t="shared" si="1"/>
        <v>,tac as tac</v>
      </c>
      <c r="I71" s="25"/>
      <c r="J71" s="25" t="s">
        <v>117</v>
      </c>
      <c r="K71" s="25" t="s">
        <v>209</v>
      </c>
      <c r="L71" s="25" t="s">
        <v>209</v>
      </c>
    </row>
    <row r="72" spans="2:12" s="1" customFormat="1">
      <c r="B72" s="13" t="s">
        <v>1330</v>
      </c>
      <c r="C72" s="13" t="s">
        <v>281</v>
      </c>
      <c r="D72" s="9" t="s">
        <v>1331</v>
      </c>
      <c r="E72" s="21" t="s">
        <v>182</v>
      </c>
      <c r="F72" s="19" t="s">
        <v>1330</v>
      </c>
      <c r="G72" s="22" t="s">
        <v>208</v>
      </c>
      <c r="H72" s="164" t="str">
        <f t="shared" si="1"/>
        <v>,ci as ci</v>
      </c>
      <c r="I72" s="25"/>
      <c r="J72" s="25" t="s">
        <v>117</v>
      </c>
      <c r="K72" s="25" t="s">
        <v>209</v>
      </c>
      <c r="L72" s="25" t="s">
        <v>209</v>
      </c>
    </row>
    <row r="73" spans="2:12" s="1" customFormat="1">
      <c r="B73" s="13" t="s">
        <v>1332</v>
      </c>
      <c r="C73" s="13" t="s">
        <v>211</v>
      </c>
      <c r="D73" s="9" t="s">
        <v>1333</v>
      </c>
      <c r="E73" s="21" t="s">
        <v>182</v>
      </c>
      <c r="F73" s="19" t="s">
        <v>1332</v>
      </c>
      <c r="G73" s="22" t="s">
        <v>208</v>
      </c>
      <c r="H73" s="164" t="str">
        <f t="shared" si="1"/>
        <v>,first_fail_trans_prot as first_fail_trans_prot</v>
      </c>
      <c r="I73" s="25"/>
      <c r="J73" s="25" t="s">
        <v>117</v>
      </c>
      <c r="K73" s="25" t="s">
        <v>209</v>
      </c>
      <c r="L73" s="25" t="s">
        <v>209</v>
      </c>
    </row>
    <row r="74" spans="2:12" s="1" customFormat="1">
      <c r="B74" s="13" t="s">
        <v>1334</v>
      </c>
      <c r="C74" s="13" t="s">
        <v>211</v>
      </c>
      <c r="D74" s="9" t="s">
        <v>1335</v>
      </c>
      <c r="E74" s="21" t="s">
        <v>182</v>
      </c>
      <c r="F74" s="19" t="s">
        <v>1334</v>
      </c>
      <c r="G74" s="22" t="s">
        <v>208</v>
      </c>
      <c r="H74" s="164" t="str">
        <f t="shared" si="1"/>
        <v>,first_fail_trans as first_fail_trans</v>
      </c>
      <c r="I74" s="25"/>
      <c r="J74" s="25" t="s">
        <v>117</v>
      </c>
      <c r="K74" s="25" t="s">
        <v>209</v>
      </c>
      <c r="L74" s="25" t="s">
        <v>209</v>
      </c>
    </row>
    <row r="75" spans="2:12" s="1" customFormat="1">
      <c r="B75" s="13" t="s">
        <v>1336</v>
      </c>
      <c r="C75" s="13" t="s">
        <v>211</v>
      </c>
      <c r="D75" s="9" t="s">
        <v>1337</v>
      </c>
      <c r="E75" s="21" t="s">
        <v>182</v>
      </c>
      <c r="F75" s="19" t="s">
        <v>1336</v>
      </c>
      <c r="G75" s="22" t="s">
        <v>208</v>
      </c>
      <c r="H75" s="164" t="str">
        <f t="shared" si="1"/>
        <v>,first_fail_direction as first_fail_direction</v>
      </c>
      <c r="I75" s="25"/>
      <c r="J75" s="25" t="s">
        <v>117</v>
      </c>
      <c r="K75" s="25" t="s">
        <v>209</v>
      </c>
      <c r="L75" s="25" t="s">
        <v>209</v>
      </c>
    </row>
    <row r="76" spans="2:12" s="1" customFormat="1">
      <c r="B76" s="13" t="s">
        <v>1338</v>
      </c>
      <c r="C76" s="13" t="s">
        <v>211</v>
      </c>
      <c r="D76" s="9" t="s">
        <v>1339</v>
      </c>
      <c r="E76" s="21" t="s">
        <v>182</v>
      </c>
      <c r="F76" s="19" t="s">
        <v>1338</v>
      </c>
      <c r="G76" s="22" t="s">
        <v>208</v>
      </c>
      <c r="H76" s="164" t="str">
        <f t="shared" si="1"/>
        <v>,first_fail_cause_type as first_fail_cause_type</v>
      </c>
      <c r="I76" s="25"/>
      <c r="J76" s="25" t="s">
        <v>117</v>
      </c>
      <c r="K76" s="25" t="s">
        <v>209</v>
      </c>
      <c r="L76" s="25" t="s">
        <v>209</v>
      </c>
    </row>
    <row r="77" spans="2:12" s="1" customFormat="1">
      <c r="B77" s="13" t="s">
        <v>1340</v>
      </c>
      <c r="C77" s="13" t="s">
        <v>211</v>
      </c>
      <c r="D77" s="9" t="s">
        <v>1341</v>
      </c>
      <c r="E77" s="21" t="s">
        <v>182</v>
      </c>
      <c r="F77" s="19" t="s">
        <v>1340</v>
      </c>
      <c r="G77" s="22" t="s">
        <v>208</v>
      </c>
      <c r="H77" s="164" t="str">
        <f t="shared" si="1"/>
        <v>,first_fail_cause as first_fail_cause</v>
      </c>
      <c r="I77" s="25"/>
      <c r="J77" s="25" t="s">
        <v>117</v>
      </c>
      <c r="K77" s="25" t="s">
        <v>209</v>
      </c>
      <c r="L77" s="25" t="s">
        <v>209</v>
      </c>
    </row>
    <row r="78" spans="2:12" s="1" customFormat="1">
      <c r="B78" s="13" t="s">
        <v>1342</v>
      </c>
      <c r="C78" s="13" t="s">
        <v>211</v>
      </c>
      <c r="D78" s="9" t="s">
        <v>1343</v>
      </c>
      <c r="E78" s="21" t="s">
        <v>182</v>
      </c>
      <c r="F78" s="19" t="s">
        <v>1342</v>
      </c>
      <c r="G78" s="22" t="s">
        <v>208</v>
      </c>
      <c r="H78" s="164" t="str">
        <f t="shared" si="1"/>
        <v>,e2e_first_fail_trans_prot as e2e_first_fail_trans_prot</v>
      </c>
      <c r="I78" s="25"/>
      <c r="J78" s="25" t="s">
        <v>117</v>
      </c>
      <c r="K78" s="25" t="s">
        <v>209</v>
      </c>
      <c r="L78" s="25" t="s">
        <v>209</v>
      </c>
    </row>
    <row r="79" spans="2:12" s="1" customFormat="1">
      <c r="B79" s="13" t="s">
        <v>1344</v>
      </c>
      <c r="C79" s="13" t="s">
        <v>211</v>
      </c>
      <c r="D79" s="9" t="s">
        <v>1345</v>
      </c>
      <c r="E79" s="21" t="s">
        <v>182</v>
      </c>
      <c r="F79" s="19" t="s">
        <v>1344</v>
      </c>
      <c r="G79" s="22" t="s">
        <v>208</v>
      </c>
      <c r="H79" s="164" t="str">
        <f t="shared" si="1"/>
        <v>,e2e_first_fail_trans as e2e_first_fail_trans</v>
      </c>
      <c r="I79" s="25"/>
      <c r="J79" s="25" t="s">
        <v>117</v>
      </c>
      <c r="K79" s="25" t="s">
        <v>209</v>
      </c>
      <c r="L79" s="25" t="s">
        <v>209</v>
      </c>
    </row>
    <row r="80" spans="2:12" s="1" customFormat="1">
      <c r="B80" s="13" t="s">
        <v>1346</v>
      </c>
      <c r="C80" s="13" t="s">
        <v>211</v>
      </c>
      <c r="D80" s="9" t="s">
        <v>1347</v>
      </c>
      <c r="E80" s="21" t="s">
        <v>182</v>
      </c>
      <c r="F80" s="19" t="s">
        <v>1346</v>
      </c>
      <c r="G80" s="22" t="s">
        <v>208</v>
      </c>
      <c r="H80" s="164" t="str">
        <f t="shared" si="1"/>
        <v>,e2e_first_fail_cause_type as e2e_first_fail_cause_type</v>
      </c>
      <c r="I80" s="25"/>
      <c r="J80" s="25" t="s">
        <v>117</v>
      </c>
      <c r="K80" s="25" t="s">
        <v>209</v>
      </c>
      <c r="L80" s="25" t="s">
        <v>209</v>
      </c>
    </row>
    <row r="81" spans="2:12" s="1" customFormat="1">
      <c r="B81" s="13" t="s">
        <v>1348</v>
      </c>
      <c r="C81" s="13" t="s">
        <v>211</v>
      </c>
      <c r="D81" s="9" t="s">
        <v>1349</v>
      </c>
      <c r="E81" s="21" t="s">
        <v>182</v>
      </c>
      <c r="F81" s="19" t="s">
        <v>1348</v>
      </c>
      <c r="G81" s="22" t="s">
        <v>208</v>
      </c>
      <c r="H81" s="164" t="str">
        <f t="shared" si="1"/>
        <v>,e2e_first_fail_cause as e2e_first_fail_cause</v>
      </c>
      <c r="I81" s="25"/>
      <c r="J81" s="25" t="s">
        <v>117</v>
      </c>
      <c r="K81" s="25" t="s">
        <v>209</v>
      </c>
      <c r="L81" s="25" t="s">
        <v>209</v>
      </c>
    </row>
    <row r="82" spans="2:12" s="1" customFormat="1">
      <c r="B82" s="13" t="s">
        <v>1350</v>
      </c>
      <c r="C82" s="13" t="s">
        <v>211</v>
      </c>
      <c r="D82" s="9" t="s">
        <v>1351</v>
      </c>
      <c r="E82" s="21" t="s">
        <v>182</v>
      </c>
      <c r="F82" s="19" t="s">
        <v>1350</v>
      </c>
      <c r="G82" s="22" t="s">
        <v>208</v>
      </c>
      <c r="H82" s="164" t="str">
        <f t="shared" si="1"/>
        <v>,pdu_session_number as pdu_session_number</v>
      </c>
      <c r="I82" s="25"/>
      <c r="J82" s="25" t="s">
        <v>117</v>
      </c>
      <c r="K82" s="25" t="s">
        <v>209</v>
      </c>
      <c r="L82" s="25" t="s">
        <v>209</v>
      </c>
    </row>
    <row r="83" spans="2:12" s="1" customFormat="1">
      <c r="B83" s="13" t="s">
        <v>1352</v>
      </c>
      <c r="C83" s="13" t="s">
        <v>211</v>
      </c>
      <c r="D83" s="9" t="s">
        <v>1353</v>
      </c>
      <c r="E83" s="21" t="s">
        <v>182</v>
      </c>
      <c r="F83" s="19" t="s">
        <v>1352</v>
      </c>
      <c r="G83" s="22" t="s">
        <v>208</v>
      </c>
      <c r="H83" s="164" t="str">
        <f t="shared" ref="H83:H114" si="2">_xlfn.CONCAT(",",F83," as ",B83)</f>
        <v>,pdu_session_id as pdu_session_id</v>
      </c>
      <c r="I83" s="25"/>
      <c r="J83" s="25" t="s">
        <v>117</v>
      </c>
      <c r="K83" s="25" t="s">
        <v>209</v>
      </c>
      <c r="L83" s="25" t="s">
        <v>209</v>
      </c>
    </row>
    <row r="84" spans="2:12" s="1" customFormat="1">
      <c r="B84" s="13" t="s">
        <v>1354</v>
      </c>
      <c r="C84" s="13" t="s">
        <v>211</v>
      </c>
      <c r="D84" s="9" t="s">
        <v>1355</v>
      </c>
      <c r="E84" s="21" t="s">
        <v>182</v>
      </c>
      <c r="F84" s="19" t="s">
        <v>1354</v>
      </c>
      <c r="G84" s="22" t="s">
        <v>208</v>
      </c>
      <c r="H84" s="164" t="str">
        <f t="shared" si="2"/>
        <v>,pdu_session_req_type as pdu_session_req_type</v>
      </c>
      <c r="I84" s="25"/>
      <c r="J84" s="25" t="s">
        <v>117</v>
      </c>
      <c r="K84" s="25" t="s">
        <v>209</v>
      </c>
      <c r="L84" s="25" t="s">
        <v>209</v>
      </c>
    </row>
    <row r="85" spans="2:12" s="1" customFormat="1">
      <c r="B85" s="13" t="s">
        <v>1356</v>
      </c>
      <c r="C85" s="13" t="s">
        <v>211</v>
      </c>
      <c r="D85" s="9" t="s">
        <v>1357</v>
      </c>
      <c r="E85" s="21" t="s">
        <v>182</v>
      </c>
      <c r="F85" s="19" t="s">
        <v>1356</v>
      </c>
      <c r="G85" s="22" t="s">
        <v>208</v>
      </c>
      <c r="H85" s="164" t="str">
        <f t="shared" si="2"/>
        <v>,pdu_session_type as pdu_session_type</v>
      </c>
      <c r="I85" s="25"/>
      <c r="J85" s="25" t="s">
        <v>117</v>
      </c>
      <c r="K85" s="25" t="s">
        <v>209</v>
      </c>
      <c r="L85" s="25" t="s">
        <v>209</v>
      </c>
    </row>
    <row r="86" spans="2:12" s="1" customFormat="1">
      <c r="B86" s="13" t="s">
        <v>1358</v>
      </c>
      <c r="C86" s="13" t="s">
        <v>206</v>
      </c>
      <c r="D86" s="9" t="s">
        <v>1359</v>
      </c>
      <c r="E86" s="21" t="s">
        <v>182</v>
      </c>
      <c r="F86" s="19" t="s">
        <v>1358</v>
      </c>
      <c r="G86" s="22" t="s">
        <v>208</v>
      </c>
      <c r="H86" s="164" t="str">
        <f t="shared" si="2"/>
        <v>,pdu_session_dnn as pdu_session_dnn</v>
      </c>
      <c r="I86" s="25"/>
      <c r="J86" s="25" t="s">
        <v>117</v>
      </c>
      <c r="K86" s="25" t="s">
        <v>209</v>
      </c>
      <c r="L86" s="25" t="s">
        <v>209</v>
      </c>
    </row>
    <row r="87" spans="2:12" s="1" customFormat="1">
      <c r="B87" s="13" t="s">
        <v>1360</v>
      </c>
      <c r="C87" s="13" t="s">
        <v>211</v>
      </c>
      <c r="D87" s="9" t="s">
        <v>1361</v>
      </c>
      <c r="E87" s="21" t="s">
        <v>182</v>
      </c>
      <c r="F87" s="19" t="s">
        <v>1360</v>
      </c>
      <c r="G87" s="22" t="s">
        <v>208</v>
      </c>
      <c r="H87" s="164" t="str">
        <f t="shared" si="2"/>
        <v>,pdu_session_dnn_type as pdu_session_dnn_type</v>
      </c>
      <c r="I87" s="25"/>
      <c r="J87" s="25" t="s">
        <v>117</v>
      </c>
      <c r="K87" s="25" t="s">
        <v>209</v>
      </c>
      <c r="L87" s="25" t="s">
        <v>209</v>
      </c>
    </row>
    <row r="88" spans="2:12" s="1" customFormat="1">
      <c r="B88" s="13" t="s">
        <v>1362</v>
      </c>
      <c r="C88" s="13" t="s">
        <v>211</v>
      </c>
      <c r="D88" s="9" t="s">
        <v>1363</v>
      </c>
      <c r="E88" s="21" t="s">
        <v>182</v>
      </c>
      <c r="F88" s="19" t="s">
        <v>1362</v>
      </c>
      <c r="G88" s="22" t="s">
        <v>208</v>
      </c>
      <c r="H88" s="164" t="str">
        <f t="shared" si="2"/>
        <v>,pdu_session_direction as pdu_session_direction</v>
      </c>
      <c r="I88" s="25"/>
      <c r="J88" s="25" t="s">
        <v>117</v>
      </c>
      <c r="K88" s="25" t="s">
        <v>209</v>
      </c>
      <c r="L88" s="25" t="s">
        <v>209</v>
      </c>
    </row>
    <row r="89" spans="2:12" s="1" customFormat="1">
      <c r="B89" s="13" t="s">
        <v>1364</v>
      </c>
      <c r="C89" s="13" t="s">
        <v>206</v>
      </c>
      <c r="D89" s="9" t="s">
        <v>1365</v>
      </c>
      <c r="E89" s="21" t="s">
        <v>182</v>
      </c>
      <c r="F89" s="19" t="s">
        <v>1364</v>
      </c>
      <c r="G89" s="22" t="s">
        <v>208</v>
      </c>
      <c r="H89" s="164" t="str">
        <f t="shared" si="2"/>
        <v>,pdu_session_user_ipv4 as pdu_session_user_ipv4</v>
      </c>
      <c r="I89" s="25"/>
      <c r="J89" s="25" t="s">
        <v>117</v>
      </c>
      <c r="K89" s="25" t="s">
        <v>209</v>
      </c>
      <c r="L89" s="25" t="s">
        <v>209</v>
      </c>
    </row>
    <row r="90" spans="2:12" s="1" customFormat="1">
      <c r="B90" s="13" t="s">
        <v>1366</v>
      </c>
      <c r="C90" s="13" t="s">
        <v>206</v>
      </c>
      <c r="D90" s="9" t="s">
        <v>1367</v>
      </c>
      <c r="E90" s="21" t="s">
        <v>182</v>
      </c>
      <c r="F90" s="19" t="s">
        <v>1366</v>
      </c>
      <c r="G90" s="22" t="s">
        <v>208</v>
      </c>
      <c r="H90" s="164" t="str">
        <f t="shared" si="2"/>
        <v>,pdu_session_user_ipv6 as pdu_session_user_ipv6</v>
      </c>
      <c r="I90" s="25"/>
      <c r="J90" s="25" t="s">
        <v>117</v>
      </c>
      <c r="K90" s="25" t="s">
        <v>209</v>
      </c>
      <c r="L90" s="25" t="s">
        <v>209</v>
      </c>
    </row>
    <row r="91" spans="2:12" s="1" customFormat="1" ht="26.4">
      <c r="B91" s="13" t="s">
        <v>1368</v>
      </c>
      <c r="C91" s="13" t="s">
        <v>211</v>
      </c>
      <c r="D91" s="9" t="s">
        <v>1369</v>
      </c>
      <c r="E91" s="21" t="s">
        <v>182</v>
      </c>
      <c r="F91" s="19" t="s">
        <v>1368</v>
      </c>
      <c r="G91" s="22" t="s">
        <v>208</v>
      </c>
      <c r="H91" s="164" t="str">
        <f t="shared" si="2"/>
        <v>,pdu_session_always_on_pdu_session_indication as pdu_session_always_on_pdu_session_indication</v>
      </c>
      <c r="I91" s="25"/>
      <c r="J91" s="25" t="s">
        <v>117</v>
      </c>
      <c r="K91" s="25" t="s">
        <v>209</v>
      </c>
      <c r="L91" s="25" t="s">
        <v>209</v>
      </c>
    </row>
    <row r="92" spans="2:12" s="1" customFormat="1">
      <c r="B92" s="13" t="s">
        <v>1370</v>
      </c>
      <c r="C92" s="13" t="s">
        <v>211</v>
      </c>
      <c r="D92" s="9" t="s">
        <v>1371</v>
      </c>
      <c r="E92" s="21" t="s">
        <v>182</v>
      </c>
      <c r="F92" s="19" t="s">
        <v>1370</v>
      </c>
      <c r="G92" s="22" t="s">
        <v>208</v>
      </c>
      <c r="H92" s="164" t="str">
        <f t="shared" si="2"/>
        <v>,pdu_session_req_ssc_mode as pdu_session_req_ssc_mode</v>
      </c>
      <c r="I92" s="25"/>
      <c r="J92" s="25" t="s">
        <v>117</v>
      </c>
      <c r="K92" s="25" t="s">
        <v>209</v>
      </c>
      <c r="L92" s="25" t="s">
        <v>209</v>
      </c>
    </row>
    <row r="93" spans="2:12" s="1" customFormat="1">
      <c r="B93" s="13" t="s">
        <v>1372</v>
      </c>
      <c r="C93" s="13" t="s">
        <v>211</v>
      </c>
      <c r="D93" s="9" t="s">
        <v>1373</v>
      </c>
      <c r="E93" s="21" t="s">
        <v>182</v>
      </c>
      <c r="F93" s="19" t="s">
        <v>1372</v>
      </c>
      <c r="G93" s="22" t="s">
        <v>208</v>
      </c>
      <c r="H93" s="164" t="str">
        <f t="shared" si="2"/>
        <v>,pdu_session_ssc_mode as pdu_session_ssc_mode</v>
      </c>
      <c r="I93" s="25"/>
      <c r="J93" s="25" t="s">
        <v>117</v>
      </c>
      <c r="K93" s="25" t="s">
        <v>209</v>
      </c>
      <c r="L93" s="25" t="s">
        <v>209</v>
      </c>
    </row>
    <row r="94" spans="2:12" s="1" customFormat="1">
      <c r="B94" s="13" t="s">
        <v>1374</v>
      </c>
      <c r="C94" s="13" t="s">
        <v>211</v>
      </c>
      <c r="D94" s="9" t="s">
        <v>1375</v>
      </c>
      <c r="E94" s="21" t="s">
        <v>182</v>
      </c>
      <c r="F94" s="19" t="s">
        <v>1374</v>
      </c>
      <c r="G94" s="22" t="s">
        <v>208</v>
      </c>
      <c r="H94" s="164" t="str">
        <f t="shared" si="2"/>
        <v>,pdu_session_ne_ip_type as pdu_session_ne_ip_type</v>
      </c>
      <c r="I94" s="25"/>
      <c r="J94" s="25" t="s">
        <v>117</v>
      </c>
      <c r="K94" s="25" t="s">
        <v>209</v>
      </c>
      <c r="L94" s="25" t="s">
        <v>209</v>
      </c>
    </row>
    <row r="95" spans="2:12" s="1" customFormat="1">
      <c r="B95" s="13" t="s">
        <v>1376</v>
      </c>
      <c r="C95" s="13" t="s">
        <v>206</v>
      </c>
      <c r="D95" s="9" t="s">
        <v>1377</v>
      </c>
      <c r="E95" s="21" t="s">
        <v>182</v>
      </c>
      <c r="F95" s="19" t="s">
        <v>1376</v>
      </c>
      <c r="G95" s="22" t="s">
        <v>208</v>
      </c>
      <c r="H95" s="164" t="str">
        <f t="shared" si="2"/>
        <v>,pdu_session_n3_an_addr as pdu_session_n3_an_addr</v>
      </c>
      <c r="I95" s="25"/>
      <c r="J95" s="25" t="s">
        <v>117</v>
      </c>
      <c r="K95" s="25" t="s">
        <v>209</v>
      </c>
      <c r="L95" s="25" t="s">
        <v>209</v>
      </c>
    </row>
    <row r="96" spans="2:12" s="1" customFormat="1">
      <c r="B96" s="13" t="s">
        <v>1378</v>
      </c>
      <c r="C96" s="13" t="s">
        <v>206</v>
      </c>
      <c r="D96" s="9" t="s">
        <v>1379</v>
      </c>
      <c r="E96" s="21" t="s">
        <v>182</v>
      </c>
      <c r="F96" s="19" t="s">
        <v>1378</v>
      </c>
      <c r="G96" s="22" t="s">
        <v>208</v>
      </c>
      <c r="H96" s="164" t="str">
        <f t="shared" si="2"/>
        <v>,pdu_session_1_n3_upf_addr as pdu_session_1_n3_upf_addr</v>
      </c>
      <c r="I96" s="25"/>
      <c r="J96" s="25" t="s">
        <v>117</v>
      </c>
      <c r="K96" s="25" t="s">
        <v>209</v>
      </c>
      <c r="L96" s="25" t="s">
        <v>209</v>
      </c>
    </row>
    <row r="97" spans="2:12" s="1" customFormat="1">
      <c r="B97" s="13" t="s">
        <v>1380</v>
      </c>
      <c r="C97" s="13" t="s">
        <v>281</v>
      </c>
      <c r="D97" s="9" t="s">
        <v>1381</v>
      </c>
      <c r="E97" s="21" t="s">
        <v>182</v>
      </c>
      <c r="F97" s="19" t="s">
        <v>1380</v>
      </c>
      <c r="G97" s="22" t="s">
        <v>208</v>
      </c>
      <c r="H97" s="164" t="str">
        <f t="shared" si="2"/>
        <v>,pdu_session_1_n3_an_teid as pdu_session_1_n3_an_teid</v>
      </c>
      <c r="I97" s="25"/>
      <c r="J97" s="25" t="s">
        <v>117</v>
      </c>
      <c r="K97" s="25" t="s">
        <v>209</v>
      </c>
      <c r="L97" s="25" t="s">
        <v>209</v>
      </c>
    </row>
    <row r="98" spans="2:12" s="1" customFormat="1">
      <c r="B98" s="13" t="s">
        <v>1382</v>
      </c>
      <c r="C98" s="13" t="s">
        <v>281</v>
      </c>
      <c r="D98" s="9" t="s">
        <v>1383</v>
      </c>
      <c r="E98" s="21" t="s">
        <v>182</v>
      </c>
      <c r="F98" s="19" t="s">
        <v>1382</v>
      </c>
      <c r="G98" s="22" t="s">
        <v>208</v>
      </c>
      <c r="H98" s="164" t="str">
        <f t="shared" si="2"/>
        <v>,pdu_session_1_n3_upf_teid as pdu_session_1_n3_upf_teid</v>
      </c>
      <c r="I98" s="25"/>
      <c r="J98" s="25" t="s">
        <v>117</v>
      </c>
      <c r="K98" s="25" t="s">
        <v>209</v>
      </c>
      <c r="L98" s="25" t="s">
        <v>209</v>
      </c>
    </row>
    <row r="99" spans="2:12" s="1" customFormat="1">
      <c r="B99" s="13" t="s">
        <v>1384</v>
      </c>
      <c r="C99" s="13" t="s">
        <v>211</v>
      </c>
      <c r="D99" s="9" t="s">
        <v>1385</v>
      </c>
      <c r="E99" s="21" t="s">
        <v>182</v>
      </c>
      <c r="F99" s="19" t="s">
        <v>1384</v>
      </c>
      <c r="G99" s="22" t="s">
        <v>208</v>
      </c>
      <c r="H99" s="164" t="str">
        <f t="shared" si="2"/>
        <v>,pdu_session_1_status as pdu_session_1_status</v>
      </c>
      <c r="I99" s="25"/>
      <c r="J99" s="25" t="s">
        <v>117</v>
      </c>
      <c r="K99" s="25" t="s">
        <v>209</v>
      </c>
      <c r="L99" s="25" t="s">
        <v>209</v>
      </c>
    </row>
    <row r="100" spans="2:12" s="1" customFormat="1">
      <c r="B100" s="13" t="s">
        <v>1386</v>
      </c>
      <c r="C100" s="13" t="s">
        <v>211</v>
      </c>
      <c r="D100" s="9" t="s">
        <v>1387</v>
      </c>
      <c r="E100" s="21" t="s">
        <v>182</v>
      </c>
      <c r="F100" s="19" t="s">
        <v>1386</v>
      </c>
      <c r="G100" s="22" t="s">
        <v>208</v>
      </c>
      <c r="H100" s="164" t="str">
        <f t="shared" si="2"/>
        <v>,pdu_session_id_2 as pdu_session_id_2</v>
      </c>
      <c r="I100" s="25"/>
      <c r="J100" s="25" t="s">
        <v>117</v>
      </c>
      <c r="K100" s="25" t="s">
        <v>209</v>
      </c>
      <c r="L100" s="25" t="s">
        <v>209</v>
      </c>
    </row>
    <row r="101" spans="2:12" s="1" customFormat="1">
      <c r="B101" s="13" t="s">
        <v>1388</v>
      </c>
      <c r="C101" s="13" t="s">
        <v>211</v>
      </c>
      <c r="D101" s="9" t="s">
        <v>1389</v>
      </c>
      <c r="E101" s="21" t="s">
        <v>182</v>
      </c>
      <c r="F101" s="19" t="s">
        <v>1388</v>
      </c>
      <c r="G101" s="22" t="s">
        <v>208</v>
      </c>
      <c r="H101" s="164" t="str">
        <f t="shared" si="2"/>
        <v>,pdu_session_req_type_2 as pdu_session_req_type_2</v>
      </c>
      <c r="I101" s="25"/>
      <c r="J101" s="25" t="s">
        <v>117</v>
      </c>
      <c r="K101" s="25" t="s">
        <v>209</v>
      </c>
      <c r="L101" s="25" t="s">
        <v>209</v>
      </c>
    </row>
    <row r="102" spans="2:12" s="1" customFormat="1">
      <c r="B102" s="13" t="s">
        <v>1390</v>
      </c>
      <c r="C102" s="13" t="s">
        <v>211</v>
      </c>
      <c r="D102" s="9" t="s">
        <v>1391</v>
      </c>
      <c r="E102" s="21" t="s">
        <v>182</v>
      </c>
      <c r="F102" s="19" t="s">
        <v>1390</v>
      </c>
      <c r="G102" s="22" t="s">
        <v>208</v>
      </c>
      <c r="H102" s="164" t="str">
        <f t="shared" si="2"/>
        <v>,pdu_session_type_2 as pdu_session_type_2</v>
      </c>
      <c r="I102" s="25"/>
      <c r="J102" s="25" t="s">
        <v>117</v>
      </c>
      <c r="K102" s="25" t="s">
        <v>209</v>
      </c>
      <c r="L102" s="25" t="s">
        <v>209</v>
      </c>
    </row>
    <row r="103" spans="2:12" s="1" customFormat="1">
      <c r="B103" s="13" t="s">
        <v>1392</v>
      </c>
      <c r="C103" s="13" t="s">
        <v>206</v>
      </c>
      <c r="D103" s="9" t="s">
        <v>1393</v>
      </c>
      <c r="E103" s="21" t="s">
        <v>182</v>
      </c>
      <c r="F103" s="19" t="s">
        <v>1392</v>
      </c>
      <c r="G103" s="22" t="s">
        <v>208</v>
      </c>
      <c r="H103" s="164" t="str">
        <f t="shared" si="2"/>
        <v>,pdu_session_dnn_2 as pdu_session_dnn_2</v>
      </c>
      <c r="I103" s="25"/>
      <c r="J103" s="25" t="s">
        <v>117</v>
      </c>
      <c r="K103" s="25" t="s">
        <v>209</v>
      </c>
      <c r="L103" s="25" t="s">
        <v>209</v>
      </c>
    </row>
    <row r="104" spans="2:12" s="1" customFormat="1">
      <c r="B104" s="13" t="s">
        <v>1394</v>
      </c>
      <c r="C104" s="13" t="s">
        <v>211</v>
      </c>
      <c r="D104" s="9" t="s">
        <v>1395</v>
      </c>
      <c r="E104" s="21" t="s">
        <v>182</v>
      </c>
      <c r="F104" s="19" t="s">
        <v>1394</v>
      </c>
      <c r="G104" s="22" t="s">
        <v>208</v>
      </c>
      <c r="H104" s="164" t="str">
        <f t="shared" si="2"/>
        <v>,pdu_session_dnn_type_2 as pdu_session_dnn_type_2</v>
      </c>
      <c r="I104" s="25"/>
      <c r="J104" s="25" t="s">
        <v>117</v>
      </c>
      <c r="K104" s="25" t="s">
        <v>209</v>
      </c>
      <c r="L104" s="25" t="s">
        <v>209</v>
      </c>
    </row>
    <row r="105" spans="2:12" s="1" customFormat="1">
      <c r="B105" s="13" t="s">
        <v>1396</v>
      </c>
      <c r="C105" s="13" t="s">
        <v>211</v>
      </c>
      <c r="D105" s="9" t="s">
        <v>1397</v>
      </c>
      <c r="E105" s="21" t="s">
        <v>182</v>
      </c>
      <c r="F105" s="19" t="s">
        <v>1396</v>
      </c>
      <c r="G105" s="22" t="s">
        <v>208</v>
      </c>
      <c r="H105" s="164" t="str">
        <f t="shared" si="2"/>
        <v>,pdu_session_direction_2 as pdu_session_direction_2</v>
      </c>
      <c r="I105" s="25"/>
      <c r="J105" s="25" t="s">
        <v>117</v>
      </c>
      <c r="K105" s="25" t="s">
        <v>209</v>
      </c>
      <c r="L105" s="25" t="s">
        <v>209</v>
      </c>
    </row>
    <row r="106" spans="2:12" s="1" customFormat="1">
      <c r="B106" s="13" t="s">
        <v>1398</v>
      </c>
      <c r="C106" s="13" t="s">
        <v>206</v>
      </c>
      <c r="D106" s="9" t="s">
        <v>1399</v>
      </c>
      <c r="E106" s="21" t="s">
        <v>182</v>
      </c>
      <c r="F106" s="19" t="s">
        <v>1398</v>
      </c>
      <c r="G106" s="22" t="s">
        <v>208</v>
      </c>
      <c r="H106" s="164" t="str">
        <f t="shared" si="2"/>
        <v>,pdu_session_user_ipv4_2 as pdu_session_user_ipv4_2</v>
      </c>
      <c r="I106" s="25"/>
      <c r="J106" s="25" t="s">
        <v>117</v>
      </c>
      <c r="K106" s="25" t="s">
        <v>209</v>
      </c>
      <c r="L106" s="25" t="s">
        <v>209</v>
      </c>
    </row>
    <row r="107" spans="2:12" s="1" customFormat="1">
      <c r="B107" s="13" t="s">
        <v>1400</v>
      </c>
      <c r="C107" s="13" t="s">
        <v>206</v>
      </c>
      <c r="D107" s="9" t="s">
        <v>1401</v>
      </c>
      <c r="E107" s="21" t="s">
        <v>182</v>
      </c>
      <c r="F107" s="19" t="s">
        <v>1400</v>
      </c>
      <c r="G107" s="22" t="s">
        <v>208</v>
      </c>
      <c r="H107" s="164" t="str">
        <f t="shared" si="2"/>
        <v>,pdu_session_user_ipv6_2 as pdu_session_user_ipv6_2</v>
      </c>
      <c r="I107" s="25"/>
      <c r="J107" s="25" t="s">
        <v>117</v>
      </c>
      <c r="K107" s="25" t="s">
        <v>209</v>
      </c>
      <c r="L107" s="25" t="s">
        <v>209</v>
      </c>
    </row>
    <row r="108" spans="2:12" s="1" customFormat="1" ht="26.4">
      <c r="B108" s="13" t="s">
        <v>1402</v>
      </c>
      <c r="C108" s="13" t="s">
        <v>211</v>
      </c>
      <c r="D108" s="9" t="s">
        <v>1403</v>
      </c>
      <c r="E108" s="21" t="s">
        <v>182</v>
      </c>
      <c r="F108" s="19" t="s">
        <v>1402</v>
      </c>
      <c r="G108" s="22" t="s">
        <v>208</v>
      </c>
      <c r="H108" s="164" t="str">
        <f t="shared" si="2"/>
        <v>,pdu_session_always_on_pdu_session_indication_2 as pdu_session_always_on_pdu_session_indication_2</v>
      </c>
      <c r="I108" s="25"/>
      <c r="J108" s="25" t="s">
        <v>117</v>
      </c>
      <c r="K108" s="25" t="s">
        <v>209</v>
      </c>
      <c r="L108" s="25" t="s">
        <v>209</v>
      </c>
    </row>
    <row r="109" spans="2:12" s="1" customFormat="1">
      <c r="B109" s="13" t="s">
        <v>1404</v>
      </c>
      <c r="C109" s="13" t="s">
        <v>211</v>
      </c>
      <c r="D109" s="9" t="s">
        <v>1405</v>
      </c>
      <c r="E109" s="21" t="s">
        <v>182</v>
      </c>
      <c r="F109" s="19" t="s">
        <v>1404</v>
      </c>
      <c r="G109" s="22" t="s">
        <v>208</v>
      </c>
      <c r="H109" s="164" t="str">
        <f t="shared" si="2"/>
        <v>,pdu_session_req_ssc_mode_2 as pdu_session_req_ssc_mode_2</v>
      </c>
      <c r="I109" s="25"/>
      <c r="J109" s="25" t="s">
        <v>117</v>
      </c>
      <c r="K109" s="25" t="s">
        <v>209</v>
      </c>
      <c r="L109" s="25" t="s">
        <v>209</v>
      </c>
    </row>
    <row r="110" spans="2:12" s="1" customFormat="1">
      <c r="B110" s="13" t="s">
        <v>1406</v>
      </c>
      <c r="C110" s="13" t="s">
        <v>211</v>
      </c>
      <c r="D110" s="9" t="s">
        <v>1407</v>
      </c>
      <c r="E110" s="21" t="s">
        <v>182</v>
      </c>
      <c r="F110" s="19" t="s">
        <v>1406</v>
      </c>
      <c r="G110" s="22" t="s">
        <v>208</v>
      </c>
      <c r="H110" s="164" t="str">
        <f t="shared" si="2"/>
        <v>,pdu_session_ssc_mode_2 as pdu_session_ssc_mode_2</v>
      </c>
      <c r="I110" s="25"/>
      <c r="J110" s="25" t="s">
        <v>117</v>
      </c>
      <c r="K110" s="25" t="s">
        <v>209</v>
      </c>
      <c r="L110" s="25" t="s">
        <v>209</v>
      </c>
    </row>
    <row r="111" spans="2:12" s="1" customFormat="1">
      <c r="B111" s="13" t="s">
        <v>1408</v>
      </c>
      <c r="C111" s="13" t="s">
        <v>211</v>
      </c>
      <c r="D111" s="9" t="s">
        <v>1409</v>
      </c>
      <c r="E111" s="21" t="s">
        <v>182</v>
      </c>
      <c r="F111" s="19" t="s">
        <v>1408</v>
      </c>
      <c r="G111" s="22" t="s">
        <v>208</v>
      </c>
      <c r="H111" s="164" t="str">
        <f t="shared" si="2"/>
        <v>,pdu_session_ne_ip_type_2 as pdu_session_ne_ip_type_2</v>
      </c>
      <c r="I111" s="25"/>
      <c r="J111" s="25" t="s">
        <v>117</v>
      </c>
      <c r="K111" s="25" t="s">
        <v>209</v>
      </c>
      <c r="L111" s="25" t="s">
        <v>209</v>
      </c>
    </row>
    <row r="112" spans="2:12" s="1" customFormat="1">
      <c r="B112" s="13" t="s">
        <v>1410</v>
      </c>
      <c r="C112" s="13" t="s">
        <v>206</v>
      </c>
      <c r="D112" s="9" t="s">
        <v>1411</v>
      </c>
      <c r="E112" s="21" t="s">
        <v>182</v>
      </c>
      <c r="F112" s="19" t="s">
        <v>1410</v>
      </c>
      <c r="G112" s="22" t="s">
        <v>208</v>
      </c>
      <c r="H112" s="164" t="str">
        <f t="shared" si="2"/>
        <v>,pdu_session_n3_an_addr_2 as pdu_session_n3_an_addr_2</v>
      </c>
      <c r="I112" s="25"/>
      <c r="J112" s="25" t="s">
        <v>117</v>
      </c>
      <c r="K112" s="25" t="s">
        <v>209</v>
      </c>
      <c r="L112" s="25" t="s">
        <v>209</v>
      </c>
    </row>
    <row r="113" spans="2:12" s="1" customFormat="1">
      <c r="B113" s="13" t="s">
        <v>1412</v>
      </c>
      <c r="C113" s="13" t="s">
        <v>206</v>
      </c>
      <c r="D113" s="9" t="s">
        <v>1413</v>
      </c>
      <c r="E113" s="21" t="s">
        <v>182</v>
      </c>
      <c r="F113" s="19" t="s">
        <v>1412</v>
      </c>
      <c r="G113" s="22" t="s">
        <v>208</v>
      </c>
      <c r="H113" s="164" t="str">
        <f t="shared" si="2"/>
        <v>,pdu_session_1_n3_upf_addr_2 as pdu_session_1_n3_upf_addr_2</v>
      </c>
      <c r="I113" s="25"/>
      <c r="J113" s="25" t="s">
        <v>117</v>
      </c>
      <c r="K113" s="25" t="s">
        <v>209</v>
      </c>
      <c r="L113" s="25" t="s">
        <v>209</v>
      </c>
    </row>
    <row r="114" spans="2:12" s="1" customFormat="1">
      <c r="B114" s="13" t="s">
        <v>1414</v>
      </c>
      <c r="C114" s="13" t="s">
        <v>211</v>
      </c>
      <c r="D114" s="9" t="s">
        <v>1415</v>
      </c>
      <c r="E114" s="21" t="s">
        <v>182</v>
      </c>
      <c r="F114" s="19" t="s">
        <v>1414</v>
      </c>
      <c r="G114" s="22" t="s">
        <v>208</v>
      </c>
      <c r="H114" s="164" t="str">
        <f t="shared" si="2"/>
        <v>,pdu_session_1_n3_an_teid_2 as pdu_session_1_n3_an_teid_2</v>
      </c>
      <c r="I114" s="25"/>
      <c r="J114" s="25" t="s">
        <v>117</v>
      </c>
      <c r="K114" s="25" t="s">
        <v>209</v>
      </c>
      <c r="L114" s="25" t="s">
        <v>209</v>
      </c>
    </row>
    <row r="115" spans="2:12" s="1" customFormat="1">
      <c r="B115" s="13" t="s">
        <v>1416</v>
      </c>
      <c r="C115" s="13" t="s">
        <v>211</v>
      </c>
      <c r="D115" s="9" t="s">
        <v>1417</v>
      </c>
      <c r="E115" s="21" t="s">
        <v>182</v>
      </c>
      <c r="F115" s="19" t="s">
        <v>1416</v>
      </c>
      <c r="G115" s="22" t="s">
        <v>208</v>
      </c>
      <c r="H115" s="164" t="str">
        <f t="shared" ref="H115:H134" si="3">_xlfn.CONCAT(",",F115," as ",B115)</f>
        <v>,pdu_session_1_n3_upf_teid_2 as pdu_session_1_n3_upf_teid_2</v>
      </c>
      <c r="I115" s="25"/>
      <c r="J115" s="25" t="s">
        <v>117</v>
      </c>
      <c r="K115" s="25" t="s">
        <v>209</v>
      </c>
      <c r="L115" s="25" t="s">
        <v>209</v>
      </c>
    </row>
    <row r="116" spans="2:12" s="1" customFormat="1">
      <c r="B116" s="13" t="s">
        <v>1418</v>
      </c>
      <c r="C116" s="13" t="s">
        <v>211</v>
      </c>
      <c r="D116" s="9" t="s">
        <v>1419</v>
      </c>
      <c r="E116" s="21" t="s">
        <v>182</v>
      </c>
      <c r="F116" s="19" t="s">
        <v>1418</v>
      </c>
      <c r="G116" s="22" t="s">
        <v>208</v>
      </c>
      <c r="H116" s="164" t="str">
        <f t="shared" si="3"/>
        <v>,pdu_session_1_status_2 as pdu_session_1_status_2</v>
      </c>
      <c r="I116" s="25"/>
      <c r="J116" s="25" t="s">
        <v>117</v>
      </c>
      <c r="K116" s="25" t="s">
        <v>209</v>
      </c>
      <c r="L116" s="25" t="s">
        <v>209</v>
      </c>
    </row>
    <row r="117" spans="2:12" s="1" customFormat="1">
      <c r="B117" s="13" t="s">
        <v>817</v>
      </c>
      <c r="C117" s="13" t="s">
        <v>211</v>
      </c>
      <c r="D117" s="9" t="s">
        <v>1420</v>
      </c>
      <c r="E117" s="21" t="s">
        <v>182</v>
      </c>
      <c r="F117" s="19" t="s">
        <v>1421</v>
      </c>
      <c r="G117" s="22" t="s">
        <v>1421</v>
      </c>
      <c r="H117" s="164" t="str">
        <f t="shared" si="3"/>
        <v>,NVL(failure_cause_type,request_cause_type) as cause_type</v>
      </c>
      <c r="I117" s="25"/>
      <c r="J117" s="25" t="s">
        <v>117</v>
      </c>
      <c r="K117" s="25" t="s">
        <v>209</v>
      </c>
      <c r="L117" s="25" t="s">
        <v>209</v>
      </c>
    </row>
    <row r="118" spans="2:12" s="1" customFormat="1">
      <c r="B118" s="13" t="s">
        <v>1422</v>
      </c>
      <c r="C118" s="13" t="s">
        <v>211</v>
      </c>
      <c r="D118" s="9" t="s">
        <v>1423</v>
      </c>
      <c r="E118" s="21" t="s">
        <v>182</v>
      </c>
      <c r="F118" s="19" t="s">
        <v>1424</v>
      </c>
      <c r="G118" s="22" t="s">
        <v>1424</v>
      </c>
      <c r="H118" s="164" t="str">
        <f t="shared" si="3"/>
        <v>,NVL(failure_cause,request_cause) as cause_code</v>
      </c>
      <c r="I118" s="25"/>
      <c r="J118" s="25" t="s">
        <v>117</v>
      </c>
      <c r="K118" s="25" t="s">
        <v>209</v>
      </c>
      <c r="L118" s="25" t="s">
        <v>209</v>
      </c>
    </row>
    <row r="119" spans="2:12" s="1" customFormat="1">
      <c r="B119" s="13" t="s">
        <v>2370</v>
      </c>
      <c r="C119" s="13" t="s">
        <v>206</v>
      </c>
      <c r="D119" s="9" t="s">
        <v>243</v>
      </c>
      <c r="E119" s="21" t="s">
        <v>182</v>
      </c>
      <c r="F119" s="9" t="s">
        <v>1425</v>
      </c>
      <c r="G119" s="27" t="s">
        <v>1425</v>
      </c>
      <c r="H119" s="164" t="str">
        <f t="shared" si="3"/>
        <v>,CONCAT(FLOOR(ci / 4096),'_',ci % 4096) as cellkey</v>
      </c>
      <c r="I119" s="25"/>
      <c r="J119" s="25" t="s">
        <v>117</v>
      </c>
      <c r="K119" s="25" t="s">
        <v>209</v>
      </c>
      <c r="L119" s="25" t="s">
        <v>209</v>
      </c>
    </row>
    <row r="120" spans="2:12" s="1" customFormat="1">
      <c r="B120" s="13" t="s">
        <v>2430</v>
      </c>
      <c r="C120" s="13" t="s">
        <v>206</v>
      </c>
      <c r="D120" s="9" t="s">
        <v>1157</v>
      </c>
      <c r="E120" s="21" t="s">
        <v>418</v>
      </c>
      <c r="F120" s="19" t="s">
        <v>1095</v>
      </c>
      <c r="G120" s="22" t="s">
        <v>208</v>
      </c>
      <c r="H120" s="164" t="str">
        <f t="shared" si="3"/>
        <v>,procedure_type_name as procedure_name</v>
      </c>
      <c r="I120" s="25"/>
      <c r="J120" s="25" t="s">
        <v>117</v>
      </c>
      <c r="K120" s="25" t="s">
        <v>209</v>
      </c>
      <c r="L120" s="25" t="s">
        <v>209</v>
      </c>
    </row>
    <row r="121" spans="2:12" s="1" customFormat="1">
      <c r="B121" s="13" t="s">
        <v>1426</v>
      </c>
      <c r="C121" s="13" t="s">
        <v>206</v>
      </c>
      <c r="D121" s="9" t="s">
        <v>824</v>
      </c>
      <c r="E121" s="21" t="s">
        <v>418</v>
      </c>
      <c r="F121" s="19" t="s">
        <v>823</v>
      </c>
      <c r="G121" s="22" t="s">
        <v>208</v>
      </c>
      <c r="H121" s="164" t="str">
        <f t="shared" si="3"/>
        <v>,process_class as procedure_class</v>
      </c>
      <c r="I121" s="25"/>
      <c r="J121" s="25" t="s">
        <v>117</v>
      </c>
      <c r="K121" s="25" t="s">
        <v>209</v>
      </c>
      <c r="L121" s="25" t="s">
        <v>209</v>
      </c>
    </row>
    <row r="122" spans="2:12" s="1" customFormat="1">
      <c r="B122" s="13" t="s">
        <v>1152</v>
      </c>
      <c r="C122" s="13" t="s">
        <v>206</v>
      </c>
      <c r="D122" s="9" t="s">
        <v>1153</v>
      </c>
      <c r="E122" s="21" t="s">
        <v>418</v>
      </c>
      <c r="F122" s="19" t="s">
        <v>1152</v>
      </c>
      <c r="G122" s="22" t="s">
        <v>208</v>
      </c>
      <c r="H122" s="164" t="str">
        <f t="shared" si="3"/>
        <v>,main_process_flag as main_process_flag</v>
      </c>
      <c r="I122" s="25"/>
      <c r="J122" s="25" t="s">
        <v>117</v>
      </c>
      <c r="K122" s="25" t="s">
        <v>209</v>
      </c>
      <c r="L122" s="25" t="s">
        <v>209</v>
      </c>
    </row>
    <row r="123" spans="2:12" s="1" customFormat="1">
      <c r="B123" s="13" t="s">
        <v>1154</v>
      </c>
      <c r="C123" s="13" t="s">
        <v>206</v>
      </c>
      <c r="D123" s="9" t="s">
        <v>1427</v>
      </c>
      <c r="E123" s="21" t="s">
        <v>418</v>
      </c>
      <c r="F123" s="19" t="s">
        <v>1154</v>
      </c>
      <c r="G123" s="22" t="s">
        <v>208</v>
      </c>
      <c r="H123" s="164" t="str">
        <f t="shared" si="3"/>
        <v>,process_name as process_name</v>
      </c>
      <c r="I123" s="25"/>
      <c r="J123" s="25" t="s">
        <v>117</v>
      </c>
      <c r="K123" s="25" t="s">
        <v>209</v>
      </c>
      <c r="L123" s="25" t="s">
        <v>209</v>
      </c>
    </row>
    <row r="124" spans="2:12" s="1" customFormat="1" ht="26.4">
      <c r="B124" s="13" t="s">
        <v>1428</v>
      </c>
      <c r="C124" s="13" t="s">
        <v>211</v>
      </c>
      <c r="D124" s="9" t="s">
        <v>1429</v>
      </c>
      <c r="E124" s="21" t="s">
        <v>1430</v>
      </c>
      <c r="F124" s="19" t="s">
        <v>1431</v>
      </c>
      <c r="G124" s="22" t="s">
        <v>1431</v>
      </c>
      <c r="H124" s="164" t="str">
        <f t="shared" si="3"/>
        <v>,case when A.procedure_type = 64  and C.drop_flag = 1 then 1 else 0 end as is_abnor_release</v>
      </c>
      <c r="I124" s="25"/>
      <c r="J124" s="25" t="s">
        <v>117</v>
      </c>
      <c r="K124" s="25" t="s">
        <v>209</v>
      </c>
      <c r="L124" s="25" t="s">
        <v>209</v>
      </c>
    </row>
    <row r="125" spans="2:12" s="1" customFormat="1" ht="39.6">
      <c r="B125" s="13" t="s">
        <v>1432</v>
      </c>
      <c r="C125" s="13" t="s">
        <v>211</v>
      </c>
      <c r="D125" s="9" t="s">
        <v>1433</v>
      </c>
      <c r="E125" s="21" t="s">
        <v>1430</v>
      </c>
      <c r="F125" s="19" t="s">
        <v>1434</v>
      </c>
      <c r="G125" s="22" t="s">
        <v>1434</v>
      </c>
      <c r="H125" s="164" t="str">
        <f t="shared" si="3"/>
        <v>,case when A.procedure_type = 64 and A.procedure_status = 1 and C.content in ('normal-release','user-inactivity') then 1 else 0 end as is_normal_release</v>
      </c>
      <c r="I125" s="25"/>
      <c r="J125" s="25" t="s">
        <v>117</v>
      </c>
      <c r="K125" s="25" t="s">
        <v>209</v>
      </c>
      <c r="L125" s="25" t="s">
        <v>209</v>
      </c>
    </row>
    <row r="126" spans="2:12" s="1" customFormat="1">
      <c r="B126" s="13" t="s">
        <v>838</v>
      </c>
      <c r="C126" s="13" t="s">
        <v>211</v>
      </c>
      <c r="D126" s="9" t="s">
        <v>839</v>
      </c>
      <c r="E126" s="21" t="s">
        <v>789</v>
      </c>
      <c r="F126" s="19" t="s">
        <v>838</v>
      </c>
      <c r="G126" s="22" t="s">
        <v>208</v>
      </c>
      <c r="H126" s="164" t="str">
        <f t="shared" si="3"/>
        <v>,normal_flag as normal_flag</v>
      </c>
      <c r="I126" s="25"/>
      <c r="J126" s="25" t="s">
        <v>117</v>
      </c>
      <c r="K126" s="25" t="s">
        <v>209</v>
      </c>
      <c r="L126" s="25" t="s">
        <v>209</v>
      </c>
    </row>
    <row r="127" spans="2:12" s="1" customFormat="1">
      <c r="B127" s="13" t="s">
        <v>827</v>
      </c>
      <c r="C127" s="13" t="s">
        <v>206</v>
      </c>
      <c r="D127" s="9" t="s">
        <v>828</v>
      </c>
      <c r="E127" s="21" t="s">
        <v>789</v>
      </c>
      <c r="F127" s="19" t="s">
        <v>827</v>
      </c>
      <c r="G127" s="22" t="s">
        <v>827</v>
      </c>
      <c r="H127" s="164" t="str">
        <f t="shared" si="3"/>
        <v>,problem_demarcation as problem_demarcation</v>
      </c>
      <c r="I127" s="25"/>
      <c r="J127" s="25" t="s">
        <v>117</v>
      </c>
      <c r="K127" s="25" t="s">
        <v>209</v>
      </c>
      <c r="L127" s="25" t="s">
        <v>209</v>
      </c>
    </row>
    <row r="128" spans="2:12" s="1" customFormat="1">
      <c r="B128" s="13" t="s">
        <v>1435</v>
      </c>
      <c r="C128" s="13" t="s">
        <v>206</v>
      </c>
      <c r="D128" s="9" t="s">
        <v>1436</v>
      </c>
      <c r="E128" s="21" t="s">
        <v>789</v>
      </c>
      <c r="F128" s="19" t="s">
        <v>831</v>
      </c>
      <c r="G128" s="22" t="s">
        <v>831</v>
      </c>
      <c r="H128" s="164" t="str">
        <f t="shared" si="3"/>
        <v>,content as problem_position</v>
      </c>
      <c r="I128" s="25"/>
      <c r="J128" s="25" t="s">
        <v>117</v>
      </c>
      <c r="K128" s="25" t="s">
        <v>209</v>
      </c>
      <c r="L128" s="25" t="s">
        <v>209</v>
      </c>
    </row>
    <row r="129" spans="2:17" s="1" customFormat="1">
      <c r="B129" s="13" t="s">
        <v>1437</v>
      </c>
      <c r="C129" s="13" t="s">
        <v>206</v>
      </c>
      <c r="D129" s="9" t="s">
        <v>832</v>
      </c>
      <c r="E129" s="21" t="s">
        <v>789</v>
      </c>
      <c r="F129" s="19" t="s">
        <v>831</v>
      </c>
      <c r="G129" s="22" t="s">
        <v>831</v>
      </c>
      <c r="H129" s="164" t="str">
        <f t="shared" si="3"/>
        <v>,content as cause_description</v>
      </c>
      <c r="I129" s="25"/>
      <c r="J129" s="25" t="s">
        <v>117</v>
      </c>
      <c r="K129" s="25" t="s">
        <v>209</v>
      </c>
      <c r="L129" s="25" t="s">
        <v>209</v>
      </c>
    </row>
    <row r="130" spans="2:17" s="1" customFormat="1">
      <c r="B130" s="13" t="s">
        <v>1099</v>
      </c>
      <c r="C130" s="13" t="s">
        <v>206</v>
      </c>
      <c r="D130" s="9" t="s">
        <v>1438</v>
      </c>
      <c r="E130" s="21" t="s">
        <v>1226</v>
      </c>
      <c r="F130" s="19" t="s">
        <v>1099</v>
      </c>
      <c r="G130" s="22" t="s">
        <v>1099</v>
      </c>
      <c r="H130" s="164" t="str">
        <f t="shared" si="3"/>
        <v>,keyword_desc as keyword_desc</v>
      </c>
      <c r="I130" s="25"/>
      <c r="J130" s="25" t="s">
        <v>117</v>
      </c>
      <c r="K130" s="25" t="s">
        <v>209</v>
      </c>
      <c r="L130" s="25" t="s">
        <v>209</v>
      </c>
    </row>
    <row r="131" spans="2:17" s="1" customFormat="1">
      <c r="B131" s="13" t="s">
        <v>224</v>
      </c>
      <c r="C131" s="13" t="s">
        <v>211</v>
      </c>
      <c r="D131" s="9" t="s">
        <v>444</v>
      </c>
      <c r="E131" s="21" t="s">
        <v>1229</v>
      </c>
      <c r="F131" s="9" t="s">
        <v>224</v>
      </c>
      <c r="G131" s="22" t="s">
        <v>1439</v>
      </c>
      <c r="H131" s="164" t="str">
        <f t="shared" si="3"/>
        <v>,citycode as citycode</v>
      </c>
      <c r="I131" s="25"/>
      <c r="J131" s="25" t="s">
        <v>117</v>
      </c>
      <c r="K131" s="25" t="s">
        <v>209</v>
      </c>
      <c r="L131" s="25" t="s">
        <v>209</v>
      </c>
    </row>
    <row r="132" spans="2:17" s="1" customFormat="1">
      <c r="B132" s="13" t="s">
        <v>233</v>
      </c>
      <c r="C132" s="13" t="s">
        <v>206</v>
      </c>
      <c r="D132" s="9" t="s">
        <v>446</v>
      </c>
      <c r="E132" s="21" t="s">
        <v>1229</v>
      </c>
      <c r="F132" s="9" t="s">
        <v>233</v>
      </c>
      <c r="G132" s="22" t="s">
        <v>1439</v>
      </c>
      <c r="H132" s="164" t="str">
        <f t="shared" si="3"/>
        <v>,city as city</v>
      </c>
      <c r="I132" s="25"/>
      <c r="J132" s="25" t="s">
        <v>117</v>
      </c>
      <c r="K132" s="25" t="s">
        <v>209</v>
      </c>
      <c r="L132" s="25" t="s">
        <v>209</v>
      </c>
    </row>
    <row r="133" spans="2:17" s="1" customFormat="1">
      <c r="B133" s="13" t="s">
        <v>228</v>
      </c>
      <c r="C133" s="13" t="s">
        <v>211</v>
      </c>
      <c r="D133" s="9" t="s">
        <v>445</v>
      </c>
      <c r="E133" s="21" t="s">
        <v>1229</v>
      </c>
      <c r="F133" s="9" t="s">
        <v>228</v>
      </c>
      <c r="G133" s="22" t="s">
        <v>1439</v>
      </c>
      <c r="H133" s="164" t="str">
        <f t="shared" si="3"/>
        <v>,districtcode as districtcode</v>
      </c>
      <c r="I133" s="25"/>
      <c r="J133" s="25" t="s">
        <v>117</v>
      </c>
      <c r="K133" s="25" t="s">
        <v>209</v>
      </c>
      <c r="L133" s="25" t="s">
        <v>209</v>
      </c>
    </row>
    <row r="134" spans="2:17" s="1" customFormat="1">
      <c r="B134" s="13" t="s">
        <v>236</v>
      </c>
      <c r="C134" s="13" t="s">
        <v>206</v>
      </c>
      <c r="D134" s="9" t="s">
        <v>237</v>
      </c>
      <c r="E134" s="21" t="s">
        <v>1229</v>
      </c>
      <c r="F134" s="9" t="s">
        <v>236</v>
      </c>
      <c r="G134" s="22" t="s">
        <v>1439</v>
      </c>
      <c r="H134" s="164" t="str">
        <f t="shared" si="3"/>
        <v>,district as district</v>
      </c>
      <c r="I134" s="25"/>
      <c r="J134" s="25" t="s">
        <v>117</v>
      </c>
      <c r="K134" s="25" t="s">
        <v>209</v>
      </c>
      <c r="L134" s="25" t="s">
        <v>209</v>
      </c>
    </row>
    <row r="135" spans="2:17" s="2" customFormat="1">
      <c r="B135" s="14" t="s">
        <v>222</v>
      </c>
      <c r="C135" s="15" t="s">
        <v>211</v>
      </c>
      <c r="D135" s="16" t="s">
        <v>344</v>
      </c>
      <c r="E135" s="21"/>
      <c r="F135" s="24"/>
      <c r="G135" s="14"/>
      <c r="H135" s="164"/>
      <c r="I135" s="14"/>
      <c r="J135" s="14"/>
      <c r="K135" s="14"/>
      <c r="L135" s="14"/>
      <c r="M135" s="14"/>
      <c r="N135" s="14"/>
      <c r="O135" s="14"/>
      <c r="P135" s="14"/>
      <c r="Q135" s="14"/>
    </row>
    <row r="136" spans="2:17" s="2" customFormat="1">
      <c r="B136" s="14" t="s">
        <v>0</v>
      </c>
      <c r="C136" s="15" t="s">
        <v>206</v>
      </c>
      <c r="D136" s="16" t="s">
        <v>345</v>
      </c>
      <c r="E136" s="21"/>
      <c r="F136" s="24"/>
      <c r="G136" s="14"/>
      <c r="H136" s="164"/>
      <c r="I136" s="14"/>
      <c r="J136" s="14"/>
      <c r="K136" s="14"/>
      <c r="L136" s="14"/>
      <c r="M136" s="14"/>
      <c r="N136" s="14"/>
      <c r="O136" s="14"/>
      <c r="P136" s="14"/>
      <c r="Q136" s="14"/>
    </row>
    <row r="137" spans="2:17" s="2" customFormat="1">
      <c r="B137" s="14" t="s">
        <v>1</v>
      </c>
      <c r="C137" s="15" t="s">
        <v>211</v>
      </c>
      <c r="D137" s="16" t="s">
        <v>346</v>
      </c>
      <c r="E137" s="21"/>
      <c r="F137" s="24"/>
      <c r="G137" s="14"/>
      <c r="H137" s="164"/>
      <c r="I137" s="14"/>
      <c r="J137" s="14"/>
      <c r="K137" s="14"/>
      <c r="L137" s="14"/>
      <c r="M137" s="14"/>
      <c r="N137" s="14"/>
      <c r="O137" s="14"/>
      <c r="P137" s="14"/>
      <c r="Q137" s="14"/>
    </row>
    <row r="138" spans="2:17" s="2" customFormat="1">
      <c r="B138" s="14" t="s">
        <v>2</v>
      </c>
      <c r="C138" s="15" t="s">
        <v>211</v>
      </c>
      <c r="D138" s="16" t="s">
        <v>347</v>
      </c>
      <c r="E138" s="21"/>
      <c r="F138" s="24"/>
      <c r="G138" s="14" t="s">
        <v>1440</v>
      </c>
      <c r="H138" s="164"/>
      <c r="I138" s="14"/>
      <c r="J138" s="14"/>
      <c r="K138" s="14"/>
      <c r="L138" s="14"/>
      <c r="M138" s="14"/>
      <c r="N138" s="14"/>
      <c r="O138" s="14"/>
      <c r="P138" s="14"/>
      <c r="Q138" s="14"/>
    </row>
  </sheetData>
  <autoFilter ref="A17:Q138" xr:uid="{00000000-0009-0000-0000-000011000000}"/>
  <phoneticPr fontId="33" type="noConversion"/>
  <pageMargins left="0.7" right="0.7" top="0.75" bottom="0.75"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55"/>
  <sheetViews>
    <sheetView zoomScale="85" zoomScaleNormal="85" workbookViewId="0">
      <pane ySplit="5" topLeftCell="A6" activePane="bottomLeft" state="frozen"/>
      <selection pane="bottomLeft" activeCell="C8" sqref="C8"/>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11" t="s">
        <v>172</v>
      </c>
      <c r="G4" s="7" t="s">
        <v>43</v>
      </c>
      <c r="H4" s="11" t="s">
        <v>173</v>
      </c>
    </row>
    <row r="5" spans="2:14">
      <c r="B5" s="8" t="s">
        <v>105</v>
      </c>
      <c r="C5" s="9" t="s">
        <v>118</v>
      </c>
      <c r="D5" s="10" t="s">
        <v>1441</v>
      </c>
      <c r="E5" s="12" t="s">
        <v>12</v>
      </c>
      <c r="F5" s="17"/>
      <c r="G5" s="12"/>
      <c r="H5" s="12"/>
      <c r="N5" s="3"/>
    </row>
    <row r="6" spans="2:14">
      <c r="B6" s="6"/>
      <c r="C6" s="6"/>
      <c r="D6" s="6"/>
      <c r="E6" s="6"/>
      <c r="F6" s="18"/>
      <c r="G6" s="6"/>
      <c r="H6" s="18"/>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115</v>
      </c>
      <c r="D9" s="10" t="s">
        <v>116</v>
      </c>
      <c r="E9" s="12" t="s">
        <v>182</v>
      </c>
      <c r="F9" s="19"/>
      <c r="G9" s="22"/>
      <c r="H9" s="20" t="s">
        <v>63</v>
      </c>
    </row>
    <row r="10" spans="2:14">
      <c r="G10" s="62"/>
    </row>
    <row r="11" spans="2:14">
      <c r="B11" s="3" t="s">
        <v>194</v>
      </c>
    </row>
    <row r="12" spans="2:14">
      <c r="B12" s="181" t="s">
        <v>194</v>
      </c>
      <c r="C12" s="181"/>
      <c r="D12" s="181"/>
      <c r="E12" s="181"/>
      <c r="F12" s="181"/>
      <c r="G12" s="181"/>
      <c r="H12" s="181"/>
      <c r="I12" s="181"/>
      <c r="J12" s="181"/>
      <c r="K12" s="181"/>
      <c r="L12" s="181"/>
    </row>
    <row r="13" spans="2:14">
      <c r="B13" s="7" t="s">
        <v>195</v>
      </c>
      <c r="C13" s="7" t="s">
        <v>196</v>
      </c>
      <c r="D13" s="7" t="s">
        <v>197</v>
      </c>
      <c r="E13" s="7" t="s">
        <v>198</v>
      </c>
      <c r="F13" s="11" t="s">
        <v>199</v>
      </c>
      <c r="G13" s="7" t="s">
        <v>200</v>
      </c>
      <c r="H13" s="11" t="s">
        <v>201</v>
      </c>
      <c r="I13" s="7" t="s">
        <v>53</v>
      </c>
      <c r="J13" s="7" t="s">
        <v>202</v>
      </c>
      <c r="K13" s="7" t="s">
        <v>203</v>
      </c>
      <c r="L13" s="7" t="s">
        <v>204</v>
      </c>
    </row>
    <row r="14" spans="2:14" s="1" customFormat="1">
      <c r="B14" s="13" t="s">
        <v>205</v>
      </c>
      <c r="C14" s="13" t="s">
        <v>206</v>
      </c>
      <c r="D14" s="9" t="s">
        <v>207</v>
      </c>
      <c r="E14" s="21" t="s">
        <v>182</v>
      </c>
      <c r="F14" s="19" t="s">
        <v>0</v>
      </c>
      <c r="G14" s="22" t="s">
        <v>208</v>
      </c>
      <c r="H14" s="164" t="str">
        <f>_xlfn.CONCAT(",",B14," ",C14," comment '",D14,"'")</f>
        <v>,day string comment '日期'</v>
      </c>
      <c r="I14" s="25"/>
      <c r="J14" s="25" t="s">
        <v>4</v>
      </c>
      <c r="K14" s="25" t="s">
        <v>209</v>
      </c>
      <c r="L14" s="25" t="s">
        <v>209</v>
      </c>
    </row>
    <row r="15" spans="2:14" s="1" customFormat="1">
      <c r="B15" s="13" t="s">
        <v>20</v>
      </c>
      <c r="C15" s="13" t="s">
        <v>211</v>
      </c>
      <c r="D15" s="9" t="s">
        <v>73</v>
      </c>
      <c r="E15" s="21" t="s">
        <v>182</v>
      </c>
      <c r="F15" s="19" t="s">
        <v>1</v>
      </c>
      <c r="G15" s="22" t="s">
        <v>208</v>
      </c>
      <c r="H15" s="164" t="str">
        <f t="shared" ref="H15:H51" si="0">_xlfn.CONCAT(",",B15," ",C15," comment '",D15,"'")</f>
        <v>,hour int comment '小时'</v>
      </c>
      <c r="I15" s="25"/>
      <c r="J15" s="25" t="s">
        <v>4</v>
      </c>
      <c r="K15" s="25" t="s">
        <v>209</v>
      </c>
      <c r="L15" s="25" t="s">
        <v>209</v>
      </c>
    </row>
    <row r="16" spans="2:14" s="1" customFormat="1">
      <c r="B16" s="13" t="s">
        <v>12</v>
      </c>
      <c r="C16" s="13" t="s">
        <v>211</v>
      </c>
      <c r="D16" s="9" t="s">
        <v>61</v>
      </c>
      <c r="E16" s="21" t="s">
        <v>182</v>
      </c>
      <c r="F16" s="19" t="s">
        <v>2</v>
      </c>
      <c r="G16" s="22" t="s">
        <v>208</v>
      </c>
      <c r="H16" s="164" t="str">
        <f t="shared" si="0"/>
        <v>,quarter int comment '15分钟'</v>
      </c>
      <c r="I16" s="25"/>
      <c r="J16" s="25" t="s">
        <v>4</v>
      </c>
      <c r="K16" s="25" t="s">
        <v>209</v>
      </c>
      <c r="L16" s="25" t="s">
        <v>209</v>
      </c>
    </row>
    <row r="17" spans="2:12" s="1" customFormat="1">
      <c r="B17" s="13" t="s">
        <v>224</v>
      </c>
      <c r="C17" s="13" t="s">
        <v>211</v>
      </c>
      <c r="D17" s="9" t="s">
        <v>444</v>
      </c>
      <c r="E17" s="21" t="s">
        <v>182</v>
      </c>
      <c r="F17" s="19" t="s">
        <v>224</v>
      </c>
      <c r="G17" s="22" t="s">
        <v>208</v>
      </c>
      <c r="H17" s="164" t="str">
        <f t="shared" si="0"/>
        <v>,citycode int comment '城市编码'</v>
      </c>
      <c r="I17" s="25"/>
      <c r="J17" s="25" t="s">
        <v>4</v>
      </c>
      <c r="K17" s="25" t="s">
        <v>209</v>
      </c>
      <c r="L17" s="25" t="s">
        <v>209</v>
      </c>
    </row>
    <row r="18" spans="2:12" s="1" customFormat="1">
      <c r="B18" s="13" t="s">
        <v>233</v>
      </c>
      <c r="C18" s="13" t="s">
        <v>206</v>
      </c>
      <c r="D18" s="9" t="s">
        <v>446</v>
      </c>
      <c r="E18" s="21" t="s">
        <v>182</v>
      </c>
      <c r="F18" s="19" t="s">
        <v>233</v>
      </c>
      <c r="G18" s="22" t="s">
        <v>208</v>
      </c>
      <c r="H18" s="164" t="str">
        <f t="shared" si="0"/>
        <v>,city string comment '城市名称'</v>
      </c>
      <c r="I18" s="25"/>
      <c r="J18" s="25" t="s">
        <v>4</v>
      </c>
      <c r="K18" s="25" t="s">
        <v>209</v>
      </c>
      <c r="L18" s="25" t="s">
        <v>209</v>
      </c>
    </row>
    <row r="19" spans="2:12" s="1" customFormat="1">
      <c r="B19" s="13" t="s">
        <v>228</v>
      </c>
      <c r="C19" s="13" t="s">
        <v>211</v>
      </c>
      <c r="D19" s="9" t="s">
        <v>445</v>
      </c>
      <c r="E19" s="21" t="s">
        <v>182</v>
      </c>
      <c r="F19" s="19" t="s">
        <v>228</v>
      </c>
      <c r="G19" s="22" t="s">
        <v>208</v>
      </c>
      <c r="H19" s="164" t="str">
        <f t="shared" si="0"/>
        <v>,districtcode int comment '区县编码'</v>
      </c>
      <c r="I19" s="25"/>
      <c r="J19" s="25" t="s">
        <v>4</v>
      </c>
      <c r="K19" s="25" t="s">
        <v>209</v>
      </c>
      <c r="L19" s="25" t="s">
        <v>209</v>
      </c>
    </row>
    <row r="20" spans="2:12" s="1" customFormat="1">
      <c r="B20" s="13" t="s">
        <v>236</v>
      </c>
      <c r="C20" s="13" t="s">
        <v>206</v>
      </c>
      <c r="D20" s="9" t="s">
        <v>237</v>
      </c>
      <c r="E20" s="21" t="s">
        <v>182</v>
      </c>
      <c r="F20" s="19" t="s">
        <v>236</v>
      </c>
      <c r="G20" s="22" t="s">
        <v>208</v>
      </c>
      <c r="H20" s="164" t="str">
        <f t="shared" si="0"/>
        <v>,district string comment '区县名称'</v>
      </c>
      <c r="I20" s="25"/>
      <c r="J20" s="25" t="s">
        <v>4</v>
      </c>
      <c r="K20" s="25" t="s">
        <v>209</v>
      </c>
      <c r="L20" s="25" t="s">
        <v>209</v>
      </c>
    </row>
    <row r="21" spans="2:12" s="1" customFormat="1">
      <c r="B21" s="13" t="s">
        <v>214</v>
      </c>
      <c r="C21" s="13" t="s">
        <v>211</v>
      </c>
      <c r="D21" s="9" t="s">
        <v>1232</v>
      </c>
      <c r="E21" s="21" t="s">
        <v>182</v>
      </c>
      <c r="F21" s="19" t="s">
        <v>214</v>
      </c>
      <c r="G21" s="22" t="s">
        <v>208</v>
      </c>
      <c r="H21" s="164" t="str">
        <f t="shared" si="0"/>
        <v>,interface int comment '必填字段。接口类型：
1：S1-U
2：S1-MME
3：S6a
4：S11
6：S5-C
14：L2TP
16：Gm信令面
28：Gm接口VoLTE会话xDR（Gm Session xDR）
29：Gm接口VoLTE切片xDR（Gm Slice xDR）
31：S1-U接口VoLTE切片xDR（S1-U Slice xDR）
35：Radius
50：N1N2
51：N4
52：N5
53：N7
54：N8
55：N10
56：N11
57：N12
58：N14
59：N15
66：N16
60：N22
61：N26
62：N40
63：N13
100：User Plane（5G SA指N3接口）
'</v>
      </c>
      <c r="I21" s="25"/>
      <c r="J21" s="25" t="s">
        <v>4</v>
      </c>
      <c r="K21" s="25" t="s">
        <v>209</v>
      </c>
      <c r="L21" s="25" t="s">
        <v>209</v>
      </c>
    </row>
    <row r="22" spans="2:12" s="1" customFormat="1">
      <c r="B22" s="13" t="s">
        <v>2371</v>
      </c>
      <c r="C22" s="13" t="s">
        <v>206</v>
      </c>
      <c r="D22" s="9" t="s">
        <v>1235</v>
      </c>
      <c r="E22" s="21" t="s">
        <v>182</v>
      </c>
      <c r="F22" s="19" t="s">
        <v>249</v>
      </c>
      <c r="G22" s="22" t="s">
        <v>208</v>
      </c>
      <c r="H22" s="164" t="str">
        <f t="shared" si="0"/>
        <v>,supi string comment '永久用户标识。4G 填写用户IMSI。'</v>
      </c>
      <c r="I22" s="25"/>
      <c r="J22" s="25" t="s">
        <v>4</v>
      </c>
      <c r="K22" s="25" t="s">
        <v>209</v>
      </c>
      <c r="L22" s="25" t="s">
        <v>209</v>
      </c>
    </row>
    <row r="23" spans="2:12" s="1" customFormat="1">
      <c r="B23" s="13" t="s">
        <v>254</v>
      </c>
      <c r="C23" s="13" t="s">
        <v>206</v>
      </c>
      <c r="D23" s="9" t="s">
        <v>1236</v>
      </c>
      <c r="E23" s="21" t="s">
        <v>182</v>
      </c>
      <c r="F23" s="19" t="s">
        <v>254</v>
      </c>
      <c r="G23" s="22" t="s">
        <v>208</v>
      </c>
      <c r="H23" s="164" t="str">
        <f t="shared" si="0"/>
        <v>,pei string comment '永久设备标识。4G填写IMEI/IMEISV。保持信令抽取的原样，无需进行IMEI和IMEISV间的转化。'</v>
      </c>
      <c r="I23" s="25"/>
      <c r="J23" s="25" t="s">
        <v>4</v>
      </c>
      <c r="K23" s="25" t="s">
        <v>209</v>
      </c>
      <c r="L23" s="25" t="s">
        <v>209</v>
      </c>
    </row>
    <row r="24" spans="2:12" s="1" customFormat="1">
      <c r="B24" s="13" t="s">
        <v>251</v>
      </c>
      <c r="C24" s="13" t="s">
        <v>206</v>
      </c>
      <c r="D24" s="9" t="s">
        <v>1237</v>
      </c>
      <c r="E24" s="21" t="s">
        <v>182</v>
      </c>
      <c r="F24" s="19" t="s">
        <v>251</v>
      </c>
      <c r="G24" s="22" t="s">
        <v>208</v>
      </c>
      <c r="H24" s="164" t="str">
        <f t="shared" si="0"/>
        <v>,msisdn string comment '用户号码。'</v>
      </c>
      <c r="I24" s="25"/>
      <c r="J24" s="25" t="s">
        <v>4</v>
      </c>
      <c r="K24" s="25" t="s">
        <v>209</v>
      </c>
      <c r="L24" s="25" t="s">
        <v>209</v>
      </c>
    </row>
    <row r="25" spans="2:12" s="1" customFormat="1">
      <c r="B25" s="13" t="s">
        <v>1238</v>
      </c>
      <c r="C25" s="13" t="s">
        <v>211</v>
      </c>
      <c r="D25" s="9" t="s">
        <v>1239</v>
      </c>
      <c r="E25" s="21" t="s">
        <v>182</v>
      </c>
      <c r="F25" s="19" t="s">
        <v>1238</v>
      </c>
      <c r="G25" s="22" t="s">
        <v>208</v>
      </c>
      <c r="H25" s="164" t="str">
        <f t="shared" si="0"/>
        <v>,rat int comment 'RAT类型：取各接口码流中携带的值。如果接入类型为5G NR，将RAT值改写为10。'</v>
      </c>
      <c r="I25" s="25"/>
      <c r="J25" s="25" t="s">
        <v>4</v>
      </c>
      <c r="K25" s="25" t="s">
        <v>209</v>
      </c>
      <c r="L25" s="25" t="s">
        <v>209</v>
      </c>
    </row>
    <row r="26" spans="2:12" s="1" customFormat="1">
      <c r="B26" s="13" t="s">
        <v>264</v>
      </c>
      <c r="C26" s="13" t="s">
        <v>206</v>
      </c>
      <c r="D26" s="9" t="s">
        <v>1240</v>
      </c>
      <c r="E26" s="21" t="s">
        <v>182</v>
      </c>
      <c r="F26" s="19" t="s">
        <v>264</v>
      </c>
      <c r="G26" s="22" t="s">
        <v>208</v>
      </c>
      <c r="H26" s="164" t="str">
        <f t="shared" si="0"/>
        <v>,home_province string comment '用户的归属地省份，枚举定义参见附录G。对国际漫入用户时，该字段填写用户归属运营商PLMN。'</v>
      </c>
      <c r="I26" s="25"/>
      <c r="J26" s="25" t="s">
        <v>4</v>
      </c>
      <c r="K26" s="25" t="s">
        <v>209</v>
      </c>
      <c r="L26" s="25" t="s">
        <v>209</v>
      </c>
    </row>
    <row r="27" spans="2:12" s="1" customFormat="1">
      <c r="B27" s="13" t="s">
        <v>1265</v>
      </c>
      <c r="C27" s="13" t="s">
        <v>206</v>
      </c>
      <c r="D27" s="9" t="s">
        <v>1266</v>
      </c>
      <c r="E27" s="21" t="s">
        <v>182</v>
      </c>
      <c r="F27" s="19" t="s">
        <v>1265</v>
      </c>
      <c r="G27" s="22" t="s">
        <v>208</v>
      </c>
      <c r="H27" s="164" t="str">
        <f t="shared" si="0"/>
        <v>,amf_ip_add string comment 'AMF信令面的IP地址；'</v>
      </c>
      <c r="I27" s="25"/>
      <c r="J27" s="25" t="s">
        <v>4</v>
      </c>
      <c r="K27" s="25" t="s">
        <v>209</v>
      </c>
      <c r="L27" s="25" t="s">
        <v>209</v>
      </c>
    </row>
    <row r="28" spans="2:12" s="1" customFormat="1">
      <c r="B28" s="13" t="s">
        <v>1267</v>
      </c>
      <c r="C28" s="13" t="s">
        <v>206</v>
      </c>
      <c r="D28" s="9" t="s">
        <v>1268</v>
      </c>
      <c r="E28" s="21" t="s">
        <v>182</v>
      </c>
      <c r="F28" s="19" t="s">
        <v>1267</v>
      </c>
      <c r="G28" s="22" t="s">
        <v>208</v>
      </c>
      <c r="H28" s="164" t="str">
        <f t="shared" si="0"/>
        <v>,gnb_ip_add string comment 'gNodeB信令面的IP地址；'</v>
      </c>
      <c r="I28" s="25"/>
      <c r="J28" s="25" t="s">
        <v>4</v>
      </c>
      <c r="K28" s="25" t="s">
        <v>209</v>
      </c>
      <c r="L28" s="25" t="s">
        <v>209</v>
      </c>
    </row>
    <row r="29" spans="2:12" s="1" customFormat="1">
      <c r="B29" s="13" t="s">
        <v>1293</v>
      </c>
      <c r="C29" s="13" t="s">
        <v>281</v>
      </c>
      <c r="D29" s="9" t="s">
        <v>1294</v>
      </c>
      <c r="E29" s="21" t="s">
        <v>182</v>
      </c>
      <c r="F29" s="19" t="s">
        <v>1293</v>
      </c>
      <c r="G29" s="22" t="s">
        <v>208</v>
      </c>
      <c r="H29" s="164" t="str">
        <f t="shared" si="0"/>
        <v>,other_cell_id bigint comment '针对切换过程，填写对端Cell ID'</v>
      </c>
      <c r="I29" s="25"/>
      <c r="J29" s="25" t="s">
        <v>4</v>
      </c>
      <c r="K29" s="25" t="s">
        <v>209</v>
      </c>
      <c r="L29" s="25" t="s">
        <v>209</v>
      </c>
    </row>
    <row r="30" spans="2:12" s="1" customFormat="1">
      <c r="B30" s="13" t="s">
        <v>1325</v>
      </c>
      <c r="C30" s="13" t="s">
        <v>206</v>
      </c>
      <c r="D30" s="9" t="s">
        <v>730</v>
      </c>
      <c r="E30" s="21" t="s">
        <v>182</v>
      </c>
      <c r="F30" s="19" t="s">
        <v>1325</v>
      </c>
      <c r="G30" s="22" t="s">
        <v>208</v>
      </c>
      <c r="H30" s="164" t="str">
        <f t="shared" si="0"/>
        <v>,s_nssai_sst string comment '网络切片选择辅助信息（切片/服务类型）。若有多个切片，以“,”分隔。'</v>
      </c>
      <c r="I30" s="25"/>
      <c r="J30" s="25" t="s">
        <v>4</v>
      </c>
      <c r="K30" s="25" t="s">
        <v>209</v>
      </c>
      <c r="L30" s="25" t="s">
        <v>209</v>
      </c>
    </row>
    <row r="31" spans="2:12" s="1" customFormat="1">
      <c r="B31" s="13" t="s">
        <v>1326</v>
      </c>
      <c r="C31" s="13" t="s">
        <v>206</v>
      </c>
      <c r="D31" s="9" t="s">
        <v>731</v>
      </c>
      <c r="E31" s="21" t="s">
        <v>182</v>
      </c>
      <c r="F31" s="19" t="s">
        <v>1326</v>
      </c>
      <c r="G31" s="22" t="s">
        <v>208</v>
      </c>
      <c r="H31" s="164" t="str">
        <f t="shared" si="0"/>
        <v>,s_nssai_sd string comment '网络切片选择辅助信息（切片差分器）。若有多个切片，以“,”分隔。'</v>
      </c>
      <c r="I31" s="25"/>
      <c r="J31" s="25" t="s">
        <v>4</v>
      </c>
      <c r="K31" s="25" t="s">
        <v>209</v>
      </c>
      <c r="L31" s="25" t="s">
        <v>209</v>
      </c>
    </row>
    <row r="32" spans="2:12" s="1" customFormat="1">
      <c r="B32" s="13" t="s">
        <v>1328</v>
      </c>
      <c r="C32" s="13" t="s">
        <v>281</v>
      </c>
      <c r="D32" s="9" t="s">
        <v>1329</v>
      </c>
      <c r="E32" s="21" t="s">
        <v>182</v>
      </c>
      <c r="F32" s="19" t="s">
        <v>1328</v>
      </c>
      <c r="G32" s="22" t="s">
        <v>208</v>
      </c>
      <c r="H32" s="164" t="str">
        <f t="shared" si="0"/>
        <v>,tac bigint comment '流程结束时，UE当前所在的TAC'</v>
      </c>
      <c r="I32" s="25"/>
      <c r="J32" s="25" t="s">
        <v>117</v>
      </c>
      <c r="K32" s="25" t="s">
        <v>209</v>
      </c>
      <c r="L32" s="25" t="s">
        <v>209</v>
      </c>
    </row>
    <row r="33" spans="2:12" s="1" customFormat="1">
      <c r="B33" s="13" t="s">
        <v>1330</v>
      </c>
      <c r="C33" s="13" t="s">
        <v>281</v>
      </c>
      <c r="D33" s="9" t="s">
        <v>1331</v>
      </c>
      <c r="E33" s="21" t="s">
        <v>182</v>
      </c>
      <c r="F33" s="19" t="s">
        <v>1330</v>
      </c>
      <c r="G33" s="22" t="s">
        <v>208</v>
      </c>
      <c r="H33" s="164" t="str">
        <f t="shared" si="0"/>
        <v>,ci bigint comment '流程结束时，UE所在的NR Cell ID/E-UTRAN Cell ID'</v>
      </c>
      <c r="I33" s="25"/>
      <c r="J33" s="25" t="s">
        <v>4</v>
      </c>
      <c r="K33" s="25" t="s">
        <v>209</v>
      </c>
      <c r="L33" s="25" t="s">
        <v>209</v>
      </c>
    </row>
    <row r="34" spans="2:12" s="1" customFormat="1">
      <c r="B34" s="13" t="s">
        <v>242</v>
      </c>
      <c r="C34" s="13" t="s">
        <v>206</v>
      </c>
      <c r="D34" s="9" t="s">
        <v>243</v>
      </c>
      <c r="E34" s="21" t="s">
        <v>182</v>
      </c>
      <c r="F34" s="19" t="s">
        <v>242</v>
      </c>
      <c r="G34" s="22" t="s">
        <v>208</v>
      </c>
      <c r="H34" s="164" t="str">
        <f t="shared" si="0"/>
        <v>,cellkey string comment '小区cellkey'</v>
      </c>
      <c r="I34" s="25"/>
      <c r="J34" s="25" t="s">
        <v>4</v>
      </c>
      <c r="K34" s="25" t="s">
        <v>209</v>
      </c>
      <c r="L34" s="25" t="s">
        <v>209</v>
      </c>
    </row>
    <row r="35" spans="2:12" s="1" customFormat="1">
      <c r="B35" s="13" t="s">
        <v>1358</v>
      </c>
      <c r="C35" s="13" t="s">
        <v>206</v>
      </c>
      <c r="D35" s="9" t="s">
        <v>1359</v>
      </c>
      <c r="E35" s="21" t="s">
        <v>182</v>
      </c>
      <c r="F35" s="19" t="s">
        <v>1358</v>
      </c>
      <c r="G35" s="22" t="s">
        <v>208</v>
      </c>
      <c r="H35" s="164" t="str">
        <f t="shared" si="0"/>
        <v>,pdu_session_dnn string comment '第1个Date Network Name,取值参考23.003 9.1节'</v>
      </c>
      <c r="I35" s="25"/>
      <c r="J35" s="25" t="s">
        <v>4</v>
      </c>
      <c r="K35" s="25" t="s">
        <v>209</v>
      </c>
      <c r="L35" s="25" t="s">
        <v>209</v>
      </c>
    </row>
    <row r="36" spans="2:12" s="1" customFormat="1">
      <c r="B36" s="13" t="s">
        <v>1093</v>
      </c>
      <c r="C36" s="13" t="s">
        <v>211</v>
      </c>
      <c r="D36" s="9" t="s">
        <v>1442</v>
      </c>
      <c r="E36" s="21" t="s">
        <v>182</v>
      </c>
      <c r="F36" s="19" t="s">
        <v>1093</v>
      </c>
      <c r="G36" s="22" t="s">
        <v>208</v>
      </c>
      <c r="H36" s="164" t="str">
        <f t="shared" si="0"/>
        <v>,procedure_type int comment '流程类型编码，具体取值如下：
0： Registration
1： De-registration
2： Service Request
3： UE Configuration Update
4： SMS
30： PDU Session Establishment
31： PDU Session Modification
32： PDU Session Release
60： N2 HO Out
61： N2 HO In
62： N2 HO Cancel
63： Xn HO
64： UE Context Release
73： UE Capability Info Indication
74： UE Radio Capability Check
75： Trace Start
76： Deactivate Trace
77： Cell traffic Trace
78： NG Reset
79： Error indication
80： NG Setup
81： RAN Configuration Update
82： AMF Configuration Update
83： Overload Start
84： Overload Stop'</v>
      </c>
      <c r="I36" s="25"/>
      <c r="J36" s="25" t="s">
        <v>4</v>
      </c>
      <c r="K36" s="25" t="s">
        <v>209</v>
      </c>
      <c r="L36" s="25" t="s">
        <v>209</v>
      </c>
    </row>
    <row r="37" spans="2:12" s="1" customFormat="1" ht="13.8" customHeight="1">
      <c r="B37" s="13" t="s">
        <v>1246</v>
      </c>
      <c r="C37" s="13" t="s">
        <v>211</v>
      </c>
      <c r="D37" s="9" t="s">
        <v>1247</v>
      </c>
      <c r="E37" s="21" t="s">
        <v>182</v>
      </c>
      <c r="F37" s="19" t="s">
        <v>1246</v>
      </c>
      <c r="G37" s="22" t="s">
        <v>208</v>
      </c>
      <c r="H37" s="164" t="str">
        <f t="shared" si="0"/>
        <v>,procedure_status int comment '流程状态
1：成功；
2：失败；
3：超时
'</v>
      </c>
      <c r="I37" s="25"/>
      <c r="J37" s="25" t="s">
        <v>4</v>
      </c>
      <c r="K37" s="25" t="s">
        <v>209</v>
      </c>
      <c r="L37" s="25" t="s">
        <v>209</v>
      </c>
    </row>
    <row r="38" spans="2:12" s="1" customFormat="1">
      <c r="B38" s="13" t="s">
        <v>827</v>
      </c>
      <c r="C38" s="13" t="s">
        <v>206</v>
      </c>
      <c r="D38" s="9" t="s">
        <v>828</v>
      </c>
      <c r="E38" s="21" t="s">
        <v>182</v>
      </c>
      <c r="F38" s="19" t="s">
        <v>827</v>
      </c>
      <c r="G38" s="22" t="s">
        <v>208</v>
      </c>
      <c r="H38" s="164" t="str">
        <f t="shared" si="0"/>
        <v>,problem_demarcation string comment '问题定界'</v>
      </c>
      <c r="I38" s="25"/>
      <c r="J38" s="25" t="s">
        <v>4</v>
      </c>
      <c r="K38" s="25" t="s">
        <v>209</v>
      </c>
      <c r="L38" s="25" t="s">
        <v>209</v>
      </c>
    </row>
    <row r="39" spans="2:12" s="1" customFormat="1">
      <c r="B39" s="13" t="s">
        <v>1435</v>
      </c>
      <c r="C39" s="13" t="s">
        <v>206</v>
      </c>
      <c r="D39" s="9" t="s">
        <v>1436</v>
      </c>
      <c r="E39" s="21" t="s">
        <v>182</v>
      </c>
      <c r="F39" s="19" t="s">
        <v>1435</v>
      </c>
      <c r="G39" s="22" t="s">
        <v>208</v>
      </c>
      <c r="H39" s="164" t="str">
        <f t="shared" si="0"/>
        <v>,problem_position string comment '问题定位'</v>
      </c>
      <c r="I39" s="25"/>
      <c r="J39" s="25" t="s">
        <v>4</v>
      </c>
      <c r="K39" s="25" t="s">
        <v>209</v>
      </c>
      <c r="L39" s="25" t="s">
        <v>209</v>
      </c>
    </row>
    <row r="40" spans="2:12" s="1" customFormat="1">
      <c r="B40" s="13" t="s">
        <v>817</v>
      </c>
      <c r="C40" s="13" t="s">
        <v>211</v>
      </c>
      <c r="D40" s="9" t="s">
        <v>1420</v>
      </c>
      <c r="E40" s="21" t="s">
        <v>182</v>
      </c>
      <c r="F40" s="19" t="s">
        <v>817</v>
      </c>
      <c r="G40" s="22" t="s">
        <v>208</v>
      </c>
      <c r="H40" s="164" t="str">
        <f t="shared" si="0"/>
        <v>,cause_type int comment '失败原因类型'</v>
      </c>
      <c r="I40" s="25"/>
      <c r="J40" s="25" t="s">
        <v>4</v>
      </c>
      <c r="K40" s="25" t="s">
        <v>209</v>
      </c>
      <c r="L40" s="25" t="s">
        <v>209</v>
      </c>
    </row>
    <row r="41" spans="2:12" s="1" customFormat="1">
      <c r="B41" s="13" t="s">
        <v>1422</v>
      </c>
      <c r="C41" s="13" t="s">
        <v>211</v>
      </c>
      <c r="D41" s="9" t="s">
        <v>1423</v>
      </c>
      <c r="E41" s="21" t="s">
        <v>182</v>
      </c>
      <c r="F41" s="19" t="s">
        <v>1422</v>
      </c>
      <c r="G41" s="22" t="s">
        <v>208</v>
      </c>
      <c r="H41" s="164" t="str">
        <f t="shared" si="0"/>
        <v>,cause_code int comment '失败原因'</v>
      </c>
      <c r="I41" s="25"/>
      <c r="J41" s="25" t="s">
        <v>4</v>
      </c>
      <c r="K41" s="25" t="s">
        <v>209</v>
      </c>
      <c r="L41" s="25" t="s">
        <v>209</v>
      </c>
    </row>
    <row r="42" spans="2:12" s="1" customFormat="1">
      <c r="B42" s="13" t="s">
        <v>1252</v>
      </c>
      <c r="C42" s="13" t="s">
        <v>211</v>
      </c>
      <c r="D42" s="9" t="s">
        <v>1253</v>
      </c>
      <c r="E42" s="21" t="s">
        <v>182</v>
      </c>
      <c r="F42" s="19" t="s">
        <v>1252</v>
      </c>
      <c r="G42" s="22" t="s">
        <v>208</v>
      </c>
      <c r="H42" s="164" t="str">
        <f t="shared" si="0"/>
        <v>,failure_cause_type int comment '标识流程失败响应消息中cause字段所对应的Cause Group。
失败原因类型，对于5G NAS流程：
1：5GMM
2：5GSM
对于NGAP流程：
1：Radio Network Layer
2：Transport Layer
3：NAS
4：Protocol
5：Misc
对于SMS流程：
1：CP Cause
2：RP Cause'</v>
      </c>
      <c r="I42" s="25"/>
      <c r="J42" s="25" t="s">
        <v>4</v>
      </c>
      <c r="K42" s="25" t="s">
        <v>209</v>
      </c>
      <c r="L42" s="25" t="s">
        <v>209</v>
      </c>
    </row>
    <row r="43" spans="2:12" s="1" customFormat="1">
      <c r="B43" s="13" t="s">
        <v>1254</v>
      </c>
      <c r="C43" s="13" t="s">
        <v>211</v>
      </c>
      <c r="D43" s="9" t="s">
        <v>1255</v>
      </c>
      <c r="E43" s="21" t="s">
        <v>182</v>
      </c>
      <c r="F43" s="19" t="s">
        <v>1254</v>
      </c>
      <c r="G43" s="22" t="s">
        <v>208</v>
      </c>
      <c r="H43" s="164" t="str">
        <f t="shared" si="0"/>
        <v>,failure_cause int comment '流程失败响应消息中的值。
CauseValue，规范参见：
&gt; 5GMM具体CauseValue取值参见3GPP 24.501第9.11.3.2节Table 9.11.3.2.1；
&gt; 5GSM具体CauseValue取值参见3GPP 24.501第9.11.4.2节Table 9.11.4.2.1；
&gt; NGAP具体CauseValue取值参见3GPP 38.413第9.3.1.2节；
详见5.3.2.2.16'</v>
      </c>
      <c r="I43" s="25"/>
      <c r="J43" s="25" t="s">
        <v>4</v>
      </c>
      <c r="K43" s="25" t="s">
        <v>209</v>
      </c>
      <c r="L43" s="25" t="s">
        <v>209</v>
      </c>
    </row>
    <row r="44" spans="2:12" s="1" customFormat="1">
      <c r="B44" s="13" t="s">
        <v>1097</v>
      </c>
      <c r="C44" s="13" t="s">
        <v>211</v>
      </c>
      <c r="D44" s="9" t="s">
        <v>1256</v>
      </c>
      <c r="E44" s="21" t="s">
        <v>182</v>
      </c>
      <c r="F44" s="19" t="s">
        <v>1097</v>
      </c>
      <c r="G44" s="22" t="s">
        <v>208</v>
      </c>
      <c r="H44" s="164" t="str">
        <f t="shared" si="0"/>
        <v>,keyword int comment '辅助流程类型的关键参数信息，具体取值方式参见算法'</v>
      </c>
      <c r="I44" s="25"/>
      <c r="J44" s="25" t="s">
        <v>4</v>
      </c>
      <c r="K44" s="25" t="s">
        <v>209</v>
      </c>
      <c r="L44" s="25" t="s">
        <v>209</v>
      </c>
    </row>
    <row r="45" spans="2:12" s="1" customFormat="1">
      <c r="B45" s="13" t="s">
        <v>2308</v>
      </c>
      <c r="C45" s="13" t="s">
        <v>281</v>
      </c>
      <c r="D45" s="27" t="s">
        <v>474</v>
      </c>
      <c r="E45" s="21" t="s">
        <v>182</v>
      </c>
      <c r="F45" s="22" t="s">
        <v>314</v>
      </c>
      <c r="G45" s="22" t="s">
        <v>314</v>
      </c>
      <c r="H45" s="164" t="str">
        <f t="shared" si="0"/>
        <v>,record_cnt bigint comment '记录数'</v>
      </c>
      <c r="I45" s="25"/>
      <c r="J45" s="25" t="s">
        <v>284</v>
      </c>
      <c r="K45" s="25" t="s">
        <v>750</v>
      </c>
      <c r="L45" s="25" t="s">
        <v>285</v>
      </c>
    </row>
    <row r="46" spans="2:12" s="1" customFormat="1" ht="26.4">
      <c r="B46" s="13" t="s">
        <v>2431</v>
      </c>
      <c r="C46" s="13" t="s">
        <v>281</v>
      </c>
      <c r="D46" s="9" t="s">
        <v>1444</v>
      </c>
      <c r="E46" s="21" t="s">
        <v>182</v>
      </c>
      <c r="F46" s="22" t="s">
        <v>1445</v>
      </c>
      <c r="G46" s="22" t="s">
        <v>1445</v>
      </c>
      <c r="H46" s="164" t="str">
        <f t="shared" si="0"/>
        <v>,abnor_release_cnt bigint comment '异常释放次数'</v>
      </c>
      <c r="I46" s="25"/>
      <c r="J46" s="25" t="s">
        <v>284</v>
      </c>
      <c r="K46" s="25" t="s">
        <v>750</v>
      </c>
      <c r="L46" s="25" t="s">
        <v>285</v>
      </c>
    </row>
    <row r="47" spans="2:12" s="1" customFormat="1" ht="26.4">
      <c r="B47" s="13" t="s">
        <v>2432</v>
      </c>
      <c r="C47" s="13" t="s">
        <v>281</v>
      </c>
      <c r="D47" s="9" t="s">
        <v>1447</v>
      </c>
      <c r="E47" s="21" t="s">
        <v>182</v>
      </c>
      <c r="F47" s="22" t="s">
        <v>1448</v>
      </c>
      <c r="G47" s="22" t="s">
        <v>1448</v>
      </c>
      <c r="H47" s="164" t="str">
        <f t="shared" si="0"/>
        <v>,normal_release_cnt bigint comment '正常释放次数'</v>
      </c>
      <c r="I47" s="25"/>
      <c r="J47" s="25" t="s">
        <v>284</v>
      </c>
      <c r="K47" s="25" t="s">
        <v>750</v>
      </c>
      <c r="L47" s="25" t="s">
        <v>285</v>
      </c>
    </row>
    <row r="48" spans="2:12" s="1" customFormat="1">
      <c r="B48" s="13" t="s">
        <v>1449</v>
      </c>
      <c r="C48" s="13" t="s">
        <v>281</v>
      </c>
      <c r="D48" s="9" t="s">
        <v>1450</v>
      </c>
      <c r="E48" s="21" t="s">
        <v>182</v>
      </c>
      <c r="F48" s="22" t="s">
        <v>1451</v>
      </c>
      <c r="G48" s="22" t="s">
        <v>1451</v>
      </c>
      <c r="H48" s="164" t="str">
        <f t="shared" si="0"/>
        <v>,procedure_normal_cnt bigint comment '正常业务流程次数'</v>
      </c>
      <c r="I48" s="25"/>
      <c r="J48" s="25" t="s">
        <v>284</v>
      </c>
      <c r="K48" s="25" t="s">
        <v>750</v>
      </c>
      <c r="L48" s="25" t="s">
        <v>285</v>
      </c>
    </row>
    <row r="49" spans="2:17" s="1" customFormat="1" ht="171.6">
      <c r="B49" s="13" t="s">
        <v>1452</v>
      </c>
      <c r="C49" s="26" t="s">
        <v>319</v>
      </c>
      <c r="D49" s="9" t="s">
        <v>1453</v>
      </c>
      <c r="E49" s="21" t="s">
        <v>182</v>
      </c>
      <c r="F49" s="22" t="s">
        <v>1454</v>
      </c>
      <c r="G49" s="22" t="s">
        <v>1454</v>
      </c>
      <c r="H49" s="164" t="str">
        <f t="shared" si="0"/>
        <v>,procedure_delay double comment '流程时延'</v>
      </c>
      <c r="I49" s="25"/>
      <c r="J49" s="25" t="s">
        <v>284</v>
      </c>
      <c r="K49" s="25" t="s">
        <v>471</v>
      </c>
      <c r="L49" s="25" t="s">
        <v>285</v>
      </c>
    </row>
    <row r="50" spans="2:17" s="1" customFormat="1" ht="26.4">
      <c r="B50" s="13" t="s">
        <v>648</v>
      </c>
      <c r="C50" s="26" t="s">
        <v>206</v>
      </c>
      <c r="D50" s="9" t="s">
        <v>1455</v>
      </c>
      <c r="E50" s="21" t="s">
        <v>182</v>
      </c>
      <c r="F50" s="22" t="s">
        <v>1456</v>
      </c>
      <c r="G50" s="22" t="s">
        <v>1456</v>
      </c>
      <c r="H50" s="164" t="str">
        <f t="shared" si="0"/>
        <v>,min_starttime string comment '最小开始时间(时间戳)'</v>
      </c>
      <c r="I50" s="25"/>
      <c r="J50" s="25" t="s">
        <v>284</v>
      </c>
      <c r="K50" s="25" t="s">
        <v>1457</v>
      </c>
      <c r="L50" s="25" t="s">
        <v>485</v>
      </c>
    </row>
    <row r="51" spans="2:17" s="1" customFormat="1" ht="26.4">
      <c r="B51" s="13" t="s">
        <v>652</v>
      </c>
      <c r="C51" s="26" t="s">
        <v>206</v>
      </c>
      <c r="D51" s="9" t="s">
        <v>1458</v>
      </c>
      <c r="E51" s="21" t="s">
        <v>182</v>
      </c>
      <c r="F51" s="22" t="s">
        <v>1459</v>
      </c>
      <c r="G51" s="22" t="s">
        <v>1459</v>
      </c>
      <c r="H51" s="164" t="str">
        <f t="shared" si="0"/>
        <v>,max_endtime string comment '最大结束时间(时间戳)'</v>
      </c>
      <c r="I51" s="25"/>
      <c r="J51" s="25" t="s">
        <v>284</v>
      </c>
      <c r="K51" s="25" t="s">
        <v>1457</v>
      </c>
      <c r="L51" s="25" t="s">
        <v>485</v>
      </c>
    </row>
    <row r="52" spans="2:17" s="2" customFormat="1">
      <c r="B52" s="14" t="s">
        <v>222</v>
      </c>
      <c r="C52" s="15" t="s">
        <v>211</v>
      </c>
      <c r="D52" s="16" t="s">
        <v>344</v>
      </c>
      <c r="E52" s="24"/>
      <c r="F52" s="24"/>
      <c r="G52" s="14"/>
      <c r="H52" s="164"/>
      <c r="I52" s="14"/>
      <c r="J52" s="14"/>
      <c r="K52" s="14"/>
      <c r="L52" s="14"/>
      <c r="M52" s="14"/>
      <c r="N52" s="14"/>
      <c r="O52" s="14"/>
      <c r="P52" s="14"/>
      <c r="Q52" s="14"/>
    </row>
    <row r="53" spans="2:17" s="2" customFormat="1">
      <c r="B53" s="14" t="s">
        <v>0</v>
      </c>
      <c r="C53" s="15" t="s">
        <v>206</v>
      </c>
      <c r="D53" s="16" t="s">
        <v>345</v>
      </c>
      <c r="E53" s="24"/>
      <c r="F53" s="24"/>
      <c r="G53" s="14"/>
      <c r="H53" s="164"/>
      <c r="I53" s="14"/>
      <c r="J53" s="14"/>
      <c r="K53" s="14"/>
      <c r="L53" s="14"/>
      <c r="M53" s="14"/>
      <c r="N53" s="14"/>
      <c r="O53" s="14"/>
      <c r="P53" s="14"/>
      <c r="Q53" s="14"/>
    </row>
    <row r="54" spans="2:17" s="2" customFormat="1">
      <c r="B54" s="14" t="s">
        <v>1</v>
      </c>
      <c r="C54" s="15" t="s">
        <v>211</v>
      </c>
      <c r="D54" s="16" t="s">
        <v>346</v>
      </c>
      <c r="E54" s="24"/>
      <c r="F54" s="24"/>
      <c r="G54" s="14"/>
      <c r="H54" s="164"/>
      <c r="I54" s="14"/>
      <c r="J54" s="14"/>
      <c r="K54" s="14"/>
      <c r="L54" s="14"/>
      <c r="M54" s="14"/>
      <c r="N54" s="14"/>
      <c r="O54" s="14"/>
      <c r="P54" s="14"/>
      <c r="Q54" s="14"/>
    </row>
    <row r="55" spans="2:17" s="2" customFormat="1">
      <c r="B55" s="14" t="s">
        <v>2</v>
      </c>
      <c r="C55" s="15" t="s">
        <v>211</v>
      </c>
      <c r="D55" s="16" t="s">
        <v>347</v>
      </c>
      <c r="E55" s="24"/>
      <c r="F55" s="24"/>
      <c r="G55" s="14"/>
      <c r="H55" s="164"/>
      <c r="I55" s="14"/>
      <c r="J55" s="14"/>
      <c r="K55" s="14"/>
      <c r="L55" s="14"/>
      <c r="M55" s="14"/>
      <c r="N55" s="14"/>
      <c r="O55" s="14"/>
      <c r="P55" s="14"/>
      <c r="Q55" s="14"/>
    </row>
  </sheetData>
  <autoFilter ref="A13:Q55" xr:uid="{00000000-0009-0000-0000-000012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35"/>
  <sheetViews>
    <sheetView zoomScale="85" zoomScaleNormal="85" workbookViewId="0">
      <pane ySplit="5" topLeftCell="A6" activePane="bottomLeft" state="frozen"/>
      <selection pane="bottomLeft" activeCell="F18" sqref="F18"/>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11" t="s">
        <v>172</v>
      </c>
      <c r="G4" s="7" t="s">
        <v>43</v>
      </c>
      <c r="H4" s="7" t="s">
        <v>173</v>
      </c>
    </row>
    <row r="5" spans="2:14">
      <c r="B5" s="8" t="s">
        <v>121</v>
      </c>
      <c r="C5" s="9" t="s">
        <v>122</v>
      </c>
      <c r="D5" s="10" t="s">
        <v>123</v>
      </c>
      <c r="E5" s="12" t="s">
        <v>20</v>
      </c>
      <c r="F5" s="17"/>
      <c r="G5" s="12"/>
      <c r="H5" s="12"/>
      <c r="N5" s="3"/>
    </row>
    <row r="6" spans="2:14">
      <c r="B6" s="6"/>
      <c r="C6" s="6"/>
      <c r="D6" s="6"/>
      <c r="E6" s="6"/>
      <c r="F6" s="18"/>
      <c r="G6" s="6"/>
      <c r="H6" s="6"/>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118</v>
      </c>
      <c r="D9" s="10" t="s">
        <v>1441</v>
      </c>
      <c r="E9" s="12" t="s">
        <v>182</v>
      </c>
      <c r="F9" s="19"/>
      <c r="G9" s="22"/>
      <c r="H9" s="20" t="s">
        <v>63</v>
      </c>
    </row>
    <row r="10" spans="2:14" ht="39.6">
      <c r="B10" s="12"/>
      <c r="C10" s="9" t="s">
        <v>1460</v>
      </c>
      <c r="D10" s="10" t="s">
        <v>1461</v>
      </c>
      <c r="E10" s="12" t="s">
        <v>789</v>
      </c>
      <c r="F10" s="22" t="s">
        <v>1462</v>
      </c>
      <c r="G10" s="22" t="s">
        <v>1463</v>
      </c>
      <c r="H10" s="20"/>
    </row>
    <row r="11" spans="2:14">
      <c r="G11" s="62"/>
    </row>
    <row r="12" spans="2:14">
      <c r="B12" s="3" t="s">
        <v>194</v>
      </c>
    </row>
    <row r="13" spans="2:14">
      <c r="B13" s="181" t="s">
        <v>194</v>
      </c>
      <c r="C13" s="181"/>
      <c r="D13" s="181"/>
      <c r="E13" s="181"/>
      <c r="F13" s="181"/>
      <c r="G13" s="181"/>
      <c r="H13" s="181"/>
      <c r="I13" s="181"/>
      <c r="J13" s="181"/>
      <c r="K13" s="181"/>
      <c r="L13" s="181"/>
    </row>
    <row r="14" spans="2:14">
      <c r="B14" s="7" t="s">
        <v>195</v>
      </c>
      <c r="C14" s="7" t="s">
        <v>196</v>
      </c>
      <c r="D14" s="7" t="s">
        <v>197</v>
      </c>
      <c r="E14" s="7" t="s">
        <v>198</v>
      </c>
      <c r="F14" s="11" t="s">
        <v>199</v>
      </c>
      <c r="G14" s="7" t="s">
        <v>200</v>
      </c>
      <c r="H14" s="7" t="s">
        <v>201</v>
      </c>
      <c r="I14" s="7" t="s">
        <v>53</v>
      </c>
      <c r="J14" s="7" t="s">
        <v>202</v>
      </c>
      <c r="K14" s="7" t="s">
        <v>203</v>
      </c>
      <c r="L14" s="7" t="s">
        <v>204</v>
      </c>
    </row>
    <row r="15" spans="2:14" s="1" customFormat="1">
      <c r="B15" s="13" t="s">
        <v>205</v>
      </c>
      <c r="C15" s="13" t="s">
        <v>206</v>
      </c>
      <c r="D15" s="9" t="s">
        <v>207</v>
      </c>
      <c r="E15" s="21" t="s">
        <v>182</v>
      </c>
      <c r="F15" s="19" t="s">
        <v>0</v>
      </c>
      <c r="G15" s="22" t="s">
        <v>208</v>
      </c>
      <c r="H15" s="23"/>
      <c r="I15" s="25"/>
      <c r="J15" s="25" t="s">
        <v>4</v>
      </c>
      <c r="K15" s="25" t="s">
        <v>209</v>
      </c>
      <c r="L15" s="25" t="s">
        <v>209</v>
      </c>
    </row>
    <row r="16" spans="2:14" s="1" customFormat="1">
      <c r="B16" s="13" t="s">
        <v>20</v>
      </c>
      <c r="C16" s="13" t="s">
        <v>211</v>
      </c>
      <c r="D16" s="9" t="s">
        <v>73</v>
      </c>
      <c r="E16" s="21" t="s">
        <v>182</v>
      </c>
      <c r="F16" s="19" t="s">
        <v>1</v>
      </c>
      <c r="G16" s="22" t="s">
        <v>208</v>
      </c>
      <c r="H16" s="23"/>
      <c r="I16" s="25"/>
      <c r="J16" s="25" t="s">
        <v>4</v>
      </c>
      <c r="K16" s="25" t="s">
        <v>209</v>
      </c>
      <c r="L16" s="25" t="s">
        <v>209</v>
      </c>
    </row>
    <row r="17" spans="2:12" s="1" customFormat="1">
      <c r="B17" s="13" t="s">
        <v>220</v>
      </c>
      <c r="C17" s="13" t="s">
        <v>211</v>
      </c>
      <c r="D17" s="9" t="s">
        <v>221</v>
      </c>
      <c r="E17" s="21" t="s">
        <v>182</v>
      </c>
      <c r="F17" s="19" t="s">
        <v>222</v>
      </c>
      <c r="G17" s="22" t="s">
        <v>208</v>
      </c>
      <c r="H17" s="23"/>
      <c r="I17" s="25"/>
      <c r="J17" s="25" t="s">
        <v>4</v>
      </c>
      <c r="K17" s="25" t="s">
        <v>209</v>
      </c>
      <c r="L17" s="25" t="s">
        <v>209</v>
      </c>
    </row>
    <row r="18" spans="2:12" s="1" customFormat="1">
      <c r="B18" s="13" t="s">
        <v>230</v>
      </c>
      <c r="C18" s="13" t="s">
        <v>206</v>
      </c>
      <c r="D18" s="9" t="s">
        <v>231</v>
      </c>
      <c r="E18" s="21" t="s">
        <v>789</v>
      </c>
      <c r="F18" s="19" t="s">
        <v>1464</v>
      </c>
      <c r="G18" s="22" t="s">
        <v>1465</v>
      </c>
      <c r="H18" s="23"/>
      <c r="I18" s="25"/>
      <c r="J18" s="25" t="s">
        <v>4</v>
      </c>
      <c r="K18" s="25" t="s">
        <v>209</v>
      </c>
      <c r="L18" s="25" t="s">
        <v>209</v>
      </c>
    </row>
    <row r="19" spans="2:12" s="1" customFormat="1">
      <c r="B19" s="13" t="s">
        <v>224</v>
      </c>
      <c r="C19" s="13" t="s">
        <v>211</v>
      </c>
      <c r="D19" s="9" t="s">
        <v>1466</v>
      </c>
      <c r="E19" s="21" t="s">
        <v>182</v>
      </c>
      <c r="F19" s="19" t="s">
        <v>224</v>
      </c>
      <c r="G19" s="22" t="s">
        <v>208</v>
      </c>
      <c r="H19" s="23"/>
      <c r="I19" s="25"/>
      <c r="J19" s="25" t="s">
        <v>4</v>
      </c>
      <c r="K19" s="25" t="s">
        <v>209</v>
      </c>
      <c r="L19" s="25" t="s">
        <v>209</v>
      </c>
    </row>
    <row r="20" spans="2:12" s="1" customFormat="1">
      <c r="B20" s="13" t="s">
        <v>233</v>
      </c>
      <c r="C20" s="13" t="s">
        <v>206</v>
      </c>
      <c r="D20" s="9" t="s">
        <v>234</v>
      </c>
      <c r="E20" s="21" t="s">
        <v>182</v>
      </c>
      <c r="F20" s="19" t="s">
        <v>233</v>
      </c>
      <c r="G20" s="22" t="s">
        <v>208</v>
      </c>
      <c r="H20" s="23"/>
      <c r="I20" s="25"/>
      <c r="J20" s="25" t="s">
        <v>4</v>
      </c>
      <c r="K20" s="25" t="s">
        <v>209</v>
      </c>
      <c r="L20" s="25" t="s">
        <v>209</v>
      </c>
    </row>
    <row r="21" spans="2:12" s="1" customFormat="1">
      <c r="B21" s="13" t="s">
        <v>228</v>
      </c>
      <c r="C21" s="13" t="s">
        <v>211</v>
      </c>
      <c r="D21" s="9" t="s">
        <v>445</v>
      </c>
      <c r="E21" s="21" t="s">
        <v>182</v>
      </c>
      <c r="F21" s="19" t="s">
        <v>228</v>
      </c>
      <c r="G21" s="22" t="s">
        <v>208</v>
      </c>
      <c r="H21" s="23"/>
      <c r="I21" s="25"/>
      <c r="J21" s="25" t="s">
        <v>4</v>
      </c>
      <c r="K21" s="25" t="s">
        <v>209</v>
      </c>
      <c r="L21" s="25" t="s">
        <v>209</v>
      </c>
    </row>
    <row r="22" spans="2:12" s="1" customFormat="1">
      <c r="B22" s="13" t="s">
        <v>236</v>
      </c>
      <c r="C22" s="13" t="s">
        <v>206</v>
      </c>
      <c r="D22" s="9" t="s">
        <v>237</v>
      </c>
      <c r="E22" s="21" t="s">
        <v>182</v>
      </c>
      <c r="F22" s="19" t="s">
        <v>236</v>
      </c>
      <c r="G22" s="22" t="s">
        <v>208</v>
      </c>
      <c r="H22" s="23"/>
      <c r="I22" s="25"/>
      <c r="J22" s="25" t="s">
        <v>4</v>
      </c>
      <c r="K22" s="25" t="s">
        <v>209</v>
      </c>
      <c r="L22" s="25" t="s">
        <v>209</v>
      </c>
    </row>
    <row r="23" spans="2:12" s="1" customFormat="1">
      <c r="B23" s="13" t="s">
        <v>450</v>
      </c>
      <c r="C23" s="13" t="s">
        <v>211</v>
      </c>
      <c r="D23" s="9" t="s">
        <v>451</v>
      </c>
      <c r="E23" s="21" t="s">
        <v>182</v>
      </c>
      <c r="F23" s="22" t="s">
        <v>1467</v>
      </c>
      <c r="G23" s="22" t="s">
        <v>1468</v>
      </c>
      <c r="H23" s="23"/>
      <c r="I23" s="25"/>
      <c r="J23" s="25" t="s">
        <v>4</v>
      </c>
      <c r="K23" s="25" t="s">
        <v>209</v>
      </c>
      <c r="L23" s="25" t="s">
        <v>209</v>
      </c>
    </row>
    <row r="24" spans="2:12" s="1" customFormat="1">
      <c r="B24" s="13" t="s">
        <v>1469</v>
      </c>
      <c r="C24" s="13" t="s">
        <v>206</v>
      </c>
      <c r="D24" s="9" t="s">
        <v>1470</v>
      </c>
      <c r="E24" s="21"/>
      <c r="F24" s="19"/>
      <c r="G24" s="22" t="s">
        <v>2507</v>
      </c>
      <c r="H24" s="23"/>
      <c r="I24" s="25"/>
      <c r="J24" s="25" t="s">
        <v>4</v>
      </c>
      <c r="K24" s="25" t="s">
        <v>209</v>
      </c>
      <c r="L24" s="25" t="s">
        <v>209</v>
      </c>
    </row>
    <row r="25" spans="2:12" s="1" customFormat="1">
      <c r="B25" s="13" t="s">
        <v>454</v>
      </c>
      <c r="C25" s="13" t="s">
        <v>211</v>
      </c>
      <c r="D25" s="9" t="s">
        <v>455</v>
      </c>
      <c r="E25" s="21" t="s">
        <v>182</v>
      </c>
      <c r="F25" s="22" t="s">
        <v>1467</v>
      </c>
      <c r="G25" s="22" t="s">
        <v>1467</v>
      </c>
      <c r="H25" s="23"/>
      <c r="I25" s="25"/>
      <c r="J25" s="25" t="s">
        <v>4</v>
      </c>
      <c r="K25" s="25" t="s">
        <v>209</v>
      </c>
      <c r="L25" s="25" t="s">
        <v>209</v>
      </c>
    </row>
    <row r="26" spans="2:12" s="1" customFormat="1">
      <c r="B26" s="13" t="s">
        <v>239</v>
      </c>
      <c r="C26" s="13" t="s">
        <v>206</v>
      </c>
      <c r="D26" s="9" t="s">
        <v>1471</v>
      </c>
      <c r="E26" s="21" t="s">
        <v>418</v>
      </c>
      <c r="F26" s="19"/>
      <c r="G26" s="22" t="s">
        <v>2507</v>
      </c>
      <c r="H26" s="23"/>
      <c r="I26" s="25"/>
      <c r="J26" s="25" t="s">
        <v>4</v>
      </c>
      <c r="K26" s="25" t="s">
        <v>209</v>
      </c>
      <c r="L26" s="25" t="s">
        <v>209</v>
      </c>
    </row>
    <row r="27" spans="2:12" s="1" customFormat="1">
      <c r="B27" s="13" t="s">
        <v>2371</v>
      </c>
      <c r="C27" s="13" t="s">
        <v>206</v>
      </c>
      <c r="D27" s="9" t="s">
        <v>1235</v>
      </c>
      <c r="E27" s="21" t="s">
        <v>182</v>
      </c>
      <c r="F27" s="22" t="s">
        <v>249</v>
      </c>
      <c r="G27" s="22" t="s">
        <v>249</v>
      </c>
      <c r="H27" s="23"/>
      <c r="I27" s="25"/>
      <c r="J27" s="25" t="s">
        <v>4</v>
      </c>
      <c r="K27" s="25" t="s">
        <v>209</v>
      </c>
      <c r="L27" s="25" t="s">
        <v>209</v>
      </c>
    </row>
    <row r="28" spans="2:12" s="1" customFormat="1">
      <c r="B28" s="13" t="s">
        <v>254</v>
      </c>
      <c r="C28" s="13" t="s">
        <v>206</v>
      </c>
      <c r="D28" s="9" t="s">
        <v>1236</v>
      </c>
      <c r="E28" s="21" t="s">
        <v>182</v>
      </c>
      <c r="F28" s="22" t="s">
        <v>254</v>
      </c>
      <c r="G28" s="22" t="s">
        <v>254</v>
      </c>
      <c r="H28" s="23"/>
      <c r="I28" s="25"/>
      <c r="J28" s="25" t="s">
        <v>4</v>
      </c>
      <c r="K28" s="25" t="s">
        <v>209</v>
      </c>
      <c r="L28" s="25" t="s">
        <v>209</v>
      </c>
    </row>
    <row r="29" spans="2:12" s="1" customFormat="1">
      <c r="B29" s="13" t="s">
        <v>251</v>
      </c>
      <c r="C29" s="13" t="s">
        <v>206</v>
      </c>
      <c r="D29" s="9" t="s">
        <v>1472</v>
      </c>
      <c r="E29" s="21" t="s">
        <v>182</v>
      </c>
      <c r="F29" s="22" t="s">
        <v>251</v>
      </c>
      <c r="G29" s="22" t="s">
        <v>251</v>
      </c>
      <c r="H29" s="23"/>
      <c r="I29" s="25"/>
      <c r="J29" s="25" t="s">
        <v>4</v>
      </c>
      <c r="K29" s="25" t="s">
        <v>209</v>
      </c>
      <c r="L29" s="25" t="s">
        <v>209</v>
      </c>
    </row>
    <row r="30" spans="2:12" s="1" customFormat="1">
      <c r="B30" s="13" t="s">
        <v>1238</v>
      </c>
      <c r="C30" s="13" t="s">
        <v>1473</v>
      </c>
      <c r="D30" s="9" t="s">
        <v>1474</v>
      </c>
      <c r="E30" s="21" t="s">
        <v>182</v>
      </c>
      <c r="F30" s="22" t="s">
        <v>1238</v>
      </c>
      <c r="G30" s="22" t="s">
        <v>1238</v>
      </c>
      <c r="H30" s="23"/>
      <c r="I30" s="25"/>
      <c r="J30" s="25" t="s">
        <v>4</v>
      </c>
      <c r="K30" s="25" t="s">
        <v>209</v>
      </c>
      <c r="L30" s="25" t="s">
        <v>209</v>
      </c>
    </row>
    <row r="31" spans="2:12" s="1" customFormat="1" ht="26.4">
      <c r="B31" s="13" t="s">
        <v>1475</v>
      </c>
      <c r="C31" s="26" t="s">
        <v>211</v>
      </c>
      <c r="D31" s="9" t="s">
        <v>1476</v>
      </c>
      <c r="E31" s="21" t="s">
        <v>182</v>
      </c>
      <c r="F31" s="22" t="s">
        <v>1477</v>
      </c>
      <c r="G31" s="22" t="s">
        <v>1477</v>
      </c>
      <c r="H31" s="23"/>
      <c r="I31" s="25"/>
      <c r="J31" s="25" t="s">
        <v>284</v>
      </c>
      <c r="K31" s="25" t="s">
        <v>209</v>
      </c>
      <c r="L31" s="25" t="s">
        <v>1478</v>
      </c>
    </row>
    <row r="32" spans="2:12" s="1" customFormat="1">
      <c r="B32" s="13" t="s">
        <v>2392</v>
      </c>
      <c r="C32" s="13" t="s">
        <v>281</v>
      </c>
      <c r="D32" s="9" t="s">
        <v>1479</v>
      </c>
      <c r="E32" s="21" t="s">
        <v>182</v>
      </c>
      <c r="F32" s="22" t="s">
        <v>657</v>
      </c>
      <c r="G32" s="22" t="s">
        <v>657</v>
      </c>
      <c r="H32" s="23"/>
      <c r="I32" s="25"/>
      <c r="J32" s="25" t="s">
        <v>4</v>
      </c>
      <c r="K32" s="25" t="s">
        <v>209</v>
      </c>
      <c r="L32" s="25" t="s">
        <v>485</v>
      </c>
    </row>
    <row r="33" spans="2:17" s="2" customFormat="1">
      <c r="B33" s="14" t="s">
        <v>222</v>
      </c>
      <c r="C33" s="15" t="s">
        <v>211</v>
      </c>
      <c r="D33" s="16" t="s">
        <v>344</v>
      </c>
      <c r="E33" s="24"/>
      <c r="F33" s="24"/>
      <c r="G33" s="14"/>
      <c r="H33" s="14"/>
      <c r="I33" s="14"/>
      <c r="J33" s="14"/>
      <c r="K33" s="14"/>
      <c r="L33" s="14"/>
      <c r="M33" s="14"/>
      <c r="N33" s="14"/>
      <c r="O33" s="14"/>
      <c r="P33" s="14"/>
      <c r="Q33" s="14"/>
    </row>
    <row r="34" spans="2:17" s="2" customFormat="1">
      <c r="B34" s="14" t="s">
        <v>0</v>
      </c>
      <c r="C34" s="15" t="s">
        <v>206</v>
      </c>
      <c r="D34" s="16" t="s">
        <v>345</v>
      </c>
      <c r="E34" s="24"/>
      <c r="F34" s="24"/>
      <c r="G34" s="14"/>
      <c r="H34" s="14"/>
      <c r="I34" s="14"/>
      <c r="J34" s="14"/>
      <c r="K34" s="14"/>
      <c r="L34" s="14"/>
      <c r="M34" s="14"/>
      <c r="N34" s="14"/>
      <c r="O34" s="14"/>
      <c r="P34" s="14"/>
      <c r="Q34" s="14"/>
    </row>
    <row r="35" spans="2:17" s="2" customFormat="1">
      <c r="B35" s="14" t="s">
        <v>1</v>
      </c>
      <c r="C35" s="15" t="s">
        <v>211</v>
      </c>
      <c r="D35" s="16" t="s">
        <v>346</v>
      </c>
      <c r="E35" s="24"/>
      <c r="F35" s="24"/>
      <c r="G35" s="14"/>
      <c r="H35" s="14"/>
      <c r="I35" s="14"/>
      <c r="J35" s="14"/>
      <c r="K35" s="14"/>
      <c r="L35" s="14"/>
      <c r="M35" s="14"/>
      <c r="N35" s="14"/>
      <c r="O35" s="14"/>
      <c r="P35" s="14"/>
      <c r="Q35" s="14"/>
    </row>
  </sheetData>
  <autoFilter ref="A14:Q35" xr:uid="{00000000-0009-0000-0000-000013000000}"/>
  <mergeCells count="4">
    <mergeCell ref="B2:H2"/>
    <mergeCell ref="B3:H3"/>
    <mergeCell ref="B7:H7"/>
    <mergeCell ref="B13:L13"/>
  </mergeCells>
  <phoneticPr fontId="33" type="noConversion"/>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39"/>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11" t="s">
        <v>172</v>
      </c>
      <c r="G4" s="7" t="s">
        <v>43</v>
      </c>
      <c r="H4" s="7" t="s">
        <v>173</v>
      </c>
    </row>
    <row r="5" spans="2:14">
      <c r="B5" s="8" t="s">
        <v>121</v>
      </c>
      <c r="C5" s="9" t="s">
        <v>125</v>
      </c>
      <c r="D5" s="10" t="s">
        <v>126</v>
      </c>
      <c r="E5" s="12" t="s">
        <v>205</v>
      </c>
      <c r="F5" s="17"/>
      <c r="G5" s="12"/>
      <c r="H5" s="12"/>
      <c r="N5" s="3"/>
    </row>
    <row r="6" spans="2:14">
      <c r="B6" s="6"/>
      <c r="C6" s="6"/>
      <c r="D6" s="6"/>
      <c r="E6" s="6"/>
      <c r="F6" s="18"/>
      <c r="G6" s="6"/>
      <c r="H6" s="6"/>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122</v>
      </c>
      <c r="D9" s="10" t="s">
        <v>123</v>
      </c>
      <c r="E9" s="12" t="s">
        <v>182</v>
      </c>
      <c r="F9" s="19"/>
      <c r="G9" s="22"/>
      <c r="H9" s="20" t="s">
        <v>63</v>
      </c>
    </row>
    <row r="10" spans="2:14">
      <c r="G10" s="62"/>
    </row>
    <row r="11" spans="2:14">
      <c r="B11" s="3" t="s">
        <v>194</v>
      </c>
    </row>
    <row r="12" spans="2:14">
      <c r="B12" s="181" t="s">
        <v>194</v>
      </c>
      <c r="C12" s="181"/>
      <c r="D12" s="181"/>
      <c r="E12" s="181"/>
      <c r="F12" s="181"/>
      <c r="G12" s="181"/>
      <c r="H12" s="181"/>
      <c r="I12" s="181"/>
      <c r="J12" s="181"/>
      <c r="K12" s="181"/>
      <c r="L12" s="181"/>
    </row>
    <row r="13" spans="2:14">
      <c r="B13" s="7" t="s">
        <v>195</v>
      </c>
      <c r="C13" s="7" t="s">
        <v>196</v>
      </c>
      <c r="D13" s="7" t="s">
        <v>197</v>
      </c>
      <c r="E13" s="7" t="s">
        <v>198</v>
      </c>
      <c r="F13" s="11" t="s">
        <v>199</v>
      </c>
      <c r="G13" s="7" t="s">
        <v>200</v>
      </c>
      <c r="H13" s="7" t="s">
        <v>201</v>
      </c>
      <c r="I13" s="7" t="s">
        <v>53</v>
      </c>
      <c r="J13" s="7" t="s">
        <v>202</v>
      </c>
      <c r="K13" s="7" t="s">
        <v>203</v>
      </c>
      <c r="L13" s="7" t="s">
        <v>204</v>
      </c>
    </row>
    <row r="14" spans="2:14" s="1" customFormat="1">
      <c r="B14" s="13" t="s">
        <v>205</v>
      </c>
      <c r="C14" s="13" t="s">
        <v>206</v>
      </c>
      <c r="D14" s="9" t="s">
        <v>207</v>
      </c>
      <c r="E14" s="21" t="s">
        <v>182</v>
      </c>
      <c r="F14" s="19" t="s">
        <v>0</v>
      </c>
      <c r="G14" s="22" t="s">
        <v>208</v>
      </c>
      <c r="H14" s="23" t="str">
        <f>_xlfn.CONCAT(",",F14," as ",B14)</f>
        <v>,p_date as day</v>
      </c>
      <c r="I14" s="25"/>
      <c r="J14" s="25" t="s">
        <v>4</v>
      </c>
      <c r="K14" s="25" t="s">
        <v>209</v>
      </c>
      <c r="L14" s="25" t="s">
        <v>209</v>
      </c>
    </row>
    <row r="15" spans="2:14" s="1" customFormat="1" ht="26.4">
      <c r="B15" s="13" t="s">
        <v>220</v>
      </c>
      <c r="C15" s="13" t="s">
        <v>211</v>
      </c>
      <c r="D15" s="9" t="s">
        <v>221</v>
      </c>
      <c r="E15" s="21" t="s">
        <v>182</v>
      </c>
      <c r="F15" s="19" t="s">
        <v>222</v>
      </c>
      <c r="G15" s="22" t="s">
        <v>208</v>
      </c>
      <c r="H15" s="23" t="str">
        <f t="shared" ref="H15:H37" si="0">_xlfn.CONCAT(",",F15," as ",B15)</f>
        <v>,p_provincecode as provincecode</v>
      </c>
      <c r="I15" s="25"/>
      <c r="J15" s="25" t="s">
        <v>4</v>
      </c>
      <c r="K15" s="25" t="s">
        <v>209</v>
      </c>
      <c r="L15" s="25" t="s">
        <v>209</v>
      </c>
    </row>
    <row r="16" spans="2:14" s="1" customFormat="1" ht="26.4">
      <c r="B16" s="13" t="s">
        <v>230</v>
      </c>
      <c r="C16" s="13" t="s">
        <v>206</v>
      </c>
      <c r="D16" s="9" t="s">
        <v>231</v>
      </c>
      <c r="E16" s="21" t="s">
        <v>182</v>
      </c>
      <c r="F16" s="19" t="s">
        <v>230</v>
      </c>
      <c r="G16" s="22" t="s">
        <v>208</v>
      </c>
      <c r="H16" s="23" t="str">
        <f t="shared" si="0"/>
        <v>,province as province</v>
      </c>
      <c r="I16" s="25"/>
      <c r="J16" s="25" t="s">
        <v>4</v>
      </c>
      <c r="K16" s="25" t="s">
        <v>209</v>
      </c>
      <c r="L16" s="25" t="s">
        <v>209</v>
      </c>
    </row>
    <row r="17" spans="2:12" s="1" customFormat="1" ht="26.4">
      <c r="B17" s="13" t="s">
        <v>224</v>
      </c>
      <c r="C17" s="13" t="s">
        <v>211</v>
      </c>
      <c r="D17" s="9" t="s">
        <v>1466</v>
      </c>
      <c r="E17" s="21" t="s">
        <v>182</v>
      </c>
      <c r="F17" s="19" t="s">
        <v>224</v>
      </c>
      <c r="G17" s="22" t="s">
        <v>208</v>
      </c>
      <c r="H17" s="23" t="str">
        <f t="shared" si="0"/>
        <v>,citycode as citycode</v>
      </c>
      <c r="I17" s="25"/>
      <c r="J17" s="25" t="s">
        <v>4</v>
      </c>
      <c r="K17" s="25" t="s">
        <v>209</v>
      </c>
      <c r="L17" s="25" t="s">
        <v>209</v>
      </c>
    </row>
    <row r="18" spans="2:12" s="1" customFormat="1">
      <c r="B18" s="13" t="s">
        <v>233</v>
      </c>
      <c r="C18" s="13" t="s">
        <v>206</v>
      </c>
      <c r="D18" s="9" t="s">
        <v>234</v>
      </c>
      <c r="E18" s="21" t="s">
        <v>182</v>
      </c>
      <c r="F18" s="19" t="s">
        <v>233</v>
      </c>
      <c r="G18" s="22" t="s">
        <v>208</v>
      </c>
      <c r="H18" s="23" t="str">
        <f t="shared" si="0"/>
        <v>,city as city</v>
      </c>
      <c r="I18" s="25"/>
      <c r="J18" s="25" t="s">
        <v>4</v>
      </c>
      <c r="K18" s="25" t="s">
        <v>209</v>
      </c>
      <c r="L18" s="25" t="s">
        <v>209</v>
      </c>
    </row>
    <row r="19" spans="2:12" s="1" customFormat="1" ht="26.4">
      <c r="B19" s="13" t="s">
        <v>228</v>
      </c>
      <c r="C19" s="13" t="s">
        <v>211</v>
      </c>
      <c r="D19" s="9" t="s">
        <v>445</v>
      </c>
      <c r="E19" s="21" t="s">
        <v>182</v>
      </c>
      <c r="F19" s="19" t="s">
        <v>228</v>
      </c>
      <c r="G19" s="22" t="s">
        <v>208</v>
      </c>
      <c r="H19" s="23" t="str">
        <f t="shared" si="0"/>
        <v>,districtcode as districtcode</v>
      </c>
      <c r="I19" s="25"/>
      <c r="J19" s="25" t="s">
        <v>4</v>
      </c>
      <c r="K19" s="25" t="s">
        <v>209</v>
      </c>
      <c r="L19" s="25" t="s">
        <v>209</v>
      </c>
    </row>
    <row r="20" spans="2:12" s="1" customFormat="1" ht="26.4">
      <c r="B20" s="13" t="s">
        <v>236</v>
      </c>
      <c r="C20" s="13" t="s">
        <v>206</v>
      </c>
      <c r="D20" s="9" t="s">
        <v>237</v>
      </c>
      <c r="E20" s="21" t="s">
        <v>182</v>
      </c>
      <c r="F20" s="19" t="s">
        <v>236</v>
      </c>
      <c r="G20" s="22" t="s">
        <v>208</v>
      </c>
      <c r="H20" s="23" t="str">
        <f t="shared" si="0"/>
        <v>,district as district</v>
      </c>
      <c r="I20" s="25"/>
      <c r="J20" s="25" t="s">
        <v>4</v>
      </c>
      <c r="K20" s="25" t="s">
        <v>209</v>
      </c>
      <c r="L20" s="25" t="s">
        <v>209</v>
      </c>
    </row>
    <row r="21" spans="2:12" s="1" customFormat="1">
      <c r="B21" s="13" t="s">
        <v>450</v>
      </c>
      <c r="C21" s="13" t="s">
        <v>211</v>
      </c>
      <c r="D21" s="9" t="s">
        <v>451</v>
      </c>
      <c r="E21" s="21" t="s">
        <v>182</v>
      </c>
      <c r="F21" s="19" t="s">
        <v>450</v>
      </c>
      <c r="G21" s="22" t="s">
        <v>208</v>
      </c>
      <c r="H21" s="23" t="str">
        <f t="shared" si="0"/>
        <v>,gnbid as gnbid</v>
      </c>
      <c r="I21" s="25"/>
      <c r="J21" s="25" t="s">
        <v>4</v>
      </c>
      <c r="K21" s="25" t="s">
        <v>209</v>
      </c>
      <c r="L21" s="25" t="s">
        <v>209</v>
      </c>
    </row>
    <row r="22" spans="2:12" s="1" customFormat="1" ht="26.4">
      <c r="B22" s="13" t="s">
        <v>1469</v>
      </c>
      <c r="C22" s="13" t="s">
        <v>206</v>
      </c>
      <c r="D22" s="9" t="s">
        <v>1470</v>
      </c>
      <c r="E22" s="21" t="s">
        <v>182</v>
      </c>
      <c r="F22" s="19" t="s">
        <v>1469</v>
      </c>
      <c r="G22" s="22" t="s">
        <v>208</v>
      </c>
      <c r="H22" s="23" t="str">
        <f t="shared" si="0"/>
        <v>,gnbname as gnbname</v>
      </c>
      <c r="I22" s="25"/>
      <c r="J22" s="25" t="s">
        <v>4</v>
      </c>
      <c r="K22" s="25" t="s">
        <v>209</v>
      </c>
      <c r="L22" s="25" t="s">
        <v>209</v>
      </c>
    </row>
    <row r="23" spans="2:12" s="1" customFormat="1">
      <c r="B23" s="13" t="s">
        <v>454</v>
      </c>
      <c r="C23" s="13" t="s">
        <v>211</v>
      </c>
      <c r="D23" s="9" t="s">
        <v>455</v>
      </c>
      <c r="E23" s="21" t="s">
        <v>182</v>
      </c>
      <c r="F23" s="19" t="s">
        <v>454</v>
      </c>
      <c r="G23" s="22" t="s">
        <v>208</v>
      </c>
      <c r="H23" s="23" t="str">
        <f t="shared" si="0"/>
        <v>,cellid as cellid</v>
      </c>
      <c r="I23" s="25"/>
      <c r="J23" s="25" t="s">
        <v>4</v>
      </c>
      <c r="K23" s="25" t="s">
        <v>209</v>
      </c>
      <c r="L23" s="25" t="s">
        <v>209</v>
      </c>
    </row>
    <row r="24" spans="2:12" s="1" customFormat="1" ht="26.4">
      <c r="B24" s="13" t="s">
        <v>239</v>
      </c>
      <c r="C24" s="13" t="s">
        <v>206</v>
      </c>
      <c r="D24" s="9" t="s">
        <v>1471</v>
      </c>
      <c r="E24" s="21" t="s">
        <v>182</v>
      </c>
      <c r="F24" s="19" t="s">
        <v>239</v>
      </c>
      <c r="G24" s="22" t="s">
        <v>208</v>
      </c>
      <c r="H24" s="23" t="str">
        <f t="shared" si="0"/>
        <v>,cellname as cellname</v>
      </c>
      <c r="I24" s="25"/>
      <c r="J24" s="25" t="s">
        <v>4</v>
      </c>
      <c r="K24" s="25" t="s">
        <v>209</v>
      </c>
      <c r="L24" s="25" t="s">
        <v>209</v>
      </c>
    </row>
    <row r="25" spans="2:12" s="1" customFormat="1">
      <c r="B25" s="13" t="s">
        <v>249</v>
      </c>
      <c r="C25" s="13" t="s">
        <v>206</v>
      </c>
      <c r="D25" s="9" t="s">
        <v>1235</v>
      </c>
      <c r="E25" s="21" t="s">
        <v>182</v>
      </c>
      <c r="F25" s="19" t="s">
        <v>249</v>
      </c>
      <c r="G25" s="22" t="s">
        <v>208</v>
      </c>
      <c r="H25" s="23" t="str">
        <f t="shared" si="0"/>
        <v>,supi as supi</v>
      </c>
      <c r="I25" s="25"/>
      <c r="J25" s="25" t="s">
        <v>4</v>
      </c>
      <c r="K25" s="25" t="s">
        <v>209</v>
      </c>
      <c r="L25" s="25" t="s">
        <v>209</v>
      </c>
    </row>
    <row r="26" spans="2:12" s="1" customFormat="1">
      <c r="B26" s="13" t="s">
        <v>254</v>
      </c>
      <c r="C26" s="13" t="s">
        <v>206</v>
      </c>
      <c r="D26" s="9" t="s">
        <v>1236</v>
      </c>
      <c r="E26" s="21" t="s">
        <v>182</v>
      </c>
      <c r="F26" s="19" t="s">
        <v>254</v>
      </c>
      <c r="G26" s="22" t="s">
        <v>208</v>
      </c>
      <c r="H26" s="23" t="str">
        <f t="shared" si="0"/>
        <v>,pei as pei</v>
      </c>
      <c r="I26" s="25"/>
      <c r="J26" s="25" t="s">
        <v>4</v>
      </c>
      <c r="K26" s="25" t="s">
        <v>209</v>
      </c>
      <c r="L26" s="25" t="s">
        <v>209</v>
      </c>
    </row>
    <row r="27" spans="2:12" s="1" customFormat="1" ht="26.4">
      <c r="B27" s="13" t="s">
        <v>251</v>
      </c>
      <c r="C27" s="13" t="s">
        <v>206</v>
      </c>
      <c r="D27" s="9" t="s">
        <v>1472</v>
      </c>
      <c r="E27" s="21" t="s">
        <v>182</v>
      </c>
      <c r="F27" s="19" t="s">
        <v>251</v>
      </c>
      <c r="G27" s="22" t="s">
        <v>208</v>
      </c>
      <c r="H27" s="23" t="str">
        <f t="shared" si="0"/>
        <v>,msisdn as msisdn</v>
      </c>
      <c r="I27" s="25"/>
      <c r="J27" s="25" t="s">
        <v>4</v>
      </c>
      <c r="K27" s="25" t="s">
        <v>209</v>
      </c>
      <c r="L27" s="25" t="s">
        <v>209</v>
      </c>
    </row>
    <row r="28" spans="2:12" s="1" customFormat="1">
      <c r="B28" s="13" t="s">
        <v>1238</v>
      </c>
      <c r="C28" s="13" t="s">
        <v>1473</v>
      </c>
      <c r="D28" s="9" t="s">
        <v>1474</v>
      </c>
      <c r="E28" s="21" t="s">
        <v>182</v>
      </c>
      <c r="F28" s="19" t="s">
        <v>1238</v>
      </c>
      <c r="G28" s="22" t="s">
        <v>208</v>
      </c>
      <c r="H28" s="23" t="str">
        <f t="shared" si="0"/>
        <v>,rat as rat</v>
      </c>
      <c r="I28" s="25"/>
      <c r="J28" s="25" t="s">
        <v>4</v>
      </c>
      <c r="K28" s="25" t="s">
        <v>209</v>
      </c>
      <c r="L28" s="25" t="s">
        <v>209</v>
      </c>
    </row>
    <row r="29" spans="2:12" s="1" customFormat="1" ht="52.8">
      <c r="B29" s="13" t="s">
        <v>1480</v>
      </c>
      <c r="C29" s="13" t="s">
        <v>211</v>
      </c>
      <c r="D29" s="9" t="s">
        <v>1481</v>
      </c>
      <c r="E29" s="21" t="s">
        <v>182</v>
      </c>
      <c r="F29" s="22" t="s">
        <v>1482</v>
      </c>
      <c r="G29" s="22" t="s">
        <v>1482</v>
      </c>
      <c r="H29" s="23" t="str">
        <f t="shared" si="0"/>
        <v>,sum(quarter_cnt) as all_total_quarter_cnt</v>
      </c>
      <c r="I29" s="25"/>
      <c r="J29" s="25" t="s">
        <v>284</v>
      </c>
      <c r="K29" s="25" t="s">
        <v>209</v>
      </c>
      <c r="L29" s="25" t="s">
        <v>1483</v>
      </c>
    </row>
    <row r="30" spans="2:12" s="1" customFormat="1" ht="105.6">
      <c r="B30" s="13" t="s">
        <v>1484</v>
      </c>
      <c r="C30" s="26" t="s">
        <v>211</v>
      </c>
      <c r="D30" s="9" t="s">
        <v>1485</v>
      </c>
      <c r="E30" s="21" t="s">
        <v>182</v>
      </c>
      <c r="F30" s="22" t="s">
        <v>1486</v>
      </c>
      <c r="G30" s="22" t="s">
        <v>1486</v>
      </c>
      <c r="H30" s="23" t="str">
        <f t="shared" si="0"/>
        <v>,sum(case when (hour &gt;= 9 and hour &lt;= 11) or (hour &gt;= 14 and hour &lt;= 17)  then quarter_cnt else 0 end) as day_quarter_cnt</v>
      </c>
      <c r="I30" s="25"/>
      <c r="J30" s="25" t="s">
        <v>284</v>
      </c>
      <c r="K30" s="25" t="s">
        <v>209</v>
      </c>
      <c r="L30" s="25" t="s">
        <v>1487</v>
      </c>
    </row>
    <row r="31" spans="2:12" s="1" customFormat="1" ht="118.8">
      <c r="B31" s="13" t="s">
        <v>1488</v>
      </c>
      <c r="C31" s="13" t="s">
        <v>211</v>
      </c>
      <c r="D31" s="9" t="s">
        <v>1489</v>
      </c>
      <c r="E31" s="21" t="s">
        <v>182</v>
      </c>
      <c r="F31" s="22" t="s">
        <v>1490</v>
      </c>
      <c r="G31" s="22" t="s">
        <v>1490</v>
      </c>
      <c r="H31" s="23" t="str">
        <f t="shared" si="0"/>
        <v>,sum(case when (hour &gt;= 0 and hour &lt;= 6) or (hour &gt;= 21 and hour &lt;= 23)  then quarter_cnt else 0 end) as night_quarter_cnt</v>
      </c>
      <c r="I31" s="25"/>
      <c r="J31" s="25" t="s">
        <v>284</v>
      </c>
      <c r="K31" s="25" t="s">
        <v>209</v>
      </c>
      <c r="L31" s="25" t="s">
        <v>1491</v>
      </c>
    </row>
    <row r="32" spans="2:12" s="1" customFormat="1" ht="52.8">
      <c r="B32" s="13" t="s">
        <v>1492</v>
      </c>
      <c r="C32" s="26" t="s">
        <v>211</v>
      </c>
      <c r="D32" s="9" t="s">
        <v>1493</v>
      </c>
      <c r="E32" s="21" t="s">
        <v>182</v>
      </c>
      <c r="F32" s="22" t="s">
        <v>657</v>
      </c>
      <c r="G32" s="22" t="s">
        <v>657</v>
      </c>
      <c r="H32" s="23" t="str">
        <f t="shared" si="0"/>
        <v>,sum(record_cnt) as all_day_record_cnt</v>
      </c>
      <c r="I32" s="25"/>
      <c r="J32" s="25" t="s">
        <v>284</v>
      </c>
      <c r="K32" s="25" t="s">
        <v>209</v>
      </c>
      <c r="L32" s="25" t="s">
        <v>485</v>
      </c>
    </row>
    <row r="33" spans="2:17" s="1" customFormat="1" ht="105.6">
      <c r="B33" s="13" t="s">
        <v>1494</v>
      </c>
      <c r="C33" s="26" t="s">
        <v>211</v>
      </c>
      <c r="D33" s="9" t="s">
        <v>1495</v>
      </c>
      <c r="E33" s="21" t="s">
        <v>182</v>
      </c>
      <c r="F33" s="22" t="s">
        <v>1496</v>
      </c>
      <c r="G33" s="22" t="s">
        <v>1496</v>
      </c>
      <c r="H33" s="23" t="str">
        <f t="shared" si="0"/>
        <v>,sum(case when (hour &gt;= 9 and hour &lt;= 11) or (hour &gt;= 14 and hour &lt;= 17)  then record_cnt else 0 end) as day_record_cnt</v>
      </c>
      <c r="I33" s="25"/>
      <c r="J33" s="25" t="s">
        <v>284</v>
      </c>
      <c r="K33" s="25" t="s">
        <v>209</v>
      </c>
      <c r="L33" s="25" t="s">
        <v>485</v>
      </c>
    </row>
    <row r="34" spans="2:17" s="1" customFormat="1" ht="118.8">
      <c r="B34" s="13" t="s">
        <v>1497</v>
      </c>
      <c r="C34" s="26" t="s">
        <v>211</v>
      </c>
      <c r="D34" s="9" t="s">
        <v>1498</v>
      </c>
      <c r="E34" s="21" t="s">
        <v>182</v>
      </c>
      <c r="F34" s="22" t="s">
        <v>1499</v>
      </c>
      <c r="G34" s="22" t="s">
        <v>1499</v>
      </c>
      <c r="H34" s="23" t="str">
        <f t="shared" si="0"/>
        <v>,sum(case when (hour &gt;= 0 and hour &lt;= 6) or (hour &gt;= 21 and hour &lt;= 23)  then record_cnt else 0 end) as night_record_cnt</v>
      </c>
      <c r="I34" s="25"/>
      <c r="J34" s="25" t="s">
        <v>284</v>
      </c>
      <c r="K34" s="25" t="s">
        <v>209</v>
      </c>
      <c r="L34" s="25" t="s">
        <v>485</v>
      </c>
    </row>
    <row r="35" spans="2:17" s="1" customFormat="1" ht="66">
      <c r="B35" s="13" t="s">
        <v>1500</v>
      </c>
      <c r="C35" s="26" t="s">
        <v>211</v>
      </c>
      <c r="D35" s="9" t="s">
        <v>1501</v>
      </c>
      <c r="E35" s="21" t="s">
        <v>182</v>
      </c>
      <c r="F35" s="22" t="s">
        <v>1502</v>
      </c>
      <c r="G35" s="22" t="s">
        <v>1502</v>
      </c>
      <c r="H35" s="23" t="str">
        <f t="shared" si="0"/>
        <v>,case when sum(quarter_cnt)&gt;=16 then 1 else 0 end as is_all_resident_d</v>
      </c>
      <c r="I35" s="25"/>
      <c r="J35" s="25" t="s">
        <v>284</v>
      </c>
      <c r="K35" s="25" t="s">
        <v>209</v>
      </c>
      <c r="L35" s="25" t="s">
        <v>272</v>
      </c>
    </row>
    <row r="36" spans="2:17" s="1" customFormat="1" ht="158.4">
      <c r="B36" s="13" t="s">
        <v>1503</v>
      </c>
      <c r="C36" s="26" t="s">
        <v>211</v>
      </c>
      <c r="D36" s="9" t="s">
        <v>1504</v>
      </c>
      <c r="E36" s="21" t="s">
        <v>182</v>
      </c>
      <c r="F36" s="22" t="s">
        <v>1505</v>
      </c>
      <c r="G36" s="22" t="s">
        <v>1505</v>
      </c>
      <c r="H36" s="23" t="str">
        <f t="shared" si="0"/>
        <v>,case when sum(case when (hour &gt;= 9 and hour &lt;= 11) or (hour &gt;= 14 and hour &lt;= 17)  then quarter_cnt else 0 end) &gt;= 6 then 1 else 0 end as is_day_resident_d</v>
      </c>
      <c r="I36" s="25"/>
      <c r="J36" s="25" t="s">
        <v>284</v>
      </c>
      <c r="K36" s="25" t="s">
        <v>209</v>
      </c>
      <c r="L36" s="25" t="s">
        <v>272</v>
      </c>
    </row>
    <row r="37" spans="2:17" s="1" customFormat="1" ht="158.4">
      <c r="B37" s="13" t="s">
        <v>1506</v>
      </c>
      <c r="C37" s="26" t="s">
        <v>211</v>
      </c>
      <c r="D37" s="9" t="s">
        <v>1507</v>
      </c>
      <c r="E37" s="21" t="s">
        <v>182</v>
      </c>
      <c r="F37" s="22" t="s">
        <v>1508</v>
      </c>
      <c r="G37" s="22" t="s">
        <v>1508</v>
      </c>
      <c r="H37" s="23" t="str">
        <f t="shared" si="0"/>
        <v>,case when sum(case when (hour &gt;= 0 and hour &lt;= 6) or (hour &gt;= 21 and hour &lt;= 23)  then quarter_cnt else 0 end) &gt;= 7 then 1 else 0 end as is_night_resident_d</v>
      </c>
      <c r="I37" s="25"/>
      <c r="J37" s="25" t="s">
        <v>284</v>
      </c>
      <c r="K37" s="25" t="s">
        <v>209</v>
      </c>
      <c r="L37" s="25" t="s">
        <v>272</v>
      </c>
    </row>
    <row r="38" spans="2:17" s="2" customFormat="1">
      <c r="B38" s="14" t="s">
        <v>222</v>
      </c>
      <c r="C38" s="15" t="s">
        <v>211</v>
      </c>
      <c r="D38" s="16" t="s">
        <v>344</v>
      </c>
      <c r="E38" s="24"/>
      <c r="F38" s="24"/>
      <c r="G38" s="14"/>
      <c r="H38" s="14"/>
      <c r="I38" s="14"/>
      <c r="J38" s="14"/>
      <c r="K38" s="14"/>
      <c r="L38" s="14"/>
      <c r="M38" s="14"/>
      <c r="N38" s="14"/>
      <c r="O38" s="14"/>
      <c r="P38" s="14"/>
      <c r="Q38" s="14"/>
    </row>
    <row r="39" spans="2:17" s="2" customFormat="1">
      <c r="B39" s="14" t="s">
        <v>0</v>
      </c>
      <c r="C39" s="15" t="s">
        <v>206</v>
      </c>
      <c r="D39" s="16" t="s">
        <v>345</v>
      </c>
      <c r="E39" s="24"/>
      <c r="F39" s="24"/>
      <c r="G39" s="14"/>
      <c r="H39" s="14"/>
      <c r="I39" s="14"/>
      <c r="J39" s="14"/>
      <c r="K39" s="14"/>
      <c r="L39" s="14"/>
      <c r="M39" s="14"/>
      <c r="N39" s="14"/>
      <c r="O39" s="14"/>
      <c r="P39" s="14"/>
      <c r="Q39" s="14"/>
    </row>
  </sheetData>
  <autoFilter ref="A13:Q39" xr:uid="{00000000-0009-0000-0000-000014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39"/>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11" t="s">
        <v>172</v>
      </c>
      <c r="G4" s="7" t="s">
        <v>43</v>
      </c>
      <c r="H4" s="7" t="s">
        <v>173</v>
      </c>
    </row>
    <row r="5" spans="2:14" ht="24">
      <c r="B5" s="8" t="s">
        <v>121</v>
      </c>
      <c r="C5" s="9" t="s">
        <v>2434</v>
      </c>
      <c r="D5" s="10" t="s">
        <v>129</v>
      </c>
      <c r="E5" s="12" t="s">
        <v>205</v>
      </c>
      <c r="F5" s="17"/>
      <c r="G5" s="71" t="s">
        <v>1509</v>
      </c>
      <c r="H5" s="12"/>
      <c r="I5" s="72" t="s">
        <v>130</v>
      </c>
      <c r="N5" s="3"/>
    </row>
    <row r="6" spans="2:14">
      <c r="B6" s="6"/>
      <c r="C6" s="6"/>
      <c r="D6" s="6"/>
      <c r="E6" s="6"/>
      <c r="F6" s="18"/>
      <c r="G6" s="6"/>
      <c r="H6" s="6"/>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125</v>
      </c>
      <c r="D9" s="10" t="s">
        <v>126</v>
      </c>
      <c r="E9" s="12" t="s">
        <v>182</v>
      </c>
      <c r="F9" s="19"/>
      <c r="G9" s="71" t="s">
        <v>1510</v>
      </c>
      <c r="H9" s="20" t="s">
        <v>63</v>
      </c>
    </row>
    <row r="10" spans="2:14">
      <c r="G10" s="62"/>
    </row>
    <row r="11" spans="2:14">
      <c r="B11" s="3" t="s">
        <v>194</v>
      </c>
    </row>
    <row r="12" spans="2:14">
      <c r="B12" s="181" t="s">
        <v>194</v>
      </c>
      <c r="C12" s="181"/>
      <c r="D12" s="181"/>
      <c r="E12" s="181"/>
      <c r="F12" s="181"/>
      <c r="G12" s="181"/>
      <c r="H12" s="181"/>
      <c r="I12" s="181"/>
      <c r="J12" s="181"/>
      <c r="K12" s="181"/>
      <c r="L12" s="181"/>
    </row>
    <row r="13" spans="2:14">
      <c r="B13" s="7" t="s">
        <v>195</v>
      </c>
      <c r="C13" s="7" t="s">
        <v>196</v>
      </c>
      <c r="D13" s="7" t="s">
        <v>197</v>
      </c>
      <c r="E13" s="7" t="s">
        <v>198</v>
      </c>
      <c r="F13" s="11" t="s">
        <v>199</v>
      </c>
      <c r="G13" s="7" t="s">
        <v>200</v>
      </c>
      <c r="H13" s="7" t="s">
        <v>201</v>
      </c>
      <c r="I13" s="7" t="s">
        <v>53</v>
      </c>
      <c r="J13" s="7" t="s">
        <v>202</v>
      </c>
      <c r="K13" s="7" t="s">
        <v>203</v>
      </c>
      <c r="L13" s="7" t="s">
        <v>204</v>
      </c>
    </row>
    <row r="14" spans="2:14" s="1" customFormat="1">
      <c r="B14" s="13" t="s">
        <v>205</v>
      </c>
      <c r="C14" s="13" t="s">
        <v>206</v>
      </c>
      <c r="D14" s="9" t="s">
        <v>207</v>
      </c>
      <c r="E14" s="21" t="s">
        <v>182</v>
      </c>
      <c r="F14" s="19" t="s">
        <v>0</v>
      </c>
      <c r="G14" s="22" t="s">
        <v>208</v>
      </c>
      <c r="H14" s="23" t="str">
        <f>_xlfn.CONCAT(",",F14," as ",B14)</f>
        <v>,p_date as day</v>
      </c>
      <c r="I14" s="25" t="s">
        <v>1511</v>
      </c>
      <c r="J14" s="25" t="s">
        <v>4</v>
      </c>
      <c r="K14" s="25" t="s">
        <v>209</v>
      </c>
      <c r="L14" s="25" t="s">
        <v>209</v>
      </c>
    </row>
    <row r="15" spans="2:14" s="1" customFormat="1" ht="26.4">
      <c r="B15" s="13" t="s">
        <v>220</v>
      </c>
      <c r="C15" s="13" t="s">
        <v>211</v>
      </c>
      <c r="D15" s="9" t="s">
        <v>221</v>
      </c>
      <c r="E15" s="21" t="s">
        <v>182</v>
      </c>
      <c r="F15" s="19" t="s">
        <v>222</v>
      </c>
      <c r="G15" s="22" t="s">
        <v>208</v>
      </c>
      <c r="H15" s="23" t="str">
        <f t="shared" ref="H15:H37" si="0">_xlfn.CONCAT(",",F15," as ",B15)</f>
        <v>,p_provincecode as provincecode</v>
      </c>
      <c r="I15" s="25" t="s">
        <v>351</v>
      </c>
      <c r="J15" s="25" t="s">
        <v>4</v>
      </c>
      <c r="K15" s="25" t="s">
        <v>209</v>
      </c>
      <c r="L15" s="25" t="s">
        <v>209</v>
      </c>
    </row>
    <row r="16" spans="2:14" s="1" customFormat="1" ht="26.4">
      <c r="B16" s="13" t="s">
        <v>230</v>
      </c>
      <c r="C16" s="13" t="s">
        <v>206</v>
      </c>
      <c r="D16" s="9" t="s">
        <v>231</v>
      </c>
      <c r="E16" s="21" t="s">
        <v>182</v>
      </c>
      <c r="F16" s="19" t="s">
        <v>230</v>
      </c>
      <c r="G16" s="22" t="s">
        <v>208</v>
      </c>
      <c r="H16" s="23" t="str">
        <f t="shared" si="0"/>
        <v>,province as province</v>
      </c>
      <c r="I16" s="25" t="s">
        <v>1512</v>
      </c>
      <c r="J16" s="25" t="s">
        <v>4</v>
      </c>
      <c r="K16" s="25" t="s">
        <v>209</v>
      </c>
      <c r="L16" s="25" t="s">
        <v>209</v>
      </c>
    </row>
    <row r="17" spans="2:12" s="1" customFormat="1" ht="26.4">
      <c r="B17" s="13" t="s">
        <v>224</v>
      </c>
      <c r="C17" s="13" t="s">
        <v>211</v>
      </c>
      <c r="D17" s="9" t="s">
        <v>1466</v>
      </c>
      <c r="E17" s="21" t="s">
        <v>182</v>
      </c>
      <c r="F17" s="19" t="s">
        <v>224</v>
      </c>
      <c r="G17" s="22" t="s">
        <v>208</v>
      </c>
      <c r="H17" s="23" t="str">
        <f t="shared" si="0"/>
        <v>,citycode as citycode</v>
      </c>
      <c r="I17" s="25" t="s">
        <v>352</v>
      </c>
      <c r="J17" s="25" t="s">
        <v>4</v>
      </c>
      <c r="K17" s="25" t="s">
        <v>209</v>
      </c>
      <c r="L17" s="25" t="s">
        <v>209</v>
      </c>
    </row>
    <row r="18" spans="2:12" s="1" customFormat="1">
      <c r="B18" s="13" t="s">
        <v>233</v>
      </c>
      <c r="C18" s="13" t="s">
        <v>206</v>
      </c>
      <c r="D18" s="9" t="s">
        <v>234</v>
      </c>
      <c r="E18" s="21" t="s">
        <v>182</v>
      </c>
      <c r="F18" s="19" t="s">
        <v>233</v>
      </c>
      <c r="G18" s="22" t="s">
        <v>208</v>
      </c>
      <c r="H18" s="23" t="str">
        <f t="shared" si="0"/>
        <v>,city as city</v>
      </c>
      <c r="I18" s="25" t="s">
        <v>355</v>
      </c>
      <c r="J18" s="25" t="s">
        <v>4</v>
      </c>
      <c r="K18" s="25" t="s">
        <v>209</v>
      </c>
      <c r="L18" s="25" t="s">
        <v>209</v>
      </c>
    </row>
    <row r="19" spans="2:12" s="1" customFormat="1" ht="26.4">
      <c r="B19" s="13" t="s">
        <v>228</v>
      </c>
      <c r="C19" s="13" t="s">
        <v>211</v>
      </c>
      <c r="D19" s="9" t="s">
        <v>445</v>
      </c>
      <c r="E19" s="21" t="s">
        <v>182</v>
      </c>
      <c r="F19" s="19" t="s">
        <v>228</v>
      </c>
      <c r="G19" s="22" t="s">
        <v>208</v>
      </c>
      <c r="H19" s="23" t="str">
        <f t="shared" si="0"/>
        <v>,districtcode as districtcode</v>
      </c>
      <c r="I19" s="25" t="s">
        <v>353</v>
      </c>
      <c r="J19" s="25" t="s">
        <v>4</v>
      </c>
      <c r="K19" s="25" t="s">
        <v>209</v>
      </c>
      <c r="L19" s="25" t="s">
        <v>209</v>
      </c>
    </row>
    <row r="20" spans="2:12" s="1" customFormat="1" ht="26.4">
      <c r="B20" s="13" t="s">
        <v>236</v>
      </c>
      <c r="C20" s="13" t="s">
        <v>206</v>
      </c>
      <c r="D20" s="9" t="s">
        <v>237</v>
      </c>
      <c r="E20" s="21" t="s">
        <v>182</v>
      </c>
      <c r="F20" s="19" t="s">
        <v>236</v>
      </c>
      <c r="G20" s="22" t="s">
        <v>208</v>
      </c>
      <c r="H20" s="23" t="str">
        <f t="shared" si="0"/>
        <v>,district as district</v>
      </c>
      <c r="I20" s="25" t="s">
        <v>356</v>
      </c>
      <c r="J20" s="25" t="s">
        <v>4</v>
      </c>
      <c r="K20" s="25" t="s">
        <v>209</v>
      </c>
      <c r="L20" s="25" t="s">
        <v>209</v>
      </c>
    </row>
    <row r="21" spans="2:12" s="1" customFormat="1">
      <c r="B21" s="13" t="s">
        <v>450</v>
      </c>
      <c r="C21" s="13" t="s">
        <v>211</v>
      </c>
      <c r="D21" s="9" t="s">
        <v>451</v>
      </c>
      <c r="E21" s="21" t="s">
        <v>182</v>
      </c>
      <c r="F21" s="19" t="s">
        <v>450</v>
      </c>
      <c r="G21" s="22" t="s">
        <v>208</v>
      </c>
      <c r="H21" s="23" t="str">
        <f t="shared" si="0"/>
        <v>,gnbid as gnbid</v>
      </c>
      <c r="I21" s="25" t="s">
        <v>453</v>
      </c>
      <c r="J21" s="25" t="s">
        <v>4</v>
      </c>
      <c r="K21" s="25" t="s">
        <v>209</v>
      </c>
      <c r="L21" s="25" t="s">
        <v>209</v>
      </c>
    </row>
    <row r="22" spans="2:12" s="1" customFormat="1" ht="26.4">
      <c r="B22" s="13" t="s">
        <v>1469</v>
      </c>
      <c r="C22" s="13" t="s">
        <v>206</v>
      </c>
      <c r="D22" s="9" t="s">
        <v>1470</v>
      </c>
      <c r="E22" s="21" t="s">
        <v>182</v>
      </c>
      <c r="F22" s="19" t="s">
        <v>1469</v>
      </c>
      <c r="G22" s="22" t="s">
        <v>208</v>
      </c>
      <c r="H22" s="23" t="str">
        <f t="shared" si="0"/>
        <v>,gnbname as gnbname</v>
      </c>
      <c r="I22" s="25" t="s">
        <v>1513</v>
      </c>
      <c r="J22" s="25" t="s">
        <v>4</v>
      </c>
      <c r="K22" s="25" t="s">
        <v>209</v>
      </c>
      <c r="L22" s="25" t="s">
        <v>209</v>
      </c>
    </row>
    <row r="23" spans="2:12" s="1" customFormat="1">
      <c r="B23" s="13" t="s">
        <v>454</v>
      </c>
      <c r="C23" s="13" t="s">
        <v>211</v>
      </c>
      <c r="D23" s="9" t="s">
        <v>455</v>
      </c>
      <c r="E23" s="21" t="s">
        <v>182</v>
      </c>
      <c r="F23" s="19" t="s">
        <v>454</v>
      </c>
      <c r="G23" s="22" t="s">
        <v>208</v>
      </c>
      <c r="H23" s="23" t="str">
        <f t="shared" si="0"/>
        <v>,cellid as cellid</v>
      </c>
      <c r="I23" s="25" t="s">
        <v>457</v>
      </c>
      <c r="J23" s="25" t="s">
        <v>4</v>
      </c>
      <c r="K23" s="25" t="s">
        <v>209</v>
      </c>
      <c r="L23" s="25" t="s">
        <v>209</v>
      </c>
    </row>
    <row r="24" spans="2:12" s="1" customFormat="1" ht="26.4">
      <c r="B24" s="13" t="s">
        <v>239</v>
      </c>
      <c r="C24" s="13" t="s">
        <v>206</v>
      </c>
      <c r="D24" s="9" t="s">
        <v>1471</v>
      </c>
      <c r="E24" s="21" t="s">
        <v>182</v>
      </c>
      <c r="F24" s="19" t="s">
        <v>239</v>
      </c>
      <c r="G24" s="22" t="s">
        <v>208</v>
      </c>
      <c r="H24" s="23" t="str">
        <f t="shared" si="0"/>
        <v>,cellname as cellname</v>
      </c>
      <c r="I24" s="25" t="s">
        <v>1514</v>
      </c>
      <c r="J24" s="25" t="s">
        <v>4</v>
      </c>
      <c r="K24" s="25" t="s">
        <v>209</v>
      </c>
      <c r="L24" s="25" t="s">
        <v>209</v>
      </c>
    </row>
    <row r="25" spans="2:12" s="1" customFormat="1">
      <c r="B25" s="13" t="s">
        <v>249</v>
      </c>
      <c r="C25" s="13" t="s">
        <v>206</v>
      </c>
      <c r="D25" s="9" t="s">
        <v>1235</v>
      </c>
      <c r="E25" s="21" t="s">
        <v>182</v>
      </c>
      <c r="F25" s="19" t="s">
        <v>249</v>
      </c>
      <c r="G25" s="22" t="s">
        <v>208</v>
      </c>
      <c r="H25" s="23" t="str">
        <f t="shared" si="0"/>
        <v>,supi as supi</v>
      </c>
      <c r="I25" s="25" t="s">
        <v>358</v>
      </c>
      <c r="J25" s="25" t="s">
        <v>4</v>
      </c>
      <c r="K25" s="25" t="s">
        <v>209</v>
      </c>
      <c r="L25" s="25" t="s">
        <v>209</v>
      </c>
    </row>
    <row r="26" spans="2:12" s="1" customFormat="1">
      <c r="B26" s="13" t="s">
        <v>254</v>
      </c>
      <c r="C26" s="13" t="s">
        <v>206</v>
      </c>
      <c r="D26" s="9" t="s">
        <v>1236</v>
      </c>
      <c r="E26" s="21" t="s">
        <v>182</v>
      </c>
      <c r="F26" s="19" t="s">
        <v>254</v>
      </c>
      <c r="G26" s="22" t="s">
        <v>208</v>
      </c>
      <c r="H26" s="23" t="str">
        <f t="shared" si="0"/>
        <v>,pei as pei</v>
      </c>
      <c r="I26" s="25" t="s">
        <v>360</v>
      </c>
      <c r="J26" s="25" t="s">
        <v>4</v>
      </c>
      <c r="K26" s="25" t="s">
        <v>209</v>
      </c>
      <c r="L26" s="25" t="s">
        <v>209</v>
      </c>
    </row>
    <row r="27" spans="2:12" s="1" customFormat="1" ht="26.4">
      <c r="B27" s="13" t="s">
        <v>251</v>
      </c>
      <c r="C27" s="13" t="s">
        <v>206</v>
      </c>
      <c r="D27" s="9" t="s">
        <v>1472</v>
      </c>
      <c r="E27" s="21" t="s">
        <v>182</v>
      </c>
      <c r="F27" s="19" t="s">
        <v>251</v>
      </c>
      <c r="G27" s="22" t="s">
        <v>208</v>
      </c>
      <c r="H27" s="23" t="str">
        <f t="shared" si="0"/>
        <v>,msisdn as msisdn</v>
      </c>
      <c r="I27" s="25" t="s">
        <v>359</v>
      </c>
      <c r="J27" s="25" t="s">
        <v>4</v>
      </c>
      <c r="K27" s="25" t="s">
        <v>209</v>
      </c>
      <c r="L27" s="25" t="s">
        <v>209</v>
      </c>
    </row>
    <row r="28" spans="2:12" s="1" customFormat="1">
      <c r="B28" s="13" t="s">
        <v>1238</v>
      </c>
      <c r="C28" s="13" t="s">
        <v>1473</v>
      </c>
      <c r="D28" s="9" t="s">
        <v>1474</v>
      </c>
      <c r="E28" s="21" t="s">
        <v>182</v>
      </c>
      <c r="F28" s="19" t="s">
        <v>1238</v>
      </c>
      <c r="G28" s="22" t="s">
        <v>208</v>
      </c>
      <c r="H28" s="23" t="str">
        <f t="shared" si="0"/>
        <v>,rat as rat</v>
      </c>
      <c r="I28" s="25" t="s">
        <v>1515</v>
      </c>
      <c r="J28" s="25" t="s">
        <v>4</v>
      </c>
      <c r="K28" s="25" t="s">
        <v>209</v>
      </c>
      <c r="L28" s="25" t="s">
        <v>209</v>
      </c>
    </row>
    <row r="29" spans="2:12" s="1" customFormat="1" ht="52.8">
      <c r="B29" s="13" t="s">
        <v>1480</v>
      </c>
      <c r="C29" s="13" t="s">
        <v>211</v>
      </c>
      <c r="D29" s="9" t="s">
        <v>1516</v>
      </c>
      <c r="E29" s="21" t="s">
        <v>182</v>
      </c>
      <c r="F29" s="22" t="s">
        <v>1517</v>
      </c>
      <c r="G29" s="22" t="s">
        <v>1517</v>
      </c>
      <c r="H29" s="23" t="str">
        <f t="shared" si="0"/>
        <v>,sum(all_total_quarter_cnt) as all_total_quarter_cnt</v>
      </c>
      <c r="I29" s="25" t="s">
        <v>1518</v>
      </c>
      <c r="J29" s="25" t="s">
        <v>284</v>
      </c>
      <c r="K29" s="25" t="s">
        <v>209</v>
      </c>
      <c r="L29" s="25" t="s">
        <v>1483</v>
      </c>
    </row>
    <row r="30" spans="2:12" s="1" customFormat="1" ht="39.6">
      <c r="B30" s="13" t="s">
        <v>1484</v>
      </c>
      <c r="C30" s="26" t="s">
        <v>211</v>
      </c>
      <c r="D30" s="9" t="s">
        <v>1519</v>
      </c>
      <c r="E30" s="21" t="s">
        <v>182</v>
      </c>
      <c r="F30" s="22" t="s">
        <v>1520</v>
      </c>
      <c r="G30" s="22" t="s">
        <v>1520</v>
      </c>
      <c r="H30" s="23" t="str">
        <f t="shared" si="0"/>
        <v>,sum(day_quarter_cnt) as day_quarter_cnt</v>
      </c>
      <c r="I30" s="25" t="s">
        <v>1521</v>
      </c>
      <c r="J30" s="25" t="s">
        <v>284</v>
      </c>
      <c r="K30" s="25" t="s">
        <v>209</v>
      </c>
      <c r="L30" s="25" t="s">
        <v>1522</v>
      </c>
    </row>
    <row r="31" spans="2:12" s="1" customFormat="1" ht="52.8">
      <c r="B31" s="13" t="s">
        <v>1488</v>
      </c>
      <c r="C31" s="13" t="s">
        <v>211</v>
      </c>
      <c r="D31" s="9" t="s">
        <v>1523</v>
      </c>
      <c r="E31" s="21" t="s">
        <v>182</v>
      </c>
      <c r="F31" s="22" t="s">
        <v>1524</v>
      </c>
      <c r="G31" s="22" t="s">
        <v>1524</v>
      </c>
      <c r="H31" s="23" t="str">
        <f t="shared" si="0"/>
        <v>,sum(night_quarter_cnt) as night_quarter_cnt</v>
      </c>
      <c r="I31" s="25" t="s">
        <v>1525</v>
      </c>
      <c r="J31" s="25" t="s">
        <v>284</v>
      </c>
      <c r="K31" s="25" t="s">
        <v>209</v>
      </c>
      <c r="L31" s="25" t="s">
        <v>1526</v>
      </c>
    </row>
    <row r="32" spans="2:12" s="1" customFormat="1" ht="39.6">
      <c r="B32" s="13" t="s">
        <v>1527</v>
      </c>
      <c r="C32" s="26" t="s">
        <v>211</v>
      </c>
      <c r="D32" s="9" t="s">
        <v>1528</v>
      </c>
      <c r="E32" s="21" t="s">
        <v>182</v>
      </c>
      <c r="F32" s="22" t="s">
        <v>1529</v>
      </c>
      <c r="G32" s="22" t="s">
        <v>1529</v>
      </c>
      <c r="H32" s="23" t="str">
        <f t="shared" si="0"/>
        <v>,sum(all_day_record_cnt) as all_day_n1n2_cnt</v>
      </c>
      <c r="I32" s="25" t="s">
        <v>1530</v>
      </c>
      <c r="J32" s="25" t="s">
        <v>284</v>
      </c>
      <c r="K32" s="25" t="s">
        <v>209</v>
      </c>
      <c r="L32" s="25" t="s">
        <v>485</v>
      </c>
    </row>
    <row r="33" spans="2:17" s="1" customFormat="1" ht="39.6">
      <c r="B33" s="13" t="s">
        <v>1531</v>
      </c>
      <c r="C33" s="26" t="s">
        <v>211</v>
      </c>
      <c r="D33" s="9" t="s">
        <v>1532</v>
      </c>
      <c r="E33" s="21" t="s">
        <v>182</v>
      </c>
      <c r="F33" s="22" t="s">
        <v>1533</v>
      </c>
      <c r="G33" s="22" t="s">
        <v>1533</v>
      </c>
      <c r="H33" s="23" t="str">
        <f t="shared" si="0"/>
        <v>,sum(day_record_cnt) as day_n1n2_cnt</v>
      </c>
      <c r="I33" s="25" t="s">
        <v>1534</v>
      </c>
      <c r="J33" s="25" t="s">
        <v>284</v>
      </c>
      <c r="K33" s="25" t="s">
        <v>209</v>
      </c>
      <c r="L33" s="25" t="s">
        <v>485</v>
      </c>
    </row>
    <row r="34" spans="2:17" s="1" customFormat="1" ht="39.6">
      <c r="B34" s="13" t="s">
        <v>1535</v>
      </c>
      <c r="C34" s="26" t="s">
        <v>211</v>
      </c>
      <c r="D34" s="9" t="s">
        <v>1536</v>
      </c>
      <c r="E34" s="21" t="s">
        <v>182</v>
      </c>
      <c r="F34" s="22" t="s">
        <v>1537</v>
      </c>
      <c r="G34" s="22" t="s">
        <v>1537</v>
      </c>
      <c r="H34" s="23" t="str">
        <f t="shared" si="0"/>
        <v>,sum(night_record_cnt) as night_n1n2_cnt</v>
      </c>
      <c r="I34" s="25" t="s">
        <v>1538</v>
      </c>
      <c r="J34" s="25" t="s">
        <v>284</v>
      </c>
      <c r="K34" s="25" t="s">
        <v>209</v>
      </c>
      <c r="L34" s="25" t="s">
        <v>485</v>
      </c>
    </row>
    <row r="35" spans="2:17" s="1" customFormat="1" ht="66">
      <c r="B35" s="13" t="s">
        <v>2433</v>
      </c>
      <c r="C35" s="26" t="s">
        <v>211</v>
      </c>
      <c r="D35" s="9" t="s">
        <v>1539</v>
      </c>
      <c r="E35" s="21" t="s">
        <v>182</v>
      </c>
      <c r="F35" s="22" t="s">
        <v>1540</v>
      </c>
      <c r="G35" s="22" t="s">
        <v>1540</v>
      </c>
      <c r="H35" s="23" t="str">
        <f t="shared" si="0"/>
        <v>,case when sum(is_all_resident_d) &gt;= 4 then 1 else 0 end as is_all_resident_w</v>
      </c>
      <c r="I35" s="25" t="s">
        <v>1541</v>
      </c>
      <c r="J35" s="25" t="s">
        <v>284</v>
      </c>
      <c r="K35" s="25" t="s">
        <v>209</v>
      </c>
      <c r="L35" s="25" t="s">
        <v>272</v>
      </c>
    </row>
    <row r="36" spans="2:17" s="1" customFormat="1" ht="79.2">
      <c r="B36" s="13" t="s">
        <v>2435</v>
      </c>
      <c r="C36" s="26" t="s">
        <v>211</v>
      </c>
      <c r="D36" s="9" t="s">
        <v>1542</v>
      </c>
      <c r="E36" s="21" t="s">
        <v>182</v>
      </c>
      <c r="F36" s="22" t="s">
        <v>1543</v>
      </c>
      <c r="G36" s="22" t="s">
        <v>1543</v>
      </c>
      <c r="H36" s="23" t="str">
        <f t="shared" si="0"/>
        <v>,case when sum(is_day_resident_d) &gt;= 4 then 1 else 0 end as is_day_resident_w</v>
      </c>
      <c r="I36" s="25" t="s">
        <v>1544</v>
      </c>
      <c r="J36" s="25" t="s">
        <v>284</v>
      </c>
      <c r="K36" s="25" t="s">
        <v>209</v>
      </c>
      <c r="L36" s="25" t="s">
        <v>272</v>
      </c>
    </row>
    <row r="37" spans="2:17" s="1" customFormat="1" ht="92.4">
      <c r="B37" s="13" t="s">
        <v>2436</v>
      </c>
      <c r="C37" s="26" t="s">
        <v>211</v>
      </c>
      <c r="D37" s="9" t="s">
        <v>1545</v>
      </c>
      <c r="E37" s="21" t="s">
        <v>182</v>
      </c>
      <c r="F37" s="22" t="s">
        <v>1546</v>
      </c>
      <c r="G37" s="22" t="s">
        <v>1546</v>
      </c>
      <c r="H37" s="23" t="str">
        <f t="shared" si="0"/>
        <v>,case when sum(is_night_resident_d) &gt;= 4 then 1 else 0 end as is_night_resident_w</v>
      </c>
      <c r="I37" s="25" t="s">
        <v>1547</v>
      </c>
      <c r="J37" s="25" t="s">
        <v>284</v>
      </c>
      <c r="K37" s="25" t="s">
        <v>209</v>
      </c>
      <c r="L37" s="25" t="s">
        <v>272</v>
      </c>
    </row>
    <row r="38" spans="2:17" s="2" customFormat="1">
      <c r="B38" s="14" t="s">
        <v>222</v>
      </c>
      <c r="C38" s="15" t="s">
        <v>211</v>
      </c>
      <c r="D38" s="16" t="s">
        <v>344</v>
      </c>
      <c r="E38" s="24"/>
      <c r="F38" s="24"/>
      <c r="G38" s="14"/>
      <c r="H38" s="14"/>
      <c r="I38" s="14"/>
      <c r="J38" s="14"/>
      <c r="K38" s="14"/>
      <c r="L38" s="14"/>
      <c r="M38" s="14"/>
      <c r="N38" s="14"/>
      <c r="O38" s="14"/>
      <c r="P38" s="14"/>
      <c r="Q38" s="14"/>
    </row>
    <row r="39" spans="2:17" s="2" customFormat="1">
      <c r="B39" s="14" t="s">
        <v>0</v>
      </c>
      <c r="C39" s="15" t="s">
        <v>206</v>
      </c>
      <c r="D39" s="16" t="s">
        <v>345</v>
      </c>
      <c r="E39" s="24"/>
      <c r="F39" s="24"/>
      <c r="G39" s="14"/>
      <c r="H39" s="14"/>
      <c r="I39" s="14"/>
      <c r="J39" s="14"/>
      <c r="K39" s="14"/>
      <c r="L39" s="14"/>
      <c r="M39" s="14"/>
      <c r="N39" s="14"/>
      <c r="O39" s="14"/>
      <c r="P39" s="14"/>
      <c r="Q39" s="14"/>
    </row>
  </sheetData>
  <autoFilter ref="A13:Q39" xr:uid="{00000000-0009-0000-0000-000015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50"/>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36.109375" style="3" customWidth="1"/>
    <col min="3" max="3" width="32"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11" t="s">
        <v>172</v>
      </c>
      <c r="G4" s="7" t="s">
        <v>43</v>
      </c>
      <c r="H4" s="7" t="s">
        <v>173</v>
      </c>
    </row>
    <row r="5" spans="2:14">
      <c r="B5" s="8" t="s">
        <v>105</v>
      </c>
      <c r="C5" s="9" t="s">
        <v>2437</v>
      </c>
      <c r="D5" s="10" t="s">
        <v>132</v>
      </c>
      <c r="E5" s="12" t="s">
        <v>20</v>
      </c>
      <c r="F5" s="17"/>
      <c r="G5" s="12"/>
      <c r="H5" s="12"/>
      <c r="N5" s="3"/>
    </row>
    <row r="6" spans="2:14">
      <c r="B6" s="6"/>
      <c r="C6" s="6"/>
      <c r="D6" s="6"/>
      <c r="E6" s="6"/>
      <c r="F6" s="18"/>
      <c r="G6" s="6"/>
      <c r="H6" s="6"/>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ht="26.4">
      <c r="B9" s="12"/>
      <c r="C9" s="9" t="s">
        <v>2438</v>
      </c>
      <c r="D9" s="10" t="s">
        <v>1441</v>
      </c>
      <c r="E9" s="12" t="s">
        <v>182</v>
      </c>
      <c r="F9" s="22"/>
      <c r="G9" s="22" t="s">
        <v>2465</v>
      </c>
      <c r="H9" s="20" t="s">
        <v>63</v>
      </c>
    </row>
    <row r="10" spans="2:14">
      <c r="G10" s="62"/>
    </row>
    <row r="11" spans="2:14">
      <c r="B11" s="3" t="s">
        <v>194</v>
      </c>
    </row>
    <row r="12" spans="2:14">
      <c r="B12" s="181" t="s">
        <v>194</v>
      </c>
      <c r="C12" s="181"/>
      <c r="D12" s="181"/>
      <c r="E12" s="181"/>
      <c r="F12" s="181"/>
      <c r="G12" s="181"/>
      <c r="H12" s="181"/>
      <c r="I12" s="181"/>
      <c r="J12" s="181"/>
      <c r="K12" s="181"/>
      <c r="L12" s="181"/>
    </row>
    <row r="13" spans="2:14">
      <c r="B13" s="7" t="s">
        <v>195</v>
      </c>
      <c r="C13" s="7" t="s">
        <v>196</v>
      </c>
      <c r="D13" s="7" t="s">
        <v>197</v>
      </c>
      <c r="E13" s="7" t="s">
        <v>198</v>
      </c>
      <c r="F13" s="11" t="s">
        <v>199</v>
      </c>
      <c r="G13" s="7" t="s">
        <v>200</v>
      </c>
      <c r="H13" s="7" t="s">
        <v>201</v>
      </c>
      <c r="I13" s="7" t="s">
        <v>53</v>
      </c>
      <c r="J13" s="7" t="s">
        <v>202</v>
      </c>
      <c r="K13" s="7" t="s">
        <v>203</v>
      </c>
      <c r="L13" s="7" t="s">
        <v>204</v>
      </c>
    </row>
    <row r="14" spans="2:14" s="1" customFormat="1">
      <c r="B14" s="13" t="s">
        <v>205</v>
      </c>
      <c r="C14" s="13" t="s">
        <v>206</v>
      </c>
      <c r="D14" s="9" t="s">
        <v>207</v>
      </c>
      <c r="E14" s="21" t="s">
        <v>182</v>
      </c>
      <c r="F14" s="19" t="s">
        <v>0</v>
      </c>
      <c r="G14" s="22" t="s">
        <v>208</v>
      </c>
      <c r="H14" s="23"/>
      <c r="I14" s="25"/>
      <c r="J14" s="25" t="s">
        <v>4</v>
      </c>
      <c r="K14" s="25" t="s">
        <v>209</v>
      </c>
      <c r="L14" s="25" t="s">
        <v>209</v>
      </c>
    </row>
    <row r="15" spans="2:14" s="1" customFormat="1">
      <c r="B15" s="13" t="s">
        <v>20</v>
      </c>
      <c r="C15" s="13" t="s">
        <v>211</v>
      </c>
      <c r="D15" s="9" t="s">
        <v>73</v>
      </c>
      <c r="E15" s="21" t="s">
        <v>182</v>
      </c>
      <c r="F15" s="19" t="s">
        <v>1</v>
      </c>
      <c r="G15" s="22" t="s">
        <v>208</v>
      </c>
      <c r="H15" s="23"/>
      <c r="I15" s="25"/>
      <c r="J15" s="25" t="s">
        <v>4</v>
      </c>
      <c r="K15" s="25" t="s">
        <v>209</v>
      </c>
      <c r="L15" s="25" t="s">
        <v>209</v>
      </c>
    </row>
    <row r="16" spans="2:14" s="1" customFormat="1">
      <c r="B16" s="13" t="s">
        <v>224</v>
      </c>
      <c r="C16" s="13" t="s">
        <v>211</v>
      </c>
      <c r="D16" s="9" t="s">
        <v>444</v>
      </c>
      <c r="E16" s="21" t="s">
        <v>182</v>
      </c>
      <c r="F16" s="19" t="s">
        <v>224</v>
      </c>
      <c r="G16" s="22" t="s">
        <v>208</v>
      </c>
      <c r="H16" s="23"/>
      <c r="I16" s="25"/>
      <c r="J16" s="25" t="s">
        <v>4</v>
      </c>
      <c r="K16" s="25" t="s">
        <v>209</v>
      </c>
      <c r="L16" s="25" t="s">
        <v>209</v>
      </c>
    </row>
    <row r="17" spans="2:12" s="1" customFormat="1">
      <c r="B17" s="13" t="s">
        <v>233</v>
      </c>
      <c r="C17" s="13" t="s">
        <v>206</v>
      </c>
      <c r="D17" s="9" t="s">
        <v>446</v>
      </c>
      <c r="E17" s="21" t="s">
        <v>182</v>
      </c>
      <c r="F17" s="19" t="s">
        <v>233</v>
      </c>
      <c r="G17" s="22" t="s">
        <v>208</v>
      </c>
      <c r="H17" s="23"/>
      <c r="I17" s="25"/>
      <c r="J17" s="25" t="s">
        <v>4</v>
      </c>
      <c r="K17" s="25" t="s">
        <v>209</v>
      </c>
      <c r="L17" s="25" t="s">
        <v>209</v>
      </c>
    </row>
    <row r="18" spans="2:12" s="1" customFormat="1">
      <c r="B18" s="13" t="s">
        <v>228</v>
      </c>
      <c r="C18" s="13" t="s">
        <v>211</v>
      </c>
      <c r="D18" s="9" t="s">
        <v>445</v>
      </c>
      <c r="E18" s="21" t="s">
        <v>182</v>
      </c>
      <c r="F18" s="19" t="s">
        <v>228</v>
      </c>
      <c r="G18" s="22" t="s">
        <v>208</v>
      </c>
      <c r="H18" s="23"/>
      <c r="I18" s="25"/>
      <c r="J18" s="25" t="s">
        <v>4</v>
      </c>
      <c r="K18" s="25" t="s">
        <v>209</v>
      </c>
      <c r="L18" s="25" t="s">
        <v>209</v>
      </c>
    </row>
    <row r="19" spans="2:12" s="1" customFormat="1">
      <c r="B19" s="13" t="s">
        <v>236</v>
      </c>
      <c r="C19" s="13" t="s">
        <v>206</v>
      </c>
      <c r="D19" s="9" t="s">
        <v>237</v>
      </c>
      <c r="E19" s="21" t="s">
        <v>182</v>
      </c>
      <c r="F19" s="19" t="s">
        <v>236</v>
      </c>
      <c r="G19" s="22" t="s">
        <v>208</v>
      </c>
      <c r="H19" s="23"/>
      <c r="I19" s="25"/>
      <c r="J19" s="25" t="s">
        <v>4</v>
      </c>
      <c r="K19" s="25" t="s">
        <v>209</v>
      </c>
      <c r="L19" s="25" t="s">
        <v>209</v>
      </c>
    </row>
    <row r="20" spans="2:12" s="1" customFormat="1">
      <c r="B20" s="13" t="s">
        <v>214</v>
      </c>
      <c r="C20" s="13" t="s">
        <v>211</v>
      </c>
      <c r="D20" s="9" t="s">
        <v>1232</v>
      </c>
      <c r="E20" s="21" t="s">
        <v>182</v>
      </c>
      <c r="F20" s="19" t="s">
        <v>214</v>
      </c>
      <c r="G20" s="22" t="s">
        <v>208</v>
      </c>
      <c r="H20" s="23"/>
      <c r="I20" s="25"/>
      <c r="J20" s="25" t="s">
        <v>4</v>
      </c>
      <c r="K20" s="25" t="s">
        <v>209</v>
      </c>
      <c r="L20" s="25" t="s">
        <v>209</v>
      </c>
    </row>
    <row r="21" spans="2:12" s="1" customFormat="1">
      <c r="B21" s="13" t="s">
        <v>249</v>
      </c>
      <c r="C21" s="13" t="s">
        <v>206</v>
      </c>
      <c r="D21" s="9" t="s">
        <v>1235</v>
      </c>
      <c r="E21" s="21" t="s">
        <v>182</v>
      </c>
      <c r="F21" s="19" t="s">
        <v>249</v>
      </c>
      <c r="G21" s="22" t="s">
        <v>208</v>
      </c>
      <c r="H21" s="23"/>
      <c r="I21" s="25"/>
      <c r="J21" s="25" t="s">
        <v>4</v>
      </c>
      <c r="K21" s="25" t="s">
        <v>209</v>
      </c>
      <c r="L21" s="25" t="s">
        <v>209</v>
      </c>
    </row>
    <row r="22" spans="2:12" s="1" customFormat="1">
      <c r="B22" s="13" t="s">
        <v>254</v>
      </c>
      <c r="C22" s="13" t="s">
        <v>206</v>
      </c>
      <c r="D22" s="9" t="s">
        <v>1236</v>
      </c>
      <c r="E22" s="21" t="s">
        <v>182</v>
      </c>
      <c r="F22" s="19" t="s">
        <v>254</v>
      </c>
      <c r="G22" s="22" t="s">
        <v>208</v>
      </c>
      <c r="H22" s="23"/>
      <c r="I22" s="25"/>
      <c r="J22" s="25" t="s">
        <v>4</v>
      </c>
      <c r="K22" s="25" t="s">
        <v>209</v>
      </c>
      <c r="L22" s="25" t="s">
        <v>209</v>
      </c>
    </row>
    <row r="23" spans="2:12" s="1" customFormat="1">
      <c r="B23" s="13" t="s">
        <v>251</v>
      </c>
      <c r="C23" s="13" t="s">
        <v>206</v>
      </c>
      <c r="D23" s="9" t="s">
        <v>1237</v>
      </c>
      <c r="E23" s="21" t="s">
        <v>182</v>
      </c>
      <c r="F23" s="19" t="s">
        <v>251</v>
      </c>
      <c r="G23" s="22" t="s">
        <v>208</v>
      </c>
      <c r="H23" s="23"/>
      <c r="I23" s="25"/>
      <c r="J23" s="25" t="s">
        <v>4</v>
      </c>
      <c r="K23" s="25" t="s">
        <v>209</v>
      </c>
      <c r="L23" s="25" t="s">
        <v>209</v>
      </c>
    </row>
    <row r="24" spans="2:12" s="1" customFormat="1">
      <c r="B24" s="13" t="s">
        <v>1238</v>
      </c>
      <c r="C24" s="13" t="s">
        <v>211</v>
      </c>
      <c r="D24" s="9" t="s">
        <v>1239</v>
      </c>
      <c r="E24" s="21" t="s">
        <v>182</v>
      </c>
      <c r="F24" s="19" t="s">
        <v>1238</v>
      </c>
      <c r="G24" s="22" t="s">
        <v>208</v>
      </c>
      <c r="H24" s="23"/>
      <c r="I24" s="25"/>
      <c r="J24" s="25" t="s">
        <v>4</v>
      </c>
      <c r="K24" s="25" t="s">
        <v>209</v>
      </c>
      <c r="L24" s="25" t="s">
        <v>209</v>
      </c>
    </row>
    <row r="25" spans="2:12" s="1" customFormat="1">
      <c r="B25" s="13" t="s">
        <v>264</v>
      </c>
      <c r="C25" s="13" t="s">
        <v>206</v>
      </c>
      <c r="D25" s="9" t="s">
        <v>1240</v>
      </c>
      <c r="E25" s="21" t="s">
        <v>182</v>
      </c>
      <c r="F25" s="19" t="s">
        <v>264</v>
      </c>
      <c r="G25" s="22" t="s">
        <v>208</v>
      </c>
      <c r="H25" s="23"/>
      <c r="I25" s="25"/>
      <c r="J25" s="25" t="s">
        <v>4</v>
      </c>
      <c r="K25" s="25" t="s">
        <v>209</v>
      </c>
      <c r="L25" s="25" t="s">
        <v>209</v>
      </c>
    </row>
    <row r="26" spans="2:12" s="1" customFormat="1">
      <c r="B26" s="13" t="s">
        <v>1265</v>
      </c>
      <c r="C26" s="13" t="s">
        <v>206</v>
      </c>
      <c r="D26" s="9" t="s">
        <v>1266</v>
      </c>
      <c r="E26" s="21" t="s">
        <v>182</v>
      </c>
      <c r="F26" s="19" t="s">
        <v>1265</v>
      </c>
      <c r="G26" s="22" t="s">
        <v>208</v>
      </c>
      <c r="H26" s="23"/>
      <c r="I26" s="25"/>
      <c r="J26" s="25" t="s">
        <v>4</v>
      </c>
      <c r="K26" s="25" t="s">
        <v>209</v>
      </c>
      <c r="L26" s="25" t="s">
        <v>209</v>
      </c>
    </row>
    <row r="27" spans="2:12" s="1" customFormat="1">
      <c r="B27" s="13" t="s">
        <v>1267</v>
      </c>
      <c r="C27" s="13" t="s">
        <v>206</v>
      </c>
      <c r="D27" s="9" t="s">
        <v>1268</v>
      </c>
      <c r="E27" s="21" t="s">
        <v>182</v>
      </c>
      <c r="F27" s="19" t="s">
        <v>1267</v>
      </c>
      <c r="G27" s="22" t="s">
        <v>208</v>
      </c>
      <c r="H27" s="23"/>
      <c r="I27" s="25"/>
      <c r="J27" s="25" t="s">
        <v>4</v>
      </c>
      <c r="K27" s="25" t="s">
        <v>209</v>
      </c>
      <c r="L27" s="25" t="s">
        <v>209</v>
      </c>
    </row>
    <row r="28" spans="2:12" s="1" customFormat="1">
      <c r="B28" s="13" t="s">
        <v>1293</v>
      </c>
      <c r="C28" s="13" t="s">
        <v>281</v>
      </c>
      <c r="D28" s="9" t="s">
        <v>1294</v>
      </c>
      <c r="E28" s="21" t="s">
        <v>182</v>
      </c>
      <c r="F28" s="19" t="s">
        <v>1293</v>
      </c>
      <c r="G28" s="22" t="s">
        <v>208</v>
      </c>
      <c r="H28" s="23"/>
      <c r="I28" s="25"/>
      <c r="J28" s="25" t="s">
        <v>4</v>
      </c>
      <c r="K28" s="25" t="s">
        <v>209</v>
      </c>
      <c r="L28" s="25" t="s">
        <v>209</v>
      </c>
    </row>
    <row r="29" spans="2:12" s="1" customFormat="1">
      <c r="B29" s="13" t="s">
        <v>1325</v>
      </c>
      <c r="C29" s="13" t="s">
        <v>206</v>
      </c>
      <c r="D29" s="9" t="s">
        <v>730</v>
      </c>
      <c r="E29" s="21" t="s">
        <v>182</v>
      </c>
      <c r="F29" s="19" t="s">
        <v>1325</v>
      </c>
      <c r="G29" s="22" t="s">
        <v>208</v>
      </c>
      <c r="H29" s="23"/>
      <c r="I29" s="25"/>
      <c r="J29" s="25" t="s">
        <v>4</v>
      </c>
      <c r="K29" s="25" t="s">
        <v>209</v>
      </c>
      <c r="L29" s="25" t="s">
        <v>209</v>
      </c>
    </row>
    <row r="30" spans="2:12" s="1" customFormat="1">
      <c r="B30" s="13" t="s">
        <v>1326</v>
      </c>
      <c r="C30" s="13" t="s">
        <v>206</v>
      </c>
      <c r="D30" s="9" t="s">
        <v>731</v>
      </c>
      <c r="E30" s="21" t="s">
        <v>182</v>
      </c>
      <c r="F30" s="19" t="s">
        <v>1326</v>
      </c>
      <c r="G30" s="22" t="s">
        <v>208</v>
      </c>
      <c r="H30" s="23"/>
      <c r="I30" s="25"/>
      <c r="J30" s="25" t="s">
        <v>4</v>
      </c>
      <c r="K30" s="25" t="s">
        <v>209</v>
      </c>
      <c r="L30" s="25" t="s">
        <v>209</v>
      </c>
    </row>
    <row r="31" spans="2:12" s="1" customFormat="1">
      <c r="B31" s="13" t="s">
        <v>1330</v>
      </c>
      <c r="C31" s="13" t="s">
        <v>281</v>
      </c>
      <c r="D31" s="9" t="s">
        <v>1331</v>
      </c>
      <c r="E31" s="21" t="s">
        <v>182</v>
      </c>
      <c r="F31" s="19" t="s">
        <v>1330</v>
      </c>
      <c r="G31" s="22" t="s">
        <v>208</v>
      </c>
      <c r="H31" s="23"/>
      <c r="I31" s="25"/>
      <c r="J31" s="25" t="s">
        <v>4</v>
      </c>
      <c r="K31" s="25" t="s">
        <v>209</v>
      </c>
      <c r="L31" s="25" t="s">
        <v>209</v>
      </c>
    </row>
    <row r="32" spans="2:12" s="1" customFormat="1">
      <c r="B32" s="13" t="s">
        <v>2370</v>
      </c>
      <c r="C32" s="13" t="s">
        <v>206</v>
      </c>
      <c r="D32" s="9" t="s">
        <v>243</v>
      </c>
      <c r="E32" s="21" t="s">
        <v>182</v>
      </c>
      <c r="F32" s="19" t="s">
        <v>242</v>
      </c>
      <c r="G32" s="22" t="s">
        <v>208</v>
      </c>
      <c r="H32" s="23"/>
      <c r="I32" s="25"/>
      <c r="J32" s="25" t="s">
        <v>4</v>
      </c>
      <c r="K32" s="25" t="s">
        <v>209</v>
      </c>
      <c r="L32" s="25" t="s">
        <v>209</v>
      </c>
    </row>
    <row r="33" spans="2:17" s="1" customFormat="1">
      <c r="B33" s="13" t="s">
        <v>2439</v>
      </c>
      <c r="C33" s="13" t="s">
        <v>206</v>
      </c>
      <c r="D33" s="9" t="s">
        <v>1359</v>
      </c>
      <c r="E33" s="21" t="s">
        <v>182</v>
      </c>
      <c r="F33" s="19" t="s">
        <v>1358</v>
      </c>
      <c r="G33" s="22" t="s">
        <v>208</v>
      </c>
      <c r="H33" s="23"/>
      <c r="I33" s="25"/>
      <c r="J33" s="25" t="s">
        <v>4</v>
      </c>
      <c r="K33" s="25" t="s">
        <v>209</v>
      </c>
      <c r="L33" s="25" t="s">
        <v>209</v>
      </c>
    </row>
    <row r="34" spans="2:17" s="1" customFormat="1">
      <c r="B34" s="13" t="s">
        <v>1093</v>
      </c>
      <c r="C34" s="13" t="s">
        <v>211</v>
      </c>
      <c r="D34" s="9" t="s">
        <v>1442</v>
      </c>
      <c r="E34" s="21" t="s">
        <v>182</v>
      </c>
      <c r="F34" s="19" t="s">
        <v>1093</v>
      </c>
      <c r="G34" s="22" t="s">
        <v>208</v>
      </c>
      <c r="H34" s="23"/>
      <c r="I34" s="25"/>
      <c r="J34" s="25" t="s">
        <v>4</v>
      </c>
      <c r="K34" s="25" t="s">
        <v>209</v>
      </c>
      <c r="L34" s="25" t="s">
        <v>209</v>
      </c>
    </row>
    <row r="35" spans="2:17" s="1" customFormat="1">
      <c r="B35" s="13" t="s">
        <v>1246</v>
      </c>
      <c r="C35" s="13" t="s">
        <v>211</v>
      </c>
      <c r="D35" s="9" t="s">
        <v>1247</v>
      </c>
      <c r="E35" s="21" t="s">
        <v>182</v>
      </c>
      <c r="F35" s="19" t="s">
        <v>1246</v>
      </c>
      <c r="G35" s="22" t="s">
        <v>208</v>
      </c>
      <c r="H35" s="23"/>
      <c r="I35" s="25"/>
      <c r="J35" s="25" t="s">
        <v>4</v>
      </c>
      <c r="K35" s="25" t="s">
        <v>209</v>
      </c>
      <c r="L35" s="25" t="s">
        <v>209</v>
      </c>
    </row>
    <row r="36" spans="2:17" s="1" customFormat="1">
      <c r="B36" s="13" t="s">
        <v>827</v>
      </c>
      <c r="C36" s="13" t="s">
        <v>206</v>
      </c>
      <c r="D36" s="9" t="s">
        <v>828</v>
      </c>
      <c r="E36" s="21" t="s">
        <v>182</v>
      </c>
      <c r="F36" s="19" t="s">
        <v>827</v>
      </c>
      <c r="G36" s="22" t="s">
        <v>208</v>
      </c>
      <c r="H36" s="23"/>
      <c r="I36" s="25"/>
      <c r="J36" s="25" t="s">
        <v>4</v>
      </c>
      <c r="K36" s="25" t="s">
        <v>209</v>
      </c>
      <c r="L36" s="25" t="s">
        <v>209</v>
      </c>
    </row>
    <row r="37" spans="2:17" s="1" customFormat="1">
      <c r="B37" s="13" t="s">
        <v>1435</v>
      </c>
      <c r="C37" s="13" t="s">
        <v>206</v>
      </c>
      <c r="D37" s="9" t="s">
        <v>1436</v>
      </c>
      <c r="E37" s="21" t="s">
        <v>182</v>
      </c>
      <c r="F37" s="19" t="s">
        <v>1435</v>
      </c>
      <c r="G37" s="22" t="s">
        <v>208</v>
      </c>
      <c r="H37" s="23"/>
      <c r="I37" s="25"/>
      <c r="J37" s="25" t="s">
        <v>4</v>
      </c>
      <c r="K37" s="25" t="s">
        <v>209</v>
      </c>
      <c r="L37" s="25" t="s">
        <v>209</v>
      </c>
    </row>
    <row r="38" spans="2:17" s="1" customFormat="1">
      <c r="B38" s="13" t="s">
        <v>817</v>
      </c>
      <c r="C38" s="13" t="s">
        <v>211</v>
      </c>
      <c r="D38" s="9" t="s">
        <v>1420</v>
      </c>
      <c r="E38" s="21" t="s">
        <v>182</v>
      </c>
      <c r="F38" s="19" t="s">
        <v>817</v>
      </c>
      <c r="G38" s="22" t="s">
        <v>208</v>
      </c>
      <c r="H38" s="23"/>
      <c r="I38" s="25"/>
      <c r="J38" s="25" t="s">
        <v>4</v>
      </c>
      <c r="K38" s="25" t="s">
        <v>209</v>
      </c>
      <c r="L38" s="25" t="s">
        <v>209</v>
      </c>
    </row>
    <row r="39" spans="2:17" s="1" customFormat="1">
      <c r="B39" s="13" t="s">
        <v>1422</v>
      </c>
      <c r="C39" s="13" t="s">
        <v>211</v>
      </c>
      <c r="D39" s="9" t="s">
        <v>1423</v>
      </c>
      <c r="E39" s="21" t="s">
        <v>182</v>
      </c>
      <c r="F39" s="19" t="s">
        <v>1422</v>
      </c>
      <c r="G39" s="22" t="s">
        <v>208</v>
      </c>
      <c r="H39" s="23"/>
      <c r="I39" s="25"/>
      <c r="J39" s="25" t="s">
        <v>4</v>
      </c>
      <c r="K39" s="25" t="s">
        <v>209</v>
      </c>
      <c r="L39" s="25" t="s">
        <v>209</v>
      </c>
    </row>
    <row r="40" spans="2:17" s="1" customFormat="1">
      <c r="B40" s="13" t="s">
        <v>1252</v>
      </c>
      <c r="C40" s="13" t="s">
        <v>211</v>
      </c>
      <c r="D40" s="9" t="s">
        <v>1253</v>
      </c>
      <c r="E40" s="21" t="s">
        <v>182</v>
      </c>
      <c r="F40" s="19" t="s">
        <v>1252</v>
      </c>
      <c r="G40" s="22" t="s">
        <v>208</v>
      </c>
      <c r="H40" s="23"/>
      <c r="I40" s="25"/>
      <c r="J40" s="25" t="s">
        <v>4</v>
      </c>
      <c r="K40" s="25" t="s">
        <v>209</v>
      </c>
      <c r="L40" s="25" t="s">
        <v>209</v>
      </c>
    </row>
    <row r="41" spans="2:17" s="1" customFormat="1">
      <c r="B41" s="13" t="s">
        <v>2440</v>
      </c>
      <c r="C41" s="13" t="s">
        <v>211</v>
      </c>
      <c r="D41" s="9" t="s">
        <v>1255</v>
      </c>
      <c r="E41" s="21" t="s">
        <v>182</v>
      </c>
      <c r="F41" s="19" t="s">
        <v>1254</v>
      </c>
      <c r="G41" s="22" t="s">
        <v>208</v>
      </c>
      <c r="H41" s="23"/>
      <c r="I41" s="25"/>
      <c r="J41" s="25" t="s">
        <v>4</v>
      </c>
      <c r="K41" s="25" t="s">
        <v>209</v>
      </c>
      <c r="L41" s="25" t="s">
        <v>209</v>
      </c>
    </row>
    <row r="42" spans="2:17" s="1" customFormat="1">
      <c r="B42" s="13" t="s">
        <v>1097</v>
      </c>
      <c r="C42" s="13" t="s">
        <v>211</v>
      </c>
      <c r="D42" s="9" t="s">
        <v>1256</v>
      </c>
      <c r="E42" s="21" t="s">
        <v>182</v>
      </c>
      <c r="F42" s="19" t="s">
        <v>1097</v>
      </c>
      <c r="G42" s="22" t="s">
        <v>208</v>
      </c>
      <c r="H42" s="23"/>
      <c r="I42" s="25"/>
      <c r="J42" s="25" t="s">
        <v>4</v>
      </c>
      <c r="K42" s="25" t="s">
        <v>209</v>
      </c>
      <c r="L42" s="25" t="s">
        <v>209</v>
      </c>
    </row>
    <row r="43" spans="2:17" s="1" customFormat="1">
      <c r="B43" s="13" t="s">
        <v>2308</v>
      </c>
      <c r="C43" s="13" t="s">
        <v>281</v>
      </c>
      <c r="D43" s="27" t="s">
        <v>474</v>
      </c>
      <c r="E43" s="21" t="s">
        <v>182</v>
      </c>
      <c r="F43" s="22"/>
      <c r="G43" s="22" t="s">
        <v>657</v>
      </c>
      <c r="H43" s="23"/>
      <c r="I43" s="25"/>
      <c r="J43" s="25" t="s">
        <v>284</v>
      </c>
      <c r="K43" s="25" t="s">
        <v>750</v>
      </c>
      <c r="L43" s="25" t="s">
        <v>285</v>
      </c>
    </row>
    <row r="44" spans="2:17" s="1" customFormat="1">
      <c r="B44" s="13" t="s">
        <v>1443</v>
      </c>
      <c r="C44" s="13" t="s">
        <v>281</v>
      </c>
      <c r="D44" s="9" t="s">
        <v>1444</v>
      </c>
      <c r="E44" s="21" t="s">
        <v>182</v>
      </c>
      <c r="F44" s="22"/>
      <c r="G44" s="22" t="s">
        <v>1548</v>
      </c>
      <c r="H44" s="23"/>
      <c r="I44" s="25"/>
      <c r="J44" s="25" t="s">
        <v>284</v>
      </c>
      <c r="K44" s="25" t="s">
        <v>750</v>
      </c>
      <c r="L44" s="25" t="s">
        <v>285</v>
      </c>
    </row>
    <row r="45" spans="2:17" s="1" customFormat="1">
      <c r="B45" s="13" t="s">
        <v>1446</v>
      </c>
      <c r="C45" s="13" t="s">
        <v>281</v>
      </c>
      <c r="D45" s="9" t="s">
        <v>1447</v>
      </c>
      <c r="E45" s="21" t="s">
        <v>182</v>
      </c>
      <c r="F45" s="22"/>
      <c r="G45" s="22" t="s">
        <v>1549</v>
      </c>
      <c r="H45" s="23"/>
      <c r="I45" s="25"/>
      <c r="J45" s="25" t="s">
        <v>284</v>
      </c>
      <c r="K45" s="25" t="s">
        <v>750</v>
      </c>
      <c r="L45" s="25" t="s">
        <v>285</v>
      </c>
    </row>
    <row r="46" spans="2:17" s="1" customFormat="1">
      <c r="B46" s="13" t="s">
        <v>1449</v>
      </c>
      <c r="C46" s="13" t="s">
        <v>281</v>
      </c>
      <c r="D46" s="9" t="s">
        <v>1450</v>
      </c>
      <c r="E46" s="21" t="s">
        <v>182</v>
      </c>
      <c r="F46" s="22"/>
      <c r="G46" s="22" t="s">
        <v>1550</v>
      </c>
      <c r="H46" s="23"/>
      <c r="I46" s="25"/>
      <c r="J46" s="25" t="s">
        <v>284</v>
      </c>
      <c r="K46" s="25" t="s">
        <v>750</v>
      </c>
      <c r="L46" s="25" t="s">
        <v>285</v>
      </c>
    </row>
    <row r="47" spans="2:17" s="1" customFormat="1">
      <c r="B47" s="13" t="s">
        <v>2464</v>
      </c>
      <c r="C47" s="13" t="s">
        <v>281</v>
      </c>
      <c r="D47" s="9" t="s">
        <v>1551</v>
      </c>
      <c r="E47" s="21" t="s">
        <v>182</v>
      </c>
      <c r="F47" s="22"/>
      <c r="G47" s="22" t="s">
        <v>1552</v>
      </c>
      <c r="H47" s="23"/>
      <c r="I47" s="25"/>
      <c r="J47" s="25" t="s">
        <v>284</v>
      </c>
      <c r="K47" s="25" t="s">
        <v>750</v>
      </c>
      <c r="L47" s="25" t="s">
        <v>285</v>
      </c>
    </row>
    <row r="48" spans="2:17" s="2" customFormat="1">
      <c r="B48" s="14" t="s">
        <v>222</v>
      </c>
      <c r="C48" s="15" t="s">
        <v>211</v>
      </c>
      <c r="D48" s="16" t="s">
        <v>344</v>
      </c>
      <c r="E48" s="24"/>
      <c r="F48" s="24"/>
      <c r="G48" s="14"/>
      <c r="H48" s="14"/>
      <c r="I48" s="14"/>
      <c r="J48" s="14"/>
      <c r="K48" s="14"/>
      <c r="L48" s="14"/>
      <c r="M48" s="14"/>
      <c r="N48" s="14"/>
      <c r="O48" s="14"/>
      <c r="P48" s="14"/>
      <c r="Q48" s="14"/>
    </row>
    <row r="49" spans="2:17" s="2" customFormat="1">
      <c r="B49" s="14" t="s">
        <v>0</v>
      </c>
      <c r="C49" s="15" t="s">
        <v>206</v>
      </c>
      <c r="D49" s="16" t="s">
        <v>345</v>
      </c>
      <c r="E49" s="24"/>
      <c r="F49" s="24"/>
      <c r="G49" s="14"/>
      <c r="H49" s="14"/>
      <c r="I49" s="14"/>
      <c r="J49" s="14"/>
      <c r="K49" s="14"/>
      <c r="L49" s="14"/>
      <c r="M49" s="14"/>
      <c r="N49" s="14"/>
      <c r="O49" s="14"/>
      <c r="P49" s="14"/>
      <c r="Q49" s="14"/>
    </row>
    <row r="50" spans="2:17" s="2" customFormat="1">
      <c r="B50" s="14" t="s">
        <v>1</v>
      </c>
      <c r="C50" s="15" t="s">
        <v>211</v>
      </c>
      <c r="D50" s="16" t="s">
        <v>346</v>
      </c>
      <c r="E50" s="24"/>
      <c r="F50" s="24"/>
      <c r="G50" s="14"/>
      <c r="H50" s="14"/>
      <c r="I50" s="14"/>
      <c r="J50" s="14"/>
      <c r="K50" s="14"/>
      <c r="L50" s="14"/>
      <c r="M50" s="14"/>
      <c r="N50" s="14"/>
      <c r="O50" s="14"/>
      <c r="P50" s="14"/>
      <c r="Q50" s="14"/>
    </row>
  </sheetData>
  <autoFilter ref="A13:Q50" xr:uid="{00000000-0009-0000-0000-000016000000}"/>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38"/>
  <sheetViews>
    <sheetView zoomScale="85" zoomScaleNormal="85" workbookViewId="0">
      <pane ySplit="5" topLeftCell="A6" activePane="bottomLeft" state="frozen"/>
      <selection pane="bottomLeft" activeCell="C9" sqref="C9"/>
    </sheetView>
  </sheetViews>
  <sheetFormatPr defaultColWidth="9" defaultRowHeight="13.2"/>
  <cols>
    <col min="1" max="1" width="2.44140625" style="3" customWidth="1"/>
    <col min="2" max="2" width="28.5546875" style="3" customWidth="1"/>
    <col min="3" max="3" width="35" style="3" customWidth="1"/>
    <col min="4" max="4" width="32.21875" style="3" customWidth="1"/>
    <col min="5" max="5" width="12.5546875" style="3" customWidth="1"/>
    <col min="6" max="6" width="14.88671875" style="3" customWidth="1"/>
    <col min="7" max="7" width="51.21875" style="3" customWidth="1"/>
    <col min="8" max="8" width="14.44140625" style="3" customWidth="1"/>
    <col min="9" max="9" width="16.33203125" style="3" customWidth="1"/>
    <col min="10" max="10" width="8.109375" style="3" customWidth="1"/>
    <col min="11" max="11" width="8.44140625" style="3" customWidth="1"/>
    <col min="12" max="12" width="13.5546875" style="4" customWidth="1"/>
    <col min="13" max="16384" width="9" style="4"/>
  </cols>
  <sheetData>
    <row r="1" spans="2:12">
      <c r="B1" s="5" t="str">
        <f>HYPERLINK("#导航!a2","返回")</f>
        <v>返回</v>
      </c>
    </row>
    <row r="2" spans="2:12">
      <c r="B2" s="180"/>
      <c r="C2" s="180"/>
      <c r="D2" s="180"/>
      <c r="E2" s="180"/>
      <c r="F2" s="180"/>
      <c r="G2" s="180"/>
      <c r="H2" s="180"/>
    </row>
    <row r="3" spans="2:12">
      <c r="B3" s="181" t="s">
        <v>168</v>
      </c>
      <c r="C3" s="181"/>
      <c r="D3" s="181"/>
      <c r="E3" s="181"/>
      <c r="F3" s="181"/>
      <c r="G3" s="181"/>
      <c r="H3" s="181"/>
    </row>
    <row r="4" spans="2:12">
      <c r="B4" s="11" t="s">
        <v>40</v>
      </c>
      <c r="C4" s="7" t="s">
        <v>169</v>
      </c>
      <c r="D4" s="7" t="s">
        <v>170</v>
      </c>
      <c r="E4" s="7" t="s">
        <v>171</v>
      </c>
      <c r="F4" s="7" t="s">
        <v>172</v>
      </c>
      <c r="G4" s="7" t="s">
        <v>43</v>
      </c>
      <c r="H4" s="7" t="s">
        <v>173</v>
      </c>
    </row>
    <row r="5" spans="2:12">
      <c r="B5" s="8" t="s">
        <v>105</v>
      </c>
      <c r="C5" s="9" t="s">
        <v>2463</v>
      </c>
      <c r="D5" s="10" t="s">
        <v>132</v>
      </c>
      <c r="E5" s="12" t="s">
        <v>20</v>
      </c>
      <c r="F5" s="61"/>
      <c r="G5" s="9" t="s">
        <v>136</v>
      </c>
      <c r="H5" s="12"/>
    </row>
    <row r="6" spans="2:12">
      <c r="B6" s="18"/>
      <c r="C6" s="6"/>
      <c r="D6" s="6"/>
      <c r="E6" s="6"/>
      <c r="F6" s="6"/>
      <c r="G6" s="6"/>
      <c r="H6" s="6"/>
    </row>
    <row r="7" spans="2:12">
      <c r="B7" s="181" t="s">
        <v>174</v>
      </c>
      <c r="C7" s="181"/>
      <c r="D7" s="181"/>
      <c r="E7" s="181"/>
      <c r="F7" s="181"/>
      <c r="G7" s="181"/>
      <c r="H7" s="181"/>
    </row>
    <row r="8" spans="2:12">
      <c r="B8" s="11" t="s">
        <v>175</v>
      </c>
      <c r="C8" s="11" t="s">
        <v>176</v>
      </c>
      <c r="D8" s="11" t="s">
        <v>177</v>
      </c>
      <c r="E8" s="11" t="s">
        <v>178</v>
      </c>
      <c r="F8" s="11" t="s">
        <v>179</v>
      </c>
      <c r="G8" s="11" t="s">
        <v>53</v>
      </c>
      <c r="H8" s="11" t="s">
        <v>180</v>
      </c>
    </row>
    <row r="9" spans="2:12">
      <c r="B9" s="12"/>
      <c r="C9" s="9" t="s">
        <v>131</v>
      </c>
      <c r="D9" s="10" t="s">
        <v>132</v>
      </c>
      <c r="E9" s="12" t="s">
        <v>182</v>
      </c>
      <c r="F9" s="22"/>
      <c r="G9" s="22" t="s">
        <v>2467</v>
      </c>
      <c r="H9" s="20"/>
    </row>
    <row r="10" spans="2:12">
      <c r="G10" s="62"/>
    </row>
    <row r="11" spans="2:12">
      <c r="B11" s="3" t="s">
        <v>194</v>
      </c>
    </row>
    <row r="12" spans="2:12">
      <c r="B12" s="181" t="s">
        <v>194</v>
      </c>
      <c r="C12" s="181"/>
      <c r="D12" s="181"/>
      <c r="E12" s="181"/>
      <c r="F12" s="181"/>
      <c r="G12" s="181"/>
      <c r="H12" s="181"/>
      <c r="I12" s="181"/>
      <c r="J12" s="181"/>
      <c r="K12" s="181"/>
      <c r="L12" s="181"/>
    </row>
    <row r="13" spans="2:12">
      <c r="B13" s="11" t="s">
        <v>195</v>
      </c>
      <c r="C13" s="7" t="s">
        <v>196</v>
      </c>
      <c r="D13" s="7" t="s">
        <v>197</v>
      </c>
      <c r="E13" s="7" t="s">
        <v>198</v>
      </c>
      <c r="F13" s="7" t="s">
        <v>199</v>
      </c>
      <c r="G13" s="7" t="s">
        <v>200</v>
      </c>
      <c r="H13" s="7" t="s">
        <v>201</v>
      </c>
      <c r="I13" s="7" t="s">
        <v>53</v>
      </c>
      <c r="J13" s="7" t="s">
        <v>202</v>
      </c>
      <c r="K13" s="7" t="s">
        <v>203</v>
      </c>
      <c r="L13" s="7" t="s">
        <v>204</v>
      </c>
    </row>
    <row r="14" spans="2:12" s="1" customFormat="1">
      <c r="B14" s="12" t="s">
        <v>205</v>
      </c>
      <c r="C14" s="13" t="s">
        <v>206</v>
      </c>
      <c r="D14" s="9" t="s">
        <v>207</v>
      </c>
      <c r="E14" s="21"/>
      <c r="F14" s="19" t="s">
        <v>0</v>
      </c>
      <c r="G14" s="19" t="s">
        <v>208</v>
      </c>
      <c r="H14" s="23"/>
      <c r="I14" s="25"/>
      <c r="J14" s="25" t="s">
        <v>4</v>
      </c>
      <c r="K14" s="25" t="s">
        <v>209</v>
      </c>
      <c r="L14" s="25" t="s">
        <v>209</v>
      </c>
    </row>
    <row r="15" spans="2:12" s="1" customFormat="1">
      <c r="B15" s="12" t="s">
        <v>20</v>
      </c>
      <c r="C15" s="13" t="s">
        <v>211</v>
      </c>
      <c r="D15" s="9" t="s">
        <v>73</v>
      </c>
      <c r="E15" s="21"/>
      <c r="F15" s="19" t="s">
        <v>1</v>
      </c>
      <c r="G15" s="19" t="s">
        <v>208</v>
      </c>
      <c r="H15" s="23"/>
      <c r="I15" s="25"/>
      <c r="J15" s="25" t="s">
        <v>4</v>
      </c>
      <c r="K15" s="25" t="s">
        <v>209</v>
      </c>
      <c r="L15" s="25" t="s">
        <v>209</v>
      </c>
    </row>
    <row r="16" spans="2:12" s="1" customFormat="1">
      <c r="B16" s="12" t="s">
        <v>224</v>
      </c>
      <c r="C16" s="13" t="s">
        <v>211</v>
      </c>
      <c r="D16" s="9" t="s">
        <v>444</v>
      </c>
      <c r="E16" s="21" t="s">
        <v>418</v>
      </c>
      <c r="F16" s="22" t="s">
        <v>224</v>
      </c>
      <c r="G16" s="22" t="s">
        <v>1553</v>
      </c>
      <c r="H16" s="23"/>
      <c r="I16" s="25"/>
      <c r="J16" s="25" t="s">
        <v>4</v>
      </c>
      <c r="K16" s="25" t="s">
        <v>209</v>
      </c>
      <c r="L16" s="25" t="s">
        <v>209</v>
      </c>
    </row>
    <row r="17" spans="1:12" s="1" customFormat="1">
      <c r="B17" s="12" t="s">
        <v>233</v>
      </c>
      <c r="C17" s="13" t="s">
        <v>206</v>
      </c>
      <c r="D17" s="9" t="s">
        <v>446</v>
      </c>
      <c r="E17" s="21" t="s">
        <v>418</v>
      </c>
      <c r="F17" s="22" t="s">
        <v>233</v>
      </c>
      <c r="G17" s="22" t="s">
        <v>1553</v>
      </c>
      <c r="H17" s="23"/>
      <c r="I17" s="25"/>
      <c r="J17" s="25" t="s">
        <v>4</v>
      </c>
      <c r="K17" s="25" t="s">
        <v>209</v>
      </c>
      <c r="L17" s="25" t="s">
        <v>209</v>
      </c>
    </row>
    <row r="18" spans="1:12" s="1" customFormat="1">
      <c r="B18" s="12" t="s">
        <v>228</v>
      </c>
      <c r="C18" s="13" t="s">
        <v>211</v>
      </c>
      <c r="D18" s="9" t="s">
        <v>445</v>
      </c>
      <c r="E18" s="21" t="s">
        <v>418</v>
      </c>
      <c r="F18" s="22" t="s">
        <v>228</v>
      </c>
      <c r="G18" s="22" t="s">
        <v>1553</v>
      </c>
      <c r="H18" s="23"/>
      <c r="I18" s="25"/>
      <c r="J18" s="25" t="s">
        <v>4</v>
      </c>
      <c r="K18" s="25" t="s">
        <v>209</v>
      </c>
      <c r="L18" s="25" t="s">
        <v>209</v>
      </c>
    </row>
    <row r="19" spans="1:12" s="1" customFormat="1">
      <c r="B19" s="12" t="s">
        <v>236</v>
      </c>
      <c r="C19" s="13" t="s">
        <v>206</v>
      </c>
      <c r="D19" s="9" t="s">
        <v>237</v>
      </c>
      <c r="E19" s="21" t="s">
        <v>418</v>
      </c>
      <c r="F19" s="22" t="s">
        <v>236</v>
      </c>
      <c r="G19" s="22" t="s">
        <v>1553</v>
      </c>
      <c r="H19" s="23"/>
      <c r="I19" s="25"/>
      <c r="J19" s="25" t="s">
        <v>4</v>
      </c>
      <c r="K19" s="25" t="s">
        <v>209</v>
      </c>
      <c r="L19" s="25" t="s">
        <v>209</v>
      </c>
    </row>
    <row r="20" spans="1:12" s="1" customFormat="1">
      <c r="B20" s="12" t="s">
        <v>264</v>
      </c>
      <c r="C20" s="13" t="s">
        <v>206</v>
      </c>
      <c r="D20" s="9" t="s">
        <v>1554</v>
      </c>
      <c r="E20" s="21" t="s">
        <v>182</v>
      </c>
      <c r="F20" s="19" t="s">
        <v>264</v>
      </c>
      <c r="G20" s="19" t="s">
        <v>208</v>
      </c>
      <c r="H20" s="23"/>
      <c r="I20" s="25"/>
      <c r="J20" s="25" t="s">
        <v>4</v>
      </c>
      <c r="K20" s="25" t="s">
        <v>209</v>
      </c>
      <c r="L20" s="25" t="s">
        <v>209</v>
      </c>
    </row>
    <row r="21" spans="1:12" s="1" customFormat="1">
      <c r="B21" s="12" t="s">
        <v>214</v>
      </c>
      <c r="C21" s="13" t="s">
        <v>211</v>
      </c>
      <c r="D21" s="9" t="s">
        <v>215</v>
      </c>
      <c r="E21" s="21" t="s">
        <v>182</v>
      </c>
      <c r="F21" s="19" t="s">
        <v>214</v>
      </c>
      <c r="G21" s="19" t="s">
        <v>208</v>
      </c>
      <c r="H21" s="23"/>
      <c r="I21" s="25"/>
      <c r="J21" s="25" t="s">
        <v>4</v>
      </c>
      <c r="K21" s="25" t="s">
        <v>209</v>
      </c>
      <c r="L21" s="25" t="s">
        <v>209</v>
      </c>
    </row>
    <row r="22" spans="1:12" s="65" customFormat="1">
      <c r="A22" s="1"/>
      <c r="B22" s="66" t="s">
        <v>1093</v>
      </c>
      <c r="C22" s="13" t="s">
        <v>211</v>
      </c>
      <c r="D22" s="9" t="s">
        <v>1156</v>
      </c>
      <c r="E22" s="21" t="s">
        <v>182</v>
      </c>
      <c r="F22" s="19" t="s">
        <v>1093</v>
      </c>
      <c r="G22" s="19" t="s">
        <v>208</v>
      </c>
      <c r="H22" s="23"/>
      <c r="I22" s="70"/>
      <c r="J22" s="25" t="s">
        <v>4</v>
      </c>
      <c r="K22" s="25" t="s">
        <v>209</v>
      </c>
      <c r="L22" s="25" t="s">
        <v>209</v>
      </c>
    </row>
    <row r="23" spans="1:12" s="65" customFormat="1">
      <c r="A23" s="1"/>
      <c r="B23" s="66" t="s">
        <v>1238</v>
      </c>
      <c r="C23" s="13" t="s">
        <v>211</v>
      </c>
      <c r="D23" s="9" t="s">
        <v>1555</v>
      </c>
      <c r="E23" s="21" t="s">
        <v>182</v>
      </c>
      <c r="F23" s="19" t="s">
        <v>1238</v>
      </c>
      <c r="G23" s="19" t="s">
        <v>208</v>
      </c>
      <c r="H23" s="23"/>
      <c r="I23" s="70"/>
      <c r="J23" s="25" t="s">
        <v>4</v>
      </c>
      <c r="K23" s="25" t="s">
        <v>209</v>
      </c>
      <c r="L23" s="25" t="s">
        <v>209</v>
      </c>
    </row>
    <row r="24" spans="1:12" s="65" customFormat="1">
      <c r="A24" s="1"/>
      <c r="B24" s="66" t="s">
        <v>1265</v>
      </c>
      <c r="C24" s="13" t="s">
        <v>206</v>
      </c>
      <c r="D24" s="9" t="s">
        <v>1556</v>
      </c>
      <c r="E24" s="21" t="s">
        <v>182</v>
      </c>
      <c r="F24" s="19" t="s">
        <v>1265</v>
      </c>
      <c r="G24" s="19" t="s">
        <v>208</v>
      </c>
      <c r="H24" s="23"/>
      <c r="I24" s="70"/>
      <c r="J24" s="25" t="s">
        <v>4</v>
      </c>
      <c r="K24" s="25" t="s">
        <v>209</v>
      </c>
      <c r="L24" s="25" t="s">
        <v>209</v>
      </c>
    </row>
    <row r="25" spans="1:12" s="65" customFormat="1">
      <c r="A25" s="1"/>
      <c r="B25" s="66" t="s">
        <v>1267</v>
      </c>
      <c r="C25" s="13" t="s">
        <v>206</v>
      </c>
      <c r="D25" s="9" t="s">
        <v>1557</v>
      </c>
      <c r="E25" s="21" t="s">
        <v>182</v>
      </c>
      <c r="F25" s="19" t="s">
        <v>1267</v>
      </c>
      <c r="G25" s="19" t="s">
        <v>208</v>
      </c>
      <c r="H25" s="23"/>
      <c r="I25" s="70"/>
      <c r="J25" s="25" t="s">
        <v>4</v>
      </c>
      <c r="K25" s="25" t="s">
        <v>209</v>
      </c>
      <c r="L25" s="25" t="s">
        <v>209</v>
      </c>
    </row>
    <row r="26" spans="1:12" s="65" customFormat="1">
      <c r="A26" s="1"/>
      <c r="B26" s="66" t="s">
        <v>1358</v>
      </c>
      <c r="C26" s="13" t="s">
        <v>206</v>
      </c>
      <c r="D26" s="9" t="s">
        <v>1558</v>
      </c>
      <c r="E26" s="21" t="s">
        <v>182</v>
      </c>
      <c r="F26" s="19" t="s">
        <v>1358</v>
      </c>
      <c r="G26" s="19" t="s">
        <v>208</v>
      </c>
      <c r="H26" s="23"/>
      <c r="I26" s="70"/>
      <c r="J26" s="25" t="s">
        <v>4</v>
      </c>
      <c r="K26" s="25" t="s">
        <v>209</v>
      </c>
      <c r="L26" s="25" t="s">
        <v>209</v>
      </c>
    </row>
    <row r="27" spans="1:12" s="65" customFormat="1">
      <c r="A27" s="1"/>
      <c r="B27" s="66" t="s">
        <v>1325</v>
      </c>
      <c r="C27" s="13" t="s">
        <v>206</v>
      </c>
      <c r="D27" s="9" t="s">
        <v>1559</v>
      </c>
      <c r="E27" s="21" t="s">
        <v>182</v>
      </c>
      <c r="F27" s="68" t="s">
        <v>1325</v>
      </c>
      <c r="G27" s="19" t="s">
        <v>208</v>
      </c>
      <c r="H27" s="23"/>
      <c r="I27" s="70"/>
      <c r="J27" s="25" t="s">
        <v>4</v>
      </c>
      <c r="K27" s="25" t="s">
        <v>209</v>
      </c>
      <c r="L27" s="25" t="s">
        <v>209</v>
      </c>
    </row>
    <row r="28" spans="1:12" s="65" customFormat="1">
      <c r="A28" s="1"/>
      <c r="B28" s="66" t="s">
        <v>1326</v>
      </c>
      <c r="C28" s="13" t="s">
        <v>206</v>
      </c>
      <c r="D28" s="9" t="s">
        <v>1560</v>
      </c>
      <c r="E28" s="21" t="s">
        <v>182</v>
      </c>
      <c r="F28" s="68" t="s">
        <v>1326</v>
      </c>
      <c r="G28" s="19" t="s">
        <v>208</v>
      </c>
      <c r="H28" s="23"/>
      <c r="I28" s="70"/>
      <c r="J28" s="25" t="s">
        <v>4</v>
      </c>
      <c r="K28" s="25" t="s">
        <v>209</v>
      </c>
      <c r="L28" s="25" t="s">
        <v>209</v>
      </c>
    </row>
    <row r="29" spans="1:12" s="65" customFormat="1">
      <c r="A29" s="1"/>
      <c r="B29" s="66" t="s">
        <v>242</v>
      </c>
      <c r="C29" s="13" t="s">
        <v>206</v>
      </c>
      <c r="D29" s="9" t="s">
        <v>89</v>
      </c>
      <c r="E29" s="21" t="s">
        <v>182</v>
      </c>
      <c r="F29" s="19" t="s">
        <v>1561</v>
      </c>
      <c r="G29" s="19" t="s">
        <v>1561</v>
      </c>
      <c r="H29" s="23"/>
      <c r="I29" s="70"/>
      <c r="J29" s="25" t="s">
        <v>4</v>
      </c>
      <c r="K29" s="25" t="s">
        <v>209</v>
      </c>
      <c r="L29" s="25" t="s">
        <v>209</v>
      </c>
    </row>
    <row r="30" spans="1:12" s="65" customFormat="1">
      <c r="A30" s="1"/>
      <c r="B30" s="66" t="s">
        <v>251</v>
      </c>
      <c r="C30" s="13" t="s">
        <v>206</v>
      </c>
      <c r="D30" s="9" t="s">
        <v>252</v>
      </c>
      <c r="E30" s="21" t="s">
        <v>182</v>
      </c>
      <c r="F30" s="19" t="s">
        <v>1562</v>
      </c>
      <c r="G30" s="19" t="s">
        <v>1562</v>
      </c>
      <c r="H30" s="23"/>
      <c r="I30" s="70"/>
      <c r="J30" s="25" t="s">
        <v>4</v>
      </c>
      <c r="K30" s="25" t="s">
        <v>209</v>
      </c>
      <c r="L30" s="25" t="s">
        <v>209</v>
      </c>
    </row>
    <row r="31" spans="1:12" s="65" customFormat="1">
      <c r="A31" s="1"/>
      <c r="B31" s="66" t="s">
        <v>249</v>
      </c>
      <c r="C31" s="13" t="s">
        <v>206</v>
      </c>
      <c r="D31" s="9" t="s">
        <v>1563</v>
      </c>
      <c r="E31" s="21" t="s">
        <v>182</v>
      </c>
      <c r="F31" s="19" t="s">
        <v>249</v>
      </c>
      <c r="G31" s="19" t="s">
        <v>208</v>
      </c>
      <c r="H31" s="23"/>
      <c r="I31" s="70"/>
      <c r="J31" s="25" t="s">
        <v>4</v>
      </c>
      <c r="K31" s="25" t="s">
        <v>209</v>
      </c>
      <c r="L31" s="25" t="s">
        <v>209</v>
      </c>
    </row>
    <row r="32" spans="1:12" s="65" customFormat="1">
      <c r="A32" s="1"/>
      <c r="B32" s="66" t="s">
        <v>254</v>
      </c>
      <c r="C32" s="13" t="s">
        <v>206</v>
      </c>
      <c r="D32" s="9" t="s">
        <v>1564</v>
      </c>
      <c r="E32" s="21" t="s">
        <v>182</v>
      </c>
      <c r="F32" s="19" t="s">
        <v>254</v>
      </c>
      <c r="G32" s="19" t="s">
        <v>208</v>
      </c>
      <c r="H32" s="23"/>
      <c r="I32" s="70"/>
      <c r="J32" s="25" t="s">
        <v>4</v>
      </c>
      <c r="K32" s="25" t="s">
        <v>209</v>
      </c>
      <c r="L32" s="25" t="s">
        <v>209</v>
      </c>
    </row>
    <row r="33" spans="1:12" s="65" customFormat="1">
      <c r="A33" s="1"/>
      <c r="B33" s="66" t="s">
        <v>2461</v>
      </c>
      <c r="C33" s="13" t="s">
        <v>281</v>
      </c>
      <c r="D33" s="9" t="s">
        <v>1565</v>
      </c>
      <c r="E33" s="21" t="s">
        <v>182</v>
      </c>
      <c r="F33" s="19" t="s">
        <v>1252</v>
      </c>
      <c r="G33" s="19" t="s">
        <v>208</v>
      </c>
      <c r="H33" s="23"/>
      <c r="I33" s="70"/>
      <c r="J33" s="25" t="s">
        <v>4</v>
      </c>
      <c r="K33" s="25" t="s">
        <v>209</v>
      </c>
      <c r="L33" s="25" t="s">
        <v>209</v>
      </c>
    </row>
    <row r="34" spans="1:12" s="65" customFormat="1">
      <c r="A34" s="1"/>
      <c r="B34" s="66" t="s">
        <v>2462</v>
      </c>
      <c r="C34" s="13" t="s">
        <v>281</v>
      </c>
      <c r="D34" s="9" t="s">
        <v>1423</v>
      </c>
      <c r="E34" s="21" t="s">
        <v>182</v>
      </c>
      <c r="F34" s="19" t="s">
        <v>1254</v>
      </c>
      <c r="G34" s="19" t="s">
        <v>208</v>
      </c>
      <c r="H34" s="23"/>
      <c r="I34" s="70"/>
      <c r="J34" s="25" t="s">
        <v>4</v>
      </c>
      <c r="K34" s="25" t="s">
        <v>209</v>
      </c>
      <c r="L34" s="25" t="s">
        <v>209</v>
      </c>
    </row>
    <row r="35" spans="1:12" s="65" customFormat="1">
      <c r="A35" s="1"/>
      <c r="B35" s="66" t="s">
        <v>2441</v>
      </c>
      <c r="C35" s="13" t="s">
        <v>281</v>
      </c>
      <c r="D35" s="9" t="s">
        <v>1566</v>
      </c>
      <c r="E35" s="21" t="s">
        <v>182</v>
      </c>
      <c r="F35" s="19" t="s">
        <v>1567</v>
      </c>
      <c r="G35" s="19" t="s">
        <v>2466</v>
      </c>
      <c r="H35" s="23"/>
      <c r="I35" s="70"/>
      <c r="J35" s="25" t="s">
        <v>284</v>
      </c>
      <c r="K35" s="25" t="s">
        <v>209</v>
      </c>
      <c r="L35" s="25" t="s">
        <v>285</v>
      </c>
    </row>
    <row r="36" spans="1:12" s="2" customFormat="1">
      <c r="A36" s="67"/>
      <c r="B36" s="24" t="s">
        <v>222</v>
      </c>
      <c r="C36" s="15" t="s">
        <v>211</v>
      </c>
      <c r="D36" s="16" t="s">
        <v>344</v>
      </c>
      <c r="E36" s="69"/>
      <c r="F36" s="69"/>
      <c r="G36" s="69"/>
      <c r="H36" s="14"/>
      <c r="I36" s="14"/>
      <c r="J36" s="14"/>
      <c r="K36" s="14"/>
      <c r="L36" s="14"/>
    </row>
    <row r="37" spans="1:12" s="2" customFormat="1">
      <c r="A37" s="67"/>
      <c r="B37" s="24" t="s">
        <v>0</v>
      </c>
      <c r="C37" s="15" t="s">
        <v>206</v>
      </c>
      <c r="D37" s="16" t="s">
        <v>345</v>
      </c>
      <c r="E37" s="69"/>
      <c r="F37" s="69"/>
      <c r="G37" s="69"/>
      <c r="H37" s="14"/>
      <c r="I37" s="14"/>
      <c r="J37" s="14"/>
      <c r="K37" s="14"/>
      <c r="L37" s="14"/>
    </row>
    <row r="38" spans="1:12" s="2" customFormat="1">
      <c r="A38" s="67"/>
      <c r="B38" s="24" t="s">
        <v>1</v>
      </c>
      <c r="C38" s="15" t="s">
        <v>211</v>
      </c>
      <c r="D38" s="16" t="s">
        <v>346</v>
      </c>
      <c r="E38" s="69"/>
      <c r="F38" s="69"/>
      <c r="G38" s="69"/>
      <c r="H38" s="14"/>
      <c r="I38" s="14"/>
      <c r="J38" s="14"/>
      <c r="K38" s="14"/>
      <c r="L38" s="14"/>
    </row>
  </sheetData>
  <autoFilter ref="A13:L38" xr:uid="{00000000-0009-0000-0000-000017000000}">
    <sortState xmlns:xlrd2="http://schemas.microsoft.com/office/spreadsheetml/2017/richdata2" ref="A13:L38">
      <sortCondition ref="A13:A37"/>
    </sortState>
  </autoFilter>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Y154"/>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11" t="s">
        <v>172</v>
      </c>
      <c r="G4" s="11" t="s">
        <v>43</v>
      </c>
      <c r="H4" s="11" t="s">
        <v>173</v>
      </c>
    </row>
    <row r="5" spans="2:14">
      <c r="B5" s="8" t="s">
        <v>105</v>
      </c>
      <c r="C5" s="9" t="s">
        <v>2508</v>
      </c>
      <c r="D5" s="10" t="s">
        <v>1568</v>
      </c>
      <c r="E5" s="12" t="s">
        <v>20</v>
      </c>
      <c r="F5" s="17"/>
      <c r="G5" s="12"/>
      <c r="H5" s="12"/>
      <c r="N5" s="3"/>
    </row>
    <row r="6" spans="2:14">
      <c r="B6" s="6"/>
      <c r="C6" s="6"/>
      <c r="D6" s="6"/>
      <c r="E6" s="6"/>
      <c r="F6" s="18"/>
      <c r="G6" s="18"/>
      <c r="H6" s="18"/>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118</v>
      </c>
      <c r="D9" s="10" t="s">
        <v>1441</v>
      </c>
      <c r="E9" s="12" t="s">
        <v>182</v>
      </c>
      <c r="F9" s="19"/>
      <c r="G9" s="19"/>
      <c r="H9" s="20" t="s">
        <v>63</v>
      </c>
    </row>
    <row r="10" spans="2:14" ht="39.6">
      <c r="B10" s="12"/>
      <c r="C10" s="9" t="s">
        <v>1460</v>
      </c>
      <c r="D10" s="10" t="s">
        <v>1461</v>
      </c>
      <c r="E10" s="12" t="s">
        <v>789</v>
      </c>
      <c r="F10" s="22" t="s">
        <v>1462</v>
      </c>
      <c r="G10" s="22" t="s">
        <v>1463</v>
      </c>
      <c r="H10" s="20"/>
    </row>
    <row r="12" spans="2:14">
      <c r="B12" s="3" t="s">
        <v>194</v>
      </c>
    </row>
    <row r="13" spans="2:14">
      <c r="B13" s="181" t="s">
        <v>194</v>
      </c>
      <c r="C13" s="181"/>
      <c r="D13" s="181"/>
      <c r="E13" s="181"/>
      <c r="F13" s="181"/>
      <c r="G13" s="181"/>
      <c r="H13" s="181"/>
      <c r="I13" s="181"/>
      <c r="J13" s="181"/>
      <c r="K13" s="181"/>
      <c r="L13" s="181"/>
    </row>
    <row r="14" spans="2:14">
      <c r="B14" s="7" t="s">
        <v>195</v>
      </c>
      <c r="C14" s="7" t="s">
        <v>196</v>
      </c>
      <c r="D14" s="7" t="s">
        <v>197</v>
      </c>
      <c r="E14" s="7" t="s">
        <v>198</v>
      </c>
      <c r="F14" s="11" t="s">
        <v>199</v>
      </c>
      <c r="G14" s="11" t="s">
        <v>200</v>
      </c>
      <c r="H14" s="11" t="s">
        <v>201</v>
      </c>
      <c r="I14" s="7" t="s">
        <v>53</v>
      </c>
      <c r="J14" s="7" t="s">
        <v>202</v>
      </c>
      <c r="K14" s="7" t="s">
        <v>203</v>
      </c>
      <c r="L14" s="7" t="s">
        <v>204</v>
      </c>
    </row>
    <row r="15" spans="2:14" s="1" customFormat="1">
      <c r="B15" s="13" t="s">
        <v>205</v>
      </c>
      <c r="C15" s="13" t="s">
        <v>206</v>
      </c>
      <c r="D15" s="9" t="s">
        <v>207</v>
      </c>
      <c r="E15" s="21" t="s">
        <v>182</v>
      </c>
      <c r="F15" s="19" t="s">
        <v>0</v>
      </c>
      <c r="G15" s="19" t="s">
        <v>208</v>
      </c>
      <c r="H15" s="164" t="str">
        <f>_xlfn.CONCAT(",",F15," as ",B15)</f>
        <v>,p_date as day</v>
      </c>
      <c r="I15" s="25"/>
      <c r="J15" s="25" t="s">
        <v>4</v>
      </c>
      <c r="K15" s="25" t="s">
        <v>209</v>
      </c>
      <c r="L15" s="25" t="s">
        <v>209</v>
      </c>
    </row>
    <row r="16" spans="2:14" s="1" customFormat="1">
      <c r="B16" s="13" t="s">
        <v>20</v>
      </c>
      <c r="C16" s="13" t="s">
        <v>206</v>
      </c>
      <c r="D16" s="9" t="s">
        <v>73</v>
      </c>
      <c r="E16" s="21" t="s">
        <v>182</v>
      </c>
      <c r="F16" s="19" t="s">
        <v>1</v>
      </c>
      <c r="G16" s="19" t="s">
        <v>208</v>
      </c>
      <c r="H16" s="164" t="str">
        <f t="shared" ref="H16:H47" si="0">_xlfn.CONCAT(",",F16," as ",B16)</f>
        <v>,p_hour as hour</v>
      </c>
      <c r="I16" s="25"/>
      <c r="J16" s="25" t="s">
        <v>4</v>
      </c>
      <c r="K16" s="25" t="s">
        <v>209</v>
      </c>
      <c r="L16" s="25" t="s">
        <v>209</v>
      </c>
    </row>
    <row r="17" spans="2:12" s="1" customFormat="1">
      <c r="B17" s="13" t="s">
        <v>214</v>
      </c>
      <c r="C17" s="13" t="s">
        <v>211</v>
      </c>
      <c r="D17" s="9" t="s">
        <v>1232</v>
      </c>
      <c r="E17" s="21" t="s">
        <v>182</v>
      </c>
      <c r="F17" s="19" t="str">
        <f>VLOOKUP(B17,'12'!B:L,1,0)</f>
        <v>interface</v>
      </c>
      <c r="G17" s="19" t="s">
        <v>208</v>
      </c>
      <c r="H17" s="164" t="str">
        <f t="shared" si="0"/>
        <v>,interface as interface</v>
      </c>
      <c r="I17" s="25"/>
      <c r="J17" s="25" t="s">
        <v>4</v>
      </c>
      <c r="K17" s="25" t="s">
        <v>209</v>
      </c>
      <c r="L17" s="25" t="s">
        <v>209</v>
      </c>
    </row>
    <row r="18" spans="2:12" s="1" customFormat="1">
      <c r="B18" s="13" t="s">
        <v>249</v>
      </c>
      <c r="C18" s="13" t="s">
        <v>206</v>
      </c>
      <c r="D18" s="9" t="s">
        <v>1235</v>
      </c>
      <c r="E18" s="21" t="s">
        <v>182</v>
      </c>
      <c r="F18" s="19" t="str">
        <f>VLOOKUP(B18,'12'!B:L,1,0)</f>
        <v>supi</v>
      </c>
      <c r="G18" s="19" t="s">
        <v>208</v>
      </c>
      <c r="H18" s="164" t="str">
        <f t="shared" si="0"/>
        <v>,supi as supi</v>
      </c>
      <c r="I18" s="25"/>
      <c r="J18" s="25" t="s">
        <v>4</v>
      </c>
      <c r="K18" s="25" t="s">
        <v>209</v>
      </c>
      <c r="L18" s="25" t="s">
        <v>209</v>
      </c>
    </row>
    <row r="19" spans="2:12" s="1" customFormat="1">
      <c r="B19" s="13" t="s">
        <v>254</v>
      </c>
      <c r="C19" s="13" t="s">
        <v>206</v>
      </c>
      <c r="D19" s="9" t="s">
        <v>1236</v>
      </c>
      <c r="E19" s="21" t="s">
        <v>182</v>
      </c>
      <c r="F19" s="19" t="str">
        <f>VLOOKUP(B19,'12'!B:L,1,0)</f>
        <v>pei</v>
      </c>
      <c r="G19" s="19" t="s">
        <v>208</v>
      </c>
      <c r="H19" s="164" t="str">
        <f t="shared" si="0"/>
        <v>,pei as pei</v>
      </c>
      <c r="I19" s="25"/>
      <c r="J19" s="25" t="s">
        <v>4</v>
      </c>
      <c r="K19" s="25" t="s">
        <v>209</v>
      </c>
      <c r="L19" s="25" t="s">
        <v>209</v>
      </c>
    </row>
    <row r="20" spans="2:12" s="1" customFormat="1">
      <c r="B20" s="13" t="s">
        <v>251</v>
      </c>
      <c r="C20" s="13" t="s">
        <v>206</v>
      </c>
      <c r="D20" s="9" t="s">
        <v>1237</v>
      </c>
      <c r="E20" s="21" t="s">
        <v>182</v>
      </c>
      <c r="F20" s="19" t="str">
        <f>VLOOKUP(B20,'12'!B:L,1,0)</f>
        <v>msisdn</v>
      </c>
      <c r="G20" s="19" t="s">
        <v>208</v>
      </c>
      <c r="H20" s="164" t="str">
        <f t="shared" si="0"/>
        <v>,msisdn as msisdn</v>
      </c>
      <c r="I20" s="25"/>
      <c r="J20" s="25" t="s">
        <v>4</v>
      </c>
      <c r="K20" s="25" t="s">
        <v>209</v>
      </c>
      <c r="L20" s="25" t="s">
        <v>209</v>
      </c>
    </row>
    <row r="21" spans="2:12" s="1" customFormat="1">
      <c r="B21" s="13" t="s">
        <v>1238</v>
      </c>
      <c r="C21" s="13" t="s">
        <v>211</v>
      </c>
      <c r="D21" s="9" t="s">
        <v>1239</v>
      </c>
      <c r="E21" s="21" t="s">
        <v>182</v>
      </c>
      <c r="F21" s="19" t="str">
        <f>VLOOKUP(B21,'12'!B:L,1,0)</f>
        <v>rat</v>
      </c>
      <c r="G21" s="19" t="s">
        <v>208</v>
      </c>
      <c r="H21" s="164" t="str">
        <f t="shared" si="0"/>
        <v>,rat as rat</v>
      </c>
      <c r="I21" s="25"/>
      <c r="J21" s="25" t="s">
        <v>4</v>
      </c>
      <c r="K21" s="25" t="s">
        <v>209</v>
      </c>
      <c r="L21" s="25" t="s">
        <v>209</v>
      </c>
    </row>
    <row r="22" spans="2:12" s="1" customFormat="1">
      <c r="B22" s="13" t="s">
        <v>264</v>
      </c>
      <c r="C22" s="13" t="s">
        <v>206</v>
      </c>
      <c r="D22" s="9" t="s">
        <v>1240</v>
      </c>
      <c r="E22" s="21" t="s">
        <v>182</v>
      </c>
      <c r="F22" s="19" t="str">
        <f>VLOOKUP(B22,'12'!B:L,1,0)</f>
        <v>home_province</v>
      </c>
      <c r="G22" s="19" t="s">
        <v>208</v>
      </c>
      <c r="H22" s="164" t="str">
        <f t="shared" si="0"/>
        <v>,home_province as home_province</v>
      </c>
      <c r="I22" s="25"/>
      <c r="J22" s="25" t="s">
        <v>4</v>
      </c>
      <c r="K22" s="25" t="s">
        <v>209</v>
      </c>
      <c r="L22" s="25" t="s">
        <v>209</v>
      </c>
    </row>
    <row r="23" spans="2:12" s="1" customFormat="1">
      <c r="B23" s="13" t="s">
        <v>1265</v>
      </c>
      <c r="C23" s="13" t="s">
        <v>206</v>
      </c>
      <c r="D23" s="9" t="s">
        <v>1266</v>
      </c>
      <c r="E23" s="21" t="s">
        <v>182</v>
      </c>
      <c r="F23" s="19" t="str">
        <f>VLOOKUP(B23,'12'!B:L,1,0)</f>
        <v>amf_ip_add</v>
      </c>
      <c r="G23" s="19" t="s">
        <v>208</v>
      </c>
      <c r="H23" s="164" t="str">
        <f t="shared" si="0"/>
        <v>,amf_ip_add as amf_ip_add</v>
      </c>
      <c r="I23" s="25"/>
      <c r="J23" s="25" t="s">
        <v>4</v>
      </c>
      <c r="K23" s="25" t="s">
        <v>209</v>
      </c>
      <c r="L23" s="25" t="s">
        <v>209</v>
      </c>
    </row>
    <row r="24" spans="2:12" s="1" customFormat="1">
      <c r="B24" s="13" t="s">
        <v>1325</v>
      </c>
      <c r="C24" s="13" t="s">
        <v>206</v>
      </c>
      <c r="D24" s="9" t="s">
        <v>730</v>
      </c>
      <c r="E24" s="21" t="s">
        <v>182</v>
      </c>
      <c r="F24" s="19" t="str">
        <f>VLOOKUP(B24,'12'!B:L,1,0)</f>
        <v>s_nssai_sst</v>
      </c>
      <c r="G24" s="19" t="s">
        <v>208</v>
      </c>
      <c r="H24" s="164" t="str">
        <f t="shared" si="0"/>
        <v>,s_nssai_sst as s_nssai_sst</v>
      </c>
      <c r="I24" s="25"/>
      <c r="J24" s="25" t="s">
        <v>4</v>
      </c>
      <c r="K24" s="25" t="s">
        <v>209</v>
      </c>
      <c r="L24" s="25" t="s">
        <v>209</v>
      </c>
    </row>
    <row r="25" spans="2:12" s="1" customFormat="1">
      <c r="B25" s="13" t="s">
        <v>1326</v>
      </c>
      <c r="C25" s="13" t="s">
        <v>206</v>
      </c>
      <c r="D25" s="9" t="s">
        <v>731</v>
      </c>
      <c r="E25" s="21" t="s">
        <v>182</v>
      </c>
      <c r="F25" s="19" t="str">
        <f>VLOOKUP(B25,'12'!B:L,1,0)</f>
        <v>s_nssai_sd</v>
      </c>
      <c r="G25" s="19" t="s">
        <v>208</v>
      </c>
      <c r="H25" s="164" t="str">
        <f t="shared" si="0"/>
        <v>,s_nssai_sd as s_nssai_sd</v>
      </c>
      <c r="I25" s="25"/>
      <c r="J25" s="25" t="s">
        <v>4</v>
      </c>
      <c r="K25" s="25" t="s">
        <v>209</v>
      </c>
      <c r="L25" s="25" t="s">
        <v>209</v>
      </c>
    </row>
    <row r="26" spans="2:12" s="1" customFormat="1">
      <c r="B26" s="13" t="s">
        <v>1328</v>
      </c>
      <c r="C26" s="13" t="s">
        <v>211</v>
      </c>
      <c r="D26" s="9" t="s">
        <v>1329</v>
      </c>
      <c r="E26" s="21" t="s">
        <v>182</v>
      </c>
      <c r="F26" s="19" t="str">
        <f>VLOOKUP(B26,'12'!B:L,1,0)</f>
        <v>tac</v>
      </c>
      <c r="G26" s="19" t="s">
        <v>208</v>
      </c>
      <c r="H26" s="164" t="str">
        <f t="shared" si="0"/>
        <v>,tac as tac</v>
      </c>
      <c r="I26" s="25"/>
      <c r="J26" s="25" t="s">
        <v>4</v>
      </c>
      <c r="K26" s="25" t="s">
        <v>209</v>
      </c>
      <c r="L26" s="25" t="s">
        <v>209</v>
      </c>
    </row>
    <row r="27" spans="2:12" s="1" customFormat="1">
      <c r="B27" s="13" t="s">
        <v>1330</v>
      </c>
      <c r="C27" s="13" t="s">
        <v>281</v>
      </c>
      <c r="D27" s="9" t="s">
        <v>1331</v>
      </c>
      <c r="E27" s="21" t="s">
        <v>182</v>
      </c>
      <c r="F27" s="19" t="str">
        <f>VLOOKUP(B27,'12'!B:L,1,0)</f>
        <v>ci</v>
      </c>
      <c r="G27" s="19" t="s">
        <v>208</v>
      </c>
      <c r="H27" s="164" t="str">
        <f t="shared" si="0"/>
        <v>,ci as ci</v>
      </c>
      <c r="I27" s="25"/>
      <c r="J27" s="25" t="s">
        <v>4</v>
      </c>
      <c r="K27" s="25" t="s">
        <v>209</v>
      </c>
      <c r="L27" s="25" t="s">
        <v>209</v>
      </c>
    </row>
    <row r="28" spans="2:12" s="1" customFormat="1">
      <c r="B28" s="13" t="s">
        <v>242</v>
      </c>
      <c r="C28" s="13" t="s">
        <v>206</v>
      </c>
      <c r="D28" s="9" t="s">
        <v>243</v>
      </c>
      <c r="E28" s="21" t="s">
        <v>182</v>
      </c>
      <c r="F28" s="19" t="s">
        <v>242</v>
      </c>
      <c r="G28" s="19" t="s">
        <v>208</v>
      </c>
      <c r="H28" s="164" t="str">
        <f t="shared" si="0"/>
        <v>,cellkey as cellkey</v>
      </c>
      <c r="I28" s="25"/>
      <c r="J28" s="25" t="s">
        <v>4</v>
      </c>
      <c r="K28" s="25" t="s">
        <v>209</v>
      </c>
      <c r="L28" s="25" t="s">
        <v>209</v>
      </c>
    </row>
    <row r="29" spans="2:12" s="1" customFormat="1">
      <c r="B29" s="13" t="s">
        <v>220</v>
      </c>
      <c r="C29" s="13" t="s">
        <v>206</v>
      </c>
      <c r="D29" s="9" t="s">
        <v>1569</v>
      </c>
      <c r="E29" s="21" t="s">
        <v>182</v>
      </c>
      <c r="F29" s="19" t="s">
        <v>222</v>
      </c>
      <c r="G29" s="19" t="s">
        <v>208</v>
      </c>
      <c r="H29" s="164" t="str">
        <f t="shared" si="0"/>
        <v>,p_provincecode as provincecode</v>
      </c>
      <c r="I29" s="25"/>
      <c r="J29" s="25" t="s">
        <v>4</v>
      </c>
      <c r="K29" s="25" t="s">
        <v>209</v>
      </c>
      <c r="L29" s="25" t="s">
        <v>209</v>
      </c>
    </row>
    <row r="30" spans="2:12" s="1" customFormat="1">
      <c r="B30" s="13" t="s">
        <v>230</v>
      </c>
      <c r="C30" s="13" t="s">
        <v>206</v>
      </c>
      <c r="D30" s="9" t="s">
        <v>231</v>
      </c>
      <c r="E30" s="21" t="s">
        <v>789</v>
      </c>
      <c r="F30" s="19" t="s">
        <v>1464</v>
      </c>
      <c r="G30" s="22" t="s">
        <v>1465</v>
      </c>
      <c r="H30" s="164" t="str">
        <f t="shared" si="0"/>
        <v>,province_name as province</v>
      </c>
      <c r="I30" s="25"/>
      <c r="J30" s="25" t="s">
        <v>4</v>
      </c>
      <c r="K30" s="25" t="s">
        <v>209</v>
      </c>
      <c r="L30" s="25" t="s">
        <v>209</v>
      </c>
    </row>
    <row r="31" spans="2:12" s="1" customFormat="1">
      <c r="B31" s="13" t="s">
        <v>224</v>
      </c>
      <c r="C31" s="13" t="s">
        <v>206</v>
      </c>
      <c r="D31" s="9" t="s">
        <v>444</v>
      </c>
      <c r="E31" s="21" t="s">
        <v>182</v>
      </c>
      <c r="F31" s="19" t="str">
        <f>VLOOKUP(B31,'12'!B:L,1,0)</f>
        <v>citycode</v>
      </c>
      <c r="G31" s="19" t="s">
        <v>208</v>
      </c>
      <c r="H31" s="164" t="str">
        <f t="shared" si="0"/>
        <v>,citycode as citycode</v>
      </c>
      <c r="I31" s="25"/>
      <c r="J31" s="25" t="s">
        <v>4</v>
      </c>
      <c r="K31" s="25" t="s">
        <v>209</v>
      </c>
      <c r="L31" s="25" t="s">
        <v>209</v>
      </c>
    </row>
    <row r="32" spans="2:12" s="1" customFormat="1">
      <c r="B32" s="13" t="s">
        <v>233</v>
      </c>
      <c r="C32" s="13" t="s">
        <v>206</v>
      </c>
      <c r="D32" s="9" t="s">
        <v>446</v>
      </c>
      <c r="E32" s="21" t="s">
        <v>182</v>
      </c>
      <c r="F32" s="19" t="str">
        <f>VLOOKUP(B32,'12'!B:L,1,0)</f>
        <v>city</v>
      </c>
      <c r="G32" s="19" t="s">
        <v>208</v>
      </c>
      <c r="H32" s="164" t="str">
        <f t="shared" si="0"/>
        <v>,city as city</v>
      </c>
      <c r="I32" s="25"/>
      <c r="J32" s="25" t="s">
        <v>4</v>
      </c>
      <c r="K32" s="25" t="s">
        <v>209</v>
      </c>
      <c r="L32" s="25" t="s">
        <v>209</v>
      </c>
    </row>
    <row r="33" spans="2:12" s="1" customFormat="1">
      <c r="B33" s="13" t="s">
        <v>228</v>
      </c>
      <c r="C33" s="13" t="s">
        <v>211</v>
      </c>
      <c r="D33" s="9" t="s">
        <v>445</v>
      </c>
      <c r="E33" s="21" t="s">
        <v>182</v>
      </c>
      <c r="F33" s="19" t="s">
        <v>228</v>
      </c>
      <c r="G33" s="19" t="s">
        <v>208</v>
      </c>
      <c r="H33" s="164" t="str">
        <f t="shared" si="0"/>
        <v>,districtcode as districtcode</v>
      </c>
      <c r="I33" s="25"/>
      <c r="J33" s="25" t="s">
        <v>4</v>
      </c>
      <c r="K33" s="25" t="s">
        <v>209</v>
      </c>
      <c r="L33" s="25" t="s">
        <v>209</v>
      </c>
    </row>
    <row r="34" spans="2:12" s="1" customFormat="1">
      <c r="B34" s="13" t="s">
        <v>236</v>
      </c>
      <c r="C34" s="13" t="s">
        <v>206</v>
      </c>
      <c r="D34" s="9" t="s">
        <v>237</v>
      </c>
      <c r="E34" s="21" t="s">
        <v>182</v>
      </c>
      <c r="F34" s="19" t="s">
        <v>236</v>
      </c>
      <c r="G34" s="19" t="s">
        <v>208</v>
      </c>
      <c r="H34" s="164" t="str">
        <f t="shared" si="0"/>
        <v>,district as district</v>
      </c>
      <c r="I34" s="25"/>
      <c r="J34" s="25" t="s">
        <v>4</v>
      </c>
      <c r="K34" s="25" t="s">
        <v>209</v>
      </c>
      <c r="L34" s="25" t="s">
        <v>209</v>
      </c>
    </row>
    <row r="35" spans="2:12" s="1" customFormat="1">
      <c r="B35" s="13" t="s">
        <v>1267</v>
      </c>
      <c r="C35" s="13" t="s">
        <v>206</v>
      </c>
      <c r="D35" s="9" t="s">
        <v>1268</v>
      </c>
      <c r="E35" s="21" t="s">
        <v>182</v>
      </c>
      <c r="F35" s="19" t="str">
        <f>VLOOKUP(B35,'12'!B:L,1,0)</f>
        <v>gnb_ip_add</v>
      </c>
      <c r="G35" s="19" t="s">
        <v>208</v>
      </c>
      <c r="H35" s="164" t="str">
        <f t="shared" si="0"/>
        <v>,gnb_ip_add as gnb_ip_add</v>
      </c>
      <c r="I35" s="25"/>
      <c r="J35" s="25" t="s">
        <v>4</v>
      </c>
      <c r="K35" s="25" t="s">
        <v>209</v>
      </c>
      <c r="L35" s="25" t="s">
        <v>209</v>
      </c>
    </row>
    <row r="36" spans="2:12" s="1" customFormat="1">
      <c r="B36" s="13" t="s">
        <v>1293</v>
      </c>
      <c r="C36" s="13" t="s">
        <v>281</v>
      </c>
      <c r="D36" s="9" t="s">
        <v>1294</v>
      </c>
      <c r="E36" s="21" t="s">
        <v>182</v>
      </c>
      <c r="F36" s="19" t="str">
        <f>VLOOKUP(B36,'12'!B:L,1,0)</f>
        <v>other_cell_id</v>
      </c>
      <c r="G36" s="19" t="s">
        <v>208</v>
      </c>
      <c r="H36" s="164" t="str">
        <f t="shared" si="0"/>
        <v>,other_cell_id as other_cell_id</v>
      </c>
      <c r="I36" s="25"/>
      <c r="J36" s="25" t="s">
        <v>4</v>
      </c>
      <c r="K36" s="25" t="s">
        <v>209</v>
      </c>
      <c r="L36" s="25" t="s">
        <v>209</v>
      </c>
    </row>
    <row r="37" spans="2:12" s="1" customFormat="1">
      <c r="B37" s="13" t="s">
        <v>2439</v>
      </c>
      <c r="C37" s="13" t="s">
        <v>206</v>
      </c>
      <c r="D37" s="9" t="s">
        <v>1359</v>
      </c>
      <c r="E37" s="21" t="s">
        <v>182</v>
      </c>
      <c r="F37" s="19" t="str">
        <f>VLOOKUP(B37,'12'!B:L,1,0)</f>
        <v>pdu_session_dnn</v>
      </c>
      <c r="G37" s="19" t="s">
        <v>208</v>
      </c>
      <c r="H37" s="164" t="str">
        <f t="shared" si="0"/>
        <v>,pdu_session_dnn as pdu_session_dnn</v>
      </c>
      <c r="I37" s="25"/>
      <c r="J37" s="25" t="s">
        <v>4</v>
      </c>
      <c r="K37" s="25" t="s">
        <v>209</v>
      </c>
      <c r="L37" s="25" t="s">
        <v>209</v>
      </c>
    </row>
    <row r="38" spans="2:12" s="1" customFormat="1">
      <c r="B38" s="13" t="s">
        <v>1570</v>
      </c>
      <c r="C38" s="13" t="s">
        <v>281</v>
      </c>
      <c r="D38" s="9" t="s">
        <v>1571</v>
      </c>
      <c r="E38" s="21" t="s">
        <v>182</v>
      </c>
      <c r="F38" s="19" t="s">
        <v>1572</v>
      </c>
      <c r="G38" s="19" t="s">
        <v>1572</v>
      </c>
      <c r="H38" s="164" t="str">
        <f t="shared" si="0"/>
        <v>,sum(case when  procedure_type=0 then  record_cnt else 0 end) as regist_request_cnt</v>
      </c>
      <c r="I38" s="25"/>
      <c r="J38" s="25" t="s">
        <v>284</v>
      </c>
      <c r="K38" s="25" t="s">
        <v>750</v>
      </c>
      <c r="L38" s="25" t="s">
        <v>285</v>
      </c>
    </row>
    <row r="39" spans="2:12" s="1" customFormat="1">
      <c r="B39" s="13" t="s">
        <v>1573</v>
      </c>
      <c r="C39" s="13" t="s">
        <v>281</v>
      </c>
      <c r="D39" s="9" t="s">
        <v>1574</v>
      </c>
      <c r="E39" s="21" t="s">
        <v>182</v>
      </c>
      <c r="F39" s="19" t="s">
        <v>1575</v>
      </c>
      <c r="G39" s="19" t="s">
        <v>1575</v>
      </c>
      <c r="H39" s="164" t="str">
        <f t="shared" si="0"/>
        <v>,sum(case when  procedure_type=0 and procedure_status=1 then  record_cnt else 0 end) as regist_succ_cnt</v>
      </c>
      <c r="I39" s="25"/>
      <c r="J39" s="25" t="s">
        <v>284</v>
      </c>
      <c r="K39" s="25" t="s">
        <v>750</v>
      </c>
      <c r="L39" s="25" t="s">
        <v>285</v>
      </c>
    </row>
    <row r="40" spans="2:12" s="1" customFormat="1">
      <c r="B40" s="13" t="s">
        <v>1576</v>
      </c>
      <c r="C40" s="13" t="s">
        <v>281</v>
      </c>
      <c r="D40" s="27" t="s">
        <v>1577</v>
      </c>
      <c r="E40" s="21" t="s">
        <v>182</v>
      </c>
      <c r="F40" s="19" t="s">
        <v>1578</v>
      </c>
      <c r="G40" s="19" t="s">
        <v>1578</v>
      </c>
      <c r="H40" s="164" t="str">
        <f t="shared" si="0"/>
        <v>,sum(case when  procedure_type=0 and procedure_status=2 then  record_cnt else 0 end) as regist_fail_cnt</v>
      </c>
      <c r="I40" s="25"/>
      <c r="J40" s="25" t="s">
        <v>284</v>
      </c>
      <c r="K40" s="25" t="s">
        <v>750</v>
      </c>
      <c r="L40" s="25" t="s">
        <v>285</v>
      </c>
    </row>
    <row r="41" spans="2:12" s="1" customFormat="1">
      <c r="B41" s="13" t="s">
        <v>1579</v>
      </c>
      <c r="C41" s="13" t="s">
        <v>281</v>
      </c>
      <c r="D41" s="9" t="s">
        <v>1580</v>
      </c>
      <c r="E41" s="21" t="s">
        <v>182</v>
      </c>
      <c r="F41" s="19" t="s">
        <v>1581</v>
      </c>
      <c r="G41" s="19" t="s">
        <v>1581</v>
      </c>
      <c r="H41" s="164" t="str">
        <f t="shared" si="0"/>
        <v>,sum(case when  procedure_type=0 and procedure_status=3 then  record_cnt else 0 end) as regist_timeout_cnt</v>
      </c>
      <c r="I41" s="25"/>
      <c r="J41" s="25" t="s">
        <v>284</v>
      </c>
      <c r="K41" s="25" t="s">
        <v>750</v>
      </c>
      <c r="L41" s="25" t="s">
        <v>285</v>
      </c>
    </row>
    <row r="42" spans="2:12" s="1" customFormat="1">
      <c r="B42" s="13" t="s">
        <v>1582</v>
      </c>
      <c r="C42" s="13" t="s">
        <v>319</v>
      </c>
      <c r="D42" s="9" t="s">
        <v>1583</v>
      </c>
      <c r="E42" s="21" t="s">
        <v>182</v>
      </c>
      <c r="F42" s="19" t="s">
        <v>1584</v>
      </c>
      <c r="G42" s="19" t="s">
        <v>1584</v>
      </c>
      <c r="H42" s="164" t="str">
        <f t="shared" si="0"/>
        <v>,sum(case when  procedure_type=0 and procedure_status=1 then  procedure_delay*record_cnt else 0 end) / sum(case when  procedure_type=0 and procedure_status=1 then  record_cnt else 0 end) as regist_delay</v>
      </c>
      <c r="I42" s="25"/>
      <c r="J42" s="25" t="s">
        <v>284</v>
      </c>
      <c r="K42" s="25" t="s">
        <v>471</v>
      </c>
      <c r="L42" s="25" t="s">
        <v>285</v>
      </c>
    </row>
    <row r="43" spans="2:12" s="1" customFormat="1">
      <c r="B43" s="13" t="s">
        <v>1585</v>
      </c>
      <c r="C43" s="13" t="s">
        <v>281</v>
      </c>
      <c r="D43" s="9" t="s">
        <v>1586</v>
      </c>
      <c r="E43" s="21" t="s">
        <v>182</v>
      </c>
      <c r="F43" s="19" t="s">
        <v>1587</v>
      </c>
      <c r="G43" s="19" t="s">
        <v>1587</v>
      </c>
      <c r="H43" s="164" t="str">
        <f t="shared" si="0"/>
        <v>,sum(case when  procedure_type=0 and keyword=1 then  record_cnt else 0 end) as regist_init_request_cnt</v>
      </c>
      <c r="I43" s="25"/>
      <c r="J43" s="25" t="s">
        <v>284</v>
      </c>
      <c r="K43" s="25" t="s">
        <v>750</v>
      </c>
      <c r="L43" s="25" t="s">
        <v>285</v>
      </c>
    </row>
    <row r="44" spans="2:12" s="1" customFormat="1">
      <c r="B44" s="13" t="s">
        <v>1588</v>
      </c>
      <c r="C44" s="26" t="s">
        <v>281</v>
      </c>
      <c r="D44" s="9" t="s">
        <v>1589</v>
      </c>
      <c r="E44" s="21" t="s">
        <v>182</v>
      </c>
      <c r="F44" s="19" t="s">
        <v>1590</v>
      </c>
      <c r="G44" s="19" t="s">
        <v>1590</v>
      </c>
      <c r="H44" s="164" t="str">
        <f t="shared" si="0"/>
        <v>,sum(case when  procedure_type=0 and keyword=1 and procedure_status=1 then  record_cnt else 0 end) as regist_init_succ_cnt</v>
      </c>
      <c r="I44" s="25"/>
      <c r="J44" s="25" t="s">
        <v>284</v>
      </c>
      <c r="K44" s="25" t="s">
        <v>750</v>
      </c>
      <c r="L44" s="25" t="s">
        <v>285</v>
      </c>
    </row>
    <row r="45" spans="2:12" s="1" customFormat="1">
      <c r="B45" s="13" t="s">
        <v>1591</v>
      </c>
      <c r="C45" s="26" t="s">
        <v>281</v>
      </c>
      <c r="D45" s="9" t="s">
        <v>1592</v>
      </c>
      <c r="E45" s="21" t="s">
        <v>182</v>
      </c>
      <c r="F45" s="19" t="s">
        <v>1593</v>
      </c>
      <c r="G45" s="19" t="s">
        <v>1593</v>
      </c>
      <c r="H45" s="164" t="str">
        <f t="shared" si="0"/>
        <v>,sum(case when  procedure_type=0 and keyword=1 and procedure_status=2 then  record_cnt else 0 end) as regist_init_fail_cnt</v>
      </c>
      <c r="I45" s="25"/>
      <c r="J45" s="25" t="s">
        <v>284</v>
      </c>
      <c r="K45" s="25" t="s">
        <v>750</v>
      </c>
      <c r="L45" s="25" t="s">
        <v>285</v>
      </c>
    </row>
    <row r="46" spans="2:12" s="1" customFormat="1">
      <c r="B46" s="13" t="s">
        <v>1594</v>
      </c>
      <c r="C46" s="26" t="s">
        <v>281</v>
      </c>
      <c r="D46" s="9" t="s">
        <v>1595</v>
      </c>
      <c r="E46" s="21" t="s">
        <v>182</v>
      </c>
      <c r="F46" s="19" t="s">
        <v>1596</v>
      </c>
      <c r="G46" s="19" t="s">
        <v>1596</v>
      </c>
      <c r="H46" s="164" t="str">
        <f t="shared" si="0"/>
        <v>,sum(case when  procedure_type=0 and keyword=1 and procedure_status=3 then  record_cnt else 0 end) as regist_init_timeout_cnt</v>
      </c>
      <c r="I46" s="25"/>
      <c r="J46" s="25" t="s">
        <v>284</v>
      </c>
      <c r="K46" s="25" t="s">
        <v>750</v>
      </c>
      <c r="L46" s="25" t="s">
        <v>285</v>
      </c>
    </row>
    <row r="47" spans="2:12" s="1" customFormat="1">
      <c r="B47" s="13" t="s">
        <v>1597</v>
      </c>
      <c r="C47" s="13" t="s">
        <v>319</v>
      </c>
      <c r="D47" s="9" t="s">
        <v>1598</v>
      </c>
      <c r="E47" s="21" t="s">
        <v>182</v>
      </c>
      <c r="F47" s="19" t="s">
        <v>1599</v>
      </c>
      <c r="G47" s="19" t="s">
        <v>1599</v>
      </c>
      <c r="H47" s="164" t="str">
        <f t="shared" si="0"/>
        <v>,sum(case when  procedure_type=0 and keyword=1 and procedure_status=1 then  procedure_delay*record_cnt else 0 end) / sum(case when  procedure_type=0 and keyword=1 and procedure_status=1 then  record_cnt else 0 end) as regist_init_delay</v>
      </c>
      <c r="I47" s="25"/>
      <c r="J47" s="25" t="s">
        <v>284</v>
      </c>
      <c r="K47" s="25" t="s">
        <v>471</v>
      </c>
      <c r="L47" s="25" t="s">
        <v>285</v>
      </c>
    </row>
    <row r="48" spans="2:12" s="1" customFormat="1">
      <c r="B48" s="13" t="s">
        <v>1600</v>
      </c>
      <c r="C48" s="26" t="s">
        <v>281</v>
      </c>
      <c r="D48" s="9" t="s">
        <v>1601</v>
      </c>
      <c r="E48" s="21" t="s">
        <v>182</v>
      </c>
      <c r="F48" s="19" t="s">
        <v>1602</v>
      </c>
      <c r="G48" s="19" t="s">
        <v>1602</v>
      </c>
      <c r="H48" s="164" t="str">
        <f t="shared" ref="H48:H79" si="1">_xlfn.CONCAT(",",F48," as ",B48)</f>
        <v>,sum(case when  procedure_type=0 and keyword=3 then  record_cnt else 0 end) as regist_periodic_request_cnt</v>
      </c>
      <c r="I48" s="25"/>
      <c r="J48" s="25" t="s">
        <v>284</v>
      </c>
      <c r="K48" s="25" t="s">
        <v>750</v>
      </c>
      <c r="L48" s="25" t="s">
        <v>285</v>
      </c>
    </row>
    <row r="49" spans="2:12" s="1" customFormat="1">
      <c r="B49" s="13" t="s">
        <v>1603</v>
      </c>
      <c r="C49" s="26" t="s">
        <v>281</v>
      </c>
      <c r="D49" s="9" t="s">
        <v>1604</v>
      </c>
      <c r="E49" s="21" t="s">
        <v>182</v>
      </c>
      <c r="F49" s="19" t="s">
        <v>1605</v>
      </c>
      <c r="G49" s="19" t="s">
        <v>1605</v>
      </c>
      <c r="H49" s="164" t="str">
        <f t="shared" si="1"/>
        <v>,sum(case when  procedure_type=0 and keyword=3 and procedure_status=1 then  record_cnt else 0 end) as regist_periodic_succ_cnt</v>
      </c>
      <c r="I49" s="25"/>
      <c r="J49" s="25" t="s">
        <v>284</v>
      </c>
      <c r="K49" s="25" t="s">
        <v>750</v>
      </c>
      <c r="L49" s="25" t="s">
        <v>285</v>
      </c>
    </row>
    <row r="50" spans="2:12" s="1" customFormat="1">
      <c r="B50" s="13" t="s">
        <v>1606</v>
      </c>
      <c r="C50" s="26" t="s">
        <v>281</v>
      </c>
      <c r="D50" s="9" t="s">
        <v>1607</v>
      </c>
      <c r="E50" s="21" t="s">
        <v>182</v>
      </c>
      <c r="F50" s="19" t="s">
        <v>1608</v>
      </c>
      <c r="G50" s="19" t="s">
        <v>1608</v>
      </c>
      <c r="H50" s="164" t="str">
        <f t="shared" si="1"/>
        <v>,sum(case when  procedure_type=0 and keyword=3 and procedure_status=2 then  record_cnt else 0 end) as regist_periodic_fail_cnt</v>
      </c>
      <c r="I50" s="25"/>
      <c r="J50" s="25" t="s">
        <v>284</v>
      </c>
      <c r="K50" s="25" t="s">
        <v>750</v>
      </c>
      <c r="L50" s="25" t="s">
        <v>285</v>
      </c>
    </row>
    <row r="51" spans="2:12" s="1" customFormat="1">
      <c r="B51" s="13" t="s">
        <v>1609</v>
      </c>
      <c r="C51" s="26" t="s">
        <v>281</v>
      </c>
      <c r="D51" s="9" t="s">
        <v>1610</v>
      </c>
      <c r="E51" s="21" t="s">
        <v>182</v>
      </c>
      <c r="F51" s="19" t="s">
        <v>1611</v>
      </c>
      <c r="G51" s="19" t="s">
        <v>1611</v>
      </c>
      <c r="H51" s="164" t="str">
        <f t="shared" si="1"/>
        <v>,sum(case when  procedure_type=0 and keyword=3 and procedure_status=3 then  record_cnt else 0 end) as regist_periodic_timeout_cnt</v>
      </c>
      <c r="I51" s="25"/>
      <c r="J51" s="25" t="s">
        <v>284</v>
      </c>
      <c r="K51" s="25" t="s">
        <v>750</v>
      </c>
      <c r="L51" s="25" t="s">
        <v>285</v>
      </c>
    </row>
    <row r="52" spans="2:12" s="1" customFormat="1">
      <c r="B52" s="13" t="s">
        <v>1612</v>
      </c>
      <c r="C52" s="13" t="s">
        <v>319</v>
      </c>
      <c r="D52" s="9" t="s">
        <v>1613</v>
      </c>
      <c r="E52" s="21" t="s">
        <v>182</v>
      </c>
      <c r="F52" s="19" t="s">
        <v>1614</v>
      </c>
      <c r="G52" s="19" t="s">
        <v>1614</v>
      </c>
      <c r="H52" s="164" t="str">
        <f t="shared" si="1"/>
        <v>,sum(case when  procedure_type=0 and keyword=3 and procedure_status=1 then  procedure_delay*record_cnt else 0 end) / sum(case when  procedure_type=0 and keyword=3 and procedure_status=1 then  record_cnt else 0 end) as regist_periodic_delay</v>
      </c>
      <c r="I52" s="25"/>
      <c r="J52" s="25" t="s">
        <v>284</v>
      </c>
      <c r="K52" s="25" t="s">
        <v>471</v>
      </c>
      <c r="L52" s="25" t="s">
        <v>285</v>
      </c>
    </row>
    <row r="53" spans="2:12" s="1" customFormat="1">
      <c r="B53" s="13" t="s">
        <v>1615</v>
      </c>
      <c r="C53" s="26" t="s">
        <v>281</v>
      </c>
      <c r="D53" s="9" t="s">
        <v>1616</v>
      </c>
      <c r="E53" s="21" t="s">
        <v>182</v>
      </c>
      <c r="F53" s="19" t="s">
        <v>1617</v>
      </c>
      <c r="G53" s="19" t="s">
        <v>1617</v>
      </c>
      <c r="H53" s="164" t="str">
        <f t="shared" si="1"/>
        <v>,sum(case when  procedure_type=0 and keyword=2 then  record_cnt else 0 end) as regist_mobility_request_cnt</v>
      </c>
      <c r="I53" s="25"/>
      <c r="J53" s="25" t="s">
        <v>284</v>
      </c>
      <c r="K53" s="25" t="s">
        <v>750</v>
      </c>
      <c r="L53" s="25" t="s">
        <v>285</v>
      </c>
    </row>
    <row r="54" spans="2:12" s="1" customFormat="1">
      <c r="B54" s="13" t="s">
        <v>1618</v>
      </c>
      <c r="C54" s="26" t="s">
        <v>281</v>
      </c>
      <c r="D54" s="9" t="s">
        <v>1619</v>
      </c>
      <c r="E54" s="21" t="s">
        <v>182</v>
      </c>
      <c r="F54" s="19" t="s">
        <v>1620</v>
      </c>
      <c r="G54" s="19" t="s">
        <v>1620</v>
      </c>
      <c r="H54" s="164" t="str">
        <f t="shared" si="1"/>
        <v>,sum(case when  procedure_type=0 and keyword=2 and procedure_status=1 then  record_cnt else 0 end) as regist_mobility_succ_cnt</v>
      </c>
      <c r="I54" s="25"/>
      <c r="J54" s="25" t="s">
        <v>284</v>
      </c>
      <c r="K54" s="25" t="s">
        <v>750</v>
      </c>
      <c r="L54" s="25" t="s">
        <v>285</v>
      </c>
    </row>
    <row r="55" spans="2:12" s="1" customFormat="1">
      <c r="B55" s="13" t="s">
        <v>1621</v>
      </c>
      <c r="C55" s="26" t="s">
        <v>281</v>
      </c>
      <c r="D55" s="9" t="s">
        <v>1622</v>
      </c>
      <c r="E55" s="21" t="s">
        <v>182</v>
      </c>
      <c r="F55" s="19" t="s">
        <v>1623</v>
      </c>
      <c r="G55" s="19" t="s">
        <v>1623</v>
      </c>
      <c r="H55" s="164" t="str">
        <f t="shared" si="1"/>
        <v>,sum(case when  procedure_type=0 and keyword=2 and procedure_status=2 then  record_cnt else 0 end) as regist_mobility_fail_cnt</v>
      </c>
      <c r="I55" s="25"/>
      <c r="J55" s="25" t="s">
        <v>284</v>
      </c>
      <c r="K55" s="25" t="s">
        <v>750</v>
      </c>
      <c r="L55" s="25" t="s">
        <v>285</v>
      </c>
    </row>
    <row r="56" spans="2:12" s="1" customFormat="1">
      <c r="B56" s="13" t="s">
        <v>1624</v>
      </c>
      <c r="C56" s="26" t="s">
        <v>281</v>
      </c>
      <c r="D56" s="9" t="s">
        <v>1625</v>
      </c>
      <c r="E56" s="21" t="s">
        <v>182</v>
      </c>
      <c r="F56" s="19" t="s">
        <v>1626</v>
      </c>
      <c r="G56" s="19" t="s">
        <v>1626</v>
      </c>
      <c r="H56" s="164" t="str">
        <f t="shared" si="1"/>
        <v>,sum(case when  procedure_type=0 and keyword=2 and procedure_status=3 then  record_cnt else 0 end) as regist_mobility_timeout_cnt</v>
      </c>
      <c r="I56" s="25"/>
      <c r="J56" s="25" t="s">
        <v>284</v>
      </c>
      <c r="K56" s="25" t="s">
        <v>750</v>
      </c>
      <c r="L56" s="25" t="s">
        <v>285</v>
      </c>
    </row>
    <row r="57" spans="2:12" s="1" customFormat="1">
      <c r="B57" s="13" t="s">
        <v>1627</v>
      </c>
      <c r="C57" s="13" t="s">
        <v>319</v>
      </c>
      <c r="D57" s="9" t="s">
        <v>1628</v>
      </c>
      <c r="E57" s="21" t="s">
        <v>182</v>
      </c>
      <c r="F57" s="19" t="s">
        <v>1629</v>
      </c>
      <c r="G57" s="19" t="s">
        <v>1629</v>
      </c>
      <c r="H57" s="164" t="str">
        <f t="shared" si="1"/>
        <v>,sum(case when  procedure_type=0 and keyword=2 and procedure_status=1 then  procedure_delay*record_cnt else 0 end) / sum(case when  procedure_type=0 and keyword=2 and procedure_status=1 then  record_cnt else 0 end) as regist_mobility_delay</v>
      </c>
      <c r="I57" s="25"/>
      <c r="J57" s="25" t="s">
        <v>284</v>
      </c>
      <c r="K57" s="25" t="s">
        <v>471</v>
      </c>
      <c r="L57" s="25" t="s">
        <v>285</v>
      </c>
    </row>
    <row r="58" spans="2:12" s="1" customFormat="1">
      <c r="B58" s="13" t="s">
        <v>1630</v>
      </c>
      <c r="C58" s="26" t="s">
        <v>281</v>
      </c>
      <c r="D58" s="9" t="s">
        <v>1631</v>
      </c>
      <c r="E58" s="21" t="s">
        <v>182</v>
      </c>
      <c r="F58" s="19" t="s">
        <v>1632</v>
      </c>
      <c r="G58" s="19" t="s">
        <v>1632</v>
      </c>
      <c r="H58" s="164" t="str">
        <f t="shared" si="1"/>
        <v>,sum(case when  procedure_type=0 and keyword=4 then  record_cnt else 0 end) as regist_emergency_request_cnt</v>
      </c>
      <c r="I58" s="25"/>
      <c r="J58" s="25" t="s">
        <v>284</v>
      </c>
      <c r="K58" s="25" t="s">
        <v>750</v>
      </c>
      <c r="L58" s="25" t="s">
        <v>285</v>
      </c>
    </row>
    <row r="59" spans="2:12" s="1" customFormat="1">
      <c r="B59" s="13" t="s">
        <v>1633</v>
      </c>
      <c r="C59" s="26" t="s">
        <v>281</v>
      </c>
      <c r="D59" s="9" t="s">
        <v>1634</v>
      </c>
      <c r="E59" s="21" t="s">
        <v>182</v>
      </c>
      <c r="F59" s="19" t="s">
        <v>1635</v>
      </c>
      <c r="G59" s="19" t="s">
        <v>1635</v>
      </c>
      <c r="H59" s="164" t="str">
        <f t="shared" si="1"/>
        <v>,sum(case when  procedure_type=0 and keyword=4 and procedure_status=1 then  record_cnt else 0 end) as regist_emergency_succ_cnt</v>
      </c>
      <c r="I59" s="25"/>
      <c r="J59" s="25" t="s">
        <v>284</v>
      </c>
      <c r="K59" s="25" t="s">
        <v>750</v>
      </c>
      <c r="L59" s="25" t="s">
        <v>285</v>
      </c>
    </row>
    <row r="60" spans="2:12" s="1" customFormat="1">
      <c r="B60" s="13" t="s">
        <v>1636</v>
      </c>
      <c r="C60" s="26" t="s">
        <v>281</v>
      </c>
      <c r="D60" s="9" t="s">
        <v>1637</v>
      </c>
      <c r="E60" s="21" t="s">
        <v>182</v>
      </c>
      <c r="F60" s="19" t="s">
        <v>1638</v>
      </c>
      <c r="G60" s="19" t="s">
        <v>1638</v>
      </c>
      <c r="H60" s="164" t="str">
        <f t="shared" si="1"/>
        <v>,sum(case when  procedure_type=0 and keyword=4 and procedure_status=2 then  record_cnt else 0 end) as regist_emergency_fail_cnt</v>
      </c>
      <c r="I60" s="25"/>
      <c r="J60" s="25" t="s">
        <v>284</v>
      </c>
      <c r="K60" s="25" t="s">
        <v>750</v>
      </c>
      <c r="L60" s="25" t="s">
        <v>285</v>
      </c>
    </row>
    <row r="61" spans="2:12" s="1" customFormat="1">
      <c r="B61" s="13" t="s">
        <v>1639</v>
      </c>
      <c r="C61" s="26" t="s">
        <v>281</v>
      </c>
      <c r="D61" s="9" t="s">
        <v>1640</v>
      </c>
      <c r="E61" s="21" t="s">
        <v>182</v>
      </c>
      <c r="F61" s="19" t="s">
        <v>1641</v>
      </c>
      <c r="G61" s="19" t="s">
        <v>1641</v>
      </c>
      <c r="H61" s="164" t="str">
        <f t="shared" si="1"/>
        <v>,sum(case when  procedure_type=0 and keyword=4 and procedure_status=3 then  record_cnt else 0 end) as regist_emergency_timeout_cnt</v>
      </c>
      <c r="I61" s="25"/>
      <c r="J61" s="25" t="s">
        <v>284</v>
      </c>
      <c r="K61" s="25" t="s">
        <v>750</v>
      </c>
      <c r="L61" s="25" t="s">
        <v>285</v>
      </c>
    </row>
    <row r="62" spans="2:12" s="1" customFormat="1">
      <c r="B62" s="13" t="s">
        <v>1642</v>
      </c>
      <c r="C62" s="13" t="s">
        <v>319</v>
      </c>
      <c r="D62" s="9" t="s">
        <v>1643</v>
      </c>
      <c r="E62" s="21" t="s">
        <v>182</v>
      </c>
      <c r="F62" s="19" t="s">
        <v>1644</v>
      </c>
      <c r="G62" s="19" t="s">
        <v>1644</v>
      </c>
      <c r="H62" s="164" t="str">
        <f t="shared" si="1"/>
        <v>,sum(case when  procedure_type=0 and keyword=4 and procedure_status=1 then  procedure_delay*record_cnt else 0 end) / sum(case when  procedure_type=0 and keyword=4 and procedure_status=1 then  record_cnt else 0 end) as regist_emergency_delay</v>
      </c>
      <c r="I62" s="25"/>
      <c r="J62" s="25" t="s">
        <v>284</v>
      </c>
      <c r="K62" s="25" t="s">
        <v>471</v>
      </c>
      <c r="L62" s="25" t="s">
        <v>285</v>
      </c>
    </row>
    <row r="63" spans="2:12" s="1" customFormat="1">
      <c r="B63" s="13" t="s">
        <v>1645</v>
      </c>
      <c r="C63" s="26" t="s">
        <v>281</v>
      </c>
      <c r="D63" s="9" t="s">
        <v>1646</v>
      </c>
      <c r="E63" s="21" t="s">
        <v>182</v>
      </c>
      <c r="F63" s="19" t="s">
        <v>1647</v>
      </c>
      <c r="G63" s="19" t="s">
        <v>1647</v>
      </c>
      <c r="H63" s="164" t="str">
        <f t="shared" si="1"/>
        <v>,sum(case when  procedure_type=2 then  record_cnt else 0 end) as servicerequest_request_cnt</v>
      </c>
      <c r="I63" s="25"/>
      <c r="J63" s="25" t="s">
        <v>284</v>
      </c>
      <c r="K63" s="25" t="s">
        <v>750</v>
      </c>
      <c r="L63" s="25" t="s">
        <v>285</v>
      </c>
    </row>
    <row r="64" spans="2:12" s="1" customFormat="1">
      <c r="B64" s="13" t="s">
        <v>1648</v>
      </c>
      <c r="C64" s="26" t="s">
        <v>281</v>
      </c>
      <c r="D64" s="9" t="s">
        <v>1649</v>
      </c>
      <c r="E64" s="21" t="s">
        <v>182</v>
      </c>
      <c r="F64" s="19" t="s">
        <v>1650</v>
      </c>
      <c r="G64" s="19" t="s">
        <v>1650</v>
      </c>
      <c r="H64" s="164" t="str">
        <f t="shared" si="1"/>
        <v>,sum(case when  procedure_type=2 and procedure_status=1 then  record_cnt else 0 end) as servicerequest_succ_cnt</v>
      </c>
      <c r="I64" s="25"/>
      <c r="J64" s="25" t="s">
        <v>284</v>
      </c>
      <c r="K64" s="25" t="s">
        <v>750</v>
      </c>
      <c r="L64" s="25" t="s">
        <v>285</v>
      </c>
    </row>
    <row r="65" spans="1:25" s="1" customFormat="1">
      <c r="B65" s="13" t="s">
        <v>1651</v>
      </c>
      <c r="C65" s="26" t="s">
        <v>281</v>
      </c>
      <c r="D65" s="9" t="s">
        <v>1652</v>
      </c>
      <c r="E65" s="21" t="s">
        <v>182</v>
      </c>
      <c r="F65" s="19" t="s">
        <v>1653</v>
      </c>
      <c r="G65" s="19" t="s">
        <v>1653</v>
      </c>
      <c r="H65" s="164" t="str">
        <f t="shared" si="1"/>
        <v>,sum(case when  procedure_type=2 and procedure_status=2 then  record_cnt else 0 end) as servicerequest_fail_cnt</v>
      </c>
      <c r="I65" s="25"/>
      <c r="J65" s="25" t="s">
        <v>284</v>
      </c>
      <c r="K65" s="25" t="s">
        <v>750</v>
      </c>
      <c r="L65" s="25" t="s">
        <v>285</v>
      </c>
    </row>
    <row r="66" spans="1:25" s="1" customFormat="1">
      <c r="B66" s="13" t="s">
        <v>1654</v>
      </c>
      <c r="C66" s="26" t="s">
        <v>281</v>
      </c>
      <c r="D66" s="9" t="s">
        <v>1655</v>
      </c>
      <c r="E66" s="21" t="s">
        <v>182</v>
      </c>
      <c r="F66" s="19" t="s">
        <v>1656</v>
      </c>
      <c r="G66" s="19" t="s">
        <v>1656</v>
      </c>
      <c r="H66" s="164" t="str">
        <f t="shared" si="1"/>
        <v>,sum(case when  procedure_type=2 and procedure_status=3 then  record_cnt else 0 end) as servicerequest_timeout_cnt</v>
      </c>
      <c r="I66" s="25"/>
      <c r="J66" s="25" t="s">
        <v>284</v>
      </c>
      <c r="K66" s="25" t="s">
        <v>750</v>
      </c>
      <c r="L66" s="25" t="s">
        <v>285</v>
      </c>
    </row>
    <row r="67" spans="1:25" s="1" customFormat="1">
      <c r="B67" s="13" t="s">
        <v>1657</v>
      </c>
      <c r="C67" s="13" t="s">
        <v>319</v>
      </c>
      <c r="D67" s="9" t="s">
        <v>1658</v>
      </c>
      <c r="E67" s="21" t="s">
        <v>182</v>
      </c>
      <c r="F67" s="19" t="s">
        <v>1659</v>
      </c>
      <c r="G67" s="19" t="s">
        <v>1659</v>
      </c>
      <c r="H67" s="164" t="str">
        <f t="shared" si="1"/>
        <v>,sum(case when  procedure_type=2 and procedure_status=1 then  procedure_delay*record_cnt else 0 end) / sum(case when  procedure_type=2 and procedure_status=1 then  record_cnt else 0 end) as servicerequest_delay</v>
      </c>
      <c r="I67" s="25"/>
      <c r="J67" s="25" t="s">
        <v>284</v>
      </c>
      <c r="K67" s="25" t="s">
        <v>471</v>
      </c>
      <c r="L67" s="25" t="s">
        <v>285</v>
      </c>
    </row>
    <row r="68" spans="1:25" s="52" customFormat="1" ht="15.6">
      <c r="A68" s="53">
        <f t="shared" ref="A68:A72" si="2">ROW()-1</f>
        <v>67</v>
      </c>
      <c r="B68" s="54" t="s">
        <v>2442</v>
      </c>
      <c r="C68" s="55" t="s">
        <v>281</v>
      </c>
      <c r="D68" s="56" t="s">
        <v>1661</v>
      </c>
      <c r="E68" s="21" t="s">
        <v>182</v>
      </c>
      <c r="F68" s="19" t="s">
        <v>1647</v>
      </c>
      <c r="G68" s="175" t="s">
        <v>2468</v>
      </c>
      <c r="H68" s="164" t="str">
        <f t="shared" si="1"/>
        <v>,sum(case when  procedure_type=2 then  record_cnt else 0 end) as sms_request_cnt</v>
      </c>
      <c r="I68" s="57"/>
      <c r="J68" s="25" t="s">
        <v>284</v>
      </c>
      <c r="K68" s="25" t="s">
        <v>750</v>
      </c>
      <c r="L68" s="25" t="s">
        <v>285</v>
      </c>
      <c r="M68" s="1"/>
      <c r="N68" s="1"/>
      <c r="O68" s="1"/>
      <c r="P68" s="1"/>
      <c r="Q68" s="1"/>
      <c r="R68" s="1"/>
      <c r="S68" s="1"/>
      <c r="T68" s="1"/>
      <c r="U68" s="1"/>
      <c r="V68" s="1"/>
      <c r="W68" s="1"/>
      <c r="X68" s="1"/>
      <c r="Y68" s="1"/>
    </row>
    <row r="69" spans="1:25" s="52" customFormat="1" ht="15.6">
      <c r="A69" s="53">
        <f t="shared" si="2"/>
        <v>68</v>
      </c>
      <c r="B69" s="54" t="s">
        <v>2443</v>
      </c>
      <c r="C69" s="55" t="s">
        <v>281</v>
      </c>
      <c r="D69" s="56" t="s">
        <v>1663</v>
      </c>
      <c r="E69" s="21" t="s">
        <v>182</v>
      </c>
      <c r="F69" s="19" t="s">
        <v>1650</v>
      </c>
      <c r="G69" s="175" t="s">
        <v>2469</v>
      </c>
      <c r="H69" s="164" t="str">
        <f t="shared" si="1"/>
        <v>,sum(case when  procedure_type=2 and procedure_status=1 then  record_cnt else 0 end) as sms_succ_cnt</v>
      </c>
      <c r="I69" s="57"/>
      <c r="J69" s="25" t="s">
        <v>284</v>
      </c>
      <c r="K69" s="25" t="s">
        <v>750</v>
      </c>
      <c r="L69" s="25" t="s">
        <v>285</v>
      </c>
      <c r="M69" s="1"/>
      <c r="N69" s="1"/>
      <c r="O69" s="1"/>
      <c r="P69" s="1"/>
      <c r="Q69" s="1"/>
      <c r="R69" s="1"/>
      <c r="S69" s="1"/>
      <c r="T69" s="1"/>
      <c r="U69" s="1"/>
      <c r="V69" s="1"/>
      <c r="W69" s="1"/>
      <c r="X69" s="1"/>
      <c r="Y69" s="1"/>
    </row>
    <row r="70" spans="1:25" s="52" customFormat="1" ht="15.6">
      <c r="A70" s="53">
        <f t="shared" si="2"/>
        <v>69</v>
      </c>
      <c r="B70" s="54" t="s">
        <v>2444</v>
      </c>
      <c r="C70" s="55" t="s">
        <v>281</v>
      </c>
      <c r="D70" s="56" t="s">
        <v>1665</v>
      </c>
      <c r="E70" s="21" t="s">
        <v>182</v>
      </c>
      <c r="F70" s="19" t="s">
        <v>1653</v>
      </c>
      <c r="G70" s="175" t="s">
        <v>2470</v>
      </c>
      <c r="H70" s="164" t="str">
        <f t="shared" si="1"/>
        <v>,sum(case when  procedure_type=2 and procedure_status=2 then  record_cnt else 0 end) as sms_fail_cnt</v>
      </c>
      <c r="I70" s="57"/>
      <c r="J70" s="25" t="s">
        <v>284</v>
      </c>
      <c r="K70" s="25" t="s">
        <v>750</v>
      </c>
      <c r="L70" s="25" t="s">
        <v>285</v>
      </c>
      <c r="M70" s="1"/>
      <c r="N70" s="1"/>
      <c r="O70" s="1"/>
      <c r="P70" s="1"/>
      <c r="Q70" s="1"/>
      <c r="R70" s="1"/>
      <c r="S70" s="1"/>
      <c r="T70" s="1"/>
      <c r="U70" s="1"/>
      <c r="V70" s="1"/>
      <c r="W70" s="1"/>
      <c r="X70" s="1"/>
      <c r="Y70" s="1"/>
    </row>
    <row r="71" spans="1:25" s="52" customFormat="1" ht="15.6">
      <c r="A71" s="53">
        <f t="shared" si="2"/>
        <v>70</v>
      </c>
      <c r="B71" s="54" t="s">
        <v>2445</v>
      </c>
      <c r="C71" s="55" t="s">
        <v>281</v>
      </c>
      <c r="D71" s="56" t="s">
        <v>1667</v>
      </c>
      <c r="E71" s="21" t="s">
        <v>182</v>
      </c>
      <c r="F71" s="19" t="s">
        <v>1656</v>
      </c>
      <c r="G71" s="175" t="s">
        <v>2471</v>
      </c>
      <c r="H71" s="164" t="str">
        <f t="shared" si="1"/>
        <v>,sum(case when  procedure_type=2 and procedure_status=3 then  record_cnt else 0 end) as sms_timeout_cnt</v>
      </c>
      <c r="I71" s="57"/>
      <c r="J71" s="25" t="s">
        <v>284</v>
      </c>
      <c r="K71" s="25" t="s">
        <v>750</v>
      </c>
      <c r="L71" s="25" t="s">
        <v>285</v>
      </c>
      <c r="M71" s="1"/>
      <c r="N71" s="1"/>
      <c r="O71" s="1"/>
      <c r="P71" s="1"/>
      <c r="Q71" s="1"/>
      <c r="R71" s="1"/>
      <c r="S71" s="1"/>
      <c r="T71" s="1"/>
      <c r="U71" s="1"/>
      <c r="V71" s="1"/>
      <c r="W71" s="1"/>
      <c r="X71" s="1"/>
      <c r="Y71" s="1"/>
    </row>
    <row r="72" spans="1:25" s="52" customFormat="1" ht="15.6">
      <c r="A72" s="53">
        <f t="shared" si="2"/>
        <v>71</v>
      </c>
      <c r="B72" s="54" t="s">
        <v>1668</v>
      </c>
      <c r="C72" s="55" t="s">
        <v>281</v>
      </c>
      <c r="D72" s="56" t="s">
        <v>1669</v>
      </c>
      <c r="E72" s="21" t="s">
        <v>182</v>
      </c>
      <c r="F72" s="19" t="s">
        <v>1659</v>
      </c>
      <c r="G72" s="175" t="s">
        <v>2472</v>
      </c>
      <c r="H72" s="164" t="str">
        <f t="shared" si="1"/>
        <v>,sum(case when  procedure_type=2 and procedure_status=1 then  procedure_delay*record_cnt else 0 end) / sum(case when  procedure_type=2 and procedure_status=1 then  record_cnt else 0 end) as sms_delay</v>
      </c>
      <c r="I72" s="57"/>
      <c r="J72" s="25" t="s">
        <v>284</v>
      </c>
      <c r="K72" s="25" t="s">
        <v>471</v>
      </c>
      <c r="L72" s="25" t="s">
        <v>285</v>
      </c>
      <c r="M72" s="1"/>
      <c r="N72" s="1"/>
      <c r="O72" s="1"/>
      <c r="P72" s="1"/>
      <c r="Q72" s="1"/>
      <c r="R72" s="1"/>
      <c r="S72" s="1"/>
      <c r="T72" s="1"/>
      <c r="U72" s="1"/>
      <c r="V72" s="1"/>
      <c r="W72" s="1"/>
      <c r="X72" s="1"/>
      <c r="Y72" s="1"/>
    </row>
    <row r="73" spans="1:25" s="1" customFormat="1">
      <c r="B73" s="13" t="s">
        <v>1670</v>
      </c>
      <c r="C73" s="26" t="s">
        <v>281</v>
      </c>
      <c r="D73" s="9" t="s">
        <v>1671</v>
      </c>
      <c r="E73" s="21" t="s">
        <v>182</v>
      </c>
      <c r="F73" s="19" t="s">
        <v>1672</v>
      </c>
      <c r="G73" s="175" t="s">
        <v>2473</v>
      </c>
      <c r="H73" s="164" t="str">
        <f t="shared" si="1"/>
        <v>,sum(case when  procedure_type=2 and keyword=0 then  record_cnt else 0 end) as sms_mo_request_cnt</v>
      </c>
      <c r="I73" s="25"/>
      <c r="J73" s="25" t="s">
        <v>284</v>
      </c>
      <c r="K73" s="25" t="s">
        <v>750</v>
      </c>
      <c r="L73" s="25" t="s">
        <v>285</v>
      </c>
    </row>
    <row r="74" spans="1:25" s="1" customFormat="1">
      <c r="B74" s="13" t="s">
        <v>1673</v>
      </c>
      <c r="C74" s="26" t="s">
        <v>281</v>
      </c>
      <c r="D74" s="9" t="s">
        <v>1674</v>
      </c>
      <c r="E74" s="21" t="s">
        <v>182</v>
      </c>
      <c r="F74" s="19" t="s">
        <v>1675</v>
      </c>
      <c r="G74" s="175" t="s">
        <v>2474</v>
      </c>
      <c r="H74" s="164" t="str">
        <f t="shared" si="1"/>
        <v>,sum(case when  procedure_type=2 and keyword=0 and procedure_status=1 then  record_cnt else 0 end) as sms_mo_succ_cnt</v>
      </c>
      <c r="I74" s="25"/>
      <c r="J74" s="25" t="s">
        <v>284</v>
      </c>
      <c r="K74" s="25" t="s">
        <v>750</v>
      </c>
      <c r="L74" s="25" t="s">
        <v>285</v>
      </c>
    </row>
    <row r="75" spans="1:25" s="1" customFormat="1">
      <c r="B75" s="13" t="s">
        <v>1676</v>
      </c>
      <c r="C75" s="26" t="s">
        <v>281</v>
      </c>
      <c r="D75" s="9" t="s">
        <v>1677</v>
      </c>
      <c r="E75" s="21" t="s">
        <v>182</v>
      </c>
      <c r="F75" s="19" t="s">
        <v>1678</v>
      </c>
      <c r="G75" s="175" t="s">
        <v>2475</v>
      </c>
      <c r="H75" s="164" t="str">
        <f t="shared" si="1"/>
        <v>,sum(case when  procedure_type=2 and keyword=0 and procedure_status=2 then  record_cnt else 0 end) as sms_mo_fail_cnt</v>
      </c>
      <c r="I75" s="25"/>
      <c r="J75" s="25" t="s">
        <v>284</v>
      </c>
      <c r="K75" s="25" t="s">
        <v>750</v>
      </c>
      <c r="L75" s="25" t="s">
        <v>285</v>
      </c>
    </row>
    <row r="76" spans="1:25" s="1" customFormat="1">
      <c r="B76" s="13" t="s">
        <v>1679</v>
      </c>
      <c r="C76" s="26" t="s">
        <v>281</v>
      </c>
      <c r="D76" s="9" t="s">
        <v>1680</v>
      </c>
      <c r="E76" s="21" t="s">
        <v>182</v>
      </c>
      <c r="F76" s="19" t="s">
        <v>1681</v>
      </c>
      <c r="G76" s="175" t="s">
        <v>2476</v>
      </c>
      <c r="H76" s="164" t="str">
        <f t="shared" si="1"/>
        <v>,sum(case when  procedure_type=2 and keyword=0 and procedure_status=3 then  record_cnt else 0 end) as sms_mo_timeout_cnt</v>
      </c>
      <c r="I76" s="25"/>
      <c r="J76" s="25" t="s">
        <v>284</v>
      </c>
      <c r="K76" s="25" t="s">
        <v>750</v>
      </c>
      <c r="L76" s="25" t="s">
        <v>285</v>
      </c>
    </row>
    <row r="77" spans="1:25" s="1" customFormat="1">
      <c r="B77" s="13" t="s">
        <v>1682</v>
      </c>
      <c r="C77" s="13" t="s">
        <v>319</v>
      </c>
      <c r="D77" s="9" t="s">
        <v>1683</v>
      </c>
      <c r="E77" s="21" t="s">
        <v>182</v>
      </c>
      <c r="F77" s="19" t="s">
        <v>1684</v>
      </c>
      <c r="G77" s="175" t="s">
        <v>2477</v>
      </c>
      <c r="H77" s="164" t="str">
        <f t="shared" si="1"/>
        <v>,sum(case when  procedure_type=2 and keyword=0 and procedure_status=1 then  procedure_delay*record_cnt else 0 end) / sum(case when  procedure_type=2 and keyword=0 and procedure_status=1 then  record_cnt else 0 end) as sms_mo_delay</v>
      </c>
      <c r="I77" s="25"/>
      <c r="J77" s="25" t="s">
        <v>284</v>
      </c>
      <c r="K77" s="25" t="s">
        <v>471</v>
      </c>
      <c r="L77" s="25" t="s">
        <v>285</v>
      </c>
    </row>
    <row r="78" spans="1:25" s="1" customFormat="1">
      <c r="B78" s="13" t="s">
        <v>1685</v>
      </c>
      <c r="C78" s="26" t="s">
        <v>281</v>
      </c>
      <c r="D78" s="9" t="s">
        <v>1686</v>
      </c>
      <c r="E78" s="21" t="s">
        <v>182</v>
      </c>
      <c r="F78" s="19" t="s">
        <v>1687</v>
      </c>
      <c r="G78" s="175" t="s">
        <v>2478</v>
      </c>
      <c r="H78" s="164" t="str">
        <f t="shared" si="1"/>
        <v>,sum(case when  procedure_type=2 and keyword=1 then  record_cnt else 0 end) as sms_mt_request_cnt</v>
      </c>
      <c r="I78" s="25"/>
      <c r="J78" s="25" t="s">
        <v>284</v>
      </c>
      <c r="K78" s="25" t="s">
        <v>750</v>
      </c>
      <c r="L78" s="25" t="s">
        <v>285</v>
      </c>
    </row>
    <row r="79" spans="1:25" s="1" customFormat="1">
      <c r="B79" s="13" t="s">
        <v>1688</v>
      </c>
      <c r="C79" s="26" t="s">
        <v>281</v>
      </c>
      <c r="D79" s="9" t="s">
        <v>1689</v>
      </c>
      <c r="E79" s="21" t="s">
        <v>182</v>
      </c>
      <c r="F79" s="19" t="s">
        <v>1690</v>
      </c>
      <c r="G79" s="175" t="s">
        <v>2479</v>
      </c>
      <c r="H79" s="164" t="str">
        <f t="shared" si="1"/>
        <v>,sum(case when  procedure_type=2 and keyword=1 and procedure_status=1 then  record_cnt else 0 end) as sms_mt_succ_cnt</v>
      </c>
      <c r="I79" s="25"/>
      <c r="J79" s="25" t="s">
        <v>284</v>
      </c>
      <c r="K79" s="25" t="s">
        <v>750</v>
      </c>
      <c r="L79" s="25" t="s">
        <v>285</v>
      </c>
    </row>
    <row r="80" spans="1:25" s="1" customFormat="1">
      <c r="B80" s="13" t="s">
        <v>1691</v>
      </c>
      <c r="C80" s="26" t="s">
        <v>281</v>
      </c>
      <c r="D80" s="9" t="s">
        <v>1692</v>
      </c>
      <c r="E80" s="21" t="s">
        <v>182</v>
      </c>
      <c r="F80" s="19" t="s">
        <v>1693</v>
      </c>
      <c r="G80" s="175" t="s">
        <v>2480</v>
      </c>
      <c r="H80" s="164" t="str">
        <f t="shared" ref="H80:H111" si="3">_xlfn.CONCAT(",",F80," as ",B80)</f>
        <v>,sum(case when  procedure_type=2 and keyword=1 and procedure_status=2 then  record_cnt else 0 end) as sms_mt_fail_cnt</v>
      </c>
      <c r="I80" s="25"/>
      <c r="J80" s="25" t="s">
        <v>284</v>
      </c>
      <c r="K80" s="25" t="s">
        <v>750</v>
      </c>
      <c r="L80" s="25" t="s">
        <v>285</v>
      </c>
    </row>
    <row r="81" spans="2:12" s="1" customFormat="1">
      <c r="B81" s="13" t="s">
        <v>1694</v>
      </c>
      <c r="C81" s="26" t="s">
        <v>281</v>
      </c>
      <c r="D81" s="9" t="s">
        <v>1695</v>
      </c>
      <c r="E81" s="21" t="s">
        <v>182</v>
      </c>
      <c r="F81" s="19" t="s">
        <v>1696</v>
      </c>
      <c r="G81" s="175" t="s">
        <v>2481</v>
      </c>
      <c r="H81" s="164" t="str">
        <f t="shared" si="3"/>
        <v>,sum(case when  procedure_type=2 and keyword=1 and procedure_status=3 then  record_cnt else 0 end) as sms_mt_timeout_cnt</v>
      </c>
      <c r="I81" s="25"/>
      <c r="J81" s="25" t="s">
        <v>284</v>
      </c>
      <c r="K81" s="25" t="s">
        <v>750</v>
      </c>
      <c r="L81" s="25" t="s">
        <v>285</v>
      </c>
    </row>
    <row r="82" spans="2:12" s="1" customFormat="1">
      <c r="B82" s="13" t="s">
        <v>1697</v>
      </c>
      <c r="C82" s="13" t="s">
        <v>319</v>
      </c>
      <c r="D82" s="9" t="s">
        <v>1698</v>
      </c>
      <c r="E82" s="21" t="s">
        <v>182</v>
      </c>
      <c r="F82" s="19" t="s">
        <v>1699</v>
      </c>
      <c r="G82" s="175" t="s">
        <v>2482</v>
      </c>
      <c r="H82" s="164" t="str">
        <f t="shared" si="3"/>
        <v>,sum(case when  procedure_type=2 and keyword=1 and procedure_status=1 then  procedure_delay*record_cnt else 0 end) / sum(case when  procedure_type=2 and keyword=1 and procedure_status=1 then  record_cnt else 0 end) as sms_mt_delay</v>
      </c>
      <c r="I82" s="25"/>
      <c r="J82" s="25" t="s">
        <v>284</v>
      </c>
      <c r="K82" s="25" t="s">
        <v>471</v>
      </c>
      <c r="L82" s="25" t="s">
        <v>285</v>
      </c>
    </row>
    <row r="83" spans="2:12" s="1" customFormat="1">
      <c r="B83" s="13" t="s">
        <v>1700</v>
      </c>
      <c r="C83" s="26" t="s">
        <v>281</v>
      </c>
      <c r="D83" s="9" t="s">
        <v>1701</v>
      </c>
      <c r="E83" s="21" t="s">
        <v>182</v>
      </c>
      <c r="F83" s="19" t="s">
        <v>1702</v>
      </c>
      <c r="G83" s="19" t="s">
        <v>1702</v>
      </c>
      <c r="H83" s="164" t="str">
        <f t="shared" si="3"/>
        <v>,sum(case when  procedure_type=30 then  record_cnt else 0 end) as pdusession_estab_request_cnt</v>
      </c>
      <c r="I83" s="25"/>
      <c r="J83" s="25" t="s">
        <v>284</v>
      </c>
      <c r="K83" s="25" t="s">
        <v>750</v>
      </c>
      <c r="L83" s="25" t="s">
        <v>285</v>
      </c>
    </row>
    <row r="84" spans="2:12" s="1" customFormat="1">
      <c r="B84" s="13" t="s">
        <v>1703</v>
      </c>
      <c r="C84" s="26" t="s">
        <v>281</v>
      </c>
      <c r="D84" s="9" t="s">
        <v>1704</v>
      </c>
      <c r="E84" s="21" t="s">
        <v>182</v>
      </c>
      <c r="F84" s="19" t="s">
        <v>1705</v>
      </c>
      <c r="G84" s="19" t="s">
        <v>1705</v>
      </c>
      <c r="H84" s="164" t="str">
        <f t="shared" si="3"/>
        <v>,sum(case when  procedure_type=30 and procedure_status=1 then  record_cnt else 0 end) as pdusession_estab_succ_cnt</v>
      </c>
      <c r="I84" s="25"/>
      <c r="J84" s="25" t="s">
        <v>284</v>
      </c>
      <c r="K84" s="25" t="s">
        <v>750</v>
      </c>
      <c r="L84" s="25" t="s">
        <v>285</v>
      </c>
    </row>
    <row r="85" spans="2:12" s="1" customFormat="1">
      <c r="B85" s="13" t="s">
        <v>1706</v>
      </c>
      <c r="C85" s="26" t="s">
        <v>281</v>
      </c>
      <c r="D85" s="9" t="s">
        <v>1707</v>
      </c>
      <c r="E85" s="21" t="s">
        <v>182</v>
      </c>
      <c r="F85" s="19" t="s">
        <v>1708</v>
      </c>
      <c r="G85" s="19" t="s">
        <v>1708</v>
      </c>
      <c r="H85" s="164" t="str">
        <f t="shared" si="3"/>
        <v>,sum(case when  procedure_type=30 and procedure_status=2 then  record_cnt else 0 end) as pdusession_estab_fail_cnt</v>
      </c>
      <c r="I85" s="25"/>
      <c r="J85" s="25" t="s">
        <v>284</v>
      </c>
      <c r="K85" s="25" t="s">
        <v>750</v>
      </c>
      <c r="L85" s="25" t="s">
        <v>285</v>
      </c>
    </row>
    <row r="86" spans="2:12" s="1" customFormat="1">
      <c r="B86" s="13" t="s">
        <v>1709</v>
      </c>
      <c r="C86" s="26" t="s">
        <v>281</v>
      </c>
      <c r="D86" s="9" t="s">
        <v>1710</v>
      </c>
      <c r="E86" s="21" t="s">
        <v>182</v>
      </c>
      <c r="F86" s="19" t="s">
        <v>1711</v>
      </c>
      <c r="G86" s="19" t="s">
        <v>1711</v>
      </c>
      <c r="H86" s="164" t="str">
        <f t="shared" si="3"/>
        <v>,sum(case when  procedure_type=30 and procedure_status=3 then  record_cnt else 0 end) as pdusession_estab_timeout_cnt</v>
      </c>
      <c r="I86" s="25"/>
      <c r="J86" s="25" t="s">
        <v>284</v>
      </c>
      <c r="K86" s="25" t="s">
        <v>750</v>
      </c>
      <c r="L86" s="25" t="s">
        <v>285</v>
      </c>
    </row>
    <row r="87" spans="2:12" s="1" customFormat="1">
      <c r="B87" s="13" t="s">
        <v>1712</v>
      </c>
      <c r="C87" s="13" t="s">
        <v>319</v>
      </c>
      <c r="D87" s="9" t="s">
        <v>1713</v>
      </c>
      <c r="E87" s="21" t="s">
        <v>182</v>
      </c>
      <c r="F87" s="19" t="s">
        <v>1714</v>
      </c>
      <c r="G87" s="19" t="s">
        <v>1714</v>
      </c>
      <c r="H87" s="164" t="str">
        <f t="shared" si="3"/>
        <v>,sum(case when  procedure_type=30 and procedure_status=1 then  procedure_delay*record_cnt else 0 end) / sum(case when  procedure_type=30 and procedure_status=1 then  record_cnt else 0 end) as pdusession_estab_delay</v>
      </c>
      <c r="I87" s="25"/>
      <c r="J87" s="25" t="s">
        <v>284</v>
      </c>
      <c r="K87" s="25" t="s">
        <v>471</v>
      </c>
      <c r="L87" s="25" t="s">
        <v>285</v>
      </c>
    </row>
    <row r="88" spans="2:12" s="1" customFormat="1">
      <c r="B88" s="13" t="s">
        <v>1715</v>
      </c>
      <c r="C88" s="26" t="s">
        <v>281</v>
      </c>
      <c r="D88" s="9" t="s">
        <v>1716</v>
      </c>
      <c r="E88" s="21" t="s">
        <v>182</v>
      </c>
      <c r="F88" s="19" t="s">
        <v>1717</v>
      </c>
      <c r="G88" s="19" t="s">
        <v>1717</v>
      </c>
      <c r="H88" s="164" t="str">
        <f t="shared" si="3"/>
        <v>,sum(case when  procedure_type=31 then  record_cnt else 0 end) as pdusession_modify_request_cnt</v>
      </c>
      <c r="I88" s="25"/>
      <c r="J88" s="25" t="s">
        <v>284</v>
      </c>
      <c r="K88" s="25" t="s">
        <v>750</v>
      </c>
      <c r="L88" s="25" t="s">
        <v>285</v>
      </c>
    </row>
    <row r="89" spans="2:12" s="1" customFormat="1">
      <c r="B89" s="13" t="s">
        <v>1718</v>
      </c>
      <c r="C89" s="26" t="s">
        <v>281</v>
      </c>
      <c r="D89" s="9" t="s">
        <v>1719</v>
      </c>
      <c r="E89" s="21" t="s">
        <v>182</v>
      </c>
      <c r="F89" s="19" t="s">
        <v>1720</v>
      </c>
      <c r="G89" s="19" t="s">
        <v>1720</v>
      </c>
      <c r="H89" s="164" t="str">
        <f t="shared" si="3"/>
        <v>,sum(case when  procedure_type=31 and procedure_status=1 then  record_cnt else 0 end) as pdusession_modify_succ_cnt</v>
      </c>
      <c r="I89" s="25"/>
      <c r="J89" s="25" t="s">
        <v>284</v>
      </c>
      <c r="K89" s="25" t="s">
        <v>750</v>
      </c>
      <c r="L89" s="25" t="s">
        <v>285</v>
      </c>
    </row>
    <row r="90" spans="2:12" s="1" customFormat="1">
      <c r="B90" s="13" t="s">
        <v>1721</v>
      </c>
      <c r="C90" s="26" t="s">
        <v>281</v>
      </c>
      <c r="D90" s="9" t="s">
        <v>1722</v>
      </c>
      <c r="E90" s="21" t="s">
        <v>182</v>
      </c>
      <c r="F90" s="19" t="s">
        <v>1723</v>
      </c>
      <c r="G90" s="19" t="s">
        <v>1723</v>
      </c>
      <c r="H90" s="164" t="str">
        <f t="shared" si="3"/>
        <v>,sum(case when  procedure_type=31 and procedure_status=2 then  record_cnt else 0 end) as pdusession_modify_fail_cnt</v>
      </c>
      <c r="I90" s="25"/>
      <c r="J90" s="25" t="s">
        <v>284</v>
      </c>
      <c r="K90" s="25" t="s">
        <v>750</v>
      </c>
      <c r="L90" s="25" t="s">
        <v>285</v>
      </c>
    </row>
    <row r="91" spans="2:12" s="1" customFormat="1">
      <c r="B91" s="13" t="s">
        <v>1724</v>
      </c>
      <c r="C91" s="26" t="s">
        <v>281</v>
      </c>
      <c r="D91" s="9" t="s">
        <v>1725</v>
      </c>
      <c r="E91" s="21" t="s">
        <v>182</v>
      </c>
      <c r="F91" s="19" t="s">
        <v>1726</v>
      </c>
      <c r="G91" s="19" t="s">
        <v>1726</v>
      </c>
      <c r="H91" s="164" t="str">
        <f t="shared" si="3"/>
        <v>,sum(case when  procedure_type=31 and procedure_status=3 then  record_cnt else 0 end) as pdusession_modify_timeout_cnt</v>
      </c>
      <c r="I91" s="25"/>
      <c r="J91" s="25" t="s">
        <v>284</v>
      </c>
      <c r="K91" s="25" t="s">
        <v>750</v>
      </c>
      <c r="L91" s="25" t="s">
        <v>285</v>
      </c>
    </row>
    <row r="92" spans="2:12" s="1" customFormat="1">
      <c r="B92" s="13" t="s">
        <v>1727</v>
      </c>
      <c r="C92" s="13" t="s">
        <v>319</v>
      </c>
      <c r="D92" s="9" t="s">
        <v>1728</v>
      </c>
      <c r="E92" s="21" t="s">
        <v>182</v>
      </c>
      <c r="F92" s="19" t="s">
        <v>1729</v>
      </c>
      <c r="G92" s="19" t="s">
        <v>1729</v>
      </c>
      <c r="H92" s="164" t="str">
        <f t="shared" si="3"/>
        <v>,sum(case when  procedure_type=31 and procedure_status=1 then  procedure_delay*record_cnt else 0 end) / sum(case when  procedure_type=31 and procedure_status=1 then  record_cnt else 0 end) as pdusession_modify_delay</v>
      </c>
      <c r="I92" s="25"/>
      <c r="J92" s="25" t="s">
        <v>284</v>
      </c>
      <c r="K92" s="25" t="s">
        <v>471</v>
      </c>
      <c r="L92" s="25" t="s">
        <v>285</v>
      </c>
    </row>
    <row r="93" spans="2:12" s="1" customFormat="1">
      <c r="B93" s="13" t="s">
        <v>1730</v>
      </c>
      <c r="C93" s="26" t="s">
        <v>281</v>
      </c>
      <c r="D93" s="9" t="s">
        <v>1731</v>
      </c>
      <c r="E93" s="21" t="s">
        <v>182</v>
      </c>
      <c r="F93" s="19" t="s">
        <v>1732</v>
      </c>
      <c r="G93" s="19" t="s">
        <v>1732</v>
      </c>
      <c r="H93" s="164" t="str">
        <f t="shared" si="3"/>
        <v>,sum(case when  procedure_type=32 then  record_cnt else 0 end) as pdusession_release_request_cnt</v>
      </c>
      <c r="I93" s="25"/>
      <c r="J93" s="25" t="s">
        <v>284</v>
      </c>
      <c r="K93" s="25" t="s">
        <v>750</v>
      </c>
      <c r="L93" s="25" t="s">
        <v>285</v>
      </c>
    </row>
    <row r="94" spans="2:12" s="1" customFormat="1">
      <c r="B94" s="13" t="s">
        <v>1733</v>
      </c>
      <c r="C94" s="26" t="s">
        <v>281</v>
      </c>
      <c r="D94" s="9" t="s">
        <v>1734</v>
      </c>
      <c r="E94" s="21" t="s">
        <v>182</v>
      </c>
      <c r="F94" s="19" t="s">
        <v>1735</v>
      </c>
      <c r="G94" s="19" t="s">
        <v>1735</v>
      </c>
      <c r="H94" s="164" t="str">
        <f t="shared" si="3"/>
        <v>,sum(case when  procedure_type=32 and procedure_status=1 then  record_cnt else 0 end) as pdusession_release_succ_cnt</v>
      </c>
      <c r="I94" s="25"/>
      <c r="J94" s="25" t="s">
        <v>284</v>
      </c>
      <c r="K94" s="25" t="s">
        <v>750</v>
      </c>
      <c r="L94" s="25" t="s">
        <v>285</v>
      </c>
    </row>
    <row r="95" spans="2:12" s="1" customFormat="1">
      <c r="B95" s="13" t="s">
        <v>1736</v>
      </c>
      <c r="C95" s="26" t="s">
        <v>281</v>
      </c>
      <c r="D95" s="9" t="s">
        <v>1737</v>
      </c>
      <c r="E95" s="21" t="s">
        <v>182</v>
      </c>
      <c r="F95" s="19" t="s">
        <v>1738</v>
      </c>
      <c r="G95" s="19" t="s">
        <v>1738</v>
      </c>
      <c r="H95" s="164" t="str">
        <f t="shared" si="3"/>
        <v>,sum(case when  procedure_type=32 and procedure_status=2 then  record_cnt else 0 end) as pdusession_release_fail_cnt</v>
      </c>
      <c r="I95" s="25"/>
      <c r="J95" s="25" t="s">
        <v>284</v>
      </c>
      <c r="K95" s="25" t="s">
        <v>750</v>
      </c>
      <c r="L95" s="25" t="s">
        <v>285</v>
      </c>
    </row>
    <row r="96" spans="2:12" s="1" customFormat="1">
      <c r="B96" s="13" t="s">
        <v>1739</v>
      </c>
      <c r="C96" s="26" t="s">
        <v>281</v>
      </c>
      <c r="D96" s="9" t="s">
        <v>1740</v>
      </c>
      <c r="E96" s="21" t="s">
        <v>182</v>
      </c>
      <c r="F96" s="19" t="s">
        <v>1741</v>
      </c>
      <c r="G96" s="19" t="s">
        <v>1741</v>
      </c>
      <c r="H96" s="164" t="str">
        <f t="shared" si="3"/>
        <v>,sum(case when  procedure_type=32 and procedure_status=3 then  record_cnt else 0 end) as pdusession_release_timeout_cnt</v>
      </c>
      <c r="I96" s="25"/>
      <c r="J96" s="25" t="s">
        <v>284</v>
      </c>
      <c r="K96" s="25" t="s">
        <v>750</v>
      </c>
      <c r="L96" s="25" t="s">
        <v>285</v>
      </c>
    </row>
    <row r="97" spans="2:12" s="1" customFormat="1">
      <c r="B97" s="13" t="s">
        <v>1742</v>
      </c>
      <c r="C97" s="13" t="s">
        <v>319</v>
      </c>
      <c r="D97" s="9" t="s">
        <v>1743</v>
      </c>
      <c r="E97" s="21" t="s">
        <v>182</v>
      </c>
      <c r="F97" s="19" t="s">
        <v>1744</v>
      </c>
      <c r="G97" s="19" t="s">
        <v>1744</v>
      </c>
      <c r="H97" s="164" t="str">
        <f t="shared" si="3"/>
        <v>,sum(case when  procedure_type=32 and procedure_status=1 then  procedure_delay*record_cnt else 0 end) / sum(case when  procedure_type=32 and procedure_status=1 then  record_cnt else 0 end) as pdusession_release_delay</v>
      </c>
      <c r="I97" s="25"/>
      <c r="J97" s="25" t="s">
        <v>284</v>
      </c>
      <c r="K97" s="25" t="s">
        <v>471</v>
      </c>
      <c r="L97" s="25" t="s">
        <v>285</v>
      </c>
    </row>
    <row r="98" spans="2:12" s="1" customFormat="1">
      <c r="B98" s="13" t="s">
        <v>1745</v>
      </c>
      <c r="C98" s="26" t="s">
        <v>281</v>
      </c>
      <c r="D98" s="9" t="s">
        <v>1746</v>
      </c>
      <c r="E98" s="21" t="s">
        <v>182</v>
      </c>
      <c r="F98" s="19" t="s">
        <v>1747</v>
      </c>
      <c r="G98" s="19" t="s">
        <v>1747</v>
      </c>
      <c r="H98" s="164" t="str">
        <f t="shared" si="3"/>
        <v>,sum(case when  procedure_type=60 and then  record_cnt else 0 end) as n2ho_out_request_cnt</v>
      </c>
      <c r="I98" s="25"/>
      <c r="J98" s="25" t="s">
        <v>284</v>
      </c>
      <c r="K98" s="25" t="s">
        <v>750</v>
      </c>
      <c r="L98" s="25" t="s">
        <v>285</v>
      </c>
    </row>
    <row r="99" spans="2:12" s="1" customFormat="1">
      <c r="B99" s="13" t="s">
        <v>1748</v>
      </c>
      <c r="C99" s="26" t="s">
        <v>281</v>
      </c>
      <c r="D99" s="9" t="s">
        <v>1749</v>
      </c>
      <c r="E99" s="21" t="s">
        <v>182</v>
      </c>
      <c r="F99" s="19" t="s">
        <v>1750</v>
      </c>
      <c r="G99" s="19" t="s">
        <v>1750</v>
      </c>
      <c r="H99" s="164" t="str">
        <f t="shared" si="3"/>
        <v>,sum(case when  procedure_type=60 and and procedure_status=1 then  record_cnt else 0 end) as n2ho_out_succ_cnt</v>
      </c>
      <c r="I99" s="25"/>
      <c r="J99" s="25" t="s">
        <v>284</v>
      </c>
      <c r="K99" s="25" t="s">
        <v>750</v>
      </c>
      <c r="L99" s="25" t="s">
        <v>285</v>
      </c>
    </row>
    <row r="100" spans="2:12" s="1" customFormat="1">
      <c r="B100" s="13" t="s">
        <v>1751</v>
      </c>
      <c r="C100" s="26" t="s">
        <v>281</v>
      </c>
      <c r="D100" s="9" t="s">
        <v>1752</v>
      </c>
      <c r="E100" s="21" t="s">
        <v>182</v>
      </c>
      <c r="F100" s="19" t="s">
        <v>1753</v>
      </c>
      <c r="G100" s="19" t="s">
        <v>1753</v>
      </c>
      <c r="H100" s="164" t="str">
        <f t="shared" si="3"/>
        <v>,sum(case when  procedure_type=60 and and procedure_status=2 then  record_cnt else 0 end) as n2ho_out_fail_cnt</v>
      </c>
      <c r="I100" s="25"/>
      <c r="J100" s="25" t="s">
        <v>284</v>
      </c>
      <c r="K100" s="25" t="s">
        <v>750</v>
      </c>
      <c r="L100" s="25" t="s">
        <v>285</v>
      </c>
    </row>
    <row r="101" spans="2:12" s="1" customFormat="1">
      <c r="B101" s="13" t="s">
        <v>1754</v>
      </c>
      <c r="C101" s="26" t="s">
        <v>281</v>
      </c>
      <c r="D101" s="9" t="s">
        <v>1755</v>
      </c>
      <c r="E101" s="21" t="s">
        <v>182</v>
      </c>
      <c r="F101" s="19" t="s">
        <v>1756</v>
      </c>
      <c r="G101" s="19" t="s">
        <v>1756</v>
      </c>
      <c r="H101" s="164" t="str">
        <f t="shared" si="3"/>
        <v>,sum(case when  procedure_type=60 and and procedure_status=3 then  record_cnt else 0 end) as n2ho_out_timeout_cnt</v>
      </c>
      <c r="I101" s="25"/>
      <c r="J101" s="25" t="s">
        <v>284</v>
      </c>
      <c r="K101" s="25" t="s">
        <v>750</v>
      </c>
      <c r="L101" s="25" t="s">
        <v>285</v>
      </c>
    </row>
    <row r="102" spans="2:12" s="1" customFormat="1">
      <c r="B102" s="13" t="s">
        <v>1757</v>
      </c>
      <c r="C102" s="13" t="s">
        <v>319</v>
      </c>
      <c r="D102" s="9" t="s">
        <v>1758</v>
      </c>
      <c r="E102" s="21" t="s">
        <v>182</v>
      </c>
      <c r="F102" s="19" t="s">
        <v>1759</v>
      </c>
      <c r="G102" s="19" t="s">
        <v>1759</v>
      </c>
      <c r="H102" s="164" t="str">
        <f t="shared" si="3"/>
        <v>,sum(case when  procedure_type=60 and and procedure_status=1 then  procedure_delay*record_cnt else 0 end) / sum(case when  procedure_type=60 and and procedure_status=1 then  record_cnt else 0 end) as n2ho_out_delay</v>
      </c>
      <c r="I102" s="25"/>
      <c r="J102" s="25" t="s">
        <v>284</v>
      </c>
      <c r="K102" s="25" t="s">
        <v>471</v>
      </c>
      <c r="L102" s="25" t="s">
        <v>285</v>
      </c>
    </row>
    <row r="103" spans="2:12" s="1" customFormat="1">
      <c r="B103" s="13" t="s">
        <v>1760</v>
      </c>
      <c r="C103" s="26" t="s">
        <v>281</v>
      </c>
      <c r="D103" s="9" t="s">
        <v>1761</v>
      </c>
      <c r="E103" s="21" t="s">
        <v>182</v>
      </c>
      <c r="F103" s="19" t="s">
        <v>1762</v>
      </c>
      <c r="G103" s="19" t="s">
        <v>1762</v>
      </c>
      <c r="H103" s="164" t="str">
        <f t="shared" si="3"/>
        <v>,sum(case when  procedure_type=60 and keyword=1 then  record_cnt else 0 end) as n2ho_out_intra5gs_request_cnt</v>
      </c>
      <c r="I103" s="25"/>
      <c r="J103" s="25" t="s">
        <v>284</v>
      </c>
      <c r="K103" s="25" t="s">
        <v>750</v>
      </c>
      <c r="L103" s="25" t="s">
        <v>285</v>
      </c>
    </row>
    <row r="104" spans="2:12" s="1" customFormat="1">
      <c r="B104" s="13" t="s">
        <v>1763</v>
      </c>
      <c r="C104" s="26" t="s">
        <v>281</v>
      </c>
      <c r="D104" s="9" t="s">
        <v>1764</v>
      </c>
      <c r="E104" s="21" t="s">
        <v>182</v>
      </c>
      <c r="F104" s="19" t="s">
        <v>1765</v>
      </c>
      <c r="G104" s="19" t="s">
        <v>1765</v>
      </c>
      <c r="H104" s="164" t="str">
        <f t="shared" si="3"/>
        <v>,sum(case when  procedure_type=60 and keyword=1 and procedure_status=1 then  record_cnt else 0 end) as n2ho_out_intra5gs_succ_cnt</v>
      </c>
      <c r="I104" s="25"/>
      <c r="J104" s="25" t="s">
        <v>284</v>
      </c>
      <c r="K104" s="25" t="s">
        <v>750</v>
      </c>
      <c r="L104" s="25" t="s">
        <v>285</v>
      </c>
    </row>
    <row r="105" spans="2:12" s="1" customFormat="1">
      <c r="B105" s="13" t="s">
        <v>1766</v>
      </c>
      <c r="C105" s="26" t="s">
        <v>281</v>
      </c>
      <c r="D105" s="9" t="s">
        <v>1767</v>
      </c>
      <c r="E105" s="21" t="s">
        <v>182</v>
      </c>
      <c r="F105" s="19" t="s">
        <v>1768</v>
      </c>
      <c r="G105" s="19" t="s">
        <v>1768</v>
      </c>
      <c r="H105" s="164" t="str">
        <f t="shared" si="3"/>
        <v>,sum(case when  procedure_type=60 and keyword=1 and procedure_status=2 then  record_cnt else 0 end) as n2ho_out_intra5gs_fail_cnt</v>
      </c>
      <c r="I105" s="25"/>
      <c r="J105" s="25" t="s">
        <v>284</v>
      </c>
      <c r="K105" s="25" t="s">
        <v>750</v>
      </c>
      <c r="L105" s="25" t="s">
        <v>285</v>
      </c>
    </row>
    <row r="106" spans="2:12" s="1" customFormat="1">
      <c r="B106" s="13" t="s">
        <v>1769</v>
      </c>
      <c r="C106" s="26" t="s">
        <v>281</v>
      </c>
      <c r="D106" s="9" t="s">
        <v>1770</v>
      </c>
      <c r="E106" s="21" t="s">
        <v>182</v>
      </c>
      <c r="F106" s="19" t="s">
        <v>1771</v>
      </c>
      <c r="G106" s="19" t="s">
        <v>1771</v>
      </c>
      <c r="H106" s="164" t="str">
        <f t="shared" si="3"/>
        <v>,sum(case when  procedure_type=60 and keyword=1 and procedure_status=3 then  record_cnt else 0 end) as n2ho_out_intra5gs_timeout_cnt</v>
      </c>
      <c r="I106" s="25"/>
      <c r="J106" s="25" t="s">
        <v>284</v>
      </c>
      <c r="K106" s="25" t="s">
        <v>750</v>
      </c>
      <c r="L106" s="25" t="s">
        <v>285</v>
      </c>
    </row>
    <row r="107" spans="2:12" s="1" customFormat="1">
      <c r="B107" s="13" t="s">
        <v>1772</v>
      </c>
      <c r="C107" s="13" t="s">
        <v>319</v>
      </c>
      <c r="D107" s="9" t="s">
        <v>1773</v>
      </c>
      <c r="E107" s="21" t="s">
        <v>182</v>
      </c>
      <c r="F107" s="19" t="s">
        <v>1774</v>
      </c>
      <c r="G107" s="19" t="s">
        <v>1774</v>
      </c>
      <c r="H107" s="164" t="str">
        <f t="shared" si="3"/>
        <v>,sum(case when  procedure_type=60 and keyword=1 and procedure_status=1 then  procedure_delay*record_cnt else 0 end) / sum(case when  procedure_type=60 and keyword=1 and procedure_status=1 then  record_cnt else 0 end) as n2ho_out_intra5gs_delay</v>
      </c>
      <c r="I107" s="25"/>
      <c r="J107" s="25" t="s">
        <v>284</v>
      </c>
      <c r="K107" s="25" t="s">
        <v>471</v>
      </c>
      <c r="L107" s="25" t="s">
        <v>285</v>
      </c>
    </row>
    <row r="108" spans="2:12" s="1" customFormat="1">
      <c r="B108" s="13" t="s">
        <v>1775</v>
      </c>
      <c r="C108" s="26" t="s">
        <v>281</v>
      </c>
      <c r="D108" s="9" t="s">
        <v>1776</v>
      </c>
      <c r="E108" s="21" t="s">
        <v>182</v>
      </c>
      <c r="F108" s="19" t="s">
        <v>1777</v>
      </c>
      <c r="G108" s="19" t="s">
        <v>1777</v>
      </c>
      <c r="H108" s="164" t="str">
        <f t="shared" si="3"/>
        <v>,sum(case when  procedure_type=60 and keyword=2 then  record_cnt else 0 end) as n2ho_out_5gstoeps_request_cnt</v>
      </c>
      <c r="I108" s="25"/>
      <c r="J108" s="25" t="s">
        <v>284</v>
      </c>
      <c r="K108" s="25" t="s">
        <v>750</v>
      </c>
      <c r="L108" s="25" t="s">
        <v>285</v>
      </c>
    </row>
    <row r="109" spans="2:12" s="1" customFormat="1">
      <c r="B109" s="13" t="s">
        <v>1778</v>
      </c>
      <c r="C109" s="26" t="s">
        <v>281</v>
      </c>
      <c r="D109" s="9" t="s">
        <v>1779</v>
      </c>
      <c r="E109" s="21" t="s">
        <v>182</v>
      </c>
      <c r="F109" s="19" t="s">
        <v>1780</v>
      </c>
      <c r="G109" s="19" t="s">
        <v>1780</v>
      </c>
      <c r="H109" s="164" t="str">
        <f t="shared" si="3"/>
        <v>,sum(case when  procedure_type=60 and keyword=2 and procedure_status=1 then  record_cnt else 0 end) as n2ho_out_5gstoeps_succ_cnt</v>
      </c>
      <c r="I109" s="25"/>
      <c r="J109" s="25" t="s">
        <v>284</v>
      </c>
      <c r="K109" s="25" t="s">
        <v>750</v>
      </c>
      <c r="L109" s="25" t="s">
        <v>285</v>
      </c>
    </row>
    <row r="110" spans="2:12" s="1" customFormat="1">
      <c r="B110" s="13" t="s">
        <v>1781</v>
      </c>
      <c r="C110" s="26" t="s">
        <v>281</v>
      </c>
      <c r="D110" s="9" t="s">
        <v>1782</v>
      </c>
      <c r="E110" s="21" t="s">
        <v>182</v>
      </c>
      <c r="F110" s="19" t="s">
        <v>1783</v>
      </c>
      <c r="G110" s="19" t="s">
        <v>1783</v>
      </c>
      <c r="H110" s="164" t="str">
        <f t="shared" si="3"/>
        <v>,sum(case when  procedure_type=60 and keyword=2 and procedure_status=2 then  record_cnt else 0 end) as n2ho_out_5gstoeps_fail_cnt</v>
      </c>
      <c r="I110" s="25"/>
      <c r="J110" s="25" t="s">
        <v>284</v>
      </c>
      <c r="K110" s="25" t="s">
        <v>750</v>
      </c>
      <c r="L110" s="25" t="s">
        <v>285</v>
      </c>
    </row>
    <row r="111" spans="2:12" s="1" customFormat="1">
      <c r="B111" s="13" t="s">
        <v>1784</v>
      </c>
      <c r="C111" s="26" t="s">
        <v>281</v>
      </c>
      <c r="D111" s="9" t="s">
        <v>1785</v>
      </c>
      <c r="E111" s="21" t="s">
        <v>182</v>
      </c>
      <c r="F111" s="19" t="s">
        <v>1786</v>
      </c>
      <c r="G111" s="19" t="s">
        <v>1786</v>
      </c>
      <c r="H111" s="164" t="str">
        <f t="shared" si="3"/>
        <v>,sum(case when  procedure_type=60 and keyword=2 and procedure_status=3 then  record_cnt else 0 end) as n2ho_out_5gstoeps_timeout_cnt</v>
      </c>
      <c r="I111" s="25"/>
      <c r="J111" s="25" t="s">
        <v>284</v>
      </c>
      <c r="K111" s="25" t="s">
        <v>750</v>
      </c>
      <c r="L111" s="25" t="s">
        <v>285</v>
      </c>
    </row>
    <row r="112" spans="2:12" s="1" customFormat="1">
      <c r="B112" s="13" t="s">
        <v>1787</v>
      </c>
      <c r="C112" s="13" t="s">
        <v>319</v>
      </c>
      <c r="D112" s="9" t="s">
        <v>1788</v>
      </c>
      <c r="E112" s="21" t="s">
        <v>182</v>
      </c>
      <c r="F112" s="19" t="s">
        <v>1789</v>
      </c>
      <c r="G112" s="19" t="s">
        <v>1789</v>
      </c>
      <c r="H112" s="164" t="str">
        <f t="shared" ref="H112:H151" si="4">_xlfn.CONCAT(",",F112," as ",B112)</f>
        <v>,sum(case when  procedure_type=60 and keyword=2 and procedure_status=1 then  procedure_delay*record_cnt else 0 end) / sum(case when  procedure_type=60 and keyword=2 and procedure_status=1 then  record_cnt else 0 end) as n2ho_out_5gstoeps_delay</v>
      </c>
      <c r="I112" s="25"/>
      <c r="J112" s="25" t="s">
        <v>284</v>
      </c>
      <c r="K112" s="25" t="s">
        <v>471</v>
      </c>
      <c r="L112" s="25" t="s">
        <v>285</v>
      </c>
    </row>
    <row r="113" spans="2:12" s="1" customFormat="1">
      <c r="B113" s="13" t="s">
        <v>1790</v>
      </c>
      <c r="C113" s="26" t="s">
        <v>281</v>
      </c>
      <c r="D113" s="9" t="s">
        <v>1791</v>
      </c>
      <c r="E113" s="21" t="s">
        <v>182</v>
      </c>
      <c r="F113" s="19" t="s">
        <v>1792</v>
      </c>
      <c r="G113" s="19" t="s">
        <v>1792</v>
      </c>
      <c r="H113" s="164" t="str">
        <f t="shared" si="4"/>
        <v>,sum(case when  procedure_type=61 and keyword=1 then  record_cnt else 0 end) as n2ho_in_intra5gs_request_cnt</v>
      </c>
      <c r="I113" s="25"/>
      <c r="J113" s="25" t="s">
        <v>284</v>
      </c>
      <c r="K113" s="25" t="s">
        <v>750</v>
      </c>
      <c r="L113" s="25" t="s">
        <v>285</v>
      </c>
    </row>
    <row r="114" spans="2:12" s="1" customFormat="1">
      <c r="B114" s="13" t="s">
        <v>1793</v>
      </c>
      <c r="C114" s="26" t="s">
        <v>281</v>
      </c>
      <c r="D114" s="9" t="s">
        <v>1794</v>
      </c>
      <c r="E114" s="21" t="s">
        <v>182</v>
      </c>
      <c r="F114" s="19" t="s">
        <v>1795</v>
      </c>
      <c r="G114" s="19" t="s">
        <v>1795</v>
      </c>
      <c r="H114" s="164" t="str">
        <f t="shared" si="4"/>
        <v>,sum(case when  procedure_type=61 and keyword=1 and procedure_status=1 then  record_cnt else 0 end) as n2ho_in_intra5gs_succ_cnt</v>
      </c>
      <c r="I114" s="25"/>
      <c r="J114" s="25" t="s">
        <v>284</v>
      </c>
      <c r="K114" s="25" t="s">
        <v>750</v>
      </c>
      <c r="L114" s="25" t="s">
        <v>285</v>
      </c>
    </row>
    <row r="115" spans="2:12" s="1" customFormat="1">
      <c r="B115" s="13" t="s">
        <v>1796</v>
      </c>
      <c r="C115" s="26" t="s">
        <v>281</v>
      </c>
      <c r="D115" s="9" t="s">
        <v>1797</v>
      </c>
      <c r="E115" s="21" t="s">
        <v>182</v>
      </c>
      <c r="F115" s="19" t="s">
        <v>1798</v>
      </c>
      <c r="G115" s="19" t="s">
        <v>1798</v>
      </c>
      <c r="H115" s="164" t="str">
        <f t="shared" si="4"/>
        <v>,sum(case when  procedure_type=61 and keyword=1 and procedure_status=2 then  record_cnt else 0 end) as n2ho_in_intra5gs_fail_cnt</v>
      </c>
      <c r="I115" s="25"/>
      <c r="J115" s="25" t="s">
        <v>284</v>
      </c>
      <c r="K115" s="25" t="s">
        <v>750</v>
      </c>
      <c r="L115" s="25" t="s">
        <v>285</v>
      </c>
    </row>
    <row r="116" spans="2:12" s="1" customFormat="1">
      <c r="B116" s="13" t="s">
        <v>1799</v>
      </c>
      <c r="C116" s="26" t="s">
        <v>281</v>
      </c>
      <c r="D116" s="9" t="s">
        <v>1800</v>
      </c>
      <c r="E116" s="21" t="s">
        <v>182</v>
      </c>
      <c r="F116" s="19" t="s">
        <v>1801</v>
      </c>
      <c r="G116" s="19" t="s">
        <v>1801</v>
      </c>
      <c r="H116" s="164" t="str">
        <f t="shared" si="4"/>
        <v>,sum(case when  procedure_type=61 and keyword=1 and procedure_status=3 then  record_cnt else 0 end) as n2ho_in_intra5gs_timeout</v>
      </c>
      <c r="I116" s="25"/>
      <c r="J116" s="25" t="s">
        <v>284</v>
      </c>
      <c r="K116" s="25" t="s">
        <v>750</v>
      </c>
      <c r="L116" s="25" t="s">
        <v>285</v>
      </c>
    </row>
    <row r="117" spans="2:12" s="1" customFormat="1">
      <c r="B117" s="13" t="s">
        <v>1802</v>
      </c>
      <c r="C117" s="13" t="s">
        <v>319</v>
      </c>
      <c r="D117" s="9" t="s">
        <v>1803</v>
      </c>
      <c r="E117" s="21" t="s">
        <v>182</v>
      </c>
      <c r="F117" s="19" t="s">
        <v>1804</v>
      </c>
      <c r="G117" s="19" t="s">
        <v>1804</v>
      </c>
      <c r="H117" s="164" t="str">
        <f t="shared" si="4"/>
        <v>,sum(case when  procedure_type=61 and keyword=1 and procedure_status=1 then  procedure_delay*record_cnt else 0 end) / sum(case when  procedure_type=61 and keyword=1 and procedure_status=1 then  record_cnt else 0 end) as n2ho_in_intra5gs_delay</v>
      </c>
      <c r="I117" s="25"/>
      <c r="J117" s="25" t="s">
        <v>284</v>
      </c>
      <c r="K117" s="25" t="s">
        <v>471</v>
      </c>
      <c r="L117" s="25" t="s">
        <v>285</v>
      </c>
    </row>
    <row r="118" spans="2:12" s="1" customFormat="1">
      <c r="B118" s="13" t="s">
        <v>1805</v>
      </c>
      <c r="C118" s="26" t="s">
        <v>281</v>
      </c>
      <c r="D118" s="9" t="s">
        <v>1806</v>
      </c>
      <c r="E118" s="21" t="s">
        <v>182</v>
      </c>
      <c r="F118" s="19" t="s">
        <v>1807</v>
      </c>
      <c r="G118" s="19" t="s">
        <v>1807</v>
      </c>
      <c r="H118" s="164" t="str">
        <f t="shared" si="4"/>
        <v>,sum(case when  procedure_type=61 and keyword=3 then  record_cnt else 0 end) as n2ho_in_epsto5gs_request_cnt</v>
      </c>
      <c r="I118" s="25"/>
      <c r="J118" s="25" t="s">
        <v>284</v>
      </c>
      <c r="K118" s="25" t="s">
        <v>750</v>
      </c>
      <c r="L118" s="25" t="s">
        <v>285</v>
      </c>
    </row>
    <row r="119" spans="2:12" s="1" customFormat="1">
      <c r="B119" s="13" t="s">
        <v>1808</v>
      </c>
      <c r="C119" s="26" t="s">
        <v>281</v>
      </c>
      <c r="D119" s="9" t="s">
        <v>1809</v>
      </c>
      <c r="E119" s="21" t="s">
        <v>182</v>
      </c>
      <c r="F119" s="19" t="s">
        <v>1810</v>
      </c>
      <c r="G119" s="19" t="s">
        <v>1810</v>
      </c>
      <c r="H119" s="164" t="str">
        <f t="shared" si="4"/>
        <v>,sum(case when  procedure_type=61 and keyword=3 and procedure_status=1 then  record_cnt else 0 end) as n2ho_in_epsto5gs_succ_cnt</v>
      </c>
      <c r="I119" s="25"/>
      <c r="J119" s="25" t="s">
        <v>284</v>
      </c>
      <c r="K119" s="25" t="s">
        <v>750</v>
      </c>
      <c r="L119" s="25" t="s">
        <v>285</v>
      </c>
    </row>
    <row r="120" spans="2:12" s="1" customFormat="1">
      <c r="B120" s="13" t="s">
        <v>1811</v>
      </c>
      <c r="C120" s="26" t="s">
        <v>281</v>
      </c>
      <c r="D120" s="9" t="s">
        <v>1812</v>
      </c>
      <c r="E120" s="21" t="s">
        <v>182</v>
      </c>
      <c r="F120" s="19" t="s">
        <v>1813</v>
      </c>
      <c r="G120" s="19" t="s">
        <v>1813</v>
      </c>
      <c r="H120" s="164" t="str">
        <f t="shared" si="4"/>
        <v>,sum(case when  procedure_type=61 and keyword=3 and procedure_status=2 then  record_cnt else 0 end) as n2ho_in_epsto5gs_fail_cnt</v>
      </c>
      <c r="I120" s="25"/>
      <c r="J120" s="25" t="s">
        <v>284</v>
      </c>
      <c r="K120" s="25" t="s">
        <v>750</v>
      </c>
      <c r="L120" s="25" t="s">
        <v>285</v>
      </c>
    </row>
    <row r="121" spans="2:12" s="1" customFormat="1">
      <c r="B121" s="13" t="s">
        <v>1814</v>
      </c>
      <c r="C121" s="26" t="s">
        <v>281</v>
      </c>
      <c r="D121" s="9" t="s">
        <v>1815</v>
      </c>
      <c r="E121" s="21" t="s">
        <v>182</v>
      </c>
      <c r="F121" s="19" t="s">
        <v>1816</v>
      </c>
      <c r="G121" s="19" t="s">
        <v>1816</v>
      </c>
      <c r="H121" s="164" t="str">
        <f t="shared" si="4"/>
        <v>,sum(case when  procedure_type=61 and keyword=3 and procedure_status=3 then  record_cnt else 0 end) as n2ho_in_epsto5gs_timeout</v>
      </c>
      <c r="I121" s="25"/>
      <c r="J121" s="25" t="s">
        <v>284</v>
      </c>
      <c r="K121" s="25" t="s">
        <v>750</v>
      </c>
      <c r="L121" s="25" t="s">
        <v>285</v>
      </c>
    </row>
    <row r="122" spans="2:12" s="1" customFormat="1">
      <c r="B122" s="13" t="s">
        <v>1817</v>
      </c>
      <c r="C122" s="13" t="s">
        <v>319</v>
      </c>
      <c r="D122" s="9" t="s">
        <v>1818</v>
      </c>
      <c r="E122" s="21" t="s">
        <v>182</v>
      </c>
      <c r="F122" s="19" t="s">
        <v>1819</v>
      </c>
      <c r="G122" s="19" t="s">
        <v>1819</v>
      </c>
      <c r="H122" s="164" t="str">
        <f t="shared" si="4"/>
        <v>,sum(case when  procedure_type=61 and keyword=3 and procedure_status=1 then  procedure_delay*record_cnt else 0 end) / sum(case when  procedure_type=61 and keyword=3 and procedure_status=1 then  record_cnt else 0 end) as n2ho_in_epsto5gs_delay</v>
      </c>
      <c r="I122" s="25"/>
      <c r="J122" s="25" t="s">
        <v>284</v>
      </c>
      <c r="K122" s="25" t="s">
        <v>471</v>
      </c>
      <c r="L122" s="25" t="s">
        <v>285</v>
      </c>
    </row>
    <row r="123" spans="2:12" s="1" customFormat="1">
      <c r="B123" s="13" t="s">
        <v>1820</v>
      </c>
      <c r="C123" s="26" t="s">
        <v>281</v>
      </c>
      <c r="D123" s="9" t="s">
        <v>1821</v>
      </c>
      <c r="E123" s="21" t="s">
        <v>182</v>
      </c>
      <c r="F123" s="19" t="s">
        <v>1822</v>
      </c>
      <c r="G123" s="19" t="s">
        <v>1822</v>
      </c>
      <c r="H123" s="164" t="str">
        <f t="shared" si="4"/>
        <v>,sum(case when  procedure_type=62 then  record_cnt else 0 end) as n2ho_cancel_request_cnt</v>
      </c>
      <c r="I123" s="25"/>
      <c r="J123" s="25" t="s">
        <v>284</v>
      </c>
      <c r="K123" s="25" t="s">
        <v>750</v>
      </c>
      <c r="L123" s="25" t="s">
        <v>285</v>
      </c>
    </row>
    <row r="124" spans="2:12" s="1" customFormat="1">
      <c r="B124" s="13" t="s">
        <v>1823</v>
      </c>
      <c r="C124" s="26" t="s">
        <v>281</v>
      </c>
      <c r="D124" s="9" t="s">
        <v>1824</v>
      </c>
      <c r="E124" s="21" t="s">
        <v>182</v>
      </c>
      <c r="F124" s="19" t="s">
        <v>1825</v>
      </c>
      <c r="G124" s="19" t="s">
        <v>1825</v>
      </c>
      <c r="H124" s="164" t="str">
        <f t="shared" si="4"/>
        <v>,sum(case when  procedure_type=62 and procedure_status=1 then  record_cnt else 0 end) as n2ho_cancel_succ_cnt</v>
      </c>
      <c r="I124" s="25"/>
      <c r="J124" s="25" t="s">
        <v>284</v>
      </c>
      <c r="K124" s="25" t="s">
        <v>750</v>
      </c>
      <c r="L124" s="25" t="s">
        <v>285</v>
      </c>
    </row>
    <row r="125" spans="2:12" s="1" customFormat="1">
      <c r="B125" s="13" t="s">
        <v>1826</v>
      </c>
      <c r="C125" s="26" t="s">
        <v>281</v>
      </c>
      <c r="D125" s="9" t="s">
        <v>1827</v>
      </c>
      <c r="E125" s="21" t="s">
        <v>182</v>
      </c>
      <c r="F125" s="19" t="s">
        <v>1828</v>
      </c>
      <c r="G125" s="19" t="s">
        <v>1828</v>
      </c>
      <c r="H125" s="164" t="str">
        <f t="shared" si="4"/>
        <v>,sum(case when  procedure_type=62 and procedure_status=2 then  record_cnt else 0 end) as n2ho_cancel_fail_cnt</v>
      </c>
      <c r="I125" s="25"/>
      <c r="J125" s="25" t="s">
        <v>284</v>
      </c>
      <c r="K125" s="25" t="s">
        <v>750</v>
      </c>
      <c r="L125" s="25" t="s">
        <v>285</v>
      </c>
    </row>
    <row r="126" spans="2:12" s="1" customFormat="1">
      <c r="B126" s="13" t="s">
        <v>1829</v>
      </c>
      <c r="C126" s="26" t="s">
        <v>281</v>
      </c>
      <c r="D126" s="9" t="s">
        <v>1830</v>
      </c>
      <c r="E126" s="21" t="s">
        <v>182</v>
      </c>
      <c r="F126" s="19" t="s">
        <v>1831</v>
      </c>
      <c r="G126" s="19" t="s">
        <v>1831</v>
      </c>
      <c r="H126" s="164" t="str">
        <f t="shared" si="4"/>
        <v>,sum(case when  procedure_type=62 and procedure_status=3 then  record_cnt else 0 end) as n2ho_cancel_timeout_cnt</v>
      </c>
      <c r="I126" s="25"/>
      <c r="J126" s="25" t="s">
        <v>284</v>
      </c>
      <c r="K126" s="25" t="s">
        <v>750</v>
      </c>
      <c r="L126" s="25" t="s">
        <v>285</v>
      </c>
    </row>
    <row r="127" spans="2:12" s="1" customFormat="1">
      <c r="B127" s="13" t="s">
        <v>1832</v>
      </c>
      <c r="C127" s="13" t="s">
        <v>319</v>
      </c>
      <c r="D127" s="9" t="s">
        <v>1833</v>
      </c>
      <c r="E127" s="21" t="s">
        <v>182</v>
      </c>
      <c r="F127" s="19" t="s">
        <v>1834</v>
      </c>
      <c r="G127" s="19" t="s">
        <v>1834</v>
      </c>
      <c r="H127" s="164" t="str">
        <f t="shared" si="4"/>
        <v>,sum(case when  procedure_type=62 and procedure_status=1 then  procedure_delay*record_cnt else 0 end) / sum(case when  procedure_type=62 and procedure_status=1 then  record_cnt else 0 end) as n2ho_cancel_delay</v>
      </c>
      <c r="I127" s="25"/>
      <c r="J127" s="25" t="s">
        <v>284</v>
      </c>
      <c r="K127" s="25" t="s">
        <v>471</v>
      </c>
      <c r="L127" s="25" t="s">
        <v>285</v>
      </c>
    </row>
    <row r="128" spans="2:12" s="1" customFormat="1">
      <c r="B128" s="13" t="s">
        <v>1835</v>
      </c>
      <c r="C128" s="26" t="s">
        <v>281</v>
      </c>
      <c r="D128" s="9" t="s">
        <v>1836</v>
      </c>
      <c r="E128" s="21" t="s">
        <v>182</v>
      </c>
      <c r="F128" s="19" t="s">
        <v>1837</v>
      </c>
      <c r="G128" s="19" t="s">
        <v>1837</v>
      </c>
      <c r="H128" s="164" t="str">
        <f t="shared" si="4"/>
        <v>,sum(case when  procedure_type=63 then  record_cnt else 0 end) as xnho_request_cnt</v>
      </c>
      <c r="I128" s="25"/>
      <c r="J128" s="25" t="s">
        <v>284</v>
      </c>
      <c r="K128" s="25" t="s">
        <v>750</v>
      </c>
      <c r="L128" s="25" t="s">
        <v>285</v>
      </c>
    </row>
    <row r="129" spans="2:12" s="1" customFormat="1">
      <c r="B129" s="13" t="s">
        <v>1838</v>
      </c>
      <c r="C129" s="26" t="s">
        <v>281</v>
      </c>
      <c r="D129" s="9" t="s">
        <v>1839</v>
      </c>
      <c r="E129" s="21" t="s">
        <v>182</v>
      </c>
      <c r="F129" s="19" t="s">
        <v>1840</v>
      </c>
      <c r="G129" s="19" t="s">
        <v>1840</v>
      </c>
      <c r="H129" s="164" t="str">
        <f t="shared" si="4"/>
        <v>,sum(case when  procedure_type=63 and procedure_status=1 then  record_cnt else 0 end) as xnho_succ_cnt</v>
      </c>
      <c r="I129" s="25"/>
      <c r="J129" s="25" t="s">
        <v>284</v>
      </c>
      <c r="K129" s="25" t="s">
        <v>750</v>
      </c>
      <c r="L129" s="25" t="s">
        <v>285</v>
      </c>
    </row>
    <row r="130" spans="2:12" s="1" customFormat="1">
      <c r="B130" s="13" t="s">
        <v>1841</v>
      </c>
      <c r="C130" s="26" t="s">
        <v>281</v>
      </c>
      <c r="D130" s="9" t="s">
        <v>1842</v>
      </c>
      <c r="E130" s="21" t="s">
        <v>182</v>
      </c>
      <c r="F130" s="19" t="s">
        <v>1843</v>
      </c>
      <c r="G130" s="19" t="s">
        <v>1843</v>
      </c>
      <c r="H130" s="164" t="str">
        <f t="shared" si="4"/>
        <v>,sum(case when  procedure_type=63 and procedure_status=2 then  record_cnt else 0 end) as xnho_fail_cnt</v>
      </c>
      <c r="I130" s="25"/>
      <c r="J130" s="25" t="s">
        <v>284</v>
      </c>
      <c r="K130" s="25" t="s">
        <v>750</v>
      </c>
      <c r="L130" s="25" t="s">
        <v>285</v>
      </c>
    </row>
    <row r="131" spans="2:12" s="1" customFormat="1">
      <c r="B131" s="13" t="s">
        <v>1844</v>
      </c>
      <c r="C131" s="26" t="s">
        <v>281</v>
      </c>
      <c r="D131" s="9" t="s">
        <v>1845</v>
      </c>
      <c r="E131" s="21" t="s">
        <v>182</v>
      </c>
      <c r="F131" s="19" t="s">
        <v>1846</v>
      </c>
      <c r="G131" s="19" t="s">
        <v>1846</v>
      </c>
      <c r="H131" s="164" t="str">
        <f t="shared" si="4"/>
        <v>,sum(case when  procedure_type=63 and procedure_status=3 then  record_cnt else 0 end) as xnho_timeout_cnt</v>
      </c>
      <c r="I131" s="25"/>
      <c r="J131" s="25" t="s">
        <v>284</v>
      </c>
      <c r="K131" s="25" t="s">
        <v>750</v>
      </c>
      <c r="L131" s="25" t="s">
        <v>285</v>
      </c>
    </row>
    <row r="132" spans="2:12" s="1" customFormat="1">
      <c r="B132" s="13" t="s">
        <v>1847</v>
      </c>
      <c r="C132" s="13" t="s">
        <v>319</v>
      </c>
      <c r="D132" s="9" t="s">
        <v>1848</v>
      </c>
      <c r="E132" s="21" t="s">
        <v>182</v>
      </c>
      <c r="F132" s="19" t="s">
        <v>1849</v>
      </c>
      <c r="G132" s="19" t="s">
        <v>1849</v>
      </c>
      <c r="H132" s="164" t="str">
        <f t="shared" si="4"/>
        <v>,sum(case when  procedure_type=63 and procedure_status=1 then  procedure_delay*record_cnt else 0 end) / sum(case when  procedure_type=63 and procedure_status=1 then  record_cnt else 0 end) as xnho_delay</v>
      </c>
      <c r="I132" s="25"/>
      <c r="J132" s="25" t="s">
        <v>284</v>
      </c>
      <c r="K132" s="25" t="s">
        <v>471</v>
      </c>
      <c r="L132" s="25" t="s">
        <v>285</v>
      </c>
    </row>
    <row r="133" spans="2:12" s="1" customFormat="1">
      <c r="B133" s="13" t="s">
        <v>1850</v>
      </c>
      <c r="C133" s="26" t="s">
        <v>281</v>
      </c>
      <c r="D133" s="9" t="s">
        <v>1851</v>
      </c>
      <c r="E133" s="21" t="s">
        <v>182</v>
      </c>
      <c r="F133" s="19" t="s">
        <v>1852</v>
      </c>
      <c r="G133" s="19" t="s">
        <v>1852</v>
      </c>
      <c r="H133" s="164" t="str">
        <f t="shared" si="4"/>
        <v>,sum(case when  procedure_type=64 and keyword=2 then  record_cnt else 0 end) as amf_ue_context_release_request_cnt</v>
      </c>
      <c r="I133" s="25"/>
      <c r="J133" s="25" t="s">
        <v>284</v>
      </c>
      <c r="K133" s="25" t="s">
        <v>750</v>
      </c>
      <c r="L133" s="25" t="s">
        <v>285</v>
      </c>
    </row>
    <row r="134" spans="2:12" s="1" customFormat="1">
      <c r="B134" s="13" t="s">
        <v>1853</v>
      </c>
      <c r="C134" s="26" t="s">
        <v>281</v>
      </c>
      <c r="D134" s="9" t="s">
        <v>1854</v>
      </c>
      <c r="E134" s="21" t="s">
        <v>182</v>
      </c>
      <c r="F134" s="19" t="s">
        <v>1855</v>
      </c>
      <c r="G134" s="19" t="s">
        <v>1855</v>
      </c>
      <c r="H134" s="164" t="str">
        <f t="shared" si="4"/>
        <v>,sum(case when  procedure_type=64 and keyword=2 and procedure_status=1 then  record_cnt else 0 end) as amf_ue_context_release_succ_cnt</v>
      </c>
      <c r="I134" s="25"/>
      <c r="J134" s="25" t="s">
        <v>284</v>
      </c>
      <c r="K134" s="25" t="s">
        <v>750</v>
      </c>
      <c r="L134" s="25" t="s">
        <v>285</v>
      </c>
    </row>
    <row r="135" spans="2:12" s="1" customFormat="1">
      <c r="B135" s="13" t="s">
        <v>1856</v>
      </c>
      <c r="C135" s="26" t="s">
        <v>281</v>
      </c>
      <c r="D135" s="9" t="s">
        <v>1857</v>
      </c>
      <c r="E135" s="21" t="s">
        <v>182</v>
      </c>
      <c r="F135" s="19" t="s">
        <v>1858</v>
      </c>
      <c r="G135" s="19" t="s">
        <v>1858</v>
      </c>
      <c r="H135" s="164" t="str">
        <f t="shared" si="4"/>
        <v>,sum(case when  procedure_type=64 and keyword=2 and procedure_status=2 then  record_cnt else 0 end) as amf_ue_context_release_fail_cnt</v>
      </c>
      <c r="I135" s="25"/>
      <c r="J135" s="25" t="s">
        <v>284</v>
      </c>
      <c r="K135" s="25" t="s">
        <v>750</v>
      </c>
      <c r="L135" s="25" t="s">
        <v>285</v>
      </c>
    </row>
    <row r="136" spans="2:12" s="1" customFormat="1">
      <c r="B136" s="13" t="s">
        <v>1859</v>
      </c>
      <c r="C136" s="26" t="s">
        <v>281</v>
      </c>
      <c r="D136" s="9" t="s">
        <v>1860</v>
      </c>
      <c r="E136" s="21" t="s">
        <v>182</v>
      </c>
      <c r="F136" s="19" t="s">
        <v>1861</v>
      </c>
      <c r="G136" s="19" t="s">
        <v>1861</v>
      </c>
      <c r="H136" s="164" t="str">
        <f t="shared" si="4"/>
        <v>,sum(case when  procedure_type=64 and keyword=2 and procedure_status=3 then  record_cnt else 0 end) as amf_ue_context_release_timeout</v>
      </c>
      <c r="I136" s="25"/>
      <c r="J136" s="25" t="s">
        <v>284</v>
      </c>
      <c r="K136" s="25" t="s">
        <v>750</v>
      </c>
      <c r="L136" s="25" t="s">
        <v>285</v>
      </c>
    </row>
    <row r="137" spans="2:12" s="1" customFormat="1">
      <c r="B137" s="13" t="s">
        <v>1862</v>
      </c>
      <c r="C137" s="13" t="s">
        <v>319</v>
      </c>
      <c r="D137" s="9" t="s">
        <v>1863</v>
      </c>
      <c r="E137" s="21" t="s">
        <v>182</v>
      </c>
      <c r="F137" s="19" t="s">
        <v>1864</v>
      </c>
      <c r="G137" s="19" t="s">
        <v>1864</v>
      </c>
      <c r="H137" s="164" t="str">
        <f t="shared" si="4"/>
        <v>,sum(case when  procedure_type=64 and keyword=2 and procedure_status=1 then  procedure_delay*record_cnt else 0 end) / sum(case when  procedure_type=64 and keyword=2 and procedure_status=1 then  record_cnt else 0 end) as amf_ue_context_release_delay</v>
      </c>
      <c r="I137" s="25"/>
      <c r="J137" s="25" t="s">
        <v>284</v>
      </c>
      <c r="K137" s="25" t="s">
        <v>471</v>
      </c>
      <c r="L137" s="25" t="s">
        <v>285</v>
      </c>
    </row>
    <row r="138" spans="2:12" s="1" customFormat="1">
      <c r="B138" s="13" t="s">
        <v>1865</v>
      </c>
      <c r="C138" s="26" t="s">
        <v>281</v>
      </c>
      <c r="D138" s="9" t="s">
        <v>1866</v>
      </c>
      <c r="E138" s="21" t="s">
        <v>182</v>
      </c>
      <c r="F138" s="19" t="s">
        <v>1867</v>
      </c>
      <c r="G138" s="19" t="s">
        <v>1867</v>
      </c>
      <c r="H138" s="164" t="str">
        <f t="shared" si="4"/>
        <v>,sum(case when  procedure_type=64 and keyword=1 then  record_cnt else 0 end) as an_ue_context_release_request_cnt</v>
      </c>
      <c r="I138" s="25"/>
      <c r="J138" s="25" t="s">
        <v>284</v>
      </c>
      <c r="K138" s="25" t="s">
        <v>750</v>
      </c>
      <c r="L138" s="25" t="s">
        <v>285</v>
      </c>
    </row>
    <row r="139" spans="2:12" s="1" customFormat="1">
      <c r="B139" s="13" t="s">
        <v>1868</v>
      </c>
      <c r="C139" s="26" t="s">
        <v>281</v>
      </c>
      <c r="D139" s="9" t="s">
        <v>1869</v>
      </c>
      <c r="E139" s="21" t="s">
        <v>182</v>
      </c>
      <c r="F139" s="19" t="s">
        <v>1870</v>
      </c>
      <c r="G139" s="19" t="s">
        <v>1870</v>
      </c>
      <c r="H139" s="164" t="str">
        <f t="shared" si="4"/>
        <v>,sum(case when  procedure_type=64 and keyword=1 and procedure_status=1 then  record_cnt else 0 end) as an_ue_context_release_succ_cnt</v>
      </c>
      <c r="I139" s="25"/>
      <c r="J139" s="25" t="s">
        <v>284</v>
      </c>
      <c r="K139" s="25" t="s">
        <v>750</v>
      </c>
      <c r="L139" s="25" t="s">
        <v>285</v>
      </c>
    </row>
    <row r="140" spans="2:12" s="1" customFormat="1">
      <c r="B140" s="13" t="s">
        <v>1871</v>
      </c>
      <c r="C140" s="26" t="s">
        <v>281</v>
      </c>
      <c r="D140" s="9" t="s">
        <v>1872</v>
      </c>
      <c r="E140" s="21" t="s">
        <v>182</v>
      </c>
      <c r="F140" s="19" t="s">
        <v>1873</v>
      </c>
      <c r="G140" s="19" t="s">
        <v>1873</v>
      </c>
      <c r="H140" s="164" t="str">
        <f t="shared" si="4"/>
        <v>,sum(case when  procedure_type=64 and keyword=1 and procedure_status=2 then  record_cnt else 0 end) as an_ue_context_release_fail_cnt</v>
      </c>
      <c r="I140" s="25"/>
      <c r="J140" s="25" t="s">
        <v>284</v>
      </c>
      <c r="K140" s="25" t="s">
        <v>750</v>
      </c>
      <c r="L140" s="25" t="s">
        <v>285</v>
      </c>
    </row>
    <row r="141" spans="2:12" s="1" customFormat="1">
      <c r="B141" s="13" t="s">
        <v>1874</v>
      </c>
      <c r="C141" s="26" t="s">
        <v>281</v>
      </c>
      <c r="D141" s="9" t="s">
        <v>1875</v>
      </c>
      <c r="E141" s="21" t="s">
        <v>182</v>
      </c>
      <c r="F141" s="19" t="s">
        <v>1876</v>
      </c>
      <c r="G141" s="19" t="s">
        <v>1876</v>
      </c>
      <c r="H141" s="164" t="str">
        <f t="shared" si="4"/>
        <v>,sum(case when  procedure_type=64 and keyword=1 and procedure_status=3 then  record_cnt else 0 end) as an_ue_context_release_timeout</v>
      </c>
      <c r="I141" s="25"/>
      <c r="J141" s="25" t="s">
        <v>284</v>
      </c>
      <c r="K141" s="25" t="s">
        <v>750</v>
      </c>
      <c r="L141" s="25" t="s">
        <v>285</v>
      </c>
    </row>
    <row r="142" spans="2:12" s="1" customFormat="1">
      <c r="B142" s="13" t="s">
        <v>1877</v>
      </c>
      <c r="C142" s="13" t="s">
        <v>319</v>
      </c>
      <c r="D142" s="9" t="s">
        <v>1878</v>
      </c>
      <c r="E142" s="21" t="s">
        <v>182</v>
      </c>
      <c r="F142" s="19" t="s">
        <v>1879</v>
      </c>
      <c r="G142" s="19" t="s">
        <v>1879</v>
      </c>
      <c r="H142" s="164" t="str">
        <f t="shared" si="4"/>
        <v>,sum(case when  procedure_type=64 and keyword=1 and procedure_status=1 then  procedure_delay*record_cnt else 0 end) / sum(case when  procedure_type=64 and keyword=1 and procedure_status=1 then  record_cnt else 0 end) as an_ue_context_release_delay</v>
      </c>
      <c r="I142" s="25"/>
      <c r="J142" s="25" t="s">
        <v>284</v>
      </c>
      <c r="K142" s="25" t="s">
        <v>471</v>
      </c>
      <c r="L142" s="25" t="s">
        <v>285</v>
      </c>
    </row>
    <row r="143" spans="2:12" s="165" customFormat="1">
      <c r="B143" s="166" t="s">
        <v>2310</v>
      </c>
      <c r="C143" s="26" t="s">
        <v>281</v>
      </c>
      <c r="D143" s="158" t="s">
        <v>2311</v>
      </c>
      <c r="E143" s="21" t="s">
        <v>182</v>
      </c>
      <c r="F143" s="167"/>
      <c r="G143" s="167" t="s">
        <v>2309</v>
      </c>
      <c r="H143" s="168"/>
      <c r="I143" s="169"/>
      <c r="J143" s="25" t="s">
        <v>284</v>
      </c>
      <c r="K143" s="25" t="s">
        <v>750</v>
      </c>
      <c r="L143" s="25" t="s">
        <v>285</v>
      </c>
    </row>
    <row r="144" spans="2:12" s="1" customFormat="1">
      <c r="B144" s="13" t="s">
        <v>1880</v>
      </c>
      <c r="C144" s="26" t="s">
        <v>281</v>
      </c>
      <c r="D144" s="9" t="s">
        <v>1881</v>
      </c>
      <c r="E144" s="21" t="s">
        <v>182</v>
      </c>
      <c r="F144" s="19" t="s">
        <v>657</v>
      </c>
      <c r="G144" s="19" t="s">
        <v>657</v>
      </c>
      <c r="H144" s="164" t="str">
        <f t="shared" si="4"/>
        <v>,sum(record_cnt) as procedure_record_cnt</v>
      </c>
      <c r="I144" s="25"/>
      <c r="J144" s="25" t="s">
        <v>284</v>
      </c>
      <c r="K144" s="25" t="s">
        <v>750</v>
      </c>
      <c r="L144" s="25" t="s">
        <v>285</v>
      </c>
    </row>
    <row r="145" spans="2:17" s="1" customFormat="1">
      <c r="B145" s="13" t="s">
        <v>1882</v>
      </c>
      <c r="C145" s="26" t="s">
        <v>281</v>
      </c>
      <c r="D145" s="9" t="s">
        <v>1883</v>
      </c>
      <c r="E145" s="21" t="s">
        <v>182</v>
      </c>
      <c r="F145" s="19" t="s">
        <v>1884</v>
      </c>
      <c r="G145" s="19" t="s">
        <v>1884</v>
      </c>
      <c r="H145" s="164" t="str">
        <f t="shared" si="4"/>
        <v>,sum(case when procedure_status=1 then  record_cnt else 0 end) as procedure_succ_cnt</v>
      </c>
      <c r="I145" s="25"/>
      <c r="J145" s="25" t="s">
        <v>284</v>
      </c>
      <c r="K145" s="25" t="s">
        <v>750</v>
      </c>
      <c r="L145" s="25" t="s">
        <v>285</v>
      </c>
    </row>
    <row r="146" spans="2:17" s="1" customFormat="1">
      <c r="B146" s="13" t="s">
        <v>1885</v>
      </c>
      <c r="C146" s="26" t="s">
        <v>281</v>
      </c>
      <c r="D146" s="9" t="s">
        <v>1886</v>
      </c>
      <c r="E146" s="21" t="s">
        <v>182</v>
      </c>
      <c r="F146" s="19" t="s">
        <v>1887</v>
      </c>
      <c r="G146" s="19" t="s">
        <v>1887</v>
      </c>
      <c r="H146" s="164" t="str">
        <f t="shared" si="4"/>
        <v>,sum(case when procedure_status=2 then  record_cnt else 0 end) as procedure_fail_cnt</v>
      </c>
      <c r="I146" s="25"/>
      <c r="J146" s="25" t="s">
        <v>284</v>
      </c>
      <c r="K146" s="25" t="s">
        <v>750</v>
      </c>
      <c r="L146" s="25" t="s">
        <v>285</v>
      </c>
    </row>
    <row r="147" spans="2:17" s="1" customFormat="1">
      <c r="B147" s="13" t="s">
        <v>1888</v>
      </c>
      <c r="C147" s="26" t="s">
        <v>281</v>
      </c>
      <c r="D147" s="9" t="s">
        <v>1889</v>
      </c>
      <c r="E147" s="21" t="s">
        <v>182</v>
      </c>
      <c r="F147" s="19" t="s">
        <v>1890</v>
      </c>
      <c r="G147" s="19" t="s">
        <v>1890</v>
      </c>
      <c r="H147" s="164" t="str">
        <f t="shared" si="4"/>
        <v>,sum(case when procedure_status=3 then  record_cnt else 0 end) as procedure_timeout_cnt</v>
      </c>
      <c r="I147" s="25"/>
      <c r="J147" s="25" t="s">
        <v>284</v>
      </c>
      <c r="K147" s="25" t="s">
        <v>750</v>
      </c>
      <c r="L147" s="25" t="s">
        <v>285</v>
      </c>
    </row>
    <row r="148" spans="2:17" s="1" customFormat="1">
      <c r="B148" s="13" t="s">
        <v>1443</v>
      </c>
      <c r="C148" s="26" t="s">
        <v>281</v>
      </c>
      <c r="D148" s="9" t="s">
        <v>1891</v>
      </c>
      <c r="E148" s="21" t="s">
        <v>182</v>
      </c>
      <c r="F148" s="19" t="s">
        <v>1548</v>
      </c>
      <c r="G148" s="19" t="s">
        <v>1548</v>
      </c>
      <c r="H148" s="164" t="str">
        <f t="shared" si="4"/>
        <v>,sum(abnor_release_cnt) as abnor_release_cnt</v>
      </c>
      <c r="I148" s="25"/>
      <c r="J148" s="25" t="s">
        <v>284</v>
      </c>
      <c r="K148" s="25" t="s">
        <v>750</v>
      </c>
      <c r="L148" s="25" t="s">
        <v>285</v>
      </c>
    </row>
    <row r="149" spans="2:17" s="1" customFormat="1">
      <c r="B149" s="13" t="s">
        <v>1446</v>
      </c>
      <c r="C149" s="26" t="s">
        <v>281</v>
      </c>
      <c r="D149" s="9" t="s">
        <v>1447</v>
      </c>
      <c r="E149" s="21" t="s">
        <v>182</v>
      </c>
      <c r="F149" s="19" t="s">
        <v>1549</v>
      </c>
      <c r="G149" s="19" t="s">
        <v>1549</v>
      </c>
      <c r="H149" s="164" t="str">
        <f t="shared" si="4"/>
        <v>,sum(normal_release_cnt) as normal_release_cnt</v>
      </c>
      <c r="I149" s="25"/>
      <c r="J149" s="25" t="s">
        <v>284</v>
      </c>
      <c r="K149" s="25" t="s">
        <v>750</v>
      </c>
      <c r="L149" s="25" t="s">
        <v>285</v>
      </c>
    </row>
    <row r="150" spans="2:17" s="1" customFormat="1" ht="26.4">
      <c r="B150" s="13" t="s">
        <v>648</v>
      </c>
      <c r="C150" s="26" t="s">
        <v>206</v>
      </c>
      <c r="D150" s="9" t="s">
        <v>1455</v>
      </c>
      <c r="E150" s="21" t="s">
        <v>182</v>
      </c>
      <c r="F150" s="22" t="s">
        <v>802</v>
      </c>
      <c r="G150" s="22" t="s">
        <v>802</v>
      </c>
      <c r="H150" s="164" t="str">
        <f t="shared" si="4"/>
        <v>,min(min_starttime) as min_starttime</v>
      </c>
      <c r="I150" s="25"/>
      <c r="J150" s="25" t="s">
        <v>284</v>
      </c>
      <c r="K150" s="25" t="s">
        <v>1457</v>
      </c>
      <c r="L150" s="25" t="s">
        <v>485</v>
      </c>
    </row>
    <row r="151" spans="2:17" s="1" customFormat="1" ht="26.4">
      <c r="B151" s="13" t="s">
        <v>652</v>
      </c>
      <c r="C151" s="26" t="s">
        <v>206</v>
      </c>
      <c r="D151" s="9" t="s">
        <v>1458</v>
      </c>
      <c r="E151" s="21" t="s">
        <v>182</v>
      </c>
      <c r="F151" s="22" t="s">
        <v>803</v>
      </c>
      <c r="G151" s="22" t="s">
        <v>803</v>
      </c>
      <c r="H151" s="164" t="str">
        <f t="shared" si="4"/>
        <v>,max(max_endtime) as max_endtime</v>
      </c>
      <c r="I151" s="25"/>
      <c r="J151" s="25" t="s">
        <v>284</v>
      </c>
      <c r="K151" s="25" t="s">
        <v>1457</v>
      </c>
      <c r="L151" s="25" t="s">
        <v>485</v>
      </c>
    </row>
    <row r="152" spans="2:17" s="2" customFormat="1">
      <c r="B152" s="14" t="s">
        <v>222</v>
      </c>
      <c r="C152" s="15" t="s">
        <v>211</v>
      </c>
      <c r="D152" s="16" t="s">
        <v>344</v>
      </c>
      <c r="E152" s="24"/>
      <c r="F152" s="24" t="s">
        <v>1892</v>
      </c>
      <c r="G152" s="24" t="s">
        <v>1892</v>
      </c>
      <c r="H152" s="164"/>
      <c r="I152" s="14"/>
      <c r="J152" s="14"/>
      <c r="K152" s="14"/>
      <c r="L152" s="14"/>
      <c r="M152" s="14"/>
      <c r="N152" s="14"/>
      <c r="O152" s="14"/>
      <c r="P152" s="14"/>
      <c r="Q152" s="14"/>
    </row>
    <row r="153" spans="2:17" s="2" customFormat="1">
      <c r="B153" s="14" t="s">
        <v>0</v>
      </c>
      <c r="C153" s="15" t="s">
        <v>206</v>
      </c>
      <c r="D153" s="16" t="s">
        <v>345</v>
      </c>
      <c r="E153" s="24"/>
      <c r="F153" s="24" t="s">
        <v>1892</v>
      </c>
      <c r="G153" s="24" t="s">
        <v>1892</v>
      </c>
      <c r="H153" s="164"/>
      <c r="I153" s="14"/>
      <c r="J153" s="14"/>
      <c r="K153" s="14"/>
      <c r="L153" s="14"/>
      <c r="M153" s="14"/>
      <c r="N153" s="14"/>
      <c r="O153" s="14"/>
      <c r="P153" s="14"/>
      <c r="Q153" s="14"/>
    </row>
    <row r="154" spans="2:17" s="2" customFormat="1">
      <c r="B154" s="14" t="s">
        <v>1</v>
      </c>
      <c r="C154" s="15" t="s">
        <v>211</v>
      </c>
      <c r="D154" s="16" t="s">
        <v>346</v>
      </c>
      <c r="E154" s="24"/>
      <c r="F154" s="24" t="s">
        <v>1892</v>
      </c>
      <c r="G154" s="24" t="s">
        <v>1892</v>
      </c>
      <c r="H154" s="164"/>
      <c r="I154" s="14"/>
      <c r="J154" s="14"/>
      <c r="K154" s="14"/>
      <c r="L154" s="14"/>
      <c r="M154" s="14"/>
      <c r="N154" s="14"/>
      <c r="O154" s="14"/>
      <c r="P154" s="14"/>
      <c r="Q154" s="14"/>
    </row>
  </sheetData>
  <autoFilter ref="A12:L154" xr:uid="{00000000-0009-0000-0000-000018000000}"/>
  <mergeCells count="4">
    <mergeCell ref="B2:H2"/>
    <mergeCell ref="B3:H3"/>
    <mergeCell ref="B7:H7"/>
    <mergeCell ref="B13:L13"/>
  </mergeCells>
  <phoneticPr fontId="33" type="noConversion"/>
  <pageMargins left="0.7" right="0.7" top="0.75" bottom="0.75"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R138"/>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36.109375" style="3" customWidth="1"/>
    <col min="3" max="3" width="36.33203125" style="3" bestFit="1"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2">
      <c r="B1" s="5" t="str">
        <f>HYPERLINK("#导航!a2","返回")</f>
        <v>返回</v>
      </c>
    </row>
    <row r="2" spans="2:12">
      <c r="B2" s="180"/>
      <c r="C2" s="180"/>
      <c r="D2" s="180"/>
      <c r="E2" s="180"/>
      <c r="F2" s="180"/>
      <c r="G2" s="180"/>
      <c r="H2" s="180"/>
    </row>
    <row r="3" spans="2:12">
      <c r="B3" s="181" t="s">
        <v>168</v>
      </c>
      <c r="C3" s="181"/>
      <c r="D3" s="181"/>
      <c r="E3" s="181"/>
      <c r="F3" s="181"/>
      <c r="G3" s="181"/>
      <c r="H3" s="181"/>
    </row>
    <row r="4" spans="2:12">
      <c r="B4" s="7" t="s">
        <v>40</v>
      </c>
      <c r="C4" s="7" t="s">
        <v>169</v>
      </c>
      <c r="D4" s="7" t="s">
        <v>170</v>
      </c>
      <c r="E4" s="7" t="s">
        <v>171</v>
      </c>
      <c r="F4" s="11" t="s">
        <v>172</v>
      </c>
      <c r="G4" s="11" t="s">
        <v>43</v>
      </c>
      <c r="H4" s="11" t="s">
        <v>173</v>
      </c>
    </row>
    <row r="5" spans="2:12">
      <c r="B5" s="8" t="s">
        <v>105</v>
      </c>
      <c r="C5" s="9" t="s">
        <v>140</v>
      </c>
      <c r="D5" s="10" t="s">
        <v>141</v>
      </c>
      <c r="E5" s="12" t="s">
        <v>20</v>
      </c>
      <c r="F5" s="17"/>
      <c r="G5" s="9" t="s">
        <v>142</v>
      </c>
      <c r="H5" s="12"/>
    </row>
    <row r="6" spans="2:12">
      <c r="B6" s="6"/>
      <c r="C6" s="6"/>
      <c r="D6" s="6"/>
      <c r="E6" s="6"/>
      <c r="F6" s="18"/>
      <c r="G6" s="18"/>
      <c r="H6" s="18"/>
    </row>
    <row r="7" spans="2:12">
      <c r="B7" s="181" t="s">
        <v>174</v>
      </c>
      <c r="C7" s="181"/>
      <c r="D7" s="181"/>
      <c r="E7" s="181"/>
      <c r="F7" s="181"/>
      <c r="G7" s="181"/>
      <c r="H7" s="181"/>
    </row>
    <row r="8" spans="2:12">
      <c r="B8" s="11" t="s">
        <v>175</v>
      </c>
      <c r="C8" s="11" t="s">
        <v>176</v>
      </c>
      <c r="D8" s="11" t="s">
        <v>177</v>
      </c>
      <c r="E8" s="11" t="s">
        <v>178</v>
      </c>
      <c r="F8" s="11" t="s">
        <v>179</v>
      </c>
      <c r="G8" s="11" t="s">
        <v>53</v>
      </c>
      <c r="H8" s="11" t="s">
        <v>180</v>
      </c>
    </row>
    <row r="9" spans="2:12">
      <c r="B9" s="12"/>
      <c r="C9" s="9" t="s">
        <v>137</v>
      </c>
      <c r="D9" s="10" t="s">
        <v>1568</v>
      </c>
      <c r="E9" s="12" t="s">
        <v>182</v>
      </c>
      <c r="F9" s="19"/>
      <c r="G9" s="19"/>
      <c r="H9" s="20" t="s">
        <v>63</v>
      </c>
    </row>
    <row r="11" spans="2:12">
      <c r="B11" s="3" t="s">
        <v>194</v>
      </c>
    </row>
    <row r="12" spans="2:12">
      <c r="B12" s="181" t="s">
        <v>194</v>
      </c>
      <c r="C12" s="181"/>
      <c r="D12" s="181"/>
      <c r="E12" s="181"/>
      <c r="F12" s="181"/>
      <c r="G12" s="181"/>
      <c r="H12" s="181"/>
      <c r="I12" s="181"/>
      <c r="J12" s="181"/>
      <c r="K12" s="181"/>
      <c r="L12" s="181"/>
    </row>
    <row r="13" spans="2:12">
      <c r="B13" s="7" t="s">
        <v>195</v>
      </c>
      <c r="C13" s="7" t="s">
        <v>196</v>
      </c>
      <c r="D13" s="7" t="s">
        <v>197</v>
      </c>
      <c r="E13" s="7" t="s">
        <v>198</v>
      </c>
      <c r="F13" s="11" t="s">
        <v>199</v>
      </c>
      <c r="G13" s="11" t="s">
        <v>200</v>
      </c>
      <c r="H13" s="11" t="s">
        <v>201</v>
      </c>
      <c r="I13" s="7" t="s">
        <v>53</v>
      </c>
      <c r="J13" s="7" t="s">
        <v>202</v>
      </c>
      <c r="K13" s="7" t="s">
        <v>203</v>
      </c>
      <c r="L13" s="7" t="s">
        <v>204</v>
      </c>
    </row>
    <row r="14" spans="2:12" s="1" customFormat="1">
      <c r="B14" s="13" t="s">
        <v>205</v>
      </c>
      <c r="C14" s="13" t="s">
        <v>206</v>
      </c>
      <c r="D14" s="9" t="s">
        <v>207</v>
      </c>
      <c r="E14" s="21" t="s">
        <v>182</v>
      </c>
      <c r="F14" s="19" t="s">
        <v>0</v>
      </c>
      <c r="G14" s="19" t="s">
        <v>208</v>
      </c>
      <c r="H14" s="164" t="str">
        <f>_xlfn.CONCAT(",",F14," as ",B14)</f>
        <v>,p_date as day</v>
      </c>
      <c r="I14" s="25"/>
      <c r="J14" s="25" t="s">
        <v>4</v>
      </c>
      <c r="K14" s="25" t="s">
        <v>209</v>
      </c>
      <c r="L14" s="25" t="s">
        <v>209</v>
      </c>
    </row>
    <row r="15" spans="2:12" s="1" customFormat="1">
      <c r="B15" s="13" t="s">
        <v>20</v>
      </c>
      <c r="C15" s="13" t="s">
        <v>206</v>
      </c>
      <c r="D15" s="9" t="s">
        <v>73</v>
      </c>
      <c r="E15" s="21" t="s">
        <v>182</v>
      </c>
      <c r="F15" s="19" t="s">
        <v>1</v>
      </c>
      <c r="G15" s="19" t="s">
        <v>208</v>
      </c>
      <c r="H15" s="164" t="str">
        <f t="shared" ref="H15:H46" si="0">_xlfn.CONCAT(",",F15," as ",B15)</f>
        <v>,p_hour as hour</v>
      </c>
      <c r="I15" s="25"/>
      <c r="J15" s="25" t="s">
        <v>4</v>
      </c>
      <c r="K15" s="25" t="s">
        <v>209</v>
      </c>
      <c r="L15" s="25" t="s">
        <v>209</v>
      </c>
    </row>
    <row r="16" spans="2:12" s="1" customFormat="1">
      <c r="B16" s="13" t="s">
        <v>214</v>
      </c>
      <c r="C16" s="13" t="s">
        <v>211</v>
      </c>
      <c r="D16" s="9" t="s">
        <v>1232</v>
      </c>
      <c r="E16" s="21" t="s">
        <v>182</v>
      </c>
      <c r="F16" s="19" t="str">
        <f>VLOOKUP(B16,'12'!B:L,1,0)</f>
        <v>interface</v>
      </c>
      <c r="G16" s="19" t="s">
        <v>208</v>
      </c>
      <c r="H16" s="164" t="str">
        <f t="shared" si="0"/>
        <v>,interface as interface</v>
      </c>
      <c r="I16" s="25"/>
      <c r="J16" s="25" t="s">
        <v>4</v>
      </c>
      <c r="K16" s="25" t="s">
        <v>209</v>
      </c>
      <c r="L16" s="25" t="s">
        <v>209</v>
      </c>
    </row>
    <row r="17" spans="2:12" s="1" customFormat="1">
      <c r="B17" s="13" t="s">
        <v>249</v>
      </c>
      <c r="C17" s="13" t="s">
        <v>206</v>
      </c>
      <c r="D17" s="9" t="s">
        <v>1235</v>
      </c>
      <c r="E17" s="21" t="s">
        <v>182</v>
      </c>
      <c r="F17" s="19" t="str">
        <f>VLOOKUP(B17,'12'!B:L,1,0)</f>
        <v>supi</v>
      </c>
      <c r="G17" s="19" t="s">
        <v>208</v>
      </c>
      <c r="H17" s="164" t="str">
        <f t="shared" si="0"/>
        <v>,supi as supi</v>
      </c>
      <c r="I17" s="25"/>
      <c r="J17" s="25" t="s">
        <v>4</v>
      </c>
      <c r="K17" s="25" t="s">
        <v>209</v>
      </c>
      <c r="L17" s="25" t="s">
        <v>209</v>
      </c>
    </row>
    <row r="18" spans="2:12" s="1" customFormat="1">
      <c r="B18" s="13" t="s">
        <v>254</v>
      </c>
      <c r="C18" s="13" t="s">
        <v>206</v>
      </c>
      <c r="D18" s="9" t="s">
        <v>1236</v>
      </c>
      <c r="E18" s="21" t="s">
        <v>182</v>
      </c>
      <c r="F18" s="19" t="str">
        <f>VLOOKUP(B18,'12'!B:L,1,0)</f>
        <v>pei</v>
      </c>
      <c r="G18" s="19" t="s">
        <v>208</v>
      </c>
      <c r="H18" s="164" t="str">
        <f t="shared" si="0"/>
        <v>,pei as pei</v>
      </c>
      <c r="I18" s="25"/>
      <c r="J18" s="25" t="s">
        <v>4</v>
      </c>
      <c r="K18" s="25" t="s">
        <v>209</v>
      </c>
      <c r="L18" s="25" t="s">
        <v>209</v>
      </c>
    </row>
    <row r="19" spans="2:12" s="1" customFormat="1">
      <c r="B19" s="13" t="s">
        <v>251</v>
      </c>
      <c r="C19" s="13" t="s">
        <v>206</v>
      </c>
      <c r="D19" s="9" t="s">
        <v>1237</v>
      </c>
      <c r="E19" s="21" t="s">
        <v>182</v>
      </c>
      <c r="F19" s="19" t="str">
        <f>VLOOKUP(B19,'12'!B:L,1,0)</f>
        <v>msisdn</v>
      </c>
      <c r="G19" s="19" t="s">
        <v>208</v>
      </c>
      <c r="H19" s="164" t="str">
        <f t="shared" si="0"/>
        <v>,msisdn as msisdn</v>
      </c>
      <c r="I19" s="25"/>
      <c r="J19" s="25" t="s">
        <v>4</v>
      </c>
      <c r="K19" s="25" t="s">
        <v>209</v>
      </c>
      <c r="L19" s="25" t="s">
        <v>209</v>
      </c>
    </row>
    <row r="20" spans="2:12" s="1" customFormat="1">
      <c r="B20" s="13" t="s">
        <v>1238</v>
      </c>
      <c r="C20" s="13" t="s">
        <v>211</v>
      </c>
      <c r="D20" s="9" t="s">
        <v>1239</v>
      </c>
      <c r="E20" s="21" t="s">
        <v>182</v>
      </c>
      <c r="F20" s="19" t="str">
        <f>VLOOKUP(B20,'12'!B:L,1,0)</f>
        <v>rat</v>
      </c>
      <c r="G20" s="19" t="s">
        <v>208</v>
      </c>
      <c r="H20" s="164" t="str">
        <f t="shared" si="0"/>
        <v>,rat as rat</v>
      </c>
      <c r="I20" s="25"/>
      <c r="J20" s="25" t="s">
        <v>4</v>
      </c>
      <c r="K20" s="25" t="s">
        <v>209</v>
      </c>
      <c r="L20" s="25" t="s">
        <v>209</v>
      </c>
    </row>
    <row r="21" spans="2:12" s="1" customFormat="1">
      <c r="B21" s="13" t="s">
        <v>264</v>
      </c>
      <c r="C21" s="13" t="s">
        <v>206</v>
      </c>
      <c r="D21" s="9" t="s">
        <v>1240</v>
      </c>
      <c r="E21" s="21" t="s">
        <v>182</v>
      </c>
      <c r="F21" s="19" t="str">
        <f>VLOOKUP(B21,'12'!B:L,1,0)</f>
        <v>home_province</v>
      </c>
      <c r="G21" s="19" t="s">
        <v>208</v>
      </c>
      <c r="H21" s="164" t="str">
        <f t="shared" si="0"/>
        <v>,home_province as home_province</v>
      </c>
      <c r="I21" s="25"/>
      <c r="J21" s="25" t="s">
        <v>4</v>
      </c>
      <c r="K21" s="25" t="s">
        <v>209</v>
      </c>
      <c r="L21" s="25" t="s">
        <v>209</v>
      </c>
    </row>
    <row r="22" spans="2:12" s="1" customFormat="1">
      <c r="B22" s="13" t="s">
        <v>1265</v>
      </c>
      <c r="C22" s="13" t="s">
        <v>206</v>
      </c>
      <c r="D22" s="9" t="s">
        <v>1266</v>
      </c>
      <c r="E22" s="21" t="s">
        <v>182</v>
      </c>
      <c r="F22" s="19" t="str">
        <f>VLOOKUP(B22,'12'!B:L,1,0)</f>
        <v>amf_ip_add</v>
      </c>
      <c r="G22" s="19" t="s">
        <v>208</v>
      </c>
      <c r="H22" s="164" t="str">
        <f t="shared" si="0"/>
        <v>,amf_ip_add as amf_ip_add</v>
      </c>
      <c r="I22" s="25"/>
      <c r="J22" s="25" t="s">
        <v>4</v>
      </c>
      <c r="K22" s="25" t="s">
        <v>209</v>
      </c>
      <c r="L22" s="25" t="s">
        <v>209</v>
      </c>
    </row>
    <row r="23" spans="2:12" s="1" customFormat="1">
      <c r="B23" s="13" t="s">
        <v>1325</v>
      </c>
      <c r="C23" s="13" t="s">
        <v>206</v>
      </c>
      <c r="D23" s="9" t="s">
        <v>730</v>
      </c>
      <c r="E23" s="21" t="s">
        <v>182</v>
      </c>
      <c r="F23" s="19" t="str">
        <f>VLOOKUP(B23,'12'!B:L,1,0)</f>
        <v>s_nssai_sst</v>
      </c>
      <c r="G23" s="19" t="s">
        <v>208</v>
      </c>
      <c r="H23" s="164" t="str">
        <f t="shared" si="0"/>
        <v>,s_nssai_sst as s_nssai_sst</v>
      </c>
      <c r="I23" s="25"/>
      <c r="J23" s="25" t="s">
        <v>4</v>
      </c>
      <c r="K23" s="25" t="s">
        <v>209</v>
      </c>
      <c r="L23" s="25" t="s">
        <v>209</v>
      </c>
    </row>
    <row r="24" spans="2:12" s="1" customFormat="1">
      <c r="B24" s="13" t="s">
        <v>1326</v>
      </c>
      <c r="C24" s="13" t="s">
        <v>206</v>
      </c>
      <c r="D24" s="9" t="s">
        <v>731</v>
      </c>
      <c r="E24" s="21" t="s">
        <v>182</v>
      </c>
      <c r="F24" s="19" t="str">
        <f>VLOOKUP(B24,'12'!B:L,1,0)</f>
        <v>s_nssai_sd</v>
      </c>
      <c r="G24" s="19" t="s">
        <v>208</v>
      </c>
      <c r="H24" s="164" t="str">
        <f t="shared" si="0"/>
        <v>,s_nssai_sd as s_nssai_sd</v>
      </c>
      <c r="I24" s="25"/>
      <c r="J24" s="25" t="s">
        <v>4</v>
      </c>
      <c r="K24" s="25" t="s">
        <v>209</v>
      </c>
      <c r="L24" s="25" t="s">
        <v>209</v>
      </c>
    </row>
    <row r="25" spans="2:12" s="1" customFormat="1">
      <c r="B25" s="13" t="s">
        <v>1328</v>
      </c>
      <c r="C25" s="13" t="s">
        <v>211</v>
      </c>
      <c r="D25" s="9" t="s">
        <v>1329</v>
      </c>
      <c r="E25" s="21" t="s">
        <v>182</v>
      </c>
      <c r="F25" s="19" t="str">
        <f>VLOOKUP(B25,'12'!B:L,1,0)</f>
        <v>tac</v>
      </c>
      <c r="G25" s="19" t="s">
        <v>208</v>
      </c>
      <c r="H25" s="164" t="str">
        <f t="shared" si="0"/>
        <v>,tac as tac</v>
      </c>
      <c r="I25" s="25"/>
      <c r="J25" s="25" t="s">
        <v>4</v>
      </c>
      <c r="K25" s="25" t="s">
        <v>209</v>
      </c>
      <c r="L25" s="25" t="s">
        <v>209</v>
      </c>
    </row>
    <row r="26" spans="2:12" s="1" customFormat="1">
      <c r="B26" s="13" t="s">
        <v>2446</v>
      </c>
      <c r="C26" s="13" t="s">
        <v>281</v>
      </c>
      <c r="D26" s="9" t="s">
        <v>1331</v>
      </c>
      <c r="E26" s="21" t="s">
        <v>182</v>
      </c>
      <c r="F26" s="19" t="str">
        <f>VLOOKUP(B26,'12'!B:L,1,0)</f>
        <v>ci</v>
      </c>
      <c r="G26" s="19" t="s">
        <v>208</v>
      </c>
      <c r="H26" s="164" t="str">
        <f t="shared" si="0"/>
        <v>,ci as ci</v>
      </c>
      <c r="I26" s="25"/>
      <c r="J26" s="25" t="s">
        <v>4</v>
      </c>
      <c r="K26" s="25" t="s">
        <v>209</v>
      </c>
      <c r="L26" s="25" t="s">
        <v>209</v>
      </c>
    </row>
    <row r="27" spans="2:12" s="1" customFormat="1">
      <c r="B27" s="13" t="s">
        <v>220</v>
      </c>
      <c r="C27" s="13" t="s">
        <v>206</v>
      </c>
      <c r="D27" s="9" t="s">
        <v>1569</v>
      </c>
      <c r="E27" s="21" t="s">
        <v>182</v>
      </c>
      <c r="F27" s="19" t="s">
        <v>222</v>
      </c>
      <c r="G27" s="19" t="s">
        <v>208</v>
      </c>
      <c r="H27" s="164" t="str">
        <f t="shared" si="0"/>
        <v>,p_provincecode as provincecode</v>
      </c>
      <c r="I27" s="25"/>
      <c r="J27" s="25" t="s">
        <v>4</v>
      </c>
      <c r="K27" s="25" t="s">
        <v>209</v>
      </c>
      <c r="L27" s="25" t="s">
        <v>209</v>
      </c>
    </row>
    <row r="28" spans="2:12" s="1" customFormat="1">
      <c r="B28" s="13" t="s">
        <v>224</v>
      </c>
      <c r="C28" s="13" t="s">
        <v>206</v>
      </c>
      <c r="D28" s="9" t="s">
        <v>444</v>
      </c>
      <c r="E28" s="21" t="s">
        <v>182</v>
      </c>
      <c r="F28" s="19" t="str">
        <f>VLOOKUP(B28,'12'!B:L,1,0)</f>
        <v>citycode</v>
      </c>
      <c r="G28" s="19" t="s">
        <v>208</v>
      </c>
      <c r="H28" s="164" t="str">
        <f t="shared" si="0"/>
        <v>,citycode as citycode</v>
      </c>
      <c r="I28" s="25"/>
      <c r="J28" s="25" t="s">
        <v>4</v>
      </c>
      <c r="K28" s="25" t="s">
        <v>209</v>
      </c>
      <c r="L28" s="25" t="s">
        <v>209</v>
      </c>
    </row>
    <row r="29" spans="2:12" s="1" customFormat="1">
      <c r="B29" s="13" t="s">
        <v>233</v>
      </c>
      <c r="C29" s="13" t="s">
        <v>206</v>
      </c>
      <c r="D29" s="9" t="s">
        <v>446</v>
      </c>
      <c r="E29" s="21" t="s">
        <v>182</v>
      </c>
      <c r="F29" s="19" t="str">
        <f>VLOOKUP(B29,'12'!B:L,1,0)</f>
        <v>city</v>
      </c>
      <c r="G29" s="19" t="s">
        <v>208</v>
      </c>
      <c r="H29" s="164" t="str">
        <f t="shared" si="0"/>
        <v>,city as city</v>
      </c>
      <c r="I29" s="25"/>
      <c r="J29" s="25" t="s">
        <v>4</v>
      </c>
      <c r="K29" s="25" t="s">
        <v>209</v>
      </c>
      <c r="L29" s="25" t="s">
        <v>209</v>
      </c>
    </row>
    <row r="30" spans="2:12" s="1" customFormat="1">
      <c r="B30" s="13" t="s">
        <v>1267</v>
      </c>
      <c r="C30" s="13" t="s">
        <v>206</v>
      </c>
      <c r="D30" s="9" t="s">
        <v>1268</v>
      </c>
      <c r="E30" s="21" t="s">
        <v>182</v>
      </c>
      <c r="F30" s="19" t="str">
        <f>VLOOKUP(B30,'12'!B:L,1,0)</f>
        <v>gnb_ip_add</v>
      </c>
      <c r="G30" s="19" t="s">
        <v>208</v>
      </c>
      <c r="H30" s="164" t="str">
        <f t="shared" si="0"/>
        <v>,gnb_ip_add as gnb_ip_add</v>
      </c>
      <c r="I30" s="25"/>
      <c r="J30" s="25" t="s">
        <v>4</v>
      </c>
      <c r="K30" s="25" t="s">
        <v>209</v>
      </c>
      <c r="L30" s="25" t="s">
        <v>209</v>
      </c>
    </row>
    <row r="31" spans="2:12" s="1" customFormat="1">
      <c r="B31" s="13" t="s">
        <v>1293</v>
      </c>
      <c r="C31" s="13" t="s">
        <v>281</v>
      </c>
      <c r="D31" s="9" t="s">
        <v>1294</v>
      </c>
      <c r="E31" s="21" t="s">
        <v>182</v>
      </c>
      <c r="F31" s="19" t="str">
        <f>VLOOKUP(B31,'12'!B:L,1,0)</f>
        <v>other_cell_id</v>
      </c>
      <c r="G31" s="19" t="s">
        <v>208</v>
      </c>
      <c r="H31" s="164" t="str">
        <f t="shared" si="0"/>
        <v>,other_cell_id as other_cell_id</v>
      </c>
      <c r="I31" s="25"/>
      <c r="J31" s="25" t="s">
        <v>4</v>
      </c>
      <c r="K31" s="25" t="s">
        <v>209</v>
      </c>
      <c r="L31" s="25" t="s">
        <v>209</v>
      </c>
    </row>
    <row r="32" spans="2:12" s="1" customFormat="1">
      <c r="B32" s="13" t="s">
        <v>1358</v>
      </c>
      <c r="C32" s="13" t="s">
        <v>206</v>
      </c>
      <c r="D32" s="9" t="s">
        <v>1359</v>
      </c>
      <c r="E32" s="21" t="s">
        <v>182</v>
      </c>
      <c r="F32" s="19" t="str">
        <f>VLOOKUP(B32,'12'!B:L,1,0)</f>
        <v>pdu_session_dnn</v>
      </c>
      <c r="G32" s="19" t="s">
        <v>208</v>
      </c>
      <c r="H32" s="164" t="str">
        <f t="shared" si="0"/>
        <v>,pdu_session_dnn as pdu_session_dnn</v>
      </c>
      <c r="I32" s="25"/>
      <c r="J32" s="25" t="s">
        <v>4</v>
      </c>
      <c r="K32" s="25" t="s">
        <v>209</v>
      </c>
      <c r="L32" s="25" t="s">
        <v>209</v>
      </c>
    </row>
    <row r="33" spans="2:12" s="1" customFormat="1">
      <c r="B33" s="13" t="s">
        <v>1893</v>
      </c>
      <c r="C33" s="13" t="s">
        <v>281</v>
      </c>
      <c r="D33" s="9" t="s">
        <v>1571</v>
      </c>
      <c r="E33" s="21" t="s">
        <v>182</v>
      </c>
      <c r="F33" s="19" t="s">
        <v>1894</v>
      </c>
      <c r="G33" s="19" t="s">
        <v>1894</v>
      </c>
      <c r="H33" s="164" t="str">
        <f t="shared" si="0"/>
        <v>,sum(regist_request_cnt) as regist_request_sum</v>
      </c>
      <c r="I33" s="25"/>
      <c r="J33" s="25" t="s">
        <v>284</v>
      </c>
      <c r="K33" s="25" t="s">
        <v>750</v>
      </c>
      <c r="L33" s="25" t="s">
        <v>285</v>
      </c>
    </row>
    <row r="34" spans="2:12" s="1" customFormat="1">
      <c r="B34" s="13" t="s">
        <v>1895</v>
      </c>
      <c r="C34" s="13" t="s">
        <v>281</v>
      </c>
      <c r="D34" s="9" t="s">
        <v>1574</v>
      </c>
      <c r="E34" s="21" t="s">
        <v>182</v>
      </c>
      <c r="F34" s="19" t="s">
        <v>1896</v>
      </c>
      <c r="G34" s="19" t="s">
        <v>1896</v>
      </c>
      <c r="H34" s="164" t="str">
        <f t="shared" si="0"/>
        <v>,sum(regist_succ_cnt) as regist_succ_sum</v>
      </c>
      <c r="I34" s="25"/>
      <c r="J34" s="25" t="s">
        <v>284</v>
      </c>
      <c r="K34" s="25" t="s">
        <v>750</v>
      </c>
      <c r="L34" s="25" t="s">
        <v>285</v>
      </c>
    </row>
    <row r="35" spans="2:12" s="1" customFormat="1">
      <c r="B35" s="13" t="s">
        <v>1897</v>
      </c>
      <c r="C35" s="13" t="s">
        <v>281</v>
      </c>
      <c r="D35" s="27" t="s">
        <v>1577</v>
      </c>
      <c r="E35" s="21" t="s">
        <v>182</v>
      </c>
      <c r="F35" s="19" t="s">
        <v>1898</v>
      </c>
      <c r="G35" s="19" t="s">
        <v>1898</v>
      </c>
      <c r="H35" s="164" t="str">
        <f t="shared" si="0"/>
        <v>,sum(regist_fail_cnt) as regist_fail_sum</v>
      </c>
      <c r="I35" s="25"/>
      <c r="J35" s="25" t="s">
        <v>284</v>
      </c>
      <c r="K35" s="25" t="s">
        <v>750</v>
      </c>
      <c r="L35" s="25" t="s">
        <v>285</v>
      </c>
    </row>
    <row r="36" spans="2:12" s="1" customFormat="1">
      <c r="B36" s="13" t="s">
        <v>1899</v>
      </c>
      <c r="C36" s="13" t="s">
        <v>281</v>
      </c>
      <c r="D36" s="9" t="s">
        <v>1580</v>
      </c>
      <c r="E36" s="21" t="s">
        <v>182</v>
      </c>
      <c r="F36" s="19" t="s">
        <v>1900</v>
      </c>
      <c r="G36" s="19" t="s">
        <v>1900</v>
      </c>
      <c r="H36" s="164" t="str">
        <f t="shared" si="0"/>
        <v>,sum(regist_timeout_cnt) as regist_timeout_sum</v>
      </c>
      <c r="I36" s="25"/>
      <c r="J36" s="25" t="s">
        <v>284</v>
      </c>
      <c r="K36" s="25" t="s">
        <v>750</v>
      </c>
      <c r="L36" s="25" t="s">
        <v>285</v>
      </c>
    </row>
    <row r="37" spans="2:12" s="1" customFormat="1">
      <c r="B37" s="13" t="s">
        <v>1901</v>
      </c>
      <c r="C37" s="13" t="s">
        <v>281</v>
      </c>
      <c r="D37" s="9" t="s">
        <v>1902</v>
      </c>
      <c r="E37" s="21" t="s">
        <v>182</v>
      </c>
      <c r="F37" s="19" t="s">
        <v>1903</v>
      </c>
      <c r="G37" s="19" t="s">
        <v>1904</v>
      </c>
      <c r="H37" s="164" t="str">
        <f t="shared" si="0"/>
        <v>,sum(regist_delay_sum) as regist_delay_sum</v>
      </c>
      <c r="I37" s="25"/>
      <c r="J37" s="25" t="s">
        <v>284</v>
      </c>
      <c r="K37" s="25" t="s">
        <v>471</v>
      </c>
      <c r="L37" s="25" t="s">
        <v>285</v>
      </c>
    </row>
    <row r="38" spans="2:12" s="1" customFormat="1">
      <c r="B38" s="13" t="s">
        <v>1905</v>
      </c>
      <c r="C38" s="13" t="s">
        <v>281</v>
      </c>
      <c r="D38" s="9" t="s">
        <v>1586</v>
      </c>
      <c r="E38" s="21" t="s">
        <v>182</v>
      </c>
      <c r="F38" s="19" t="s">
        <v>1906</v>
      </c>
      <c r="G38" s="19" t="s">
        <v>1906</v>
      </c>
      <c r="H38" s="164" t="str">
        <f t="shared" si="0"/>
        <v>,sum(regist_init_request_cnt) as regist_init_request_sum</v>
      </c>
      <c r="I38" s="25"/>
      <c r="J38" s="25" t="s">
        <v>284</v>
      </c>
      <c r="K38" s="25" t="s">
        <v>750</v>
      </c>
      <c r="L38" s="25" t="s">
        <v>285</v>
      </c>
    </row>
    <row r="39" spans="2:12" s="1" customFormat="1">
      <c r="B39" s="13" t="s">
        <v>1907</v>
      </c>
      <c r="C39" s="13" t="s">
        <v>281</v>
      </c>
      <c r="D39" s="9" t="s">
        <v>1589</v>
      </c>
      <c r="E39" s="21" t="s">
        <v>182</v>
      </c>
      <c r="F39" s="19" t="s">
        <v>1908</v>
      </c>
      <c r="G39" s="19" t="s">
        <v>1908</v>
      </c>
      <c r="H39" s="164" t="str">
        <f t="shared" si="0"/>
        <v>,sum(regist_init_succ_cnt) as regist_init_succ_sum</v>
      </c>
      <c r="I39" s="25"/>
      <c r="J39" s="25" t="s">
        <v>284</v>
      </c>
      <c r="K39" s="25" t="s">
        <v>750</v>
      </c>
      <c r="L39" s="25" t="s">
        <v>285</v>
      </c>
    </row>
    <row r="40" spans="2:12" s="1" customFormat="1">
      <c r="B40" s="13" t="s">
        <v>1909</v>
      </c>
      <c r="C40" s="13" t="s">
        <v>281</v>
      </c>
      <c r="D40" s="9" t="s">
        <v>1592</v>
      </c>
      <c r="E40" s="21" t="s">
        <v>182</v>
      </c>
      <c r="F40" s="19" t="s">
        <v>1910</v>
      </c>
      <c r="G40" s="19" t="s">
        <v>1910</v>
      </c>
      <c r="H40" s="164" t="str">
        <f t="shared" si="0"/>
        <v>,sum(regist_init_fail_cnt) as regist_init_fail_sum</v>
      </c>
      <c r="I40" s="25"/>
      <c r="J40" s="25" t="s">
        <v>284</v>
      </c>
      <c r="K40" s="25" t="s">
        <v>750</v>
      </c>
      <c r="L40" s="25" t="s">
        <v>285</v>
      </c>
    </row>
    <row r="41" spans="2:12" s="1" customFormat="1">
      <c r="B41" s="13" t="s">
        <v>1911</v>
      </c>
      <c r="C41" s="13" t="s">
        <v>281</v>
      </c>
      <c r="D41" s="9" t="s">
        <v>1595</v>
      </c>
      <c r="E41" s="21" t="s">
        <v>182</v>
      </c>
      <c r="F41" s="19" t="s">
        <v>1912</v>
      </c>
      <c r="G41" s="19" t="s">
        <v>1912</v>
      </c>
      <c r="H41" s="164" t="str">
        <f t="shared" si="0"/>
        <v>,sum(regist_init_timeout_cnt) as regist_init_timeout_sum</v>
      </c>
      <c r="I41" s="25"/>
      <c r="J41" s="25" t="s">
        <v>284</v>
      </c>
      <c r="K41" s="25" t="s">
        <v>750</v>
      </c>
      <c r="L41" s="25" t="s">
        <v>285</v>
      </c>
    </row>
    <row r="42" spans="2:12" s="1" customFormat="1">
      <c r="B42" s="13" t="s">
        <v>1913</v>
      </c>
      <c r="C42" s="13" t="s">
        <v>281</v>
      </c>
      <c r="D42" s="9" t="s">
        <v>1914</v>
      </c>
      <c r="E42" s="21" t="s">
        <v>182</v>
      </c>
      <c r="F42" s="19" t="s">
        <v>1915</v>
      </c>
      <c r="G42" s="19" t="s">
        <v>1916</v>
      </c>
      <c r="H42" s="164" t="str">
        <f t="shared" si="0"/>
        <v>,sum(regist_init_delay_sum) as regist_init_delay_sum</v>
      </c>
      <c r="I42" s="25"/>
      <c r="J42" s="25" t="s">
        <v>284</v>
      </c>
      <c r="K42" s="25" t="s">
        <v>471</v>
      </c>
      <c r="L42" s="25" t="s">
        <v>285</v>
      </c>
    </row>
    <row r="43" spans="2:12" s="1" customFormat="1">
      <c r="B43" s="13" t="s">
        <v>1917</v>
      </c>
      <c r="C43" s="13" t="s">
        <v>281</v>
      </c>
      <c r="D43" s="9" t="s">
        <v>1601</v>
      </c>
      <c r="E43" s="21" t="s">
        <v>182</v>
      </c>
      <c r="F43" s="19" t="s">
        <v>1918</v>
      </c>
      <c r="G43" s="19" t="s">
        <v>1918</v>
      </c>
      <c r="H43" s="164" t="str">
        <f t="shared" si="0"/>
        <v>,sum(regist_periodic_request_cnt) as regist_periodic_request_sum</v>
      </c>
      <c r="I43" s="25"/>
      <c r="J43" s="25" t="s">
        <v>284</v>
      </c>
      <c r="K43" s="25" t="s">
        <v>750</v>
      </c>
      <c r="L43" s="25" t="s">
        <v>285</v>
      </c>
    </row>
    <row r="44" spans="2:12" s="1" customFormat="1">
      <c r="B44" s="13" t="s">
        <v>1919</v>
      </c>
      <c r="C44" s="13" t="s">
        <v>281</v>
      </c>
      <c r="D44" s="9" t="s">
        <v>1604</v>
      </c>
      <c r="E44" s="21" t="s">
        <v>182</v>
      </c>
      <c r="F44" s="19" t="s">
        <v>1920</v>
      </c>
      <c r="G44" s="19" t="s">
        <v>1920</v>
      </c>
      <c r="H44" s="164" t="str">
        <f t="shared" si="0"/>
        <v>,sum(regist_periodic_succ_cnt) as regist_periodic_succ_sum</v>
      </c>
      <c r="I44" s="25"/>
      <c r="J44" s="25" t="s">
        <v>284</v>
      </c>
      <c r="K44" s="25" t="s">
        <v>750</v>
      </c>
      <c r="L44" s="25" t="s">
        <v>285</v>
      </c>
    </row>
    <row r="45" spans="2:12" s="1" customFormat="1">
      <c r="B45" s="13" t="s">
        <v>1921</v>
      </c>
      <c r="C45" s="13" t="s">
        <v>281</v>
      </c>
      <c r="D45" s="9" t="s">
        <v>1607</v>
      </c>
      <c r="E45" s="21" t="s">
        <v>182</v>
      </c>
      <c r="F45" s="19" t="s">
        <v>1922</v>
      </c>
      <c r="G45" s="19" t="s">
        <v>1922</v>
      </c>
      <c r="H45" s="164" t="str">
        <f t="shared" si="0"/>
        <v>,sum(regist_periodic_fail_cnt) as regist_periodic_fail_sum</v>
      </c>
      <c r="I45" s="25"/>
      <c r="J45" s="25" t="s">
        <v>284</v>
      </c>
      <c r="K45" s="25" t="s">
        <v>750</v>
      </c>
      <c r="L45" s="25" t="s">
        <v>285</v>
      </c>
    </row>
    <row r="46" spans="2:12" s="1" customFormat="1">
      <c r="B46" s="13" t="s">
        <v>1923</v>
      </c>
      <c r="C46" s="13" t="s">
        <v>281</v>
      </c>
      <c r="D46" s="9" t="s">
        <v>1610</v>
      </c>
      <c r="E46" s="21" t="s">
        <v>182</v>
      </c>
      <c r="F46" s="19" t="s">
        <v>1924</v>
      </c>
      <c r="G46" s="19" t="s">
        <v>1924</v>
      </c>
      <c r="H46" s="164" t="str">
        <f t="shared" si="0"/>
        <v>,sum(regist_periodic_timeout_cnt) as regist_periodic_timeout_sum</v>
      </c>
      <c r="I46" s="25"/>
      <c r="J46" s="25" t="s">
        <v>284</v>
      </c>
      <c r="K46" s="25" t="s">
        <v>750</v>
      </c>
      <c r="L46" s="25" t="s">
        <v>285</v>
      </c>
    </row>
    <row r="47" spans="2:12" s="1" customFormat="1">
      <c r="B47" s="13" t="s">
        <v>1925</v>
      </c>
      <c r="C47" s="13" t="s">
        <v>281</v>
      </c>
      <c r="D47" s="9" t="s">
        <v>1926</v>
      </c>
      <c r="E47" s="21" t="s">
        <v>182</v>
      </c>
      <c r="F47" s="19" t="s">
        <v>1927</v>
      </c>
      <c r="G47" s="19" t="s">
        <v>1928</v>
      </c>
      <c r="H47" s="164" t="str">
        <f t="shared" ref="H47:H78" si="1">_xlfn.CONCAT(",",F47," as ",B47)</f>
        <v>,sum(regist_periodic_delay_sum) as regist_periodic_delay_sum</v>
      </c>
      <c r="I47" s="25"/>
      <c r="J47" s="25" t="s">
        <v>284</v>
      </c>
      <c r="K47" s="25" t="s">
        <v>471</v>
      </c>
      <c r="L47" s="25" t="s">
        <v>285</v>
      </c>
    </row>
    <row r="48" spans="2:12" s="1" customFormat="1">
      <c r="B48" s="13" t="s">
        <v>1929</v>
      </c>
      <c r="C48" s="13" t="s">
        <v>281</v>
      </c>
      <c r="D48" s="9" t="s">
        <v>1616</v>
      </c>
      <c r="E48" s="21" t="s">
        <v>182</v>
      </c>
      <c r="F48" s="19" t="s">
        <v>1930</v>
      </c>
      <c r="G48" s="19" t="s">
        <v>1930</v>
      </c>
      <c r="H48" s="164" t="str">
        <f t="shared" si="1"/>
        <v>,sum(regist_mobility_request_cnt) as regist_mobility_request_sum</v>
      </c>
      <c r="I48" s="25"/>
      <c r="J48" s="25" t="s">
        <v>284</v>
      </c>
      <c r="K48" s="25" t="s">
        <v>750</v>
      </c>
      <c r="L48" s="25" t="s">
        <v>285</v>
      </c>
    </row>
    <row r="49" spans="2:12" s="1" customFormat="1">
      <c r="B49" s="13" t="s">
        <v>1931</v>
      </c>
      <c r="C49" s="13" t="s">
        <v>281</v>
      </c>
      <c r="D49" s="9" t="s">
        <v>1619</v>
      </c>
      <c r="E49" s="21" t="s">
        <v>182</v>
      </c>
      <c r="F49" s="19" t="s">
        <v>1932</v>
      </c>
      <c r="G49" s="19" t="s">
        <v>1932</v>
      </c>
      <c r="H49" s="164" t="str">
        <f t="shared" si="1"/>
        <v>,sum(regist_mobility_succ_cnt) as regist_mobility_succ_sum</v>
      </c>
      <c r="I49" s="25"/>
      <c r="J49" s="25" t="s">
        <v>284</v>
      </c>
      <c r="K49" s="25" t="s">
        <v>750</v>
      </c>
      <c r="L49" s="25" t="s">
        <v>285</v>
      </c>
    </row>
    <row r="50" spans="2:12" s="1" customFormat="1">
      <c r="B50" s="13" t="s">
        <v>1933</v>
      </c>
      <c r="C50" s="13" t="s">
        <v>281</v>
      </c>
      <c r="D50" s="9" t="s">
        <v>1622</v>
      </c>
      <c r="E50" s="21" t="s">
        <v>182</v>
      </c>
      <c r="F50" s="19" t="s">
        <v>1934</v>
      </c>
      <c r="G50" s="19" t="s">
        <v>1934</v>
      </c>
      <c r="H50" s="164" t="str">
        <f t="shared" si="1"/>
        <v>,sum(regist_mobility_fail_cnt) as regist_mobility_fail_sum</v>
      </c>
      <c r="I50" s="25"/>
      <c r="J50" s="25" t="s">
        <v>284</v>
      </c>
      <c r="K50" s="25" t="s">
        <v>750</v>
      </c>
      <c r="L50" s="25" t="s">
        <v>285</v>
      </c>
    </row>
    <row r="51" spans="2:12" s="1" customFormat="1">
      <c r="B51" s="13" t="s">
        <v>1935</v>
      </c>
      <c r="C51" s="13" t="s">
        <v>281</v>
      </c>
      <c r="D51" s="9" t="s">
        <v>1625</v>
      </c>
      <c r="E51" s="21" t="s">
        <v>182</v>
      </c>
      <c r="F51" s="19" t="s">
        <v>1936</v>
      </c>
      <c r="G51" s="19" t="s">
        <v>1936</v>
      </c>
      <c r="H51" s="164" t="str">
        <f t="shared" si="1"/>
        <v>,sum(regist_mobility_timeout_cnt) as regist_mobility_timeout_sum</v>
      </c>
      <c r="I51" s="25"/>
      <c r="J51" s="25" t="s">
        <v>284</v>
      </c>
      <c r="K51" s="25" t="s">
        <v>750</v>
      </c>
      <c r="L51" s="25" t="s">
        <v>285</v>
      </c>
    </row>
    <row r="52" spans="2:12" s="1" customFormat="1">
      <c r="B52" s="13" t="s">
        <v>1937</v>
      </c>
      <c r="C52" s="13" t="s">
        <v>281</v>
      </c>
      <c r="D52" s="9" t="s">
        <v>1938</v>
      </c>
      <c r="E52" s="21" t="s">
        <v>182</v>
      </c>
      <c r="F52" s="19" t="s">
        <v>1939</v>
      </c>
      <c r="G52" s="19" t="s">
        <v>1940</v>
      </c>
      <c r="H52" s="164" t="str">
        <f t="shared" si="1"/>
        <v>,sum(regist_mobility_delay_sum) as regist_mobility_delay_sum</v>
      </c>
      <c r="I52" s="25"/>
      <c r="J52" s="25" t="s">
        <v>284</v>
      </c>
      <c r="K52" s="25" t="s">
        <v>471</v>
      </c>
      <c r="L52" s="25" t="s">
        <v>285</v>
      </c>
    </row>
    <row r="53" spans="2:12" s="1" customFormat="1">
      <c r="B53" s="13" t="s">
        <v>1941</v>
      </c>
      <c r="C53" s="13" t="s">
        <v>281</v>
      </c>
      <c r="D53" s="9" t="s">
        <v>1631</v>
      </c>
      <c r="E53" s="21" t="s">
        <v>182</v>
      </c>
      <c r="F53" s="19" t="s">
        <v>1942</v>
      </c>
      <c r="G53" s="19" t="s">
        <v>1942</v>
      </c>
      <c r="H53" s="164" t="str">
        <f t="shared" si="1"/>
        <v>,sum(regist_emergency_request_cnt) as regist_emergency_request_sum</v>
      </c>
      <c r="I53" s="25"/>
      <c r="J53" s="25" t="s">
        <v>284</v>
      </c>
      <c r="K53" s="25" t="s">
        <v>750</v>
      </c>
      <c r="L53" s="25" t="s">
        <v>285</v>
      </c>
    </row>
    <row r="54" spans="2:12" s="1" customFormat="1">
      <c r="B54" s="13" t="s">
        <v>1943</v>
      </c>
      <c r="C54" s="13" t="s">
        <v>281</v>
      </c>
      <c r="D54" s="9" t="s">
        <v>1634</v>
      </c>
      <c r="E54" s="21" t="s">
        <v>182</v>
      </c>
      <c r="F54" s="19" t="s">
        <v>1944</v>
      </c>
      <c r="G54" s="19" t="s">
        <v>1944</v>
      </c>
      <c r="H54" s="164" t="str">
        <f t="shared" si="1"/>
        <v>,sum(regist_emergency_succ_cnt) as regist_emergency_succ_sum</v>
      </c>
      <c r="I54" s="25"/>
      <c r="J54" s="25" t="s">
        <v>284</v>
      </c>
      <c r="K54" s="25" t="s">
        <v>750</v>
      </c>
      <c r="L54" s="25" t="s">
        <v>285</v>
      </c>
    </row>
    <row r="55" spans="2:12" s="1" customFormat="1">
      <c r="B55" s="13" t="s">
        <v>1945</v>
      </c>
      <c r="C55" s="13" t="s">
        <v>281</v>
      </c>
      <c r="D55" s="9" t="s">
        <v>1637</v>
      </c>
      <c r="E55" s="21" t="s">
        <v>182</v>
      </c>
      <c r="F55" s="19" t="s">
        <v>1946</v>
      </c>
      <c r="G55" s="19" t="s">
        <v>1946</v>
      </c>
      <c r="H55" s="164" t="str">
        <f t="shared" si="1"/>
        <v>,sum(regist_emergency_fail_cnt) as regist_emergency_fail_sum</v>
      </c>
      <c r="I55" s="25"/>
      <c r="J55" s="25" t="s">
        <v>284</v>
      </c>
      <c r="K55" s="25" t="s">
        <v>750</v>
      </c>
      <c r="L55" s="25" t="s">
        <v>285</v>
      </c>
    </row>
    <row r="56" spans="2:12" s="1" customFormat="1">
      <c r="B56" s="13" t="s">
        <v>1947</v>
      </c>
      <c r="C56" s="13" t="s">
        <v>281</v>
      </c>
      <c r="D56" s="9" t="s">
        <v>1640</v>
      </c>
      <c r="E56" s="21" t="s">
        <v>182</v>
      </c>
      <c r="F56" s="19" t="s">
        <v>1948</v>
      </c>
      <c r="G56" s="19" t="s">
        <v>1948</v>
      </c>
      <c r="H56" s="164" t="str">
        <f t="shared" si="1"/>
        <v>,sum(regist_emergency_timeout_cnt) as regist_emergency_timeout_sum</v>
      </c>
      <c r="I56" s="25"/>
      <c r="J56" s="25" t="s">
        <v>284</v>
      </c>
      <c r="K56" s="25" t="s">
        <v>750</v>
      </c>
      <c r="L56" s="25" t="s">
        <v>285</v>
      </c>
    </row>
    <row r="57" spans="2:12" s="1" customFormat="1">
      <c r="B57" s="13" t="s">
        <v>1949</v>
      </c>
      <c r="C57" s="13" t="s">
        <v>281</v>
      </c>
      <c r="D57" s="9" t="s">
        <v>1950</v>
      </c>
      <c r="E57" s="21" t="s">
        <v>182</v>
      </c>
      <c r="F57" s="19" t="s">
        <v>1951</v>
      </c>
      <c r="G57" s="19" t="s">
        <v>1952</v>
      </c>
      <c r="H57" s="164" t="str">
        <f t="shared" si="1"/>
        <v>,sum(regist_emergency_delay_sum) as regist_emergency_delay_sum</v>
      </c>
      <c r="I57" s="25"/>
      <c r="J57" s="25" t="s">
        <v>284</v>
      </c>
      <c r="K57" s="25" t="s">
        <v>471</v>
      </c>
      <c r="L57" s="25" t="s">
        <v>285</v>
      </c>
    </row>
    <row r="58" spans="2:12" s="1" customFormat="1">
      <c r="B58" s="13" t="s">
        <v>1953</v>
      </c>
      <c r="C58" s="13" t="s">
        <v>281</v>
      </c>
      <c r="D58" s="9" t="s">
        <v>1646</v>
      </c>
      <c r="E58" s="21" t="s">
        <v>182</v>
      </c>
      <c r="F58" s="19" t="s">
        <v>1954</v>
      </c>
      <c r="G58" s="19" t="s">
        <v>1954</v>
      </c>
      <c r="H58" s="164" t="str">
        <f t="shared" si="1"/>
        <v>,sum(servicerequest_request_cnt) as servicerequest_request_sum</v>
      </c>
      <c r="I58" s="25"/>
      <c r="J58" s="25" t="s">
        <v>284</v>
      </c>
      <c r="K58" s="25" t="s">
        <v>750</v>
      </c>
      <c r="L58" s="25" t="s">
        <v>285</v>
      </c>
    </row>
    <row r="59" spans="2:12" s="1" customFormat="1">
      <c r="B59" s="13" t="s">
        <v>1955</v>
      </c>
      <c r="C59" s="13" t="s">
        <v>281</v>
      </c>
      <c r="D59" s="9" t="s">
        <v>1649</v>
      </c>
      <c r="E59" s="21" t="s">
        <v>182</v>
      </c>
      <c r="F59" s="19" t="s">
        <v>1956</v>
      </c>
      <c r="G59" s="19" t="s">
        <v>1956</v>
      </c>
      <c r="H59" s="164" t="str">
        <f t="shared" si="1"/>
        <v>,sum(servicerequest_succ_cnt) as servicerequest_succ_sum</v>
      </c>
      <c r="I59" s="25"/>
      <c r="J59" s="25" t="s">
        <v>284</v>
      </c>
      <c r="K59" s="25" t="s">
        <v>750</v>
      </c>
      <c r="L59" s="25" t="s">
        <v>285</v>
      </c>
    </row>
    <row r="60" spans="2:12" s="1" customFormat="1">
      <c r="B60" s="13" t="s">
        <v>1957</v>
      </c>
      <c r="C60" s="13" t="s">
        <v>281</v>
      </c>
      <c r="D60" s="9" t="s">
        <v>1652</v>
      </c>
      <c r="E60" s="21" t="s">
        <v>182</v>
      </c>
      <c r="F60" s="19" t="s">
        <v>1958</v>
      </c>
      <c r="G60" s="19" t="s">
        <v>1958</v>
      </c>
      <c r="H60" s="164" t="str">
        <f t="shared" si="1"/>
        <v>,sum(servicerequest_fail_cnt) as servicerequest_fail_sum</v>
      </c>
      <c r="I60" s="25"/>
      <c r="J60" s="25" t="s">
        <v>284</v>
      </c>
      <c r="K60" s="25" t="s">
        <v>750</v>
      </c>
      <c r="L60" s="25" t="s">
        <v>285</v>
      </c>
    </row>
    <row r="61" spans="2:12" s="1" customFormat="1">
      <c r="B61" s="13" t="s">
        <v>1959</v>
      </c>
      <c r="C61" s="13" t="s">
        <v>281</v>
      </c>
      <c r="D61" s="9" t="s">
        <v>1655</v>
      </c>
      <c r="E61" s="21" t="s">
        <v>182</v>
      </c>
      <c r="F61" s="19" t="s">
        <v>1960</v>
      </c>
      <c r="G61" s="19" t="s">
        <v>1960</v>
      </c>
      <c r="H61" s="164" t="str">
        <f t="shared" si="1"/>
        <v>,sum(servicerequest_timeout_cnt) as servicerequest_timeout_sum</v>
      </c>
      <c r="I61" s="25"/>
      <c r="J61" s="25" t="s">
        <v>284</v>
      </c>
      <c r="K61" s="25" t="s">
        <v>750</v>
      </c>
      <c r="L61" s="25" t="s">
        <v>285</v>
      </c>
    </row>
    <row r="62" spans="2:12" s="1" customFormat="1">
      <c r="B62" s="13" t="s">
        <v>1961</v>
      </c>
      <c r="C62" s="13" t="s">
        <v>281</v>
      </c>
      <c r="D62" s="9" t="s">
        <v>1962</v>
      </c>
      <c r="E62" s="21" t="s">
        <v>182</v>
      </c>
      <c r="F62" s="19" t="s">
        <v>1963</v>
      </c>
      <c r="G62" s="19" t="s">
        <v>1964</v>
      </c>
      <c r="H62" s="164" t="str">
        <f t="shared" si="1"/>
        <v>,sum(servicerequest_delay_sum) as servicerequest_delay_sum</v>
      </c>
      <c r="I62" s="25"/>
      <c r="J62" s="25" t="s">
        <v>284</v>
      </c>
      <c r="K62" s="25" t="s">
        <v>471</v>
      </c>
      <c r="L62" s="25" t="s">
        <v>285</v>
      </c>
    </row>
    <row r="63" spans="2:12" s="1" customFormat="1">
      <c r="B63" s="13" t="s">
        <v>1965</v>
      </c>
      <c r="C63" s="13" t="s">
        <v>281</v>
      </c>
      <c r="D63" s="9" t="s">
        <v>1671</v>
      </c>
      <c r="E63" s="21" t="s">
        <v>182</v>
      </c>
      <c r="F63" s="19" t="s">
        <v>1966</v>
      </c>
      <c r="G63" s="19" t="s">
        <v>1966</v>
      </c>
      <c r="H63" s="164" t="str">
        <f t="shared" si="1"/>
        <v>,sum(sms_mo_request_cnt) as sms_mo_request_sum</v>
      </c>
      <c r="I63" s="25"/>
      <c r="J63" s="25" t="s">
        <v>284</v>
      </c>
      <c r="K63" s="25" t="s">
        <v>750</v>
      </c>
      <c r="L63" s="25" t="s">
        <v>285</v>
      </c>
    </row>
    <row r="64" spans="2:12" s="1" customFormat="1">
      <c r="B64" s="13" t="s">
        <v>1967</v>
      </c>
      <c r="C64" s="13" t="s">
        <v>281</v>
      </c>
      <c r="D64" s="9" t="s">
        <v>1674</v>
      </c>
      <c r="E64" s="21" t="s">
        <v>182</v>
      </c>
      <c r="F64" s="19" t="s">
        <v>1968</v>
      </c>
      <c r="G64" s="19" t="s">
        <v>1968</v>
      </c>
      <c r="H64" s="164" t="str">
        <f t="shared" si="1"/>
        <v>,sum(sms_mo_succ_cnt) as sms_mo_succ_sum</v>
      </c>
      <c r="I64" s="25"/>
      <c r="J64" s="25" t="s">
        <v>284</v>
      </c>
      <c r="K64" s="25" t="s">
        <v>750</v>
      </c>
      <c r="L64" s="25" t="s">
        <v>285</v>
      </c>
    </row>
    <row r="65" spans="2:12" s="1" customFormat="1">
      <c r="B65" s="13" t="s">
        <v>1969</v>
      </c>
      <c r="C65" s="13" t="s">
        <v>281</v>
      </c>
      <c r="D65" s="9" t="s">
        <v>1677</v>
      </c>
      <c r="E65" s="21" t="s">
        <v>182</v>
      </c>
      <c r="F65" s="19" t="s">
        <v>1970</v>
      </c>
      <c r="G65" s="19" t="s">
        <v>1970</v>
      </c>
      <c r="H65" s="164" t="str">
        <f t="shared" si="1"/>
        <v>,sum(sms_mo_fail_cnt) as sms_mo_fail_sum</v>
      </c>
      <c r="I65" s="25"/>
      <c r="J65" s="25" t="s">
        <v>284</v>
      </c>
      <c r="K65" s="25" t="s">
        <v>750</v>
      </c>
      <c r="L65" s="25" t="s">
        <v>285</v>
      </c>
    </row>
    <row r="66" spans="2:12" s="1" customFormat="1">
      <c r="B66" s="13" t="s">
        <v>1971</v>
      </c>
      <c r="C66" s="13" t="s">
        <v>281</v>
      </c>
      <c r="D66" s="9" t="s">
        <v>1680</v>
      </c>
      <c r="E66" s="21" t="s">
        <v>182</v>
      </c>
      <c r="F66" s="19" t="s">
        <v>1972</v>
      </c>
      <c r="G66" s="19" t="s">
        <v>1972</v>
      </c>
      <c r="H66" s="164" t="str">
        <f t="shared" si="1"/>
        <v>,sum(sms_mo_timeout_cnt) as sms_mo_timeout_sum</v>
      </c>
      <c r="I66" s="25"/>
      <c r="J66" s="25" t="s">
        <v>284</v>
      </c>
      <c r="K66" s="25" t="s">
        <v>750</v>
      </c>
      <c r="L66" s="25" t="s">
        <v>285</v>
      </c>
    </row>
    <row r="67" spans="2:12" s="1" customFormat="1">
      <c r="B67" s="13" t="s">
        <v>1973</v>
      </c>
      <c r="C67" s="13" t="s">
        <v>281</v>
      </c>
      <c r="D67" s="9" t="s">
        <v>1974</v>
      </c>
      <c r="E67" s="21" t="s">
        <v>182</v>
      </c>
      <c r="F67" s="19" t="s">
        <v>1975</v>
      </c>
      <c r="G67" s="19" t="s">
        <v>1976</v>
      </c>
      <c r="H67" s="164" t="str">
        <f t="shared" si="1"/>
        <v>,sum(sms_mo_delay_sum) as sms_mo_delay_sum</v>
      </c>
      <c r="I67" s="25"/>
      <c r="J67" s="25" t="s">
        <v>284</v>
      </c>
      <c r="K67" s="25" t="s">
        <v>471</v>
      </c>
      <c r="L67" s="25" t="s">
        <v>285</v>
      </c>
    </row>
    <row r="68" spans="2:12" s="1" customFormat="1">
      <c r="B68" s="13" t="s">
        <v>1977</v>
      </c>
      <c r="C68" s="13" t="s">
        <v>281</v>
      </c>
      <c r="D68" s="9" t="s">
        <v>1686</v>
      </c>
      <c r="E68" s="21" t="s">
        <v>182</v>
      </c>
      <c r="F68" s="19" t="s">
        <v>1978</v>
      </c>
      <c r="G68" s="19" t="s">
        <v>1978</v>
      </c>
      <c r="H68" s="164" t="str">
        <f t="shared" si="1"/>
        <v>,sum(sms_mt_request_cnt) as sms_mt_request_sum</v>
      </c>
      <c r="I68" s="25"/>
      <c r="J68" s="25" t="s">
        <v>284</v>
      </c>
      <c r="K68" s="25" t="s">
        <v>750</v>
      </c>
      <c r="L68" s="25" t="s">
        <v>285</v>
      </c>
    </row>
    <row r="69" spans="2:12" s="1" customFormat="1">
      <c r="B69" s="13" t="s">
        <v>1979</v>
      </c>
      <c r="C69" s="13" t="s">
        <v>281</v>
      </c>
      <c r="D69" s="9" t="s">
        <v>1689</v>
      </c>
      <c r="E69" s="21" t="s">
        <v>182</v>
      </c>
      <c r="F69" s="19" t="s">
        <v>1980</v>
      </c>
      <c r="G69" s="19" t="s">
        <v>1980</v>
      </c>
      <c r="H69" s="164" t="str">
        <f t="shared" si="1"/>
        <v>,sum(sms_mt_succ_cnt) as sms_mt_succ_sum</v>
      </c>
      <c r="I69" s="25"/>
      <c r="J69" s="25" t="s">
        <v>284</v>
      </c>
      <c r="K69" s="25" t="s">
        <v>750</v>
      </c>
      <c r="L69" s="25" t="s">
        <v>285</v>
      </c>
    </row>
    <row r="70" spans="2:12" s="1" customFormat="1">
      <c r="B70" s="13" t="s">
        <v>1981</v>
      </c>
      <c r="C70" s="13" t="s">
        <v>281</v>
      </c>
      <c r="D70" s="9" t="s">
        <v>1692</v>
      </c>
      <c r="E70" s="21" t="s">
        <v>182</v>
      </c>
      <c r="F70" s="19" t="s">
        <v>1982</v>
      </c>
      <c r="G70" s="19" t="s">
        <v>1982</v>
      </c>
      <c r="H70" s="164" t="str">
        <f t="shared" si="1"/>
        <v>,sum(sms_mt_fail_cnt) as sms_mt_fail_sum</v>
      </c>
      <c r="I70" s="25"/>
      <c r="J70" s="25" t="s">
        <v>284</v>
      </c>
      <c r="K70" s="25" t="s">
        <v>750</v>
      </c>
      <c r="L70" s="25" t="s">
        <v>285</v>
      </c>
    </row>
    <row r="71" spans="2:12" s="1" customFormat="1">
      <c r="B71" s="13" t="s">
        <v>1983</v>
      </c>
      <c r="C71" s="13" t="s">
        <v>281</v>
      </c>
      <c r="D71" s="9" t="s">
        <v>1695</v>
      </c>
      <c r="E71" s="21" t="s">
        <v>182</v>
      </c>
      <c r="F71" s="19" t="s">
        <v>1984</v>
      </c>
      <c r="G71" s="19" t="s">
        <v>1984</v>
      </c>
      <c r="H71" s="164" t="str">
        <f t="shared" si="1"/>
        <v>,sum(sms_mt_timeout_cnt) as sms_mt_timeout_sum</v>
      </c>
      <c r="I71" s="25"/>
      <c r="J71" s="25" t="s">
        <v>284</v>
      </c>
      <c r="K71" s="25" t="s">
        <v>750</v>
      </c>
      <c r="L71" s="25" t="s">
        <v>285</v>
      </c>
    </row>
    <row r="72" spans="2:12" s="1" customFormat="1">
      <c r="B72" s="13" t="s">
        <v>1985</v>
      </c>
      <c r="C72" s="13" t="s">
        <v>281</v>
      </c>
      <c r="D72" s="9" t="s">
        <v>1986</v>
      </c>
      <c r="E72" s="21" t="s">
        <v>182</v>
      </c>
      <c r="F72" s="19" t="s">
        <v>1987</v>
      </c>
      <c r="G72" s="19" t="s">
        <v>1988</v>
      </c>
      <c r="H72" s="164" t="str">
        <f t="shared" si="1"/>
        <v>,sum(sms_mt_delay_sum) as sms_mt_delay_sum</v>
      </c>
      <c r="I72" s="25"/>
      <c r="J72" s="25" t="s">
        <v>284</v>
      </c>
      <c r="K72" s="25" t="s">
        <v>471</v>
      </c>
      <c r="L72" s="25" t="s">
        <v>285</v>
      </c>
    </row>
    <row r="73" spans="2:12" s="1" customFormat="1">
      <c r="B73" s="13" t="s">
        <v>1989</v>
      </c>
      <c r="C73" s="13" t="s">
        <v>281</v>
      </c>
      <c r="D73" s="9" t="s">
        <v>1701</v>
      </c>
      <c r="E73" s="21" t="s">
        <v>182</v>
      </c>
      <c r="F73" s="19" t="s">
        <v>1990</v>
      </c>
      <c r="G73" s="19" t="s">
        <v>1990</v>
      </c>
      <c r="H73" s="164" t="str">
        <f t="shared" si="1"/>
        <v>,sum(pdusession_estab_request_cnt) as pdusession_estab_request_sum</v>
      </c>
      <c r="I73" s="25"/>
      <c r="J73" s="25" t="s">
        <v>284</v>
      </c>
      <c r="K73" s="25" t="s">
        <v>750</v>
      </c>
      <c r="L73" s="25" t="s">
        <v>285</v>
      </c>
    </row>
    <row r="74" spans="2:12" s="1" customFormat="1">
      <c r="B74" s="13" t="s">
        <v>1991</v>
      </c>
      <c r="C74" s="13" t="s">
        <v>281</v>
      </c>
      <c r="D74" s="9" t="s">
        <v>1704</v>
      </c>
      <c r="E74" s="21" t="s">
        <v>182</v>
      </c>
      <c r="F74" s="19" t="s">
        <v>1992</v>
      </c>
      <c r="G74" s="19" t="s">
        <v>1992</v>
      </c>
      <c r="H74" s="164" t="str">
        <f t="shared" si="1"/>
        <v>,sum(pdusession_estab_succ_cnt) as pdusession_estab_succ_sum</v>
      </c>
      <c r="I74" s="25"/>
      <c r="J74" s="25" t="s">
        <v>284</v>
      </c>
      <c r="K74" s="25" t="s">
        <v>750</v>
      </c>
      <c r="L74" s="25" t="s">
        <v>285</v>
      </c>
    </row>
    <row r="75" spans="2:12" s="1" customFormat="1">
      <c r="B75" s="13" t="s">
        <v>1993</v>
      </c>
      <c r="C75" s="13" t="s">
        <v>281</v>
      </c>
      <c r="D75" s="9" t="s">
        <v>1707</v>
      </c>
      <c r="E75" s="21" t="s">
        <v>182</v>
      </c>
      <c r="F75" s="19" t="s">
        <v>1994</v>
      </c>
      <c r="G75" s="19" t="s">
        <v>1994</v>
      </c>
      <c r="H75" s="164" t="str">
        <f t="shared" si="1"/>
        <v>,sum(pdusession_estab_fail_cnt) as pdusession_estab_fail_sum</v>
      </c>
      <c r="I75" s="25"/>
      <c r="J75" s="25" t="s">
        <v>284</v>
      </c>
      <c r="K75" s="25" t="s">
        <v>750</v>
      </c>
      <c r="L75" s="25" t="s">
        <v>285</v>
      </c>
    </row>
    <row r="76" spans="2:12" s="1" customFormat="1">
      <c r="B76" s="13" t="s">
        <v>1995</v>
      </c>
      <c r="C76" s="13" t="s">
        <v>281</v>
      </c>
      <c r="D76" s="9" t="s">
        <v>1710</v>
      </c>
      <c r="E76" s="21" t="s">
        <v>182</v>
      </c>
      <c r="F76" s="19" t="s">
        <v>1996</v>
      </c>
      <c r="G76" s="19" t="s">
        <v>1996</v>
      </c>
      <c r="H76" s="164" t="str">
        <f t="shared" si="1"/>
        <v>,sum(pdusession_estab_timeout_cnt) as pdusession_estab_timeout_sum</v>
      </c>
      <c r="I76" s="25"/>
      <c r="J76" s="25" t="s">
        <v>284</v>
      </c>
      <c r="K76" s="25" t="s">
        <v>750</v>
      </c>
      <c r="L76" s="25" t="s">
        <v>285</v>
      </c>
    </row>
    <row r="77" spans="2:12" s="1" customFormat="1">
      <c r="B77" s="13" t="s">
        <v>1997</v>
      </c>
      <c r="C77" s="13" t="s">
        <v>281</v>
      </c>
      <c r="D77" s="9" t="s">
        <v>1998</v>
      </c>
      <c r="E77" s="21" t="s">
        <v>182</v>
      </c>
      <c r="F77" s="19" t="s">
        <v>1999</v>
      </c>
      <c r="G77" s="19" t="s">
        <v>2000</v>
      </c>
      <c r="H77" s="164" t="str">
        <f t="shared" si="1"/>
        <v>,sum(pdusession_estab_delay_sum) as pdusession_estab_delay_sum</v>
      </c>
      <c r="I77" s="25"/>
      <c r="J77" s="25" t="s">
        <v>284</v>
      </c>
      <c r="K77" s="25" t="s">
        <v>471</v>
      </c>
      <c r="L77" s="25" t="s">
        <v>285</v>
      </c>
    </row>
    <row r="78" spans="2:12" s="1" customFormat="1">
      <c r="B78" s="13" t="s">
        <v>2001</v>
      </c>
      <c r="C78" s="13" t="s">
        <v>281</v>
      </c>
      <c r="D78" s="9" t="s">
        <v>1716</v>
      </c>
      <c r="E78" s="21" t="s">
        <v>182</v>
      </c>
      <c r="F78" s="19" t="s">
        <v>2002</v>
      </c>
      <c r="G78" s="19" t="s">
        <v>2002</v>
      </c>
      <c r="H78" s="164" t="str">
        <f t="shared" si="1"/>
        <v>,sum(pdusession_modify_request_cnt) as pdusession_modify_request_sum</v>
      </c>
      <c r="I78" s="25"/>
      <c r="J78" s="25" t="s">
        <v>284</v>
      </c>
      <c r="K78" s="25" t="s">
        <v>750</v>
      </c>
      <c r="L78" s="25" t="s">
        <v>285</v>
      </c>
    </row>
    <row r="79" spans="2:12" s="1" customFormat="1">
      <c r="B79" s="13" t="s">
        <v>2003</v>
      </c>
      <c r="C79" s="13" t="s">
        <v>281</v>
      </c>
      <c r="D79" s="9" t="s">
        <v>1719</v>
      </c>
      <c r="E79" s="21" t="s">
        <v>182</v>
      </c>
      <c r="F79" s="19" t="s">
        <v>2004</v>
      </c>
      <c r="G79" s="19" t="s">
        <v>2004</v>
      </c>
      <c r="H79" s="164" t="str">
        <f t="shared" ref="H79:H110" si="2">_xlfn.CONCAT(",",F79," as ",B79)</f>
        <v>,sum(pdusession_modify_succ_cnt) as pdusession_modify_succ_sum</v>
      </c>
      <c r="I79" s="25"/>
      <c r="J79" s="25" t="s">
        <v>284</v>
      </c>
      <c r="K79" s="25" t="s">
        <v>750</v>
      </c>
      <c r="L79" s="25" t="s">
        <v>285</v>
      </c>
    </row>
    <row r="80" spans="2:12" s="1" customFormat="1">
      <c r="B80" s="13" t="s">
        <v>2005</v>
      </c>
      <c r="C80" s="13" t="s">
        <v>281</v>
      </c>
      <c r="D80" s="9" t="s">
        <v>1722</v>
      </c>
      <c r="E80" s="21" t="s">
        <v>182</v>
      </c>
      <c r="F80" s="19" t="s">
        <v>2006</v>
      </c>
      <c r="G80" s="19" t="s">
        <v>2006</v>
      </c>
      <c r="H80" s="164" t="str">
        <f t="shared" si="2"/>
        <v>,sum(pdusession_modify_fail_cnt) as pdusession_modify_fail_sum</v>
      </c>
      <c r="I80" s="25"/>
      <c r="J80" s="25" t="s">
        <v>284</v>
      </c>
      <c r="K80" s="25" t="s">
        <v>750</v>
      </c>
      <c r="L80" s="25" t="s">
        <v>285</v>
      </c>
    </row>
    <row r="81" spans="2:12" s="1" customFormat="1">
      <c r="B81" s="13" t="s">
        <v>2007</v>
      </c>
      <c r="C81" s="13" t="s">
        <v>281</v>
      </c>
      <c r="D81" s="9" t="s">
        <v>1725</v>
      </c>
      <c r="E81" s="21" t="s">
        <v>182</v>
      </c>
      <c r="F81" s="19" t="s">
        <v>2008</v>
      </c>
      <c r="G81" s="19" t="s">
        <v>2008</v>
      </c>
      <c r="H81" s="164" t="str">
        <f t="shared" si="2"/>
        <v>,sum(pdusession_modify_timeout_cnt) as pdusession_modify_timeout_sum</v>
      </c>
      <c r="I81" s="25"/>
      <c r="J81" s="25" t="s">
        <v>284</v>
      </c>
      <c r="K81" s="25" t="s">
        <v>750</v>
      </c>
      <c r="L81" s="25" t="s">
        <v>285</v>
      </c>
    </row>
    <row r="82" spans="2:12" s="1" customFormat="1">
      <c r="B82" s="13" t="s">
        <v>2009</v>
      </c>
      <c r="C82" s="13" t="s">
        <v>281</v>
      </c>
      <c r="D82" s="9" t="s">
        <v>2010</v>
      </c>
      <c r="E82" s="21" t="s">
        <v>182</v>
      </c>
      <c r="F82" s="19" t="s">
        <v>2011</v>
      </c>
      <c r="G82" s="19" t="s">
        <v>2012</v>
      </c>
      <c r="H82" s="164" t="str">
        <f t="shared" si="2"/>
        <v>,sum(pdusession_modify_delay_sum) as pdusession_modify_delay_sum</v>
      </c>
      <c r="I82" s="25"/>
      <c r="J82" s="25" t="s">
        <v>284</v>
      </c>
      <c r="K82" s="25" t="s">
        <v>471</v>
      </c>
      <c r="L82" s="25" t="s">
        <v>285</v>
      </c>
    </row>
    <row r="83" spans="2:12" s="1" customFormat="1">
      <c r="B83" s="13" t="s">
        <v>2013</v>
      </c>
      <c r="C83" s="13" t="s">
        <v>281</v>
      </c>
      <c r="D83" s="9" t="s">
        <v>1731</v>
      </c>
      <c r="E83" s="21" t="s">
        <v>182</v>
      </c>
      <c r="F83" s="19" t="s">
        <v>2014</v>
      </c>
      <c r="G83" s="19" t="s">
        <v>2014</v>
      </c>
      <c r="H83" s="164" t="str">
        <f t="shared" si="2"/>
        <v>,sum(pdusession_release_request_cnt) as pdusession_release_request_sum</v>
      </c>
      <c r="I83" s="25"/>
      <c r="J83" s="25" t="s">
        <v>284</v>
      </c>
      <c r="K83" s="25" t="s">
        <v>750</v>
      </c>
      <c r="L83" s="25" t="s">
        <v>285</v>
      </c>
    </row>
    <row r="84" spans="2:12" s="1" customFormat="1">
      <c r="B84" s="13" t="s">
        <v>2015</v>
      </c>
      <c r="C84" s="13" t="s">
        <v>281</v>
      </c>
      <c r="D84" s="9" t="s">
        <v>1734</v>
      </c>
      <c r="E84" s="21" t="s">
        <v>182</v>
      </c>
      <c r="F84" s="19" t="s">
        <v>2016</v>
      </c>
      <c r="G84" s="19" t="s">
        <v>2016</v>
      </c>
      <c r="H84" s="164" t="str">
        <f t="shared" si="2"/>
        <v>,sum(pdusession_release_succ_cnt) as pdusession_release_succ_sum</v>
      </c>
      <c r="I84" s="25"/>
      <c r="J84" s="25" t="s">
        <v>284</v>
      </c>
      <c r="K84" s="25" t="s">
        <v>750</v>
      </c>
      <c r="L84" s="25" t="s">
        <v>285</v>
      </c>
    </row>
    <row r="85" spans="2:12" s="1" customFormat="1">
      <c r="B85" s="13" t="s">
        <v>2017</v>
      </c>
      <c r="C85" s="13" t="s">
        <v>281</v>
      </c>
      <c r="D85" s="9" t="s">
        <v>1737</v>
      </c>
      <c r="E85" s="21" t="s">
        <v>182</v>
      </c>
      <c r="F85" s="19" t="s">
        <v>2018</v>
      </c>
      <c r="G85" s="19" t="s">
        <v>2018</v>
      </c>
      <c r="H85" s="164" t="str">
        <f t="shared" si="2"/>
        <v>,sum(pdusession_release_fail_cnt) as pdusession_release_fail_sum</v>
      </c>
      <c r="I85" s="25"/>
      <c r="J85" s="25" t="s">
        <v>284</v>
      </c>
      <c r="K85" s="25" t="s">
        <v>750</v>
      </c>
      <c r="L85" s="25" t="s">
        <v>285</v>
      </c>
    </row>
    <row r="86" spans="2:12" s="1" customFormat="1">
      <c r="B86" s="13" t="s">
        <v>2019</v>
      </c>
      <c r="C86" s="13" t="s">
        <v>281</v>
      </c>
      <c r="D86" s="9" t="s">
        <v>1740</v>
      </c>
      <c r="E86" s="21" t="s">
        <v>182</v>
      </c>
      <c r="F86" s="19" t="s">
        <v>2020</v>
      </c>
      <c r="G86" s="19" t="s">
        <v>2020</v>
      </c>
      <c r="H86" s="164" t="str">
        <f t="shared" si="2"/>
        <v>,sum(pdusession_release_timeout_cnt) as pdusession_release_timeout_sum</v>
      </c>
      <c r="I86" s="25"/>
      <c r="J86" s="25" t="s">
        <v>284</v>
      </c>
      <c r="K86" s="25" t="s">
        <v>750</v>
      </c>
      <c r="L86" s="25" t="s">
        <v>285</v>
      </c>
    </row>
    <row r="87" spans="2:12" s="1" customFormat="1">
      <c r="B87" s="13" t="s">
        <v>2021</v>
      </c>
      <c r="C87" s="13" t="s">
        <v>281</v>
      </c>
      <c r="D87" s="9" t="s">
        <v>2022</v>
      </c>
      <c r="E87" s="21" t="s">
        <v>182</v>
      </c>
      <c r="F87" s="19" t="s">
        <v>2023</v>
      </c>
      <c r="G87" s="19" t="s">
        <v>2024</v>
      </c>
      <c r="H87" s="164" t="str">
        <f t="shared" si="2"/>
        <v>,sum(pdusession_release_delay_sum) as pdusession_release_delay_sum</v>
      </c>
      <c r="I87" s="25"/>
      <c r="J87" s="25" t="s">
        <v>284</v>
      </c>
      <c r="K87" s="25" t="s">
        <v>471</v>
      </c>
      <c r="L87" s="25" t="s">
        <v>285</v>
      </c>
    </row>
    <row r="88" spans="2:12" s="1" customFormat="1">
      <c r="B88" s="13" t="s">
        <v>2025</v>
      </c>
      <c r="C88" s="13" t="s">
        <v>281</v>
      </c>
      <c r="D88" s="9" t="s">
        <v>1761</v>
      </c>
      <c r="E88" s="21" t="s">
        <v>182</v>
      </c>
      <c r="F88" s="19" t="s">
        <v>2026</v>
      </c>
      <c r="G88" s="19" t="s">
        <v>2026</v>
      </c>
      <c r="H88" s="164" t="str">
        <f t="shared" si="2"/>
        <v>,sum(n2ho_out_intra5gs_request_cnt) as n2ho_out_intra5gs_request_sum</v>
      </c>
      <c r="I88" s="25"/>
      <c r="J88" s="25" t="s">
        <v>284</v>
      </c>
      <c r="K88" s="25" t="s">
        <v>750</v>
      </c>
      <c r="L88" s="25" t="s">
        <v>285</v>
      </c>
    </row>
    <row r="89" spans="2:12" s="1" customFormat="1">
      <c r="B89" s="13" t="s">
        <v>2027</v>
      </c>
      <c r="C89" s="13" t="s">
        <v>281</v>
      </c>
      <c r="D89" s="9" t="s">
        <v>1764</v>
      </c>
      <c r="E89" s="21" t="s">
        <v>182</v>
      </c>
      <c r="F89" s="19" t="s">
        <v>2028</v>
      </c>
      <c r="G89" s="19" t="s">
        <v>2028</v>
      </c>
      <c r="H89" s="164" t="str">
        <f t="shared" si="2"/>
        <v>,sum(n2ho_out_intra5gs_succ_cnt) as n2ho_out_intra5gs_succ_sum</v>
      </c>
      <c r="I89" s="25"/>
      <c r="J89" s="25" t="s">
        <v>284</v>
      </c>
      <c r="K89" s="25" t="s">
        <v>750</v>
      </c>
      <c r="L89" s="25" t="s">
        <v>285</v>
      </c>
    </row>
    <row r="90" spans="2:12" s="1" customFormat="1">
      <c r="B90" s="13" t="s">
        <v>2029</v>
      </c>
      <c r="C90" s="13" t="s">
        <v>281</v>
      </c>
      <c r="D90" s="9" t="s">
        <v>1767</v>
      </c>
      <c r="E90" s="21" t="s">
        <v>182</v>
      </c>
      <c r="F90" s="19" t="s">
        <v>2030</v>
      </c>
      <c r="G90" s="19" t="s">
        <v>2030</v>
      </c>
      <c r="H90" s="164" t="str">
        <f t="shared" si="2"/>
        <v>,sum(n2ho_out_intra5gs_fail_cnt) as n2ho_out_intra5gs_fail_sum</v>
      </c>
      <c r="I90" s="25"/>
      <c r="J90" s="25" t="s">
        <v>284</v>
      </c>
      <c r="K90" s="25" t="s">
        <v>750</v>
      </c>
      <c r="L90" s="25" t="s">
        <v>285</v>
      </c>
    </row>
    <row r="91" spans="2:12" s="1" customFormat="1">
      <c r="B91" s="13" t="s">
        <v>2031</v>
      </c>
      <c r="C91" s="13" t="s">
        <v>281</v>
      </c>
      <c r="D91" s="9" t="s">
        <v>1770</v>
      </c>
      <c r="E91" s="21" t="s">
        <v>182</v>
      </c>
      <c r="F91" s="19" t="s">
        <v>2032</v>
      </c>
      <c r="G91" s="19" t="s">
        <v>2032</v>
      </c>
      <c r="H91" s="164" t="str">
        <f t="shared" si="2"/>
        <v>,sum(n2ho_out_intra5gs_timeout_cnt) as n2ho_out_intra5gs_timeout_sum</v>
      </c>
      <c r="I91" s="25"/>
      <c r="J91" s="25" t="s">
        <v>284</v>
      </c>
      <c r="K91" s="25" t="s">
        <v>750</v>
      </c>
      <c r="L91" s="25" t="s">
        <v>285</v>
      </c>
    </row>
    <row r="92" spans="2:12" s="1" customFormat="1">
      <c r="B92" s="13" t="s">
        <v>2033</v>
      </c>
      <c r="C92" s="13" t="s">
        <v>281</v>
      </c>
      <c r="D92" s="9" t="s">
        <v>2034</v>
      </c>
      <c r="E92" s="21" t="s">
        <v>182</v>
      </c>
      <c r="F92" s="19" t="s">
        <v>2035</v>
      </c>
      <c r="G92" s="19" t="s">
        <v>2036</v>
      </c>
      <c r="H92" s="164" t="str">
        <f t="shared" si="2"/>
        <v>,sum(n2ho_out_intra5gs_delay_sum) as n2ho_out_intra5gs_delay_sum</v>
      </c>
      <c r="I92" s="25"/>
      <c r="J92" s="25" t="s">
        <v>284</v>
      </c>
      <c r="K92" s="25" t="s">
        <v>471</v>
      </c>
      <c r="L92" s="25" t="s">
        <v>285</v>
      </c>
    </row>
    <row r="93" spans="2:12" s="1" customFormat="1">
      <c r="B93" s="13" t="s">
        <v>2037</v>
      </c>
      <c r="C93" s="13" t="s">
        <v>281</v>
      </c>
      <c r="D93" s="9" t="s">
        <v>1776</v>
      </c>
      <c r="E93" s="21" t="s">
        <v>182</v>
      </c>
      <c r="F93" s="19" t="s">
        <v>2038</v>
      </c>
      <c r="G93" s="19" t="s">
        <v>2038</v>
      </c>
      <c r="H93" s="164" t="str">
        <f t="shared" si="2"/>
        <v>,sum(n2ho_out_5gstoeps_request_cnt) as n2ho_out_5gstoeps_request_sum</v>
      </c>
      <c r="I93" s="25"/>
      <c r="J93" s="25" t="s">
        <v>284</v>
      </c>
      <c r="K93" s="25" t="s">
        <v>750</v>
      </c>
      <c r="L93" s="25" t="s">
        <v>285</v>
      </c>
    </row>
    <row r="94" spans="2:12" s="1" customFormat="1">
      <c r="B94" s="13" t="s">
        <v>2039</v>
      </c>
      <c r="C94" s="13" t="s">
        <v>281</v>
      </c>
      <c r="D94" s="9" t="s">
        <v>1779</v>
      </c>
      <c r="E94" s="21" t="s">
        <v>182</v>
      </c>
      <c r="F94" s="19" t="s">
        <v>2040</v>
      </c>
      <c r="G94" s="19" t="s">
        <v>2040</v>
      </c>
      <c r="H94" s="164" t="str">
        <f t="shared" si="2"/>
        <v>,sum(n2ho_out_5gstoeps_succ_cnt) as n2ho_out_5gstoeps_succ_sum</v>
      </c>
      <c r="I94" s="25"/>
      <c r="J94" s="25" t="s">
        <v>284</v>
      </c>
      <c r="K94" s="25" t="s">
        <v>750</v>
      </c>
      <c r="L94" s="25" t="s">
        <v>285</v>
      </c>
    </row>
    <row r="95" spans="2:12" s="1" customFormat="1">
      <c r="B95" s="13" t="s">
        <v>2041</v>
      </c>
      <c r="C95" s="13" t="s">
        <v>281</v>
      </c>
      <c r="D95" s="9" t="s">
        <v>1782</v>
      </c>
      <c r="E95" s="21" t="s">
        <v>182</v>
      </c>
      <c r="F95" s="19" t="s">
        <v>2042</v>
      </c>
      <c r="G95" s="19" t="s">
        <v>2042</v>
      </c>
      <c r="H95" s="164" t="str">
        <f t="shared" si="2"/>
        <v>,sum(n2ho_out_5gstoeps_fail_cnt) as n2ho_out_5gstoeps_fail_sum</v>
      </c>
      <c r="I95" s="25"/>
      <c r="J95" s="25" t="s">
        <v>284</v>
      </c>
      <c r="K95" s="25" t="s">
        <v>750</v>
      </c>
      <c r="L95" s="25" t="s">
        <v>285</v>
      </c>
    </row>
    <row r="96" spans="2:12" s="1" customFormat="1">
      <c r="B96" s="13" t="s">
        <v>2043</v>
      </c>
      <c r="C96" s="13" t="s">
        <v>281</v>
      </c>
      <c r="D96" s="9" t="s">
        <v>1785</v>
      </c>
      <c r="E96" s="21" t="s">
        <v>182</v>
      </c>
      <c r="F96" s="19" t="s">
        <v>2044</v>
      </c>
      <c r="G96" s="19" t="s">
        <v>2044</v>
      </c>
      <c r="H96" s="164" t="str">
        <f t="shared" si="2"/>
        <v>,sum(n2ho_out_5gstoeps_timeout_cnt) as n2ho_out_5gstoeps_timeout_sum</v>
      </c>
      <c r="I96" s="25"/>
      <c r="J96" s="25" t="s">
        <v>284</v>
      </c>
      <c r="K96" s="25" t="s">
        <v>750</v>
      </c>
      <c r="L96" s="25" t="s">
        <v>285</v>
      </c>
    </row>
    <row r="97" spans="2:12" s="1" customFormat="1">
      <c r="B97" s="13" t="s">
        <v>2045</v>
      </c>
      <c r="C97" s="13" t="s">
        <v>281</v>
      </c>
      <c r="D97" s="9" t="s">
        <v>2046</v>
      </c>
      <c r="E97" s="21" t="s">
        <v>182</v>
      </c>
      <c r="F97" s="19" t="s">
        <v>2047</v>
      </c>
      <c r="G97" s="19" t="s">
        <v>2048</v>
      </c>
      <c r="H97" s="164" t="str">
        <f t="shared" si="2"/>
        <v>,sum(n2ho_out_5gstoeps_delay_sum) as n2ho_out_5gstoeps_delay_sum</v>
      </c>
      <c r="I97" s="25"/>
      <c r="J97" s="25" t="s">
        <v>284</v>
      </c>
      <c r="K97" s="25" t="s">
        <v>471</v>
      </c>
      <c r="L97" s="25" t="s">
        <v>285</v>
      </c>
    </row>
    <row r="98" spans="2:12" s="1" customFormat="1">
      <c r="B98" s="13" t="s">
        <v>2049</v>
      </c>
      <c r="C98" s="13" t="s">
        <v>281</v>
      </c>
      <c r="D98" s="9" t="s">
        <v>1791</v>
      </c>
      <c r="E98" s="21" t="s">
        <v>182</v>
      </c>
      <c r="F98" s="19" t="s">
        <v>2050</v>
      </c>
      <c r="G98" s="19" t="s">
        <v>2050</v>
      </c>
      <c r="H98" s="164" t="str">
        <f t="shared" si="2"/>
        <v>,sum(n2ho_in_intra5gs_request_cnt) as n2ho_in_intra5gs_request_sum</v>
      </c>
      <c r="I98" s="25"/>
      <c r="J98" s="25" t="s">
        <v>284</v>
      </c>
      <c r="K98" s="25" t="s">
        <v>750</v>
      </c>
      <c r="L98" s="25" t="s">
        <v>285</v>
      </c>
    </row>
    <row r="99" spans="2:12" s="1" customFormat="1">
      <c r="B99" s="13" t="s">
        <v>2051</v>
      </c>
      <c r="C99" s="13" t="s">
        <v>281</v>
      </c>
      <c r="D99" s="9" t="s">
        <v>1794</v>
      </c>
      <c r="E99" s="21" t="s">
        <v>182</v>
      </c>
      <c r="F99" s="19" t="s">
        <v>2052</v>
      </c>
      <c r="G99" s="19" t="s">
        <v>2052</v>
      </c>
      <c r="H99" s="164" t="str">
        <f t="shared" si="2"/>
        <v>,sum(n2ho_in_intra5gs_succ_cnt) as n2ho_in_intra5gs_succ_sum</v>
      </c>
      <c r="I99" s="25"/>
      <c r="J99" s="25" t="s">
        <v>284</v>
      </c>
      <c r="K99" s="25" t="s">
        <v>750</v>
      </c>
      <c r="L99" s="25" t="s">
        <v>285</v>
      </c>
    </row>
    <row r="100" spans="2:12" s="1" customFormat="1">
      <c r="B100" s="13" t="s">
        <v>2053</v>
      </c>
      <c r="C100" s="13" t="s">
        <v>281</v>
      </c>
      <c r="D100" s="9" t="s">
        <v>1797</v>
      </c>
      <c r="E100" s="21" t="s">
        <v>182</v>
      </c>
      <c r="F100" s="19" t="s">
        <v>2054</v>
      </c>
      <c r="G100" s="19" t="s">
        <v>2054</v>
      </c>
      <c r="H100" s="164" t="str">
        <f t="shared" si="2"/>
        <v>,sum(n2ho_in_intra5gs_fail_cnt) as n2ho_in_intra5gs_fail_sum</v>
      </c>
      <c r="I100" s="25"/>
      <c r="J100" s="25" t="s">
        <v>284</v>
      </c>
      <c r="K100" s="25" t="s">
        <v>750</v>
      </c>
      <c r="L100" s="25" t="s">
        <v>285</v>
      </c>
    </row>
    <row r="101" spans="2:12" s="1" customFormat="1">
      <c r="B101" s="13" t="s">
        <v>2055</v>
      </c>
      <c r="C101" s="13" t="s">
        <v>281</v>
      </c>
      <c r="D101" s="9" t="s">
        <v>1800</v>
      </c>
      <c r="E101" s="21" t="s">
        <v>182</v>
      </c>
      <c r="F101" s="19" t="s">
        <v>2056</v>
      </c>
      <c r="G101" s="19" t="s">
        <v>2056</v>
      </c>
      <c r="H101" s="164" t="str">
        <f t="shared" si="2"/>
        <v>,sum(n2ho_in_intra5gs_timeout) as n2ho_in_intra5gs_timeinout_sum</v>
      </c>
      <c r="I101" s="25"/>
      <c r="J101" s="25" t="s">
        <v>284</v>
      </c>
      <c r="K101" s="25" t="s">
        <v>750</v>
      </c>
      <c r="L101" s="25" t="s">
        <v>285</v>
      </c>
    </row>
    <row r="102" spans="2:12" s="1" customFormat="1">
      <c r="B102" s="13" t="s">
        <v>2057</v>
      </c>
      <c r="C102" s="13" t="s">
        <v>281</v>
      </c>
      <c r="D102" s="9" t="s">
        <v>2058</v>
      </c>
      <c r="E102" s="21" t="s">
        <v>182</v>
      </c>
      <c r="F102" s="19" t="s">
        <v>2059</v>
      </c>
      <c r="G102" s="19" t="s">
        <v>2060</v>
      </c>
      <c r="H102" s="164" t="str">
        <f t="shared" si="2"/>
        <v>,sum(n2ho_in_intra5gs_delay_sum) as n2ho_in_intra5gs_delay_sum</v>
      </c>
      <c r="I102" s="25"/>
      <c r="J102" s="25" t="s">
        <v>284</v>
      </c>
      <c r="K102" s="25" t="s">
        <v>471</v>
      </c>
      <c r="L102" s="25" t="s">
        <v>285</v>
      </c>
    </row>
    <row r="103" spans="2:12" s="1" customFormat="1">
      <c r="B103" s="13" t="s">
        <v>2061</v>
      </c>
      <c r="C103" s="13" t="s">
        <v>281</v>
      </c>
      <c r="D103" s="9" t="s">
        <v>1806</v>
      </c>
      <c r="E103" s="21" t="s">
        <v>182</v>
      </c>
      <c r="F103" s="19" t="s">
        <v>2062</v>
      </c>
      <c r="G103" s="19" t="s">
        <v>2062</v>
      </c>
      <c r="H103" s="164" t="str">
        <f t="shared" si="2"/>
        <v>,sum(n2ho_in_epsto5gs_request_cnt) as n2ho_in_epsto5gs_request_sum</v>
      </c>
      <c r="I103" s="25"/>
      <c r="J103" s="25" t="s">
        <v>284</v>
      </c>
      <c r="K103" s="25" t="s">
        <v>750</v>
      </c>
      <c r="L103" s="25" t="s">
        <v>285</v>
      </c>
    </row>
    <row r="104" spans="2:12" s="1" customFormat="1">
      <c r="B104" s="13" t="s">
        <v>2063</v>
      </c>
      <c r="C104" s="13" t="s">
        <v>281</v>
      </c>
      <c r="D104" s="9" t="s">
        <v>1809</v>
      </c>
      <c r="E104" s="21" t="s">
        <v>182</v>
      </c>
      <c r="F104" s="19" t="s">
        <v>2064</v>
      </c>
      <c r="G104" s="19" t="s">
        <v>2064</v>
      </c>
      <c r="H104" s="164" t="str">
        <f t="shared" si="2"/>
        <v>,sum(n2ho_in_epsto5gs_succ_cnt) as n2ho_in_epsto5gs_succ_sum</v>
      </c>
      <c r="I104" s="25"/>
      <c r="J104" s="25" t="s">
        <v>284</v>
      </c>
      <c r="K104" s="25" t="s">
        <v>750</v>
      </c>
      <c r="L104" s="25" t="s">
        <v>285</v>
      </c>
    </row>
    <row r="105" spans="2:12" s="1" customFormat="1">
      <c r="B105" s="13" t="s">
        <v>2065</v>
      </c>
      <c r="C105" s="13" t="s">
        <v>281</v>
      </c>
      <c r="D105" s="9" t="s">
        <v>1812</v>
      </c>
      <c r="E105" s="21" t="s">
        <v>182</v>
      </c>
      <c r="F105" s="19" t="s">
        <v>2066</v>
      </c>
      <c r="G105" s="19" t="s">
        <v>2066</v>
      </c>
      <c r="H105" s="164" t="str">
        <f t="shared" si="2"/>
        <v>,sum(n2ho_in_epsto5gs_fail_cnt) as n2ho_in_epsto5gs_fail_sum</v>
      </c>
      <c r="I105" s="25"/>
      <c r="J105" s="25" t="s">
        <v>284</v>
      </c>
      <c r="K105" s="25" t="s">
        <v>750</v>
      </c>
      <c r="L105" s="25" t="s">
        <v>285</v>
      </c>
    </row>
    <row r="106" spans="2:12" s="1" customFormat="1">
      <c r="B106" s="13" t="s">
        <v>2067</v>
      </c>
      <c r="C106" s="13" t="s">
        <v>281</v>
      </c>
      <c r="D106" s="9" t="s">
        <v>1815</v>
      </c>
      <c r="E106" s="21" t="s">
        <v>182</v>
      </c>
      <c r="F106" s="19" t="s">
        <v>2068</v>
      </c>
      <c r="G106" s="19" t="s">
        <v>2068</v>
      </c>
      <c r="H106" s="164" t="str">
        <f t="shared" si="2"/>
        <v>,sum(n2ho_in_epsto5gs_timeout) as n2ho_in_epsto5gs_timeinout_sum</v>
      </c>
      <c r="I106" s="25"/>
      <c r="J106" s="25" t="s">
        <v>284</v>
      </c>
      <c r="K106" s="25" t="s">
        <v>750</v>
      </c>
      <c r="L106" s="25" t="s">
        <v>285</v>
      </c>
    </row>
    <row r="107" spans="2:12" s="1" customFormat="1">
      <c r="B107" s="13" t="s">
        <v>2069</v>
      </c>
      <c r="C107" s="13" t="s">
        <v>281</v>
      </c>
      <c r="D107" s="9" t="s">
        <v>2070</v>
      </c>
      <c r="E107" s="21" t="s">
        <v>182</v>
      </c>
      <c r="F107" s="19" t="s">
        <v>2071</v>
      </c>
      <c r="G107" s="19" t="s">
        <v>2072</v>
      </c>
      <c r="H107" s="164" t="str">
        <f t="shared" si="2"/>
        <v>,sum(n2ho_in_epsto5gs_delay_sum) as n2ho_in_epsto5gs_delay_sum</v>
      </c>
      <c r="I107" s="25"/>
      <c r="J107" s="25" t="s">
        <v>284</v>
      </c>
      <c r="K107" s="25" t="s">
        <v>471</v>
      </c>
      <c r="L107" s="25" t="s">
        <v>285</v>
      </c>
    </row>
    <row r="108" spans="2:12" s="1" customFormat="1">
      <c r="B108" s="13" t="s">
        <v>2073</v>
      </c>
      <c r="C108" s="13" t="s">
        <v>281</v>
      </c>
      <c r="D108" s="9" t="s">
        <v>1836</v>
      </c>
      <c r="E108" s="21" t="s">
        <v>182</v>
      </c>
      <c r="F108" s="19" t="s">
        <v>2074</v>
      </c>
      <c r="G108" s="19" t="s">
        <v>2074</v>
      </c>
      <c r="H108" s="164" t="str">
        <f t="shared" si="2"/>
        <v>,sum(xnho_request_cnt) as xnho_request_sum</v>
      </c>
      <c r="I108" s="25"/>
      <c r="J108" s="25" t="s">
        <v>284</v>
      </c>
      <c r="K108" s="25" t="s">
        <v>750</v>
      </c>
      <c r="L108" s="25" t="s">
        <v>285</v>
      </c>
    </row>
    <row r="109" spans="2:12" s="1" customFormat="1">
      <c r="B109" s="13" t="s">
        <v>2075</v>
      </c>
      <c r="C109" s="13" t="s">
        <v>281</v>
      </c>
      <c r="D109" s="9" t="s">
        <v>1839</v>
      </c>
      <c r="E109" s="21" t="s">
        <v>182</v>
      </c>
      <c r="F109" s="19" t="s">
        <v>2076</v>
      </c>
      <c r="G109" s="19" t="s">
        <v>2076</v>
      </c>
      <c r="H109" s="164" t="str">
        <f t="shared" si="2"/>
        <v>,sum(xnho_succ_cnt) as xnho_succ_sum</v>
      </c>
      <c r="I109" s="25"/>
      <c r="J109" s="25" t="s">
        <v>284</v>
      </c>
      <c r="K109" s="25" t="s">
        <v>750</v>
      </c>
      <c r="L109" s="25" t="s">
        <v>285</v>
      </c>
    </row>
    <row r="110" spans="2:12" s="1" customFormat="1">
      <c r="B110" s="13" t="s">
        <v>2077</v>
      </c>
      <c r="C110" s="13" t="s">
        <v>281</v>
      </c>
      <c r="D110" s="9" t="s">
        <v>1842</v>
      </c>
      <c r="E110" s="21" t="s">
        <v>182</v>
      </c>
      <c r="F110" s="19" t="s">
        <v>2078</v>
      </c>
      <c r="G110" s="19" t="s">
        <v>2078</v>
      </c>
      <c r="H110" s="164" t="str">
        <f t="shared" si="2"/>
        <v>,sum(xnho_fail_cnt) as xnho_fail_sum</v>
      </c>
      <c r="I110" s="25"/>
      <c r="J110" s="25" t="s">
        <v>284</v>
      </c>
      <c r="K110" s="25" t="s">
        <v>750</v>
      </c>
      <c r="L110" s="25" t="s">
        <v>285</v>
      </c>
    </row>
    <row r="111" spans="2:12" s="1" customFormat="1">
      <c r="B111" s="13" t="s">
        <v>2079</v>
      </c>
      <c r="C111" s="13" t="s">
        <v>281</v>
      </c>
      <c r="D111" s="9" t="s">
        <v>1845</v>
      </c>
      <c r="E111" s="21" t="s">
        <v>182</v>
      </c>
      <c r="F111" s="19" t="s">
        <v>2080</v>
      </c>
      <c r="G111" s="19" t="s">
        <v>2080</v>
      </c>
      <c r="H111" s="164" t="str">
        <f t="shared" ref="H111:H135" si="3">_xlfn.CONCAT(",",F111," as ",B111)</f>
        <v>,sum(xnho_timeout_cnt) as xnho_timeout_sum</v>
      </c>
      <c r="I111" s="25"/>
      <c r="J111" s="25" t="s">
        <v>284</v>
      </c>
      <c r="K111" s="25" t="s">
        <v>750</v>
      </c>
      <c r="L111" s="25" t="s">
        <v>285</v>
      </c>
    </row>
    <row r="112" spans="2:12" s="1" customFormat="1">
      <c r="B112" s="13" t="s">
        <v>2081</v>
      </c>
      <c r="C112" s="13" t="s">
        <v>281</v>
      </c>
      <c r="D112" s="9" t="s">
        <v>2082</v>
      </c>
      <c r="E112" s="21" t="s">
        <v>182</v>
      </c>
      <c r="F112" s="19" t="s">
        <v>2083</v>
      </c>
      <c r="G112" s="19" t="s">
        <v>2084</v>
      </c>
      <c r="H112" s="164" t="str">
        <f t="shared" si="3"/>
        <v>,sum(xnho_delay_sum) as xnho_delay_sum</v>
      </c>
      <c r="I112" s="25"/>
      <c r="J112" s="25" t="s">
        <v>284</v>
      </c>
      <c r="K112" s="25" t="s">
        <v>471</v>
      </c>
      <c r="L112" s="25" t="s">
        <v>285</v>
      </c>
    </row>
    <row r="113" spans="2:12" s="1" customFormat="1">
      <c r="B113" s="13" t="s">
        <v>2085</v>
      </c>
      <c r="C113" s="13" t="s">
        <v>281</v>
      </c>
      <c r="D113" s="9" t="s">
        <v>1851</v>
      </c>
      <c r="E113" s="21" t="s">
        <v>182</v>
      </c>
      <c r="F113" s="19" t="s">
        <v>2086</v>
      </c>
      <c r="G113" s="19" t="s">
        <v>2086</v>
      </c>
      <c r="H113" s="164" t="str">
        <f t="shared" si="3"/>
        <v>,sum(amf_ue_context_release_request_cnt) as amr_ue_context_release_request_sum</v>
      </c>
      <c r="I113" s="25"/>
      <c r="J113" s="25" t="s">
        <v>284</v>
      </c>
      <c r="K113" s="25" t="s">
        <v>750</v>
      </c>
      <c r="L113" s="25" t="s">
        <v>285</v>
      </c>
    </row>
    <row r="114" spans="2:12" s="1" customFormat="1">
      <c r="B114" s="13" t="s">
        <v>2087</v>
      </c>
      <c r="C114" s="13" t="s">
        <v>281</v>
      </c>
      <c r="D114" s="9" t="s">
        <v>1854</v>
      </c>
      <c r="E114" s="21" t="s">
        <v>182</v>
      </c>
      <c r="F114" s="19" t="s">
        <v>2088</v>
      </c>
      <c r="G114" s="19" t="s">
        <v>2088</v>
      </c>
      <c r="H114" s="164" t="str">
        <f t="shared" si="3"/>
        <v>,sum(amf_ue_context_release_succ_cnt) as amr_ue_context_release_succ_sum</v>
      </c>
      <c r="I114" s="25"/>
      <c r="J114" s="25" t="s">
        <v>284</v>
      </c>
      <c r="K114" s="25" t="s">
        <v>750</v>
      </c>
      <c r="L114" s="25" t="s">
        <v>285</v>
      </c>
    </row>
    <row r="115" spans="2:12" s="1" customFormat="1">
      <c r="B115" s="13" t="s">
        <v>2089</v>
      </c>
      <c r="C115" s="13" t="s">
        <v>281</v>
      </c>
      <c r="D115" s="9" t="s">
        <v>1857</v>
      </c>
      <c r="E115" s="21" t="s">
        <v>182</v>
      </c>
      <c r="F115" s="19" t="s">
        <v>2090</v>
      </c>
      <c r="G115" s="19" t="s">
        <v>2090</v>
      </c>
      <c r="H115" s="164" t="str">
        <f t="shared" si="3"/>
        <v>,sum(amf_ue_context_release_fail_cnt) as amr_ue_context_release_fail_sum</v>
      </c>
      <c r="I115" s="25"/>
      <c r="J115" s="25" t="s">
        <v>284</v>
      </c>
      <c r="K115" s="25" t="s">
        <v>750</v>
      </c>
      <c r="L115" s="25" t="s">
        <v>285</v>
      </c>
    </row>
    <row r="116" spans="2:12" s="1" customFormat="1">
      <c r="B116" s="13" t="s">
        <v>2091</v>
      </c>
      <c r="C116" s="13" t="s">
        <v>281</v>
      </c>
      <c r="D116" s="9" t="s">
        <v>1860</v>
      </c>
      <c r="E116" s="21" t="s">
        <v>182</v>
      </c>
      <c r="F116" s="19" t="s">
        <v>2092</v>
      </c>
      <c r="G116" s="19" t="s">
        <v>2092</v>
      </c>
      <c r="H116" s="164" t="str">
        <f t="shared" si="3"/>
        <v>,sum(amf_ue_context_release_timeout) as amr_ue_context_release_timeinout_sum</v>
      </c>
      <c r="I116" s="25"/>
      <c r="J116" s="25" t="s">
        <v>284</v>
      </c>
      <c r="K116" s="25" t="s">
        <v>750</v>
      </c>
      <c r="L116" s="25" t="s">
        <v>285</v>
      </c>
    </row>
    <row r="117" spans="2:12" s="1" customFormat="1">
      <c r="B117" s="13" t="s">
        <v>2093</v>
      </c>
      <c r="C117" s="13" t="s">
        <v>281</v>
      </c>
      <c r="D117" s="9" t="s">
        <v>1863</v>
      </c>
      <c r="E117" s="21" t="s">
        <v>182</v>
      </c>
      <c r="F117" s="19" t="s">
        <v>2094</v>
      </c>
      <c r="G117" s="19" t="s">
        <v>2094</v>
      </c>
      <c r="H117" s="164" t="str">
        <f t="shared" si="3"/>
        <v>,sum(amf_ue_context_release_delay_sum) as amr_ue_context_release_delay_sum</v>
      </c>
      <c r="I117" s="25"/>
      <c r="J117" s="25" t="s">
        <v>284</v>
      </c>
      <c r="K117" s="25" t="s">
        <v>471</v>
      </c>
      <c r="L117" s="25" t="s">
        <v>285</v>
      </c>
    </row>
    <row r="118" spans="2:12" s="1" customFormat="1">
      <c r="B118" s="13" t="s">
        <v>2095</v>
      </c>
      <c r="C118" s="13" t="s">
        <v>281</v>
      </c>
      <c r="D118" s="9" t="s">
        <v>1866</v>
      </c>
      <c r="E118" s="21" t="s">
        <v>182</v>
      </c>
      <c r="F118" s="19" t="s">
        <v>2096</v>
      </c>
      <c r="G118" s="19" t="s">
        <v>2096</v>
      </c>
      <c r="H118" s="164" t="str">
        <f t="shared" si="3"/>
        <v>,sum(an_ue_context_release_request_cnt) as an_ue_context_release_request_sum</v>
      </c>
      <c r="I118" s="25"/>
      <c r="J118" s="25" t="s">
        <v>284</v>
      </c>
      <c r="K118" s="25" t="s">
        <v>750</v>
      </c>
      <c r="L118" s="25" t="s">
        <v>285</v>
      </c>
    </row>
    <row r="119" spans="2:12" s="1" customFormat="1">
      <c r="B119" s="13" t="s">
        <v>2097</v>
      </c>
      <c r="C119" s="13" t="s">
        <v>281</v>
      </c>
      <c r="D119" s="9" t="s">
        <v>1869</v>
      </c>
      <c r="E119" s="21" t="s">
        <v>182</v>
      </c>
      <c r="F119" s="19" t="s">
        <v>2098</v>
      </c>
      <c r="G119" s="19" t="s">
        <v>2098</v>
      </c>
      <c r="H119" s="164" t="str">
        <f t="shared" si="3"/>
        <v>,sum(an_ue_context_release_succ_cnt) as an_ue_context_release_succ_sum</v>
      </c>
      <c r="I119" s="25"/>
      <c r="J119" s="25" t="s">
        <v>284</v>
      </c>
      <c r="K119" s="25" t="s">
        <v>750</v>
      </c>
      <c r="L119" s="25" t="s">
        <v>285</v>
      </c>
    </row>
    <row r="120" spans="2:12" s="1" customFormat="1">
      <c r="B120" s="13" t="s">
        <v>2099</v>
      </c>
      <c r="C120" s="13" t="s">
        <v>281</v>
      </c>
      <c r="D120" s="9" t="s">
        <v>1872</v>
      </c>
      <c r="E120" s="21" t="s">
        <v>182</v>
      </c>
      <c r="F120" s="19" t="s">
        <v>2100</v>
      </c>
      <c r="G120" s="19" t="s">
        <v>2100</v>
      </c>
      <c r="H120" s="164" t="str">
        <f t="shared" si="3"/>
        <v>,sum(an_ue_context_release_fail_cnt) as an_ue_context_release_fail_sum</v>
      </c>
      <c r="I120" s="25"/>
      <c r="J120" s="25" t="s">
        <v>284</v>
      </c>
      <c r="K120" s="25" t="s">
        <v>750</v>
      </c>
      <c r="L120" s="25" t="s">
        <v>285</v>
      </c>
    </row>
    <row r="121" spans="2:12" s="1" customFormat="1">
      <c r="B121" s="13" t="s">
        <v>2101</v>
      </c>
      <c r="C121" s="13" t="s">
        <v>281</v>
      </c>
      <c r="D121" s="9" t="s">
        <v>1875</v>
      </c>
      <c r="E121" s="21" t="s">
        <v>182</v>
      </c>
      <c r="F121" s="19" t="s">
        <v>2102</v>
      </c>
      <c r="G121" s="19" t="s">
        <v>2102</v>
      </c>
      <c r="H121" s="164" t="str">
        <f t="shared" si="3"/>
        <v>,sum(an_ue_context_release_timeout) as an_ue_context_release_timeinout_sum</v>
      </c>
      <c r="I121" s="25"/>
      <c r="J121" s="25" t="s">
        <v>284</v>
      </c>
      <c r="K121" s="25" t="s">
        <v>750</v>
      </c>
      <c r="L121" s="25" t="s">
        <v>285</v>
      </c>
    </row>
    <row r="122" spans="2:12" s="1" customFormat="1">
      <c r="B122" s="13" t="s">
        <v>2103</v>
      </c>
      <c r="C122" s="13" t="s">
        <v>281</v>
      </c>
      <c r="D122" s="9" t="s">
        <v>1878</v>
      </c>
      <c r="E122" s="21" t="s">
        <v>182</v>
      </c>
      <c r="F122" s="19" t="s">
        <v>2104</v>
      </c>
      <c r="G122" s="19" t="s">
        <v>2104</v>
      </c>
      <c r="H122" s="164" t="str">
        <f t="shared" si="3"/>
        <v>,sum(an_ue_context_release_delay_sum) as an_ue_context_release_delay_sum</v>
      </c>
      <c r="I122" s="25"/>
      <c r="J122" s="25" t="s">
        <v>284</v>
      </c>
      <c r="K122" s="25" t="s">
        <v>471</v>
      </c>
      <c r="L122" s="25" t="s">
        <v>285</v>
      </c>
    </row>
    <row r="123" spans="2:12" s="1" customFormat="1">
      <c r="B123" s="13" t="s">
        <v>2105</v>
      </c>
      <c r="C123" s="13" t="s">
        <v>281</v>
      </c>
      <c r="D123" s="9" t="s">
        <v>1821</v>
      </c>
      <c r="E123" s="21" t="s">
        <v>182</v>
      </c>
      <c r="F123" s="19" t="s">
        <v>2106</v>
      </c>
      <c r="G123" s="19" t="s">
        <v>2106</v>
      </c>
      <c r="H123" s="164" t="str">
        <f t="shared" si="3"/>
        <v>,sum(n2ho_cancel_request_cnt) as n2ho_cancel_request_sum</v>
      </c>
      <c r="I123" s="25"/>
      <c r="J123" s="25" t="s">
        <v>284</v>
      </c>
      <c r="K123" s="25" t="s">
        <v>750</v>
      </c>
      <c r="L123" s="25" t="s">
        <v>285</v>
      </c>
    </row>
    <row r="124" spans="2:12" s="1" customFormat="1">
      <c r="B124" s="13" t="s">
        <v>2107</v>
      </c>
      <c r="C124" s="13" t="s">
        <v>281</v>
      </c>
      <c r="D124" s="9" t="s">
        <v>1824</v>
      </c>
      <c r="E124" s="21" t="s">
        <v>182</v>
      </c>
      <c r="F124" s="19" t="s">
        <v>2108</v>
      </c>
      <c r="G124" s="19" t="s">
        <v>2108</v>
      </c>
      <c r="H124" s="164" t="str">
        <f t="shared" si="3"/>
        <v>,sum(n2ho_cancel_succ_cnt) as n2ho_cancel_succ_sum</v>
      </c>
      <c r="I124" s="25"/>
      <c r="J124" s="25" t="s">
        <v>284</v>
      </c>
      <c r="K124" s="25" t="s">
        <v>750</v>
      </c>
      <c r="L124" s="25" t="s">
        <v>285</v>
      </c>
    </row>
    <row r="125" spans="2:12" s="1" customFormat="1">
      <c r="B125" s="13" t="s">
        <v>2109</v>
      </c>
      <c r="C125" s="13" t="s">
        <v>281</v>
      </c>
      <c r="D125" s="9" t="s">
        <v>1827</v>
      </c>
      <c r="E125" s="21" t="s">
        <v>182</v>
      </c>
      <c r="F125" s="19" t="s">
        <v>2110</v>
      </c>
      <c r="G125" s="19" t="s">
        <v>2110</v>
      </c>
      <c r="H125" s="164" t="str">
        <f t="shared" si="3"/>
        <v>,sum(n2ho_cancel_fail_cnt) as n2ho_cancel_fail_sum</v>
      </c>
      <c r="I125" s="25"/>
      <c r="J125" s="25" t="s">
        <v>284</v>
      </c>
      <c r="K125" s="25" t="s">
        <v>750</v>
      </c>
      <c r="L125" s="25" t="s">
        <v>285</v>
      </c>
    </row>
    <row r="126" spans="2:12" s="1" customFormat="1">
      <c r="B126" s="13" t="s">
        <v>2111</v>
      </c>
      <c r="C126" s="13" t="s">
        <v>281</v>
      </c>
      <c r="D126" s="9" t="s">
        <v>1830</v>
      </c>
      <c r="E126" s="21" t="s">
        <v>182</v>
      </c>
      <c r="F126" s="19" t="s">
        <v>2112</v>
      </c>
      <c r="G126" s="19" t="s">
        <v>2112</v>
      </c>
      <c r="H126" s="164" t="str">
        <f t="shared" si="3"/>
        <v>,sum(n2ho_cancel_timeout_cnt) as n2ho_cancel_timeout_sum</v>
      </c>
      <c r="I126" s="25"/>
      <c r="J126" s="25" t="s">
        <v>284</v>
      </c>
      <c r="K126" s="25" t="s">
        <v>750</v>
      </c>
      <c r="L126" s="25" t="s">
        <v>285</v>
      </c>
    </row>
    <row r="127" spans="2:12" s="1" customFormat="1">
      <c r="B127" s="13" t="s">
        <v>2113</v>
      </c>
      <c r="C127" s="13" t="s">
        <v>281</v>
      </c>
      <c r="D127" s="9" t="s">
        <v>2114</v>
      </c>
      <c r="E127" s="21" t="s">
        <v>182</v>
      </c>
      <c r="F127" s="19" t="s">
        <v>2115</v>
      </c>
      <c r="G127" s="19" t="s">
        <v>2116</v>
      </c>
      <c r="H127" s="164" t="str">
        <f t="shared" si="3"/>
        <v>,sum(n2ho_cancel_delay_sum) as n2ho_cancel_delay_sum</v>
      </c>
      <c r="I127" s="25"/>
      <c r="J127" s="25" t="s">
        <v>284</v>
      </c>
      <c r="K127" s="25" t="s">
        <v>471</v>
      </c>
      <c r="L127" s="25" t="s">
        <v>285</v>
      </c>
    </row>
    <row r="128" spans="2:12" s="1" customFormat="1">
      <c r="B128" s="13" t="s">
        <v>2117</v>
      </c>
      <c r="C128" s="13" t="s">
        <v>281</v>
      </c>
      <c r="D128" s="9" t="s">
        <v>1881</v>
      </c>
      <c r="E128" s="21" t="s">
        <v>182</v>
      </c>
      <c r="F128" s="19" t="s">
        <v>657</v>
      </c>
      <c r="G128" s="19" t="s">
        <v>657</v>
      </c>
      <c r="H128" s="164" t="str">
        <f t="shared" si="3"/>
        <v>,sum(record_cnt) as n1n2_cnt_sum</v>
      </c>
      <c r="I128" s="25"/>
      <c r="J128" s="25" t="s">
        <v>284</v>
      </c>
      <c r="K128" s="25" t="s">
        <v>750</v>
      </c>
      <c r="L128" s="25" t="s">
        <v>285</v>
      </c>
    </row>
    <row r="129" spans="1:18" s="1" customFormat="1">
      <c r="B129" s="13" t="s">
        <v>2118</v>
      </c>
      <c r="C129" s="13" t="s">
        <v>281</v>
      </c>
      <c r="D129" s="9" t="s">
        <v>1883</v>
      </c>
      <c r="E129" s="21" t="s">
        <v>182</v>
      </c>
      <c r="F129" s="19" t="s">
        <v>2119</v>
      </c>
      <c r="G129" s="19" t="s">
        <v>2119</v>
      </c>
      <c r="H129" s="164" t="str">
        <f t="shared" si="3"/>
        <v>,sum(procedure_succ_cnt) as n1n2_success_cnt_sum</v>
      </c>
      <c r="I129" s="25"/>
      <c r="J129" s="25" t="s">
        <v>284</v>
      </c>
      <c r="K129" s="25" t="s">
        <v>750</v>
      </c>
      <c r="L129" s="25" t="s">
        <v>285</v>
      </c>
    </row>
    <row r="130" spans="1:18" s="1" customFormat="1">
      <c r="B130" s="13" t="s">
        <v>2120</v>
      </c>
      <c r="C130" s="13" t="s">
        <v>281</v>
      </c>
      <c r="D130" s="9" t="s">
        <v>1886</v>
      </c>
      <c r="E130" s="21" t="s">
        <v>182</v>
      </c>
      <c r="F130" s="19" t="s">
        <v>2121</v>
      </c>
      <c r="G130" s="19" t="s">
        <v>2121</v>
      </c>
      <c r="H130" s="164" t="str">
        <f t="shared" si="3"/>
        <v>,sum(procedure_fail_cnt) as n1n2_fail_cnt_sum</v>
      </c>
      <c r="I130" s="25"/>
      <c r="J130" s="25" t="s">
        <v>284</v>
      </c>
      <c r="K130" s="25" t="s">
        <v>750</v>
      </c>
      <c r="L130" s="25" t="s">
        <v>285</v>
      </c>
    </row>
    <row r="131" spans="1:18" s="1" customFormat="1">
      <c r="B131" s="13" t="s">
        <v>2122</v>
      </c>
      <c r="C131" s="13" t="s">
        <v>281</v>
      </c>
      <c r="D131" s="9" t="s">
        <v>1889</v>
      </c>
      <c r="E131" s="21" t="s">
        <v>182</v>
      </c>
      <c r="F131" s="19" t="s">
        <v>2123</v>
      </c>
      <c r="G131" s="19" t="s">
        <v>2123</v>
      </c>
      <c r="H131" s="164" t="str">
        <f t="shared" si="3"/>
        <v>,sum(procedure_timeout_cnt) as n1n2_timeout_cnt_sum</v>
      </c>
      <c r="I131" s="25"/>
      <c r="J131" s="25" t="s">
        <v>284</v>
      </c>
      <c r="K131" s="25" t="s">
        <v>750</v>
      </c>
      <c r="L131" s="25" t="s">
        <v>285</v>
      </c>
    </row>
    <row r="132" spans="1:18" s="52" customFormat="1" ht="15.6">
      <c r="A132" s="53">
        <f t="shared" ref="A132:A135" si="4">ROW()-1</f>
        <v>131</v>
      </c>
      <c r="B132" s="54" t="s">
        <v>2124</v>
      </c>
      <c r="C132" s="13" t="s">
        <v>281</v>
      </c>
      <c r="D132" s="56" t="s">
        <v>2125</v>
      </c>
      <c r="E132" s="21" t="s">
        <v>182</v>
      </c>
      <c r="F132" s="19" t="s">
        <v>2126</v>
      </c>
      <c r="G132" s="19" t="s">
        <v>2126</v>
      </c>
      <c r="H132" s="164" t="str">
        <f t="shared" si="3"/>
        <v>,sum(sms_request_cnt) as sms_request_sum</v>
      </c>
      <c r="I132" s="57"/>
      <c r="J132" s="25" t="s">
        <v>284</v>
      </c>
      <c r="K132" s="25" t="s">
        <v>750</v>
      </c>
      <c r="L132" s="25" t="s">
        <v>285</v>
      </c>
      <c r="M132" s="1"/>
      <c r="N132" s="1"/>
      <c r="O132" s="1"/>
      <c r="P132" s="1"/>
      <c r="Q132" s="1"/>
      <c r="R132" s="1"/>
    </row>
    <row r="133" spans="1:18" s="52" customFormat="1" ht="15.6">
      <c r="A133" s="53">
        <f t="shared" si="4"/>
        <v>132</v>
      </c>
      <c r="B133" s="54" t="s">
        <v>2127</v>
      </c>
      <c r="C133" s="13" t="s">
        <v>281</v>
      </c>
      <c r="D133" s="56" t="s">
        <v>2128</v>
      </c>
      <c r="E133" s="21" t="s">
        <v>182</v>
      </c>
      <c r="F133" s="19" t="s">
        <v>2129</v>
      </c>
      <c r="G133" s="19" t="s">
        <v>2129</v>
      </c>
      <c r="H133" s="164" t="str">
        <f t="shared" si="3"/>
        <v>,sum(sms_succ_cnt) as sms_success_sum</v>
      </c>
      <c r="I133" s="57"/>
      <c r="J133" s="25" t="s">
        <v>284</v>
      </c>
      <c r="K133" s="25" t="s">
        <v>750</v>
      </c>
      <c r="L133" s="25" t="s">
        <v>285</v>
      </c>
      <c r="M133" s="1"/>
      <c r="N133" s="1"/>
      <c r="O133" s="1"/>
      <c r="P133" s="1"/>
      <c r="Q133" s="1"/>
      <c r="R133" s="1"/>
    </row>
    <row r="134" spans="1:18" s="52" customFormat="1" ht="15.6">
      <c r="A134" s="53">
        <f t="shared" si="4"/>
        <v>133</v>
      </c>
      <c r="B134" s="54" t="s">
        <v>2130</v>
      </c>
      <c r="C134" s="13" t="s">
        <v>281</v>
      </c>
      <c r="D134" s="56" t="s">
        <v>2131</v>
      </c>
      <c r="E134" s="21" t="s">
        <v>182</v>
      </c>
      <c r="F134" s="19" t="s">
        <v>2132</v>
      </c>
      <c r="G134" s="19" t="s">
        <v>2132</v>
      </c>
      <c r="H134" s="164" t="str">
        <f t="shared" si="3"/>
        <v>,sum(sms_fail_cnt) as sms_fail_sum</v>
      </c>
      <c r="I134" s="57"/>
      <c r="J134" s="25" t="s">
        <v>284</v>
      </c>
      <c r="K134" s="25" t="s">
        <v>750</v>
      </c>
      <c r="L134" s="25" t="s">
        <v>285</v>
      </c>
      <c r="M134" s="1"/>
      <c r="N134" s="1"/>
      <c r="O134" s="1"/>
      <c r="P134" s="1"/>
      <c r="Q134" s="1"/>
      <c r="R134" s="1"/>
    </row>
    <row r="135" spans="1:18" s="52" customFormat="1" ht="15.6">
      <c r="A135" s="53">
        <f t="shared" si="4"/>
        <v>134</v>
      </c>
      <c r="B135" s="54" t="s">
        <v>2133</v>
      </c>
      <c r="C135" s="13" t="s">
        <v>281</v>
      </c>
      <c r="D135" s="56" t="s">
        <v>2134</v>
      </c>
      <c r="E135" s="21" t="s">
        <v>182</v>
      </c>
      <c r="F135" s="19" t="s">
        <v>2135</v>
      </c>
      <c r="G135" s="19" t="s">
        <v>2135</v>
      </c>
      <c r="H135" s="164" t="str">
        <f t="shared" si="3"/>
        <v>,sum(sms_timeout_cnt) as sms_timeout_sum</v>
      </c>
      <c r="I135" s="57"/>
      <c r="J135" s="25" t="s">
        <v>284</v>
      </c>
      <c r="K135" s="25" t="s">
        <v>750</v>
      </c>
      <c r="L135" s="25" t="s">
        <v>285</v>
      </c>
      <c r="M135" s="1"/>
      <c r="N135" s="1"/>
      <c r="O135" s="1"/>
      <c r="P135" s="1"/>
      <c r="Q135" s="1"/>
      <c r="R135" s="1"/>
    </row>
    <row r="136" spans="1:18" s="2" customFormat="1">
      <c r="B136" s="14" t="s">
        <v>222</v>
      </c>
      <c r="C136" s="15" t="s">
        <v>211</v>
      </c>
      <c r="D136" s="16" t="s">
        <v>344</v>
      </c>
      <c r="E136" s="24"/>
      <c r="F136" s="24"/>
      <c r="G136" s="24" t="s">
        <v>1892</v>
      </c>
      <c r="H136" s="164"/>
      <c r="I136" s="14"/>
      <c r="J136" s="14"/>
      <c r="K136" s="14"/>
      <c r="L136" s="14"/>
      <c r="O136" s="1"/>
    </row>
    <row r="137" spans="1:18" s="2" customFormat="1">
      <c r="B137" s="14" t="s">
        <v>0</v>
      </c>
      <c r="C137" s="15" t="s">
        <v>206</v>
      </c>
      <c r="D137" s="16" t="s">
        <v>345</v>
      </c>
      <c r="E137" s="24"/>
      <c r="F137" s="24"/>
      <c r="G137" s="24" t="s">
        <v>1892</v>
      </c>
      <c r="H137" s="164"/>
      <c r="I137" s="14"/>
      <c r="J137" s="14"/>
      <c r="K137" s="14"/>
      <c r="L137" s="14"/>
    </row>
    <row r="138" spans="1:18" s="2" customFormat="1">
      <c r="B138" s="14" t="s">
        <v>1</v>
      </c>
      <c r="C138" s="15" t="s">
        <v>211</v>
      </c>
      <c r="D138" s="16" t="s">
        <v>346</v>
      </c>
      <c r="E138" s="24"/>
      <c r="F138" s="24"/>
      <c r="G138" s="24" t="s">
        <v>1892</v>
      </c>
      <c r="H138" s="164"/>
      <c r="I138" s="14"/>
      <c r="J138" s="14"/>
      <c r="K138" s="14"/>
      <c r="L138" s="14"/>
    </row>
  </sheetData>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Y145"/>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11" t="s">
        <v>172</v>
      </c>
      <c r="G4" s="11" t="s">
        <v>43</v>
      </c>
      <c r="H4" s="11" t="s">
        <v>173</v>
      </c>
    </row>
    <row r="5" spans="2:14">
      <c r="B5" s="8" t="s">
        <v>105</v>
      </c>
      <c r="C5" s="9" t="s">
        <v>143</v>
      </c>
      <c r="D5" s="10" t="s">
        <v>144</v>
      </c>
      <c r="E5" s="12" t="s">
        <v>20</v>
      </c>
      <c r="F5" s="17"/>
      <c r="G5" s="12"/>
      <c r="H5" s="12"/>
      <c r="N5" s="3"/>
    </row>
    <row r="6" spans="2:14">
      <c r="B6" s="6"/>
      <c r="C6" s="6"/>
      <c r="D6" s="6"/>
      <c r="E6" s="6"/>
      <c r="F6" s="18"/>
      <c r="G6" s="18"/>
      <c r="H6" s="18"/>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137</v>
      </c>
      <c r="D9" s="10" t="s">
        <v>1568</v>
      </c>
      <c r="E9" s="12" t="s">
        <v>182</v>
      </c>
      <c r="F9" s="19"/>
      <c r="G9" s="19"/>
      <c r="H9" s="20" t="s">
        <v>63</v>
      </c>
    </row>
    <row r="10" spans="2:14">
      <c r="B10" s="12"/>
      <c r="C10" s="9"/>
      <c r="D10" s="10"/>
      <c r="E10" s="12"/>
      <c r="F10" s="22"/>
      <c r="G10" s="22"/>
      <c r="H10" s="20"/>
    </row>
    <row r="11" spans="2:14">
      <c r="B11" s="3" t="s">
        <v>194</v>
      </c>
    </row>
    <row r="12" spans="2:14">
      <c r="B12" s="181" t="s">
        <v>194</v>
      </c>
      <c r="C12" s="181"/>
      <c r="D12" s="181"/>
      <c r="E12" s="181"/>
      <c r="F12" s="181"/>
      <c r="G12" s="181"/>
      <c r="H12" s="181"/>
      <c r="I12" s="181"/>
      <c r="J12" s="181"/>
      <c r="K12" s="181"/>
      <c r="L12" s="181"/>
    </row>
    <row r="13" spans="2:14">
      <c r="B13" s="7" t="s">
        <v>195</v>
      </c>
      <c r="C13" s="7" t="s">
        <v>196</v>
      </c>
      <c r="D13" s="7" t="s">
        <v>197</v>
      </c>
      <c r="E13" s="7" t="s">
        <v>198</v>
      </c>
      <c r="F13" s="11" t="s">
        <v>199</v>
      </c>
      <c r="G13" s="11" t="s">
        <v>200</v>
      </c>
      <c r="H13" s="11" t="s">
        <v>201</v>
      </c>
      <c r="I13" s="7" t="s">
        <v>53</v>
      </c>
      <c r="J13" s="7" t="s">
        <v>202</v>
      </c>
      <c r="K13" s="7" t="s">
        <v>203</v>
      </c>
      <c r="L13" s="7" t="s">
        <v>204</v>
      </c>
    </row>
    <row r="14" spans="2:14" s="1" customFormat="1">
      <c r="B14" s="13" t="s">
        <v>205</v>
      </c>
      <c r="C14" s="13" t="s">
        <v>206</v>
      </c>
      <c r="D14" s="9" t="s">
        <v>207</v>
      </c>
      <c r="E14" s="21" t="s">
        <v>182</v>
      </c>
      <c r="F14" s="19" t="s">
        <v>0</v>
      </c>
      <c r="G14" s="19" t="s">
        <v>208</v>
      </c>
      <c r="H14" s="164" t="str">
        <f>_xlfn.CONCAT(",",F14," as ",B14)</f>
        <v>,p_date as day</v>
      </c>
      <c r="I14" s="25"/>
      <c r="J14" s="25" t="s">
        <v>4</v>
      </c>
      <c r="K14" s="25" t="s">
        <v>209</v>
      </c>
      <c r="L14" s="25" t="s">
        <v>209</v>
      </c>
    </row>
    <row r="15" spans="2:14" s="1" customFormat="1">
      <c r="B15" s="13" t="s">
        <v>20</v>
      </c>
      <c r="C15" s="13" t="s">
        <v>206</v>
      </c>
      <c r="D15" s="9" t="s">
        <v>73</v>
      </c>
      <c r="E15" s="21" t="s">
        <v>182</v>
      </c>
      <c r="F15" s="19" t="s">
        <v>1</v>
      </c>
      <c r="G15" s="19" t="s">
        <v>208</v>
      </c>
      <c r="H15" s="164" t="str">
        <f t="shared" ref="H15:H47" si="0">_xlfn.CONCAT(",",F15," as ",B15)</f>
        <v>,p_hour as hour</v>
      </c>
      <c r="I15" s="25"/>
      <c r="J15" s="25" t="s">
        <v>4</v>
      </c>
      <c r="K15" s="25" t="s">
        <v>209</v>
      </c>
      <c r="L15" s="25" t="s">
        <v>209</v>
      </c>
    </row>
    <row r="16" spans="2:14" s="1" customFormat="1">
      <c r="B16" s="13" t="s">
        <v>249</v>
      </c>
      <c r="C16" s="13" t="s">
        <v>206</v>
      </c>
      <c r="D16" s="9" t="s">
        <v>1235</v>
      </c>
      <c r="E16" s="21" t="s">
        <v>182</v>
      </c>
      <c r="F16" s="19" t="str">
        <f>VLOOKUP(B16,'12'!B:L,1,0)</f>
        <v>supi</v>
      </c>
      <c r="G16" s="19" t="s">
        <v>208</v>
      </c>
      <c r="H16" s="164" t="str">
        <f t="shared" si="0"/>
        <v>,supi as supi</v>
      </c>
      <c r="I16" s="25"/>
      <c r="J16" s="25" t="s">
        <v>4</v>
      </c>
      <c r="K16" s="25" t="s">
        <v>209</v>
      </c>
      <c r="L16" s="25" t="s">
        <v>209</v>
      </c>
    </row>
    <row r="17" spans="2:12" s="1" customFormat="1">
      <c r="B17" s="13" t="s">
        <v>254</v>
      </c>
      <c r="C17" s="13" t="s">
        <v>206</v>
      </c>
      <c r="D17" s="9" t="s">
        <v>1236</v>
      </c>
      <c r="E17" s="21" t="s">
        <v>182</v>
      </c>
      <c r="F17" s="19" t="str">
        <f>VLOOKUP(B17,'12'!B:L,1,0)</f>
        <v>pei</v>
      </c>
      <c r="G17" s="19" t="s">
        <v>208</v>
      </c>
      <c r="H17" s="164" t="str">
        <f t="shared" si="0"/>
        <v>,pei as pei</v>
      </c>
      <c r="I17" s="25"/>
      <c r="J17" s="25" t="s">
        <v>4</v>
      </c>
      <c r="K17" s="25" t="s">
        <v>209</v>
      </c>
      <c r="L17" s="25" t="s">
        <v>209</v>
      </c>
    </row>
    <row r="18" spans="2:12" s="1" customFormat="1">
      <c r="B18" s="13" t="s">
        <v>251</v>
      </c>
      <c r="C18" s="13" t="s">
        <v>206</v>
      </c>
      <c r="D18" s="9" t="s">
        <v>1237</v>
      </c>
      <c r="E18" s="21" t="s">
        <v>182</v>
      </c>
      <c r="F18" s="19" t="str">
        <f>VLOOKUP(B18,'12'!B:L,1,0)</f>
        <v>msisdn</v>
      </c>
      <c r="G18" s="19" t="s">
        <v>208</v>
      </c>
      <c r="H18" s="164" t="str">
        <f t="shared" si="0"/>
        <v>,msisdn as msisdn</v>
      </c>
      <c r="I18" s="25"/>
      <c r="J18" s="25" t="s">
        <v>4</v>
      </c>
      <c r="K18" s="25" t="s">
        <v>209</v>
      </c>
      <c r="L18" s="25" t="s">
        <v>209</v>
      </c>
    </row>
    <row r="19" spans="2:12" s="1" customFormat="1">
      <c r="B19" s="13" t="s">
        <v>264</v>
      </c>
      <c r="C19" s="13" t="s">
        <v>206</v>
      </c>
      <c r="D19" s="9" t="s">
        <v>1240</v>
      </c>
      <c r="E19" s="21" t="s">
        <v>182</v>
      </c>
      <c r="F19" s="19" t="str">
        <f>VLOOKUP(B19,'12'!B:L,1,0)</f>
        <v>home_province</v>
      </c>
      <c r="G19" s="19" t="s">
        <v>208</v>
      </c>
      <c r="H19" s="164" t="str">
        <f t="shared" si="0"/>
        <v>,home_province as home_province</v>
      </c>
      <c r="I19" s="25"/>
      <c r="J19" s="25" t="s">
        <v>4</v>
      </c>
      <c r="K19" s="25" t="s">
        <v>209</v>
      </c>
      <c r="L19" s="25" t="s">
        <v>209</v>
      </c>
    </row>
    <row r="20" spans="2:12" s="165" customFormat="1">
      <c r="B20" s="166" t="s">
        <v>1328</v>
      </c>
      <c r="C20" s="166" t="s">
        <v>211</v>
      </c>
      <c r="D20" s="158" t="s">
        <v>1329</v>
      </c>
      <c r="E20" s="170" t="s">
        <v>182</v>
      </c>
      <c r="F20" s="167" t="str">
        <f>VLOOKUP(B20,'12'!B:L,1,0)</f>
        <v>tac</v>
      </c>
      <c r="G20" s="167" t="s">
        <v>208</v>
      </c>
      <c r="H20" s="168" t="str">
        <f t="shared" si="0"/>
        <v>,tac as tac</v>
      </c>
      <c r="I20" s="169"/>
      <c r="J20" s="169" t="s">
        <v>4</v>
      </c>
      <c r="K20" s="169" t="s">
        <v>209</v>
      </c>
      <c r="L20" s="169" t="s">
        <v>209</v>
      </c>
    </row>
    <row r="21" spans="2:12" s="1" customFormat="1">
      <c r="B21" s="13" t="s">
        <v>242</v>
      </c>
      <c r="C21" s="13" t="s">
        <v>206</v>
      </c>
      <c r="D21" s="9" t="s">
        <v>243</v>
      </c>
      <c r="E21" s="21" t="s">
        <v>182</v>
      </c>
      <c r="F21" s="19" t="s">
        <v>242</v>
      </c>
      <c r="G21" s="19" t="s">
        <v>208</v>
      </c>
      <c r="H21" s="164" t="str">
        <f t="shared" si="0"/>
        <v>,cellkey as cellkey</v>
      </c>
      <c r="I21" s="25"/>
      <c r="J21" s="25" t="s">
        <v>4</v>
      </c>
      <c r="K21" s="25" t="s">
        <v>209</v>
      </c>
      <c r="L21" s="25" t="s">
        <v>209</v>
      </c>
    </row>
    <row r="22" spans="2:12" s="1" customFormat="1">
      <c r="B22" s="13" t="s">
        <v>220</v>
      </c>
      <c r="C22" s="13" t="s">
        <v>206</v>
      </c>
      <c r="D22" s="9" t="s">
        <v>1569</v>
      </c>
      <c r="E22" s="21" t="s">
        <v>182</v>
      </c>
      <c r="F22" s="19" t="s">
        <v>222</v>
      </c>
      <c r="G22" s="19" t="s">
        <v>208</v>
      </c>
      <c r="H22" s="164" t="str">
        <f t="shared" si="0"/>
        <v>,p_provincecode as provincecode</v>
      </c>
      <c r="I22" s="25"/>
      <c r="J22" s="25" t="s">
        <v>4</v>
      </c>
      <c r="K22" s="25" t="s">
        <v>209</v>
      </c>
      <c r="L22" s="25" t="s">
        <v>209</v>
      </c>
    </row>
    <row r="23" spans="2:12" s="1" customFormat="1">
      <c r="B23" s="13" t="s">
        <v>230</v>
      </c>
      <c r="C23" s="13" t="s">
        <v>206</v>
      </c>
      <c r="D23" s="9" t="s">
        <v>231</v>
      </c>
      <c r="E23" s="21" t="s">
        <v>789</v>
      </c>
      <c r="F23" s="13" t="s">
        <v>230</v>
      </c>
      <c r="G23" s="22" t="s">
        <v>1465</v>
      </c>
      <c r="H23" s="164" t="str">
        <f t="shared" si="0"/>
        <v>,province as province</v>
      </c>
      <c r="I23" s="25"/>
      <c r="J23" s="25" t="s">
        <v>4</v>
      </c>
      <c r="K23" s="25" t="s">
        <v>209</v>
      </c>
      <c r="L23" s="25" t="s">
        <v>209</v>
      </c>
    </row>
    <row r="24" spans="2:12" s="1" customFormat="1">
      <c r="B24" s="13" t="s">
        <v>224</v>
      </c>
      <c r="C24" s="13" t="s">
        <v>206</v>
      </c>
      <c r="D24" s="9" t="s">
        <v>444</v>
      </c>
      <c r="E24" s="21" t="s">
        <v>182</v>
      </c>
      <c r="F24" s="19" t="str">
        <f>VLOOKUP(B24,'12'!B:L,1,0)</f>
        <v>citycode</v>
      </c>
      <c r="G24" s="19" t="s">
        <v>208</v>
      </c>
      <c r="H24" s="164" t="str">
        <f t="shared" si="0"/>
        <v>,citycode as citycode</v>
      </c>
      <c r="I24" s="25"/>
      <c r="J24" s="25" t="s">
        <v>4</v>
      </c>
      <c r="K24" s="25" t="s">
        <v>209</v>
      </c>
      <c r="L24" s="25" t="s">
        <v>209</v>
      </c>
    </row>
    <row r="25" spans="2:12" s="1" customFormat="1">
      <c r="B25" s="13" t="s">
        <v>233</v>
      </c>
      <c r="C25" s="13" t="s">
        <v>206</v>
      </c>
      <c r="D25" s="9" t="s">
        <v>446</v>
      </c>
      <c r="E25" s="21" t="s">
        <v>182</v>
      </c>
      <c r="F25" s="19" t="str">
        <f>VLOOKUP(B25,'12'!B:L,1,0)</f>
        <v>city</v>
      </c>
      <c r="G25" s="19" t="s">
        <v>208</v>
      </c>
      <c r="H25" s="164" t="str">
        <f t="shared" si="0"/>
        <v>,city as city</v>
      </c>
      <c r="I25" s="25"/>
      <c r="J25" s="25" t="s">
        <v>4</v>
      </c>
      <c r="K25" s="25" t="s">
        <v>209</v>
      </c>
      <c r="L25" s="25" t="s">
        <v>209</v>
      </c>
    </row>
    <row r="26" spans="2:12" s="1" customFormat="1">
      <c r="B26" s="13" t="s">
        <v>228</v>
      </c>
      <c r="C26" s="13" t="s">
        <v>211</v>
      </c>
      <c r="D26" s="9" t="s">
        <v>445</v>
      </c>
      <c r="E26" s="21" t="s">
        <v>182</v>
      </c>
      <c r="F26" s="19" t="s">
        <v>228</v>
      </c>
      <c r="G26" s="19" t="s">
        <v>208</v>
      </c>
      <c r="H26" s="164" t="str">
        <f t="shared" si="0"/>
        <v>,districtcode as districtcode</v>
      </c>
      <c r="I26" s="25"/>
      <c r="J26" s="25" t="s">
        <v>4</v>
      </c>
      <c r="K26" s="25" t="s">
        <v>209</v>
      </c>
      <c r="L26" s="25" t="s">
        <v>209</v>
      </c>
    </row>
    <row r="27" spans="2:12" s="1" customFormat="1">
      <c r="B27" s="13" t="s">
        <v>236</v>
      </c>
      <c r="C27" s="13" t="s">
        <v>206</v>
      </c>
      <c r="D27" s="9" t="s">
        <v>237</v>
      </c>
      <c r="E27" s="21" t="s">
        <v>182</v>
      </c>
      <c r="F27" s="19" t="s">
        <v>236</v>
      </c>
      <c r="G27" s="19" t="s">
        <v>208</v>
      </c>
      <c r="H27" s="164" t="str">
        <f t="shared" si="0"/>
        <v>,district as district</v>
      </c>
      <c r="I27" s="25"/>
      <c r="J27" s="25" t="s">
        <v>4</v>
      </c>
      <c r="K27" s="25" t="s">
        <v>209</v>
      </c>
      <c r="L27" s="25" t="s">
        <v>209</v>
      </c>
    </row>
    <row r="28" spans="2:12" s="1" customFormat="1">
      <c r="B28" s="13" t="s">
        <v>1267</v>
      </c>
      <c r="C28" s="13" t="s">
        <v>206</v>
      </c>
      <c r="D28" s="9" t="s">
        <v>1268</v>
      </c>
      <c r="E28" s="21" t="s">
        <v>182</v>
      </c>
      <c r="F28" s="19" t="s">
        <v>1267</v>
      </c>
      <c r="G28" s="19" t="s">
        <v>208</v>
      </c>
      <c r="H28" s="164" t="str">
        <f t="shared" si="0"/>
        <v>,gnb_ip_add as gnb_ip_add</v>
      </c>
      <c r="I28" s="25"/>
      <c r="J28" s="25" t="s">
        <v>4</v>
      </c>
      <c r="K28" s="25" t="s">
        <v>209</v>
      </c>
      <c r="L28" s="25" t="s">
        <v>209</v>
      </c>
    </row>
    <row r="29" spans="2:12" s="1" customFormat="1">
      <c r="B29" s="13" t="s">
        <v>1570</v>
      </c>
      <c r="C29" s="13" t="s">
        <v>281</v>
      </c>
      <c r="D29" s="9" t="s">
        <v>1571</v>
      </c>
      <c r="E29" s="21" t="s">
        <v>182</v>
      </c>
      <c r="F29" s="19" t="s">
        <v>1894</v>
      </c>
      <c r="G29" s="19" t="s">
        <v>1894</v>
      </c>
      <c r="H29" s="164" t="str">
        <f t="shared" si="0"/>
        <v>,sum(regist_request_cnt) as regist_request_cnt</v>
      </c>
      <c r="I29" s="25"/>
      <c r="J29" s="25" t="s">
        <v>284</v>
      </c>
      <c r="K29" s="25" t="s">
        <v>750</v>
      </c>
      <c r="L29" s="25" t="s">
        <v>285</v>
      </c>
    </row>
    <row r="30" spans="2:12" s="1" customFormat="1">
      <c r="B30" s="13" t="s">
        <v>1573</v>
      </c>
      <c r="C30" s="13" t="s">
        <v>281</v>
      </c>
      <c r="D30" s="9" t="s">
        <v>1574</v>
      </c>
      <c r="E30" s="21" t="s">
        <v>182</v>
      </c>
      <c r="F30" s="19" t="s">
        <v>1896</v>
      </c>
      <c r="G30" s="19" t="s">
        <v>1896</v>
      </c>
      <c r="H30" s="164" t="str">
        <f t="shared" si="0"/>
        <v>,sum(regist_succ_cnt) as regist_succ_cnt</v>
      </c>
      <c r="I30" s="25"/>
      <c r="J30" s="25" t="s">
        <v>284</v>
      </c>
      <c r="K30" s="25" t="s">
        <v>750</v>
      </c>
      <c r="L30" s="25" t="s">
        <v>285</v>
      </c>
    </row>
    <row r="31" spans="2:12" s="1" customFormat="1">
      <c r="B31" s="13" t="s">
        <v>1576</v>
      </c>
      <c r="C31" s="13" t="s">
        <v>281</v>
      </c>
      <c r="D31" s="27" t="s">
        <v>1577</v>
      </c>
      <c r="E31" s="21" t="s">
        <v>182</v>
      </c>
      <c r="F31" s="19" t="s">
        <v>1898</v>
      </c>
      <c r="G31" s="19" t="s">
        <v>1898</v>
      </c>
      <c r="H31" s="164" t="str">
        <f t="shared" si="0"/>
        <v>,sum(regist_fail_cnt) as regist_fail_cnt</v>
      </c>
      <c r="I31" s="25"/>
      <c r="J31" s="25" t="s">
        <v>284</v>
      </c>
      <c r="K31" s="25" t="s">
        <v>750</v>
      </c>
      <c r="L31" s="25" t="s">
        <v>285</v>
      </c>
    </row>
    <row r="32" spans="2:12" s="1" customFormat="1">
      <c r="B32" s="13" t="s">
        <v>1579</v>
      </c>
      <c r="C32" s="13" t="s">
        <v>281</v>
      </c>
      <c r="D32" s="9" t="s">
        <v>1580</v>
      </c>
      <c r="E32" s="21" t="s">
        <v>182</v>
      </c>
      <c r="F32" s="19" t="s">
        <v>1900</v>
      </c>
      <c r="G32" s="19" t="s">
        <v>1900</v>
      </c>
      <c r="H32" s="164" t="str">
        <f t="shared" si="0"/>
        <v>,sum(regist_timeout_cnt) as regist_timeout_cnt</v>
      </c>
      <c r="I32" s="25"/>
      <c r="J32" s="25" t="s">
        <v>284</v>
      </c>
      <c r="K32" s="25" t="s">
        <v>750</v>
      </c>
      <c r="L32" s="25" t="s">
        <v>285</v>
      </c>
    </row>
    <row r="33" spans="2:12" s="1" customFormat="1">
      <c r="B33" s="13" t="s">
        <v>1582</v>
      </c>
      <c r="C33" s="13" t="s">
        <v>319</v>
      </c>
      <c r="D33" s="9" t="s">
        <v>1583</v>
      </c>
      <c r="E33" s="21" t="s">
        <v>182</v>
      </c>
      <c r="F33" s="19" t="s">
        <v>2136</v>
      </c>
      <c r="G33" s="19" t="s">
        <v>2136</v>
      </c>
      <c r="H33" s="164" t="str">
        <f t="shared" si="0"/>
        <v>,sum(regist_succ_cnt*regist_delay) / sum(regist_succ_cnt) as regist_delay</v>
      </c>
      <c r="I33" s="25"/>
      <c r="J33" s="25" t="s">
        <v>284</v>
      </c>
      <c r="K33" s="25" t="s">
        <v>471</v>
      </c>
      <c r="L33" s="25" t="s">
        <v>285</v>
      </c>
    </row>
    <row r="34" spans="2:12" s="1" customFormat="1">
      <c r="B34" s="13" t="s">
        <v>1585</v>
      </c>
      <c r="C34" s="13" t="s">
        <v>281</v>
      </c>
      <c r="D34" s="9" t="s">
        <v>1586</v>
      </c>
      <c r="E34" s="21" t="s">
        <v>182</v>
      </c>
      <c r="F34" s="19" t="s">
        <v>1906</v>
      </c>
      <c r="G34" s="19" t="s">
        <v>1906</v>
      </c>
      <c r="H34" s="164" t="str">
        <f t="shared" si="0"/>
        <v>,sum(regist_init_request_cnt) as regist_init_request_cnt</v>
      </c>
      <c r="I34" s="25"/>
      <c r="J34" s="25" t="s">
        <v>284</v>
      </c>
      <c r="K34" s="25" t="s">
        <v>750</v>
      </c>
      <c r="L34" s="25" t="s">
        <v>285</v>
      </c>
    </row>
    <row r="35" spans="2:12" s="1" customFormat="1">
      <c r="B35" s="13" t="s">
        <v>1588</v>
      </c>
      <c r="C35" s="26" t="s">
        <v>281</v>
      </c>
      <c r="D35" s="9" t="s">
        <v>1589</v>
      </c>
      <c r="E35" s="21" t="s">
        <v>182</v>
      </c>
      <c r="F35" s="19" t="s">
        <v>1908</v>
      </c>
      <c r="G35" s="19" t="s">
        <v>1908</v>
      </c>
      <c r="H35" s="164" t="str">
        <f t="shared" si="0"/>
        <v>,sum(regist_init_succ_cnt) as regist_init_succ_cnt</v>
      </c>
      <c r="I35" s="25"/>
      <c r="J35" s="25" t="s">
        <v>284</v>
      </c>
      <c r="K35" s="25" t="s">
        <v>750</v>
      </c>
      <c r="L35" s="25" t="s">
        <v>285</v>
      </c>
    </row>
    <row r="36" spans="2:12" s="1" customFormat="1">
      <c r="B36" s="13" t="s">
        <v>1591</v>
      </c>
      <c r="C36" s="26" t="s">
        <v>281</v>
      </c>
      <c r="D36" s="9" t="s">
        <v>1592</v>
      </c>
      <c r="E36" s="21" t="s">
        <v>182</v>
      </c>
      <c r="F36" s="19" t="s">
        <v>1910</v>
      </c>
      <c r="G36" s="19" t="s">
        <v>1910</v>
      </c>
      <c r="H36" s="164" t="str">
        <f t="shared" si="0"/>
        <v>,sum(regist_init_fail_cnt) as regist_init_fail_cnt</v>
      </c>
      <c r="I36" s="25"/>
      <c r="J36" s="25" t="s">
        <v>284</v>
      </c>
      <c r="K36" s="25" t="s">
        <v>750</v>
      </c>
      <c r="L36" s="25" t="s">
        <v>285</v>
      </c>
    </row>
    <row r="37" spans="2:12" s="1" customFormat="1">
      <c r="B37" s="13" t="s">
        <v>1594</v>
      </c>
      <c r="C37" s="26" t="s">
        <v>281</v>
      </c>
      <c r="D37" s="9" t="s">
        <v>1595</v>
      </c>
      <c r="E37" s="21" t="s">
        <v>182</v>
      </c>
      <c r="F37" s="19" t="s">
        <v>1912</v>
      </c>
      <c r="G37" s="19" t="s">
        <v>1912</v>
      </c>
      <c r="H37" s="164" t="str">
        <f t="shared" si="0"/>
        <v>,sum(regist_init_timeout_cnt) as regist_init_timeout_cnt</v>
      </c>
      <c r="I37" s="25"/>
      <c r="J37" s="25" t="s">
        <v>284</v>
      </c>
      <c r="K37" s="25" t="s">
        <v>750</v>
      </c>
      <c r="L37" s="25" t="s">
        <v>285</v>
      </c>
    </row>
    <row r="38" spans="2:12" s="1" customFormat="1">
      <c r="B38" s="13" t="s">
        <v>1597</v>
      </c>
      <c r="C38" s="13" t="s">
        <v>319</v>
      </c>
      <c r="D38" s="9" t="s">
        <v>1598</v>
      </c>
      <c r="E38" s="21" t="s">
        <v>182</v>
      </c>
      <c r="F38" s="19" t="s">
        <v>2137</v>
      </c>
      <c r="G38" s="19" t="s">
        <v>2137</v>
      </c>
      <c r="H38" s="164" t="str">
        <f t="shared" si="0"/>
        <v>,sum(regist_init_succ_cnt*regist_init_delay) / sum(regist_init_succ_cnt) as regist_init_delay</v>
      </c>
      <c r="I38" s="25"/>
      <c r="J38" s="25" t="s">
        <v>284</v>
      </c>
      <c r="K38" s="25" t="s">
        <v>471</v>
      </c>
      <c r="L38" s="25" t="s">
        <v>285</v>
      </c>
    </row>
    <row r="39" spans="2:12" s="1" customFormat="1">
      <c r="B39" s="13" t="s">
        <v>1600</v>
      </c>
      <c r="C39" s="26" t="s">
        <v>281</v>
      </c>
      <c r="D39" s="9" t="s">
        <v>1601</v>
      </c>
      <c r="E39" s="21" t="s">
        <v>182</v>
      </c>
      <c r="F39" s="19" t="s">
        <v>1918</v>
      </c>
      <c r="G39" s="19" t="s">
        <v>1918</v>
      </c>
      <c r="H39" s="164" t="str">
        <f t="shared" si="0"/>
        <v>,sum(regist_periodic_request_cnt) as regist_periodic_request_cnt</v>
      </c>
      <c r="I39" s="25"/>
      <c r="J39" s="25" t="s">
        <v>284</v>
      </c>
      <c r="K39" s="25" t="s">
        <v>750</v>
      </c>
      <c r="L39" s="25" t="s">
        <v>285</v>
      </c>
    </row>
    <row r="40" spans="2:12" s="1" customFormat="1">
      <c r="B40" s="13" t="s">
        <v>1603</v>
      </c>
      <c r="C40" s="26" t="s">
        <v>281</v>
      </c>
      <c r="D40" s="9" t="s">
        <v>1604</v>
      </c>
      <c r="E40" s="21" t="s">
        <v>182</v>
      </c>
      <c r="F40" s="19" t="s">
        <v>1920</v>
      </c>
      <c r="G40" s="19" t="s">
        <v>1920</v>
      </c>
      <c r="H40" s="164" t="str">
        <f t="shared" si="0"/>
        <v>,sum(regist_periodic_succ_cnt) as regist_periodic_succ_cnt</v>
      </c>
      <c r="I40" s="25"/>
      <c r="J40" s="25" t="s">
        <v>284</v>
      </c>
      <c r="K40" s="25" t="s">
        <v>750</v>
      </c>
      <c r="L40" s="25" t="s">
        <v>285</v>
      </c>
    </row>
    <row r="41" spans="2:12" s="1" customFormat="1">
      <c r="B41" s="13" t="s">
        <v>1606</v>
      </c>
      <c r="C41" s="26" t="s">
        <v>281</v>
      </c>
      <c r="D41" s="9" t="s">
        <v>1607</v>
      </c>
      <c r="E41" s="21" t="s">
        <v>182</v>
      </c>
      <c r="F41" s="19" t="s">
        <v>1922</v>
      </c>
      <c r="G41" s="19" t="s">
        <v>1922</v>
      </c>
      <c r="H41" s="164" t="str">
        <f t="shared" si="0"/>
        <v>,sum(regist_periodic_fail_cnt) as regist_periodic_fail_cnt</v>
      </c>
      <c r="I41" s="25"/>
      <c r="J41" s="25" t="s">
        <v>284</v>
      </c>
      <c r="K41" s="25" t="s">
        <v>750</v>
      </c>
      <c r="L41" s="25" t="s">
        <v>285</v>
      </c>
    </row>
    <row r="42" spans="2:12" s="1" customFormat="1">
      <c r="B42" s="13" t="s">
        <v>1609</v>
      </c>
      <c r="C42" s="26" t="s">
        <v>281</v>
      </c>
      <c r="D42" s="9" t="s">
        <v>1610</v>
      </c>
      <c r="E42" s="21" t="s">
        <v>182</v>
      </c>
      <c r="F42" s="19" t="s">
        <v>1924</v>
      </c>
      <c r="G42" s="19" t="s">
        <v>1924</v>
      </c>
      <c r="H42" s="164" t="str">
        <f t="shared" si="0"/>
        <v>,sum(regist_periodic_timeout_cnt) as regist_periodic_timeout_cnt</v>
      </c>
      <c r="I42" s="25"/>
      <c r="J42" s="25" t="s">
        <v>284</v>
      </c>
      <c r="K42" s="25" t="s">
        <v>750</v>
      </c>
      <c r="L42" s="25" t="s">
        <v>285</v>
      </c>
    </row>
    <row r="43" spans="2:12" s="1" customFormat="1">
      <c r="B43" s="13" t="s">
        <v>1612</v>
      </c>
      <c r="C43" s="13" t="s">
        <v>319</v>
      </c>
      <c r="D43" s="9" t="s">
        <v>1613</v>
      </c>
      <c r="E43" s="21" t="s">
        <v>182</v>
      </c>
      <c r="F43" s="19" t="s">
        <v>2138</v>
      </c>
      <c r="G43" s="19" t="s">
        <v>2138</v>
      </c>
      <c r="H43" s="164" t="str">
        <f t="shared" si="0"/>
        <v>,sum(regist_periodic_succ_cnt*regist_periodic_delay) / sum(regist_periodic_succ_cnt) as regist_periodic_delay</v>
      </c>
      <c r="I43" s="25"/>
      <c r="J43" s="25" t="s">
        <v>284</v>
      </c>
      <c r="K43" s="25" t="s">
        <v>471</v>
      </c>
      <c r="L43" s="25" t="s">
        <v>285</v>
      </c>
    </row>
    <row r="44" spans="2:12" s="1" customFormat="1">
      <c r="B44" s="13" t="s">
        <v>1615</v>
      </c>
      <c r="C44" s="26" t="s">
        <v>281</v>
      </c>
      <c r="D44" s="9" t="s">
        <v>1616</v>
      </c>
      <c r="E44" s="21" t="s">
        <v>182</v>
      </c>
      <c r="F44" s="19" t="s">
        <v>1930</v>
      </c>
      <c r="G44" s="19" t="s">
        <v>1930</v>
      </c>
      <c r="H44" s="164" t="str">
        <f t="shared" si="0"/>
        <v>,sum(regist_mobility_request_cnt) as regist_mobility_request_cnt</v>
      </c>
      <c r="I44" s="25"/>
      <c r="J44" s="25" t="s">
        <v>284</v>
      </c>
      <c r="K44" s="25" t="s">
        <v>750</v>
      </c>
      <c r="L44" s="25" t="s">
        <v>285</v>
      </c>
    </row>
    <row r="45" spans="2:12" s="1" customFormat="1">
      <c r="B45" s="13" t="s">
        <v>1618</v>
      </c>
      <c r="C45" s="26" t="s">
        <v>281</v>
      </c>
      <c r="D45" s="9" t="s">
        <v>1619</v>
      </c>
      <c r="E45" s="21" t="s">
        <v>182</v>
      </c>
      <c r="F45" s="19" t="s">
        <v>1932</v>
      </c>
      <c r="G45" s="19" t="s">
        <v>1932</v>
      </c>
      <c r="H45" s="164" t="str">
        <f t="shared" si="0"/>
        <v>,sum(regist_mobility_succ_cnt) as regist_mobility_succ_cnt</v>
      </c>
      <c r="I45" s="25"/>
      <c r="J45" s="25" t="s">
        <v>284</v>
      </c>
      <c r="K45" s="25" t="s">
        <v>750</v>
      </c>
      <c r="L45" s="25" t="s">
        <v>285</v>
      </c>
    </row>
    <row r="46" spans="2:12" s="1" customFormat="1">
      <c r="B46" s="13" t="s">
        <v>1621</v>
      </c>
      <c r="C46" s="26" t="s">
        <v>281</v>
      </c>
      <c r="D46" s="9" t="s">
        <v>1622</v>
      </c>
      <c r="E46" s="21" t="s">
        <v>182</v>
      </c>
      <c r="F46" s="19" t="s">
        <v>1934</v>
      </c>
      <c r="G46" s="19" t="s">
        <v>1934</v>
      </c>
      <c r="H46" s="164" t="str">
        <f t="shared" si="0"/>
        <v>,sum(regist_mobility_fail_cnt) as regist_mobility_fail_cnt</v>
      </c>
      <c r="I46" s="25"/>
      <c r="J46" s="25" t="s">
        <v>284</v>
      </c>
      <c r="K46" s="25" t="s">
        <v>750</v>
      </c>
      <c r="L46" s="25" t="s">
        <v>285</v>
      </c>
    </row>
    <row r="47" spans="2:12" s="1" customFormat="1">
      <c r="B47" s="13" t="s">
        <v>1624</v>
      </c>
      <c r="C47" s="26" t="s">
        <v>281</v>
      </c>
      <c r="D47" s="9" t="s">
        <v>1625</v>
      </c>
      <c r="E47" s="21" t="s">
        <v>182</v>
      </c>
      <c r="F47" s="19" t="s">
        <v>1936</v>
      </c>
      <c r="G47" s="19" t="s">
        <v>1936</v>
      </c>
      <c r="H47" s="164" t="str">
        <f t="shared" si="0"/>
        <v>,sum(regist_mobility_timeout_cnt) as regist_mobility_timeout_cnt</v>
      </c>
      <c r="I47" s="25"/>
      <c r="J47" s="25" t="s">
        <v>284</v>
      </c>
      <c r="K47" s="25" t="s">
        <v>750</v>
      </c>
      <c r="L47" s="25" t="s">
        <v>285</v>
      </c>
    </row>
    <row r="48" spans="2:12" s="1" customFormat="1">
      <c r="B48" s="13" t="s">
        <v>1627</v>
      </c>
      <c r="C48" s="13" t="s">
        <v>319</v>
      </c>
      <c r="D48" s="9" t="s">
        <v>1628</v>
      </c>
      <c r="E48" s="21" t="s">
        <v>182</v>
      </c>
      <c r="F48" s="19" t="s">
        <v>2139</v>
      </c>
      <c r="G48" s="19" t="s">
        <v>2139</v>
      </c>
      <c r="H48" s="164" t="str">
        <f t="shared" ref="H48:H79" si="1">_xlfn.CONCAT(",",F48," as ",B48)</f>
        <v>,sum(regist_mobility_succ_cnt*regist_mobility_delay) / sum(regist_mobility_succ_cnt) as regist_mobility_delay</v>
      </c>
      <c r="I48" s="25"/>
      <c r="J48" s="25" t="s">
        <v>284</v>
      </c>
      <c r="K48" s="25" t="s">
        <v>471</v>
      </c>
      <c r="L48" s="25" t="s">
        <v>285</v>
      </c>
    </row>
    <row r="49" spans="1:25" s="1" customFormat="1">
      <c r="B49" s="13" t="s">
        <v>1630</v>
      </c>
      <c r="C49" s="26" t="s">
        <v>281</v>
      </c>
      <c r="D49" s="9" t="s">
        <v>1631</v>
      </c>
      <c r="E49" s="21" t="s">
        <v>182</v>
      </c>
      <c r="F49" s="19" t="s">
        <v>1942</v>
      </c>
      <c r="G49" s="19" t="s">
        <v>1942</v>
      </c>
      <c r="H49" s="164" t="str">
        <f t="shared" si="1"/>
        <v>,sum(regist_emergency_request_cnt) as regist_emergency_request_cnt</v>
      </c>
      <c r="I49" s="25"/>
      <c r="J49" s="25" t="s">
        <v>284</v>
      </c>
      <c r="K49" s="25" t="s">
        <v>750</v>
      </c>
      <c r="L49" s="25" t="s">
        <v>285</v>
      </c>
    </row>
    <row r="50" spans="1:25" s="1" customFormat="1">
      <c r="B50" s="13" t="s">
        <v>1633</v>
      </c>
      <c r="C50" s="26" t="s">
        <v>281</v>
      </c>
      <c r="D50" s="9" t="s">
        <v>1634</v>
      </c>
      <c r="E50" s="21" t="s">
        <v>182</v>
      </c>
      <c r="F50" s="19" t="s">
        <v>1944</v>
      </c>
      <c r="G50" s="19" t="s">
        <v>1944</v>
      </c>
      <c r="H50" s="164" t="str">
        <f t="shared" si="1"/>
        <v>,sum(regist_emergency_succ_cnt) as regist_emergency_succ_cnt</v>
      </c>
      <c r="I50" s="25"/>
      <c r="J50" s="25" t="s">
        <v>284</v>
      </c>
      <c r="K50" s="25" t="s">
        <v>750</v>
      </c>
      <c r="L50" s="25" t="s">
        <v>285</v>
      </c>
    </row>
    <row r="51" spans="1:25" s="1" customFormat="1">
      <c r="B51" s="13" t="s">
        <v>1636</v>
      </c>
      <c r="C51" s="26" t="s">
        <v>281</v>
      </c>
      <c r="D51" s="9" t="s">
        <v>1637</v>
      </c>
      <c r="E51" s="21" t="s">
        <v>182</v>
      </c>
      <c r="F51" s="19" t="s">
        <v>1946</v>
      </c>
      <c r="G51" s="19" t="s">
        <v>1946</v>
      </c>
      <c r="H51" s="164" t="str">
        <f t="shared" si="1"/>
        <v>,sum(regist_emergency_fail_cnt) as regist_emergency_fail_cnt</v>
      </c>
      <c r="I51" s="25"/>
      <c r="J51" s="25" t="s">
        <v>284</v>
      </c>
      <c r="K51" s="25" t="s">
        <v>750</v>
      </c>
      <c r="L51" s="25" t="s">
        <v>285</v>
      </c>
    </row>
    <row r="52" spans="1:25" s="1" customFormat="1">
      <c r="B52" s="13" t="s">
        <v>1639</v>
      </c>
      <c r="C52" s="26" t="s">
        <v>281</v>
      </c>
      <c r="D52" s="9" t="s">
        <v>1640</v>
      </c>
      <c r="E52" s="21" t="s">
        <v>182</v>
      </c>
      <c r="F52" s="19" t="s">
        <v>1948</v>
      </c>
      <c r="G52" s="19" t="s">
        <v>1948</v>
      </c>
      <c r="H52" s="164" t="str">
        <f t="shared" si="1"/>
        <v>,sum(regist_emergency_timeout_cnt) as regist_emergency_timeout_cnt</v>
      </c>
      <c r="I52" s="25"/>
      <c r="J52" s="25" t="s">
        <v>284</v>
      </c>
      <c r="K52" s="25" t="s">
        <v>750</v>
      </c>
      <c r="L52" s="25" t="s">
        <v>285</v>
      </c>
    </row>
    <row r="53" spans="1:25" s="1" customFormat="1">
      <c r="B53" s="13" t="s">
        <v>1642</v>
      </c>
      <c r="C53" s="13" t="s">
        <v>319</v>
      </c>
      <c r="D53" s="9" t="s">
        <v>1643</v>
      </c>
      <c r="E53" s="21" t="s">
        <v>182</v>
      </c>
      <c r="F53" s="19" t="s">
        <v>2140</v>
      </c>
      <c r="G53" s="19" t="s">
        <v>2140</v>
      </c>
      <c r="H53" s="164" t="str">
        <f t="shared" si="1"/>
        <v>,sum(regist_emergency_succ_cnt*regist_emergency_delay) / sum(regist_emergency_succ_cnt) as regist_emergency_delay</v>
      </c>
      <c r="I53" s="25"/>
      <c r="J53" s="25" t="s">
        <v>284</v>
      </c>
      <c r="K53" s="25" t="s">
        <v>471</v>
      </c>
      <c r="L53" s="25" t="s">
        <v>285</v>
      </c>
    </row>
    <row r="54" spans="1:25" s="1" customFormat="1">
      <c r="B54" s="13" t="s">
        <v>1645</v>
      </c>
      <c r="C54" s="26" t="s">
        <v>281</v>
      </c>
      <c r="D54" s="9" t="s">
        <v>1646</v>
      </c>
      <c r="E54" s="21" t="s">
        <v>182</v>
      </c>
      <c r="F54" s="19" t="s">
        <v>1954</v>
      </c>
      <c r="G54" s="19" t="s">
        <v>1954</v>
      </c>
      <c r="H54" s="164" t="str">
        <f t="shared" si="1"/>
        <v>,sum(servicerequest_request_cnt) as servicerequest_request_cnt</v>
      </c>
      <c r="I54" s="25"/>
      <c r="J54" s="25" t="s">
        <v>284</v>
      </c>
      <c r="K54" s="25" t="s">
        <v>750</v>
      </c>
      <c r="L54" s="25" t="s">
        <v>285</v>
      </c>
    </row>
    <row r="55" spans="1:25" s="1" customFormat="1">
      <c r="B55" s="13" t="s">
        <v>1648</v>
      </c>
      <c r="C55" s="26" t="s">
        <v>281</v>
      </c>
      <c r="D55" s="9" t="s">
        <v>1649</v>
      </c>
      <c r="E55" s="21" t="s">
        <v>182</v>
      </c>
      <c r="F55" s="19" t="s">
        <v>1956</v>
      </c>
      <c r="G55" s="19" t="s">
        <v>1956</v>
      </c>
      <c r="H55" s="164" t="str">
        <f t="shared" si="1"/>
        <v>,sum(servicerequest_succ_cnt) as servicerequest_succ_cnt</v>
      </c>
      <c r="I55" s="25"/>
      <c r="J55" s="25" t="s">
        <v>284</v>
      </c>
      <c r="K55" s="25" t="s">
        <v>750</v>
      </c>
      <c r="L55" s="25" t="s">
        <v>285</v>
      </c>
    </row>
    <row r="56" spans="1:25" s="1" customFormat="1">
      <c r="B56" s="13" t="s">
        <v>1651</v>
      </c>
      <c r="C56" s="26" t="s">
        <v>281</v>
      </c>
      <c r="D56" s="9" t="s">
        <v>1652</v>
      </c>
      <c r="E56" s="21" t="s">
        <v>182</v>
      </c>
      <c r="F56" s="19" t="s">
        <v>1958</v>
      </c>
      <c r="G56" s="19" t="s">
        <v>1958</v>
      </c>
      <c r="H56" s="164" t="str">
        <f t="shared" si="1"/>
        <v>,sum(servicerequest_fail_cnt) as servicerequest_fail_cnt</v>
      </c>
      <c r="I56" s="25"/>
      <c r="J56" s="25" t="s">
        <v>284</v>
      </c>
      <c r="K56" s="25" t="s">
        <v>750</v>
      </c>
      <c r="L56" s="25" t="s">
        <v>285</v>
      </c>
    </row>
    <row r="57" spans="1:25" s="1" customFormat="1">
      <c r="B57" s="13" t="s">
        <v>1654</v>
      </c>
      <c r="C57" s="26" t="s">
        <v>281</v>
      </c>
      <c r="D57" s="9" t="s">
        <v>1655</v>
      </c>
      <c r="E57" s="21" t="s">
        <v>182</v>
      </c>
      <c r="F57" s="19" t="s">
        <v>1960</v>
      </c>
      <c r="G57" s="19" t="s">
        <v>1960</v>
      </c>
      <c r="H57" s="164" t="str">
        <f t="shared" si="1"/>
        <v>,sum(servicerequest_timeout_cnt) as servicerequest_timeout_cnt</v>
      </c>
      <c r="I57" s="25"/>
      <c r="J57" s="25" t="s">
        <v>284</v>
      </c>
      <c r="K57" s="25" t="s">
        <v>750</v>
      </c>
      <c r="L57" s="25" t="s">
        <v>285</v>
      </c>
    </row>
    <row r="58" spans="1:25" s="1" customFormat="1">
      <c r="B58" s="13" t="s">
        <v>1657</v>
      </c>
      <c r="C58" s="13" t="s">
        <v>319</v>
      </c>
      <c r="D58" s="9" t="s">
        <v>1658</v>
      </c>
      <c r="E58" s="21" t="s">
        <v>182</v>
      </c>
      <c r="F58" s="19" t="s">
        <v>2141</v>
      </c>
      <c r="G58" s="19" t="s">
        <v>2141</v>
      </c>
      <c r="H58" s="164" t="str">
        <f t="shared" si="1"/>
        <v>,sum(servicerequest_succ_cnt*servicerequest_delay) / sum(servicerequest_succ_cnt) as servicerequest_delay</v>
      </c>
      <c r="I58" s="25"/>
      <c r="J58" s="25" t="s">
        <v>284</v>
      </c>
      <c r="K58" s="25" t="s">
        <v>471</v>
      </c>
      <c r="L58" s="25" t="s">
        <v>285</v>
      </c>
    </row>
    <row r="59" spans="1:25" s="52" customFormat="1" ht="15.6">
      <c r="A59" s="53">
        <f t="shared" ref="A59:A63" si="2">ROW()-1</f>
        <v>58</v>
      </c>
      <c r="B59" s="54" t="s">
        <v>1660</v>
      </c>
      <c r="C59" s="55" t="s">
        <v>281</v>
      </c>
      <c r="D59" s="56" t="s">
        <v>1661</v>
      </c>
      <c r="E59" s="21" t="s">
        <v>182</v>
      </c>
      <c r="F59" s="19" t="s">
        <v>2126</v>
      </c>
      <c r="G59" s="19" t="s">
        <v>2126</v>
      </c>
      <c r="H59" s="164" t="str">
        <f t="shared" si="1"/>
        <v>,sum(sms_request_cnt) as sms_request_cnt</v>
      </c>
      <c r="I59" s="57"/>
      <c r="J59" s="25" t="s">
        <v>284</v>
      </c>
      <c r="K59" s="25" t="s">
        <v>750</v>
      </c>
      <c r="L59" s="25" t="s">
        <v>285</v>
      </c>
      <c r="M59" s="1"/>
      <c r="N59" s="1"/>
      <c r="O59" s="1"/>
      <c r="P59" s="1"/>
      <c r="Q59" s="1"/>
      <c r="R59" s="1"/>
      <c r="S59" s="1"/>
      <c r="T59" s="1"/>
      <c r="U59" s="1"/>
      <c r="V59" s="1"/>
      <c r="W59" s="1"/>
      <c r="X59" s="1"/>
      <c r="Y59" s="1"/>
    </row>
    <row r="60" spans="1:25" s="52" customFormat="1" ht="15.6">
      <c r="A60" s="53">
        <f t="shared" si="2"/>
        <v>59</v>
      </c>
      <c r="B60" s="54" t="s">
        <v>1662</v>
      </c>
      <c r="C60" s="55" t="s">
        <v>281</v>
      </c>
      <c r="D60" s="56" t="s">
        <v>1663</v>
      </c>
      <c r="E60" s="21" t="s">
        <v>182</v>
      </c>
      <c r="F60" s="19" t="s">
        <v>2129</v>
      </c>
      <c r="G60" s="19" t="s">
        <v>2129</v>
      </c>
      <c r="H60" s="164" t="str">
        <f t="shared" si="1"/>
        <v>,sum(sms_succ_cnt) as sms_succ_cnt</v>
      </c>
      <c r="I60" s="57"/>
      <c r="J60" s="25" t="s">
        <v>284</v>
      </c>
      <c r="K60" s="25" t="s">
        <v>750</v>
      </c>
      <c r="L60" s="25" t="s">
        <v>285</v>
      </c>
      <c r="M60" s="1"/>
      <c r="N60" s="1"/>
      <c r="O60" s="1"/>
      <c r="P60" s="1"/>
      <c r="Q60" s="1"/>
      <c r="R60" s="1"/>
      <c r="S60" s="1"/>
      <c r="T60" s="1"/>
      <c r="U60" s="1"/>
      <c r="V60" s="1"/>
      <c r="W60" s="1"/>
      <c r="X60" s="1"/>
      <c r="Y60" s="1"/>
    </row>
    <row r="61" spans="1:25" s="52" customFormat="1" ht="15.6">
      <c r="A61" s="53">
        <f t="shared" si="2"/>
        <v>60</v>
      </c>
      <c r="B61" s="54" t="s">
        <v>1664</v>
      </c>
      <c r="C61" s="55" t="s">
        <v>281</v>
      </c>
      <c r="D61" s="56" t="s">
        <v>1665</v>
      </c>
      <c r="E61" s="21" t="s">
        <v>182</v>
      </c>
      <c r="F61" s="19" t="s">
        <v>2132</v>
      </c>
      <c r="G61" s="19" t="s">
        <v>2132</v>
      </c>
      <c r="H61" s="164" t="str">
        <f t="shared" si="1"/>
        <v>,sum(sms_fail_cnt) as sms_fail_cnt</v>
      </c>
      <c r="I61" s="57"/>
      <c r="J61" s="25" t="s">
        <v>284</v>
      </c>
      <c r="K61" s="25" t="s">
        <v>750</v>
      </c>
      <c r="L61" s="25" t="s">
        <v>285</v>
      </c>
      <c r="M61" s="1"/>
      <c r="N61" s="1"/>
      <c r="O61" s="1"/>
      <c r="P61" s="1"/>
      <c r="Q61" s="1"/>
      <c r="R61" s="1"/>
      <c r="S61" s="1"/>
      <c r="T61" s="1"/>
      <c r="U61" s="1"/>
      <c r="V61" s="1"/>
      <c r="W61" s="1"/>
      <c r="X61" s="1"/>
      <c r="Y61" s="1"/>
    </row>
    <row r="62" spans="1:25" s="52" customFormat="1" ht="15.6">
      <c r="A62" s="53">
        <f t="shared" si="2"/>
        <v>61</v>
      </c>
      <c r="B62" s="54" t="s">
        <v>1666</v>
      </c>
      <c r="C62" s="55" t="s">
        <v>281</v>
      </c>
      <c r="D62" s="56" t="s">
        <v>1667</v>
      </c>
      <c r="E62" s="21" t="s">
        <v>182</v>
      </c>
      <c r="F62" s="19" t="s">
        <v>2135</v>
      </c>
      <c r="G62" s="19" t="s">
        <v>2135</v>
      </c>
      <c r="H62" s="164" t="str">
        <f t="shared" si="1"/>
        <v>,sum(sms_timeout_cnt) as sms_timeout_cnt</v>
      </c>
      <c r="I62" s="57"/>
      <c r="J62" s="25" t="s">
        <v>284</v>
      </c>
      <c r="K62" s="25" t="s">
        <v>750</v>
      </c>
      <c r="L62" s="25" t="s">
        <v>285</v>
      </c>
      <c r="M62" s="1"/>
      <c r="N62" s="1"/>
      <c r="O62" s="1"/>
      <c r="P62" s="1"/>
      <c r="Q62" s="1"/>
      <c r="R62" s="1"/>
      <c r="S62" s="1"/>
      <c r="T62" s="1"/>
      <c r="U62" s="1"/>
      <c r="V62" s="1"/>
      <c r="W62" s="1"/>
      <c r="X62" s="1"/>
      <c r="Y62" s="1"/>
    </row>
    <row r="63" spans="1:25" s="52" customFormat="1" ht="15.6">
      <c r="A63" s="53">
        <f t="shared" si="2"/>
        <v>62</v>
      </c>
      <c r="B63" s="54" t="s">
        <v>1668</v>
      </c>
      <c r="C63" s="55" t="s">
        <v>281</v>
      </c>
      <c r="D63" s="56" t="s">
        <v>1669</v>
      </c>
      <c r="E63" s="21" t="s">
        <v>182</v>
      </c>
      <c r="F63" s="19" t="s">
        <v>2142</v>
      </c>
      <c r="G63" s="19" t="s">
        <v>2142</v>
      </c>
      <c r="H63" s="164" t="str">
        <f t="shared" si="1"/>
        <v>,sum(sms_succ_cnt*sms_delay) / sum(sms_succ_cnt) as sms_delay</v>
      </c>
      <c r="I63" s="57"/>
      <c r="J63" s="25" t="s">
        <v>284</v>
      </c>
      <c r="K63" s="25" t="s">
        <v>471</v>
      </c>
      <c r="L63" s="25" t="s">
        <v>285</v>
      </c>
      <c r="M63" s="1"/>
      <c r="N63" s="1"/>
      <c r="O63" s="1"/>
      <c r="P63" s="1"/>
      <c r="Q63" s="1"/>
      <c r="R63" s="1"/>
      <c r="S63" s="1"/>
      <c r="T63" s="1"/>
      <c r="U63" s="1"/>
      <c r="V63" s="1"/>
      <c r="W63" s="1"/>
      <c r="X63" s="1"/>
      <c r="Y63" s="1"/>
    </row>
    <row r="64" spans="1:25" s="1" customFormat="1">
      <c r="B64" s="13" t="s">
        <v>1670</v>
      </c>
      <c r="C64" s="26" t="s">
        <v>281</v>
      </c>
      <c r="D64" s="9" t="s">
        <v>1671</v>
      </c>
      <c r="E64" s="21" t="s">
        <v>182</v>
      </c>
      <c r="F64" s="19" t="s">
        <v>1966</v>
      </c>
      <c r="G64" s="19" t="s">
        <v>1966</v>
      </c>
      <c r="H64" s="164" t="str">
        <f t="shared" si="1"/>
        <v>,sum(sms_mo_request_cnt) as sms_mo_request_cnt</v>
      </c>
      <c r="I64" s="25"/>
      <c r="J64" s="25" t="s">
        <v>284</v>
      </c>
      <c r="K64" s="25" t="s">
        <v>750</v>
      </c>
      <c r="L64" s="25" t="s">
        <v>285</v>
      </c>
    </row>
    <row r="65" spans="2:12" s="1" customFormat="1">
      <c r="B65" s="13" t="s">
        <v>1673</v>
      </c>
      <c r="C65" s="26" t="s">
        <v>281</v>
      </c>
      <c r="D65" s="9" t="s">
        <v>1674</v>
      </c>
      <c r="E65" s="21" t="s">
        <v>182</v>
      </c>
      <c r="F65" s="19" t="s">
        <v>1968</v>
      </c>
      <c r="G65" s="19" t="s">
        <v>1968</v>
      </c>
      <c r="H65" s="164" t="str">
        <f t="shared" si="1"/>
        <v>,sum(sms_mo_succ_cnt) as sms_mo_succ_cnt</v>
      </c>
      <c r="I65" s="25"/>
      <c r="J65" s="25" t="s">
        <v>284</v>
      </c>
      <c r="K65" s="25" t="s">
        <v>750</v>
      </c>
      <c r="L65" s="25" t="s">
        <v>285</v>
      </c>
    </row>
    <row r="66" spans="2:12" s="1" customFormat="1">
      <c r="B66" s="13" t="s">
        <v>1676</v>
      </c>
      <c r="C66" s="26" t="s">
        <v>281</v>
      </c>
      <c r="D66" s="9" t="s">
        <v>1677</v>
      </c>
      <c r="E66" s="21" t="s">
        <v>182</v>
      </c>
      <c r="F66" s="19" t="s">
        <v>1970</v>
      </c>
      <c r="G66" s="19" t="s">
        <v>1970</v>
      </c>
      <c r="H66" s="164" t="str">
        <f t="shared" si="1"/>
        <v>,sum(sms_mo_fail_cnt) as sms_mo_fail_cnt</v>
      </c>
      <c r="I66" s="25"/>
      <c r="J66" s="25" t="s">
        <v>284</v>
      </c>
      <c r="K66" s="25" t="s">
        <v>750</v>
      </c>
      <c r="L66" s="25" t="s">
        <v>285</v>
      </c>
    </row>
    <row r="67" spans="2:12" s="1" customFormat="1">
      <c r="B67" s="13" t="s">
        <v>1679</v>
      </c>
      <c r="C67" s="26" t="s">
        <v>281</v>
      </c>
      <c r="D67" s="9" t="s">
        <v>1680</v>
      </c>
      <c r="E67" s="21" t="s">
        <v>182</v>
      </c>
      <c r="F67" s="19" t="s">
        <v>1972</v>
      </c>
      <c r="G67" s="19" t="s">
        <v>1972</v>
      </c>
      <c r="H67" s="164" t="str">
        <f t="shared" si="1"/>
        <v>,sum(sms_mo_timeout_cnt) as sms_mo_timeout_cnt</v>
      </c>
      <c r="I67" s="25"/>
      <c r="J67" s="25" t="s">
        <v>284</v>
      </c>
      <c r="K67" s="25" t="s">
        <v>750</v>
      </c>
      <c r="L67" s="25" t="s">
        <v>285</v>
      </c>
    </row>
    <row r="68" spans="2:12" s="1" customFormat="1">
      <c r="B68" s="13" t="s">
        <v>1682</v>
      </c>
      <c r="C68" s="13" t="s">
        <v>319</v>
      </c>
      <c r="D68" s="9" t="s">
        <v>1683</v>
      </c>
      <c r="E68" s="21" t="s">
        <v>182</v>
      </c>
      <c r="F68" s="19" t="s">
        <v>2143</v>
      </c>
      <c r="G68" s="19" t="s">
        <v>2143</v>
      </c>
      <c r="H68" s="164" t="str">
        <f t="shared" si="1"/>
        <v>,sum(sms_mo_succ_cnt*sms_mo_delay) / sum(sms_mo_succ_cnt) as sms_mo_delay</v>
      </c>
      <c r="I68" s="25"/>
      <c r="J68" s="25" t="s">
        <v>284</v>
      </c>
      <c r="K68" s="25" t="s">
        <v>471</v>
      </c>
      <c r="L68" s="25" t="s">
        <v>285</v>
      </c>
    </row>
    <row r="69" spans="2:12" s="1" customFormat="1">
      <c r="B69" s="13" t="s">
        <v>1685</v>
      </c>
      <c r="C69" s="26" t="s">
        <v>281</v>
      </c>
      <c r="D69" s="9" t="s">
        <v>1686</v>
      </c>
      <c r="E69" s="21" t="s">
        <v>182</v>
      </c>
      <c r="F69" s="19" t="s">
        <v>1978</v>
      </c>
      <c r="G69" s="19" t="s">
        <v>1978</v>
      </c>
      <c r="H69" s="164" t="str">
        <f t="shared" si="1"/>
        <v>,sum(sms_mt_request_cnt) as sms_mt_request_cnt</v>
      </c>
      <c r="I69" s="25"/>
      <c r="J69" s="25" t="s">
        <v>284</v>
      </c>
      <c r="K69" s="25" t="s">
        <v>750</v>
      </c>
      <c r="L69" s="25" t="s">
        <v>285</v>
      </c>
    </row>
    <row r="70" spans="2:12" s="1" customFormat="1">
      <c r="B70" s="13" t="s">
        <v>1688</v>
      </c>
      <c r="C70" s="26" t="s">
        <v>281</v>
      </c>
      <c r="D70" s="9" t="s">
        <v>1689</v>
      </c>
      <c r="E70" s="21" t="s">
        <v>182</v>
      </c>
      <c r="F70" s="19" t="s">
        <v>1980</v>
      </c>
      <c r="G70" s="19" t="s">
        <v>1980</v>
      </c>
      <c r="H70" s="164" t="str">
        <f t="shared" si="1"/>
        <v>,sum(sms_mt_succ_cnt) as sms_mt_succ_cnt</v>
      </c>
      <c r="I70" s="25"/>
      <c r="J70" s="25" t="s">
        <v>284</v>
      </c>
      <c r="K70" s="25" t="s">
        <v>750</v>
      </c>
      <c r="L70" s="25" t="s">
        <v>285</v>
      </c>
    </row>
    <row r="71" spans="2:12" s="1" customFormat="1">
      <c r="B71" s="13" t="s">
        <v>1691</v>
      </c>
      <c r="C71" s="26" t="s">
        <v>281</v>
      </c>
      <c r="D71" s="9" t="s">
        <v>1692</v>
      </c>
      <c r="E71" s="21" t="s">
        <v>182</v>
      </c>
      <c r="F71" s="19" t="s">
        <v>1982</v>
      </c>
      <c r="G71" s="19" t="s">
        <v>1982</v>
      </c>
      <c r="H71" s="164" t="str">
        <f t="shared" si="1"/>
        <v>,sum(sms_mt_fail_cnt) as sms_mt_fail_cnt</v>
      </c>
      <c r="I71" s="25"/>
      <c r="J71" s="25" t="s">
        <v>284</v>
      </c>
      <c r="K71" s="25" t="s">
        <v>750</v>
      </c>
      <c r="L71" s="25" t="s">
        <v>285</v>
      </c>
    </row>
    <row r="72" spans="2:12" s="1" customFormat="1">
      <c r="B72" s="13" t="s">
        <v>1694</v>
      </c>
      <c r="C72" s="26" t="s">
        <v>281</v>
      </c>
      <c r="D72" s="9" t="s">
        <v>1695</v>
      </c>
      <c r="E72" s="21" t="s">
        <v>182</v>
      </c>
      <c r="F72" s="19" t="s">
        <v>1984</v>
      </c>
      <c r="G72" s="19" t="s">
        <v>1984</v>
      </c>
      <c r="H72" s="164" t="str">
        <f t="shared" si="1"/>
        <v>,sum(sms_mt_timeout_cnt) as sms_mt_timeout_cnt</v>
      </c>
      <c r="I72" s="25"/>
      <c r="J72" s="25" t="s">
        <v>284</v>
      </c>
      <c r="K72" s="25" t="s">
        <v>750</v>
      </c>
      <c r="L72" s="25" t="s">
        <v>285</v>
      </c>
    </row>
    <row r="73" spans="2:12" s="1" customFormat="1">
      <c r="B73" s="13" t="s">
        <v>1697</v>
      </c>
      <c r="C73" s="13" t="s">
        <v>319</v>
      </c>
      <c r="D73" s="9" t="s">
        <v>1698</v>
      </c>
      <c r="E73" s="21" t="s">
        <v>182</v>
      </c>
      <c r="F73" s="19" t="s">
        <v>2144</v>
      </c>
      <c r="G73" s="19" t="s">
        <v>2144</v>
      </c>
      <c r="H73" s="164" t="str">
        <f t="shared" si="1"/>
        <v>,sum(sms_mt_succ_cnt*sms_mt_delay) / sum(sms_mt_succ_cnt) as sms_mt_delay</v>
      </c>
      <c r="I73" s="25"/>
      <c r="J73" s="25" t="s">
        <v>284</v>
      </c>
      <c r="K73" s="25" t="s">
        <v>471</v>
      </c>
      <c r="L73" s="25" t="s">
        <v>285</v>
      </c>
    </row>
    <row r="74" spans="2:12" s="1" customFormat="1">
      <c r="B74" s="13" t="s">
        <v>1700</v>
      </c>
      <c r="C74" s="26" t="s">
        <v>281</v>
      </c>
      <c r="D74" s="9" t="s">
        <v>1701</v>
      </c>
      <c r="E74" s="21" t="s">
        <v>182</v>
      </c>
      <c r="F74" s="19" t="s">
        <v>1990</v>
      </c>
      <c r="G74" s="19" t="s">
        <v>1990</v>
      </c>
      <c r="H74" s="164" t="str">
        <f t="shared" si="1"/>
        <v>,sum(pdusession_estab_request_cnt) as pdusession_estab_request_cnt</v>
      </c>
      <c r="I74" s="25"/>
      <c r="J74" s="25" t="s">
        <v>284</v>
      </c>
      <c r="K74" s="25" t="s">
        <v>750</v>
      </c>
      <c r="L74" s="25" t="s">
        <v>285</v>
      </c>
    </row>
    <row r="75" spans="2:12" s="1" customFormat="1">
      <c r="B75" s="13" t="s">
        <v>1703</v>
      </c>
      <c r="C75" s="26" t="s">
        <v>281</v>
      </c>
      <c r="D75" s="9" t="s">
        <v>1704</v>
      </c>
      <c r="E75" s="21" t="s">
        <v>182</v>
      </c>
      <c r="F75" s="19" t="s">
        <v>1992</v>
      </c>
      <c r="G75" s="19" t="s">
        <v>1992</v>
      </c>
      <c r="H75" s="164" t="str">
        <f t="shared" si="1"/>
        <v>,sum(pdusession_estab_succ_cnt) as pdusession_estab_succ_cnt</v>
      </c>
      <c r="I75" s="25"/>
      <c r="J75" s="25" t="s">
        <v>284</v>
      </c>
      <c r="K75" s="25" t="s">
        <v>750</v>
      </c>
      <c r="L75" s="25" t="s">
        <v>285</v>
      </c>
    </row>
    <row r="76" spans="2:12" s="1" customFormat="1">
      <c r="B76" s="13" t="s">
        <v>1706</v>
      </c>
      <c r="C76" s="26" t="s">
        <v>281</v>
      </c>
      <c r="D76" s="9" t="s">
        <v>1707</v>
      </c>
      <c r="E76" s="21" t="s">
        <v>182</v>
      </c>
      <c r="F76" s="19" t="s">
        <v>1994</v>
      </c>
      <c r="G76" s="19" t="s">
        <v>1994</v>
      </c>
      <c r="H76" s="164" t="str">
        <f t="shared" si="1"/>
        <v>,sum(pdusession_estab_fail_cnt) as pdusession_estab_fail_cnt</v>
      </c>
      <c r="I76" s="25"/>
      <c r="J76" s="25" t="s">
        <v>284</v>
      </c>
      <c r="K76" s="25" t="s">
        <v>750</v>
      </c>
      <c r="L76" s="25" t="s">
        <v>285</v>
      </c>
    </row>
    <row r="77" spans="2:12" s="1" customFormat="1">
      <c r="B77" s="13" t="s">
        <v>1709</v>
      </c>
      <c r="C77" s="26" t="s">
        <v>281</v>
      </c>
      <c r="D77" s="9" t="s">
        <v>1710</v>
      </c>
      <c r="E77" s="21" t="s">
        <v>182</v>
      </c>
      <c r="F77" s="19" t="s">
        <v>1996</v>
      </c>
      <c r="G77" s="19" t="s">
        <v>1996</v>
      </c>
      <c r="H77" s="164" t="str">
        <f t="shared" si="1"/>
        <v>,sum(pdusession_estab_timeout_cnt) as pdusession_estab_timeout_cnt</v>
      </c>
      <c r="I77" s="25"/>
      <c r="J77" s="25" t="s">
        <v>284</v>
      </c>
      <c r="K77" s="25" t="s">
        <v>750</v>
      </c>
      <c r="L77" s="25" t="s">
        <v>285</v>
      </c>
    </row>
    <row r="78" spans="2:12" s="1" customFormat="1">
      <c r="B78" s="13" t="s">
        <v>1712</v>
      </c>
      <c r="C78" s="13" t="s">
        <v>319</v>
      </c>
      <c r="D78" s="9" t="s">
        <v>1713</v>
      </c>
      <c r="E78" s="21" t="s">
        <v>182</v>
      </c>
      <c r="F78" s="19" t="s">
        <v>2145</v>
      </c>
      <c r="G78" s="19" t="s">
        <v>2145</v>
      </c>
      <c r="H78" s="164" t="str">
        <f t="shared" si="1"/>
        <v>,sum(pdusession_estab_succ_cnt*pdusession_estab_delay) / sum(pdusession_estab_succ_cnt) as pdusession_estab_delay</v>
      </c>
      <c r="I78" s="25"/>
      <c r="J78" s="25" t="s">
        <v>284</v>
      </c>
      <c r="K78" s="25" t="s">
        <v>471</v>
      </c>
      <c r="L78" s="25" t="s">
        <v>285</v>
      </c>
    </row>
    <row r="79" spans="2:12" s="1" customFormat="1">
      <c r="B79" s="13" t="s">
        <v>1715</v>
      </c>
      <c r="C79" s="26" t="s">
        <v>281</v>
      </c>
      <c r="D79" s="9" t="s">
        <v>1716</v>
      </c>
      <c r="E79" s="21" t="s">
        <v>182</v>
      </c>
      <c r="F79" s="19" t="s">
        <v>2002</v>
      </c>
      <c r="G79" s="19" t="s">
        <v>2002</v>
      </c>
      <c r="H79" s="164" t="str">
        <f t="shared" si="1"/>
        <v>,sum(pdusession_modify_request_cnt) as pdusession_modify_request_cnt</v>
      </c>
      <c r="I79" s="25"/>
      <c r="J79" s="25" t="s">
        <v>284</v>
      </c>
      <c r="K79" s="25" t="s">
        <v>750</v>
      </c>
      <c r="L79" s="25" t="s">
        <v>285</v>
      </c>
    </row>
    <row r="80" spans="2:12" s="1" customFormat="1">
      <c r="B80" s="13" t="s">
        <v>1718</v>
      </c>
      <c r="C80" s="26" t="s">
        <v>281</v>
      </c>
      <c r="D80" s="9" t="s">
        <v>1719</v>
      </c>
      <c r="E80" s="21" t="s">
        <v>182</v>
      </c>
      <c r="F80" s="19" t="s">
        <v>2004</v>
      </c>
      <c r="G80" s="19" t="s">
        <v>2004</v>
      </c>
      <c r="H80" s="164" t="str">
        <f t="shared" ref="H80:H111" si="3">_xlfn.CONCAT(",",F80," as ",B80)</f>
        <v>,sum(pdusession_modify_succ_cnt) as pdusession_modify_succ_cnt</v>
      </c>
      <c r="I80" s="25"/>
      <c r="J80" s="25" t="s">
        <v>284</v>
      </c>
      <c r="K80" s="25" t="s">
        <v>750</v>
      </c>
      <c r="L80" s="25" t="s">
        <v>285</v>
      </c>
    </row>
    <row r="81" spans="2:12" s="1" customFormat="1">
      <c r="B81" s="13" t="s">
        <v>1721</v>
      </c>
      <c r="C81" s="26" t="s">
        <v>281</v>
      </c>
      <c r="D81" s="9" t="s">
        <v>1722</v>
      </c>
      <c r="E81" s="21" t="s">
        <v>182</v>
      </c>
      <c r="F81" s="19" t="s">
        <v>2006</v>
      </c>
      <c r="G81" s="19" t="s">
        <v>2006</v>
      </c>
      <c r="H81" s="164" t="str">
        <f t="shared" si="3"/>
        <v>,sum(pdusession_modify_fail_cnt) as pdusession_modify_fail_cnt</v>
      </c>
      <c r="I81" s="25"/>
      <c r="J81" s="25" t="s">
        <v>284</v>
      </c>
      <c r="K81" s="25" t="s">
        <v>750</v>
      </c>
      <c r="L81" s="25" t="s">
        <v>285</v>
      </c>
    </row>
    <row r="82" spans="2:12" s="1" customFormat="1">
      <c r="B82" s="13" t="s">
        <v>1724</v>
      </c>
      <c r="C82" s="26" t="s">
        <v>281</v>
      </c>
      <c r="D82" s="9" t="s">
        <v>1725</v>
      </c>
      <c r="E82" s="21" t="s">
        <v>182</v>
      </c>
      <c r="F82" s="19" t="s">
        <v>2008</v>
      </c>
      <c r="G82" s="19" t="s">
        <v>2008</v>
      </c>
      <c r="H82" s="164" t="str">
        <f t="shared" si="3"/>
        <v>,sum(pdusession_modify_timeout_cnt) as pdusession_modify_timeout_cnt</v>
      </c>
      <c r="I82" s="25"/>
      <c r="J82" s="25" t="s">
        <v>284</v>
      </c>
      <c r="K82" s="25" t="s">
        <v>750</v>
      </c>
      <c r="L82" s="25" t="s">
        <v>285</v>
      </c>
    </row>
    <row r="83" spans="2:12" s="1" customFormat="1">
      <c r="B83" s="13" t="s">
        <v>1727</v>
      </c>
      <c r="C83" s="13" t="s">
        <v>319</v>
      </c>
      <c r="D83" s="9" t="s">
        <v>1728</v>
      </c>
      <c r="E83" s="21" t="s">
        <v>182</v>
      </c>
      <c r="F83" s="19" t="s">
        <v>2146</v>
      </c>
      <c r="G83" s="19" t="s">
        <v>2146</v>
      </c>
      <c r="H83" s="164" t="str">
        <f t="shared" si="3"/>
        <v>,sum(pdusession_modify_succ_cnt*pdusession_modify_delay) / sum(pdusession_modify_succ_cnt) as pdusession_modify_delay</v>
      </c>
      <c r="I83" s="25"/>
      <c r="J83" s="25" t="s">
        <v>284</v>
      </c>
      <c r="K83" s="25" t="s">
        <v>471</v>
      </c>
      <c r="L83" s="25" t="s">
        <v>285</v>
      </c>
    </row>
    <row r="84" spans="2:12" s="1" customFormat="1">
      <c r="B84" s="13" t="s">
        <v>1730</v>
      </c>
      <c r="C84" s="26" t="s">
        <v>281</v>
      </c>
      <c r="D84" s="9" t="s">
        <v>1731</v>
      </c>
      <c r="E84" s="21" t="s">
        <v>182</v>
      </c>
      <c r="F84" s="19" t="s">
        <v>2014</v>
      </c>
      <c r="G84" s="19" t="s">
        <v>2014</v>
      </c>
      <c r="H84" s="164" t="str">
        <f t="shared" si="3"/>
        <v>,sum(pdusession_release_request_cnt) as pdusession_release_request_cnt</v>
      </c>
      <c r="I84" s="25"/>
      <c r="J84" s="25" t="s">
        <v>284</v>
      </c>
      <c r="K84" s="25" t="s">
        <v>750</v>
      </c>
      <c r="L84" s="25" t="s">
        <v>285</v>
      </c>
    </row>
    <row r="85" spans="2:12" s="1" customFormat="1">
      <c r="B85" s="13" t="s">
        <v>1733</v>
      </c>
      <c r="C85" s="26" t="s">
        <v>281</v>
      </c>
      <c r="D85" s="9" t="s">
        <v>1734</v>
      </c>
      <c r="E85" s="21" t="s">
        <v>182</v>
      </c>
      <c r="F85" s="19" t="s">
        <v>2016</v>
      </c>
      <c r="G85" s="19" t="s">
        <v>2016</v>
      </c>
      <c r="H85" s="164" t="str">
        <f t="shared" si="3"/>
        <v>,sum(pdusession_release_succ_cnt) as pdusession_release_succ_cnt</v>
      </c>
      <c r="I85" s="25"/>
      <c r="J85" s="25" t="s">
        <v>284</v>
      </c>
      <c r="K85" s="25" t="s">
        <v>750</v>
      </c>
      <c r="L85" s="25" t="s">
        <v>285</v>
      </c>
    </row>
    <row r="86" spans="2:12" s="1" customFormat="1">
      <c r="B86" s="13" t="s">
        <v>1736</v>
      </c>
      <c r="C86" s="26" t="s">
        <v>281</v>
      </c>
      <c r="D86" s="9" t="s">
        <v>1737</v>
      </c>
      <c r="E86" s="21" t="s">
        <v>182</v>
      </c>
      <c r="F86" s="19" t="s">
        <v>2018</v>
      </c>
      <c r="G86" s="19" t="s">
        <v>2018</v>
      </c>
      <c r="H86" s="164" t="str">
        <f t="shared" si="3"/>
        <v>,sum(pdusession_release_fail_cnt) as pdusession_release_fail_cnt</v>
      </c>
      <c r="I86" s="25"/>
      <c r="J86" s="25" t="s">
        <v>284</v>
      </c>
      <c r="K86" s="25" t="s">
        <v>750</v>
      </c>
      <c r="L86" s="25" t="s">
        <v>285</v>
      </c>
    </row>
    <row r="87" spans="2:12" s="1" customFormat="1">
      <c r="B87" s="13" t="s">
        <v>1739</v>
      </c>
      <c r="C87" s="26" t="s">
        <v>281</v>
      </c>
      <c r="D87" s="9" t="s">
        <v>1740</v>
      </c>
      <c r="E87" s="21" t="s">
        <v>182</v>
      </c>
      <c r="F87" s="19" t="s">
        <v>2020</v>
      </c>
      <c r="G87" s="19" t="s">
        <v>2020</v>
      </c>
      <c r="H87" s="164" t="str">
        <f t="shared" si="3"/>
        <v>,sum(pdusession_release_timeout_cnt) as pdusession_release_timeout_cnt</v>
      </c>
      <c r="I87" s="25"/>
      <c r="J87" s="25" t="s">
        <v>284</v>
      </c>
      <c r="K87" s="25" t="s">
        <v>750</v>
      </c>
      <c r="L87" s="25" t="s">
        <v>285</v>
      </c>
    </row>
    <row r="88" spans="2:12" s="1" customFormat="1">
      <c r="B88" s="13" t="s">
        <v>1742</v>
      </c>
      <c r="C88" s="13" t="s">
        <v>319</v>
      </c>
      <c r="D88" s="9" t="s">
        <v>1743</v>
      </c>
      <c r="E88" s="21" t="s">
        <v>182</v>
      </c>
      <c r="F88" s="19" t="s">
        <v>2147</v>
      </c>
      <c r="G88" s="19" t="s">
        <v>2147</v>
      </c>
      <c r="H88" s="164" t="str">
        <f t="shared" si="3"/>
        <v>,sum(pdusession_release_succ_cnt*pdusession_release_delay) / sum(pdusession_release_succ_cnt) as pdusession_release_delay</v>
      </c>
      <c r="I88" s="25"/>
      <c r="J88" s="25" t="s">
        <v>284</v>
      </c>
      <c r="K88" s="25" t="s">
        <v>471</v>
      </c>
      <c r="L88" s="25" t="s">
        <v>285</v>
      </c>
    </row>
    <row r="89" spans="2:12" s="1" customFormat="1">
      <c r="B89" s="13" t="s">
        <v>1745</v>
      </c>
      <c r="C89" s="26" t="s">
        <v>281</v>
      </c>
      <c r="D89" s="9" t="s">
        <v>1746</v>
      </c>
      <c r="E89" s="21" t="s">
        <v>182</v>
      </c>
      <c r="F89" s="19" t="s">
        <v>2148</v>
      </c>
      <c r="G89" s="19" t="s">
        <v>2148</v>
      </c>
      <c r="H89" s="164" t="str">
        <f t="shared" si="3"/>
        <v>,sum(n2ho_out_request_cnt) as n2ho_out_request_cnt</v>
      </c>
      <c r="I89" s="25"/>
      <c r="J89" s="25" t="s">
        <v>284</v>
      </c>
      <c r="K89" s="25" t="s">
        <v>750</v>
      </c>
      <c r="L89" s="25" t="s">
        <v>285</v>
      </c>
    </row>
    <row r="90" spans="2:12" s="1" customFormat="1">
      <c r="B90" s="13" t="s">
        <v>1748</v>
      </c>
      <c r="C90" s="26" t="s">
        <v>281</v>
      </c>
      <c r="D90" s="9" t="s">
        <v>1749</v>
      </c>
      <c r="E90" s="21" t="s">
        <v>182</v>
      </c>
      <c r="F90" s="19" t="s">
        <v>2149</v>
      </c>
      <c r="G90" s="19" t="s">
        <v>2149</v>
      </c>
      <c r="H90" s="164" t="str">
        <f t="shared" si="3"/>
        <v>,sum(n2ho_out_succ_cnt) as n2ho_out_succ_cnt</v>
      </c>
      <c r="I90" s="25"/>
      <c r="J90" s="25" t="s">
        <v>284</v>
      </c>
      <c r="K90" s="25" t="s">
        <v>750</v>
      </c>
      <c r="L90" s="25" t="s">
        <v>285</v>
      </c>
    </row>
    <row r="91" spans="2:12" s="1" customFormat="1">
      <c r="B91" s="13" t="s">
        <v>1751</v>
      </c>
      <c r="C91" s="26" t="s">
        <v>281</v>
      </c>
      <c r="D91" s="9" t="s">
        <v>1752</v>
      </c>
      <c r="E91" s="21" t="s">
        <v>182</v>
      </c>
      <c r="F91" s="19" t="s">
        <v>2150</v>
      </c>
      <c r="G91" s="19" t="s">
        <v>2150</v>
      </c>
      <c r="H91" s="164" t="str">
        <f t="shared" si="3"/>
        <v>,sum(n2ho_out_fail_cnt) as n2ho_out_fail_cnt</v>
      </c>
      <c r="I91" s="25"/>
      <c r="J91" s="25" t="s">
        <v>284</v>
      </c>
      <c r="K91" s="25" t="s">
        <v>750</v>
      </c>
      <c r="L91" s="25" t="s">
        <v>285</v>
      </c>
    </row>
    <row r="92" spans="2:12" s="1" customFormat="1">
      <c r="B92" s="13" t="s">
        <v>1754</v>
      </c>
      <c r="C92" s="26" t="s">
        <v>281</v>
      </c>
      <c r="D92" s="9" t="s">
        <v>1755</v>
      </c>
      <c r="E92" s="21" t="s">
        <v>182</v>
      </c>
      <c r="F92" s="19" t="s">
        <v>2151</v>
      </c>
      <c r="G92" s="19" t="s">
        <v>2151</v>
      </c>
      <c r="H92" s="164" t="str">
        <f t="shared" si="3"/>
        <v>,sum(n2ho_out_timeout_cnt) as n2ho_out_timeout_cnt</v>
      </c>
      <c r="I92" s="25"/>
      <c r="J92" s="25" t="s">
        <v>284</v>
      </c>
      <c r="K92" s="25" t="s">
        <v>750</v>
      </c>
      <c r="L92" s="25" t="s">
        <v>285</v>
      </c>
    </row>
    <row r="93" spans="2:12" s="1" customFormat="1">
      <c r="B93" s="13" t="s">
        <v>1757</v>
      </c>
      <c r="C93" s="13" t="s">
        <v>319</v>
      </c>
      <c r="D93" s="9" t="s">
        <v>1758</v>
      </c>
      <c r="E93" s="21" t="s">
        <v>182</v>
      </c>
      <c r="F93" s="19" t="s">
        <v>2152</v>
      </c>
      <c r="G93" s="19" t="s">
        <v>2152</v>
      </c>
      <c r="H93" s="164" t="str">
        <f t="shared" si="3"/>
        <v>,sum(n2ho_out_succ_cnt*n2ho_out_delay) / sum(n2ho_out_succ_cnt) as n2ho_out_delay</v>
      </c>
      <c r="I93" s="25"/>
      <c r="J93" s="25" t="s">
        <v>284</v>
      </c>
      <c r="K93" s="25" t="s">
        <v>471</v>
      </c>
      <c r="L93" s="25" t="s">
        <v>285</v>
      </c>
    </row>
    <row r="94" spans="2:12" s="1" customFormat="1">
      <c r="B94" s="13" t="s">
        <v>1760</v>
      </c>
      <c r="C94" s="26" t="s">
        <v>281</v>
      </c>
      <c r="D94" s="9" t="s">
        <v>1761</v>
      </c>
      <c r="E94" s="21" t="s">
        <v>182</v>
      </c>
      <c r="F94" s="19" t="s">
        <v>2026</v>
      </c>
      <c r="G94" s="19" t="s">
        <v>2026</v>
      </c>
      <c r="H94" s="164" t="str">
        <f t="shared" si="3"/>
        <v>,sum(n2ho_out_intra5gs_request_cnt) as n2ho_out_intra5gs_request_cnt</v>
      </c>
      <c r="I94" s="25"/>
      <c r="J94" s="25" t="s">
        <v>284</v>
      </c>
      <c r="K94" s="25" t="s">
        <v>750</v>
      </c>
      <c r="L94" s="25" t="s">
        <v>285</v>
      </c>
    </row>
    <row r="95" spans="2:12" s="1" customFormat="1">
      <c r="B95" s="13" t="s">
        <v>1763</v>
      </c>
      <c r="C95" s="26" t="s">
        <v>281</v>
      </c>
      <c r="D95" s="9" t="s">
        <v>1764</v>
      </c>
      <c r="E95" s="21" t="s">
        <v>182</v>
      </c>
      <c r="F95" s="19" t="s">
        <v>2028</v>
      </c>
      <c r="G95" s="19" t="s">
        <v>2028</v>
      </c>
      <c r="H95" s="164" t="str">
        <f t="shared" si="3"/>
        <v>,sum(n2ho_out_intra5gs_succ_cnt) as n2ho_out_intra5gs_succ_cnt</v>
      </c>
      <c r="I95" s="25"/>
      <c r="J95" s="25" t="s">
        <v>284</v>
      </c>
      <c r="K95" s="25" t="s">
        <v>750</v>
      </c>
      <c r="L95" s="25" t="s">
        <v>285</v>
      </c>
    </row>
    <row r="96" spans="2:12" s="1" customFormat="1">
      <c r="B96" s="13" t="s">
        <v>1766</v>
      </c>
      <c r="C96" s="26" t="s">
        <v>281</v>
      </c>
      <c r="D96" s="9" t="s">
        <v>1767</v>
      </c>
      <c r="E96" s="21" t="s">
        <v>182</v>
      </c>
      <c r="F96" s="19" t="s">
        <v>2030</v>
      </c>
      <c r="G96" s="19" t="s">
        <v>2030</v>
      </c>
      <c r="H96" s="164" t="str">
        <f t="shared" si="3"/>
        <v>,sum(n2ho_out_intra5gs_fail_cnt) as n2ho_out_intra5gs_fail_cnt</v>
      </c>
      <c r="I96" s="25"/>
      <c r="J96" s="25" t="s">
        <v>284</v>
      </c>
      <c r="K96" s="25" t="s">
        <v>750</v>
      </c>
      <c r="L96" s="25" t="s">
        <v>285</v>
      </c>
    </row>
    <row r="97" spans="2:12" s="1" customFormat="1">
      <c r="B97" s="13" t="s">
        <v>1769</v>
      </c>
      <c r="C97" s="26" t="s">
        <v>281</v>
      </c>
      <c r="D97" s="9" t="s">
        <v>1770</v>
      </c>
      <c r="E97" s="21" t="s">
        <v>182</v>
      </c>
      <c r="F97" s="19" t="s">
        <v>2032</v>
      </c>
      <c r="G97" s="19" t="s">
        <v>2032</v>
      </c>
      <c r="H97" s="164" t="str">
        <f t="shared" si="3"/>
        <v>,sum(n2ho_out_intra5gs_timeout_cnt) as n2ho_out_intra5gs_timeout_cnt</v>
      </c>
      <c r="I97" s="25"/>
      <c r="J97" s="25" t="s">
        <v>284</v>
      </c>
      <c r="K97" s="25" t="s">
        <v>750</v>
      </c>
      <c r="L97" s="25" t="s">
        <v>285</v>
      </c>
    </row>
    <row r="98" spans="2:12" s="1" customFormat="1">
      <c r="B98" s="13" t="s">
        <v>1772</v>
      </c>
      <c r="C98" s="13" t="s">
        <v>319</v>
      </c>
      <c r="D98" s="9" t="s">
        <v>1773</v>
      </c>
      <c r="E98" s="21" t="s">
        <v>182</v>
      </c>
      <c r="F98" s="19" t="s">
        <v>2153</v>
      </c>
      <c r="G98" s="19" t="s">
        <v>2153</v>
      </c>
      <c r="H98" s="164" t="str">
        <f t="shared" si="3"/>
        <v>,sum(n2ho_out_intra5gs_succ_cnt*n2ho_out_intra5gs_delay) / sum(n2ho_out_intra5gs_succ_cnt) as n2ho_out_intra5gs_delay</v>
      </c>
      <c r="I98" s="25"/>
      <c r="J98" s="25" t="s">
        <v>284</v>
      </c>
      <c r="K98" s="25" t="s">
        <v>471</v>
      </c>
      <c r="L98" s="25" t="s">
        <v>285</v>
      </c>
    </row>
    <row r="99" spans="2:12" s="1" customFormat="1">
      <c r="B99" s="13" t="s">
        <v>1775</v>
      </c>
      <c r="C99" s="26" t="s">
        <v>281</v>
      </c>
      <c r="D99" s="9" t="s">
        <v>1776</v>
      </c>
      <c r="E99" s="21" t="s">
        <v>182</v>
      </c>
      <c r="F99" s="19" t="s">
        <v>2038</v>
      </c>
      <c r="G99" s="19" t="s">
        <v>2038</v>
      </c>
      <c r="H99" s="164" t="str">
        <f t="shared" si="3"/>
        <v>,sum(n2ho_out_5gstoeps_request_cnt) as n2ho_out_5gstoeps_request_cnt</v>
      </c>
      <c r="I99" s="25"/>
      <c r="J99" s="25" t="s">
        <v>284</v>
      </c>
      <c r="K99" s="25" t="s">
        <v>750</v>
      </c>
      <c r="L99" s="25" t="s">
        <v>285</v>
      </c>
    </row>
    <row r="100" spans="2:12" s="1" customFormat="1">
      <c r="B100" s="13" t="s">
        <v>1778</v>
      </c>
      <c r="C100" s="26" t="s">
        <v>281</v>
      </c>
      <c r="D100" s="9" t="s">
        <v>1779</v>
      </c>
      <c r="E100" s="21" t="s">
        <v>182</v>
      </c>
      <c r="F100" s="19" t="s">
        <v>2040</v>
      </c>
      <c r="G100" s="19" t="s">
        <v>2040</v>
      </c>
      <c r="H100" s="164" t="str">
        <f t="shared" si="3"/>
        <v>,sum(n2ho_out_5gstoeps_succ_cnt) as n2ho_out_5gstoeps_succ_cnt</v>
      </c>
      <c r="I100" s="25"/>
      <c r="J100" s="25" t="s">
        <v>284</v>
      </c>
      <c r="K100" s="25" t="s">
        <v>750</v>
      </c>
      <c r="L100" s="25" t="s">
        <v>285</v>
      </c>
    </row>
    <row r="101" spans="2:12" s="1" customFormat="1">
      <c r="B101" s="13" t="s">
        <v>1781</v>
      </c>
      <c r="C101" s="26" t="s">
        <v>281</v>
      </c>
      <c r="D101" s="9" t="s">
        <v>1782</v>
      </c>
      <c r="E101" s="21" t="s">
        <v>182</v>
      </c>
      <c r="F101" s="19" t="s">
        <v>2042</v>
      </c>
      <c r="G101" s="19" t="s">
        <v>2042</v>
      </c>
      <c r="H101" s="164" t="str">
        <f t="shared" si="3"/>
        <v>,sum(n2ho_out_5gstoeps_fail_cnt) as n2ho_out_5gstoeps_fail_cnt</v>
      </c>
      <c r="I101" s="25"/>
      <c r="J101" s="25" t="s">
        <v>284</v>
      </c>
      <c r="K101" s="25" t="s">
        <v>750</v>
      </c>
      <c r="L101" s="25" t="s">
        <v>285</v>
      </c>
    </row>
    <row r="102" spans="2:12" s="1" customFormat="1">
      <c r="B102" s="13" t="s">
        <v>1784</v>
      </c>
      <c r="C102" s="26" t="s">
        <v>281</v>
      </c>
      <c r="D102" s="9" t="s">
        <v>1785</v>
      </c>
      <c r="E102" s="21" t="s">
        <v>182</v>
      </c>
      <c r="F102" s="19" t="s">
        <v>2044</v>
      </c>
      <c r="G102" s="19" t="s">
        <v>2044</v>
      </c>
      <c r="H102" s="164" t="str">
        <f t="shared" si="3"/>
        <v>,sum(n2ho_out_5gstoeps_timeout_cnt) as n2ho_out_5gstoeps_timeout_cnt</v>
      </c>
      <c r="I102" s="25"/>
      <c r="J102" s="25" t="s">
        <v>284</v>
      </c>
      <c r="K102" s="25" t="s">
        <v>750</v>
      </c>
      <c r="L102" s="25" t="s">
        <v>285</v>
      </c>
    </row>
    <row r="103" spans="2:12" s="1" customFormat="1">
      <c r="B103" s="13" t="s">
        <v>1787</v>
      </c>
      <c r="C103" s="13" t="s">
        <v>319</v>
      </c>
      <c r="D103" s="9" t="s">
        <v>1788</v>
      </c>
      <c r="E103" s="21" t="s">
        <v>182</v>
      </c>
      <c r="F103" s="19" t="s">
        <v>2154</v>
      </c>
      <c r="G103" s="19" t="s">
        <v>2154</v>
      </c>
      <c r="H103" s="164" t="str">
        <f t="shared" si="3"/>
        <v>,sum(n2ho_out_5gstoeps_succ_cnt*n2ho_out_5gstoeps_delay)/sum(n2ho_out_5gstoeps_succ_cnt) as n2ho_out_5gstoeps_delay</v>
      </c>
      <c r="I103" s="25"/>
      <c r="J103" s="25" t="s">
        <v>284</v>
      </c>
      <c r="K103" s="25" t="s">
        <v>471</v>
      </c>
      <c r="L103" s="25" t="s">
        <v>285</v>
      </c>
    </row>
    <row r="104" spans="2:12" s="1" customFormat="1">
      <c r="B104" s="13" t="s">
        <v>1790</v>
      </c>
      <c r="C104" s="26" t="s">
        <v>281</v>
      </c>
      <c r="D104" s="9" t="s">
        <v>1791</v>
      </c>
      <c r="E104" s="21" t="s">
        <v>182</v>
      </c>
      <c r="F104" s="19" t="s">
        <v>2050</v>
      </c>
      <c r="G104" s="19" t="s">
        <v>2050</v>
      </c>
      <c r="H104" s="164" t="str">
        <f t="shared" si="3"/>
        <v>,sum(n2ho_in_intra5gs_request_cnt) as n2ho_in_intra5gs_request_cnt</v>
      </c>
      <c r="I104" s="25"/>
      <c r="J104" s="25" t="s">
        <v>284</v>
      </c>
      <c r="K104" s="25" t="s">
        <v>750</v>
      </c>
      <c r="L104" s="25" t="s">
        <v>285</v>
      </c>
    </row>
    <row r="105" spans="2:12" s="1" customFormat="1">
      <c r="B105" s="13" t="s">
        <v>1793</v>
      </c>
      <c r="C105" s="26" t="s">
        <v>281</v>
      </c>
      <c r="D105" s="9" t="s">
        <v>1794</v>
      </c>
      <c r="E105" s="21" t="s">
        <v>182</v>
      </c>
      <c r="F105" s="19" t="s">
        <v>2052</v>
      </c>
      <c r="G105" s="19" t="s">
        <v>2052</v>
      </c>
      <c r="H105" s="164" t="str">
        <f t="shared" si="3"/>
        <v>,sum(n2ho_in_intra5gs_succ_cnt) as n2ho_in_intra5gs_succ_cnt</v>
      </c>
      <c r="I105" s="25"/>
      <c r="J105" s="25" t="s">
        <v>284</v>
      </c>
      <c r="K105" s="25" t="s">
        <v>750</v>
      </c>
      <c r="L105" s="25" t="s">
        <v>285</v>
      </c>
    </row>
    <row r="106" spans="2:12" s="1" customFormat="1">
      <c r="B106" s="13" t="s">
        <v>1796</v>
      </c>
      <c r="C106" s="26" t="s">
        <v>281</v>
      </c>
      <c r="D106" s="9" t="s">
        <v>1797</v>
      </c>
      <c r="E106" s="21" t="s">
        <v>182</v>
      </c>
      <c r="F106" s="19" t="s">
        <v>2054</v>
      </c>
      <c r="G106" s="19" t="s">
        <v>2054</v>
      </c>
      <c r="H106" s="164" t="str">
        <f t="shared" si="3"/>
        <v>,sum(n2ho_in_intra5gs_fail_cnt) as n2ho_in_intra5gs_fail_cnt</v>
      </c>
      <c r="I106" s="25"/>
      <c r="J106" s="25" t="s">
        <v>284</v>
      </c>
      <c r="K106" s="25" t="s">
        <v>750</v>
      </c>
      <c r="L106" s="25" t="s">
        <v>285</v>
      </c>
    </row>
    <row r="107" spans="2:12" s="1" customFormat="1">
      <c r="B107" s="13" t="s">
        <v>1799</v>
      </c>
      <c r="C107" s="26" t="s">
        <v>281</v>
      </c>
      <c r="D107" s="9" t="s">
        <v>1800</v>
      </c>
      <c r="E107" s="21" t="s">
        <v>182</v>
      </c>
      <c r="F107" s="19" t="s">
        <v>2056</v>
      </c>
      <c r="G107" s="19" t="s">
        <v>2056</v>
      </c>
      <c r="H107" s="164" t="str">
        <f t="shared" si="3"/>
        <v>,sum(n2ho_in_intra5gs_timeout) as n2ho_in_intra5gs_timeout</v>
      </c>
      <c r="I107" s="25"/>
      <c r="J107" s="25" t="s">
        <v>284</v>
      </c>
      <c r="K107" s="25" t="s">
        <v>750</v>
      </c>
      <c r="L107" s="25" t="s">
        <v>285</v>
      </c>
    </row>
    <row r="108" spans="2:12" s="1" customFormat="1">
      <c r="B108" s="13" t="s">
        <v>1802</v>
      </c>
      <c r="C108" s="13" t="s">
        <v>319</v>
      </c>
      <c r="D108" s="9" t="s">
        <v>1803</v>
      </c>
      <c r="E108" s="21" t="s">
        <v>182</v>
      </c>
      <c r="F108" s="19" t="s">
        <v>2155</v>
      </c>
      <c r="G108" s="19" t="s">
        <v>2155</v>
      </c>
      <c r="H108" s="164" t="str">
        <f t="shared" si="3"/>
        <v>,sum(n2ho_in_intra5gs_succ_cnt*n2ho_in_intra5gs_delay) / sum(n2ho_in_intra5gs_succ_cnt) as n2ho_in_intra5gs_delay</v>
      </c>
      <c r="I108" s="25"/>
      <c r="J108" s="25" t="s">
        <v>284</v>
      </c>
      <c r="K108" s="25" t="s">
        <v>471</v>
      </c>
      <c r="L108" s="25" t="s">
        <v>285</v>
      </c>
    </row>
    <row r="109" spans="2:12" s="1" customFormat="1">
      <c r="B109" s="13" t="s">
        <v>1805</v>
      </c>
      <c r="C109" s="26" t="s">
        <v>281</v>
      </c>
      <c r="D109" s="9" t="s">
        <v>1806</v>
      </c>
      <c r="E109" s="21" t="s">
        <v>182</v>
      </c>
      <c r="F109" s="19" t="s">
        <v>2062</v>
      </c>
      <c r="G109" s="19" t="s">
        <v>2062</v>
      </c>
      <c r="H109" s="164" t="str">
        <f t="shared" si="3"/>
        <v>,sum(n2ho_in_epsto5gs_request_cnt) as n2ho_in_epsto5gs_request_cnt</v>
      </c>
      <c r="I109" s="25"/>
      <c r="J109" s="25" t="s">
        <v>284</v>
      </c>
      <c r="K109" s="25" t="s">
        <v>750</v>
      </c>
      <c r="L109" s="25" t="s">
        <v>285</v>
      </c>
    </row>
    <row r="110" spans="2:12" s="1" customFormat="1">
      <c r="B110" s="13" t="s">
        <v>1808</v>
      </c>
      <c r="C110" s="26" t="s">
        <v>281</v>
      </c>
      <c r="D110" s="9" t="s">
        <v>1809</v>
      </c>
      <c r="E110" s="21" t="s">
        <v>182</v>
      </c>
      <c r="F110" s="19" t="s">
        <v>2064</v>
      </c>
      <c r="G110" s="19" t="s">
        <v>2064</v>
      </c>
      <c r="H110" s="164" t="str">
        <f t="shared" si="3"/>
        <v>,sum(n2ho_in_epsto5gs_succ_cnt) as n2ho_in_epsto5gs_succ_cnt</v>
      </c>
      <c r="I110" s="25"/>
      <c r="J110" s="25" t="s">
        <v>284</v>
      </c>
      <c r="K110" s="25" t="s">
        <v>750</v>
      </c>
      <c r="L110" s="25" t="s">
        <v>285</v>
      </c>
    </row>
    <row r="111" spans="2:12" s="1" customFormat="1">
      <c r="B111" s="13" t="s">
        <v>1811</v>
      </c>
      <c r="C111" s="26" t="s">
        <v>281</v>
      </c>
      <c r="D111" s="9" t="s">
        <v>1812</v>
      </c>
      <c r="E111" s="21" t="s">
        <v>182</v>
      </c>
      <c r="F111" s="19" t="s">
        <v>2066</v>
      </c>
      <c r="G111" s="19" t="s">
        <v>2066</v>
      </c>
      <c r="H111" s="164" t="str">
        <f t="shared" si="3"/>
        <v>,sum(n2ho_in_epsto5gs_fail_cnt) as n2ho_in_epsto5gs_fail_cnt</v>
      </c>
      <c r="I111" s="25"/>
      <c r="J111" s="25" t="s">
        <v>284</v>
      </c>
      <c r="K111" s="25" t="s">
        <v>750</v>
      </c>
      <c r="L111" s="25" t="s">
        <v>285</v>
      </c>
    </row>
    <row r="112" spans="2:12" s="1" customFormat="1">
      <c r="B112" s="13" t="s">
        <v>1814</v>
      </c>
      <c r="C112" s="26" t="s">
        <v>281</v>
      </c>
      <c r="D112" s="9" t="s">
        <v>1815</v>
      </c>
      <c r="E112" s="21" t="s">
        <v>182</v>
      </c>
      <c r="F112" s="19" t="s">
        <v>2068</v>
      </c>
      <c r="G112" s="19" t="s">
        <v>2068</v>
      </c>
      <c r="H112" s="164" t="str">
        <f t="shared" ref="H112:H142" si="4">_xlfn.CONCAT(",",F112," as ",B112)</f>
        <v>,sum(n2ho_in_epsto5gs_timeout) as n2ho_in_epsto5gs_timeout</v>
      </c>
      <c r="I112" s="25"/>
      <c r="J112" s="25" t="s">
        <v>284</v>
      </c>
      <c r="K112" s="25" t="s">
        <v>750</v>
      </c>
      <c r="L112" s="25" t="s">
        <v>285</v>
      </c>
    </row>
    <row r="113" spans="2:12" s="1" customFormat="1">
      <c r="B113" s="13" t="s">
        <v>1817</v>
      </c>
      <c r="C113" s="13" t="s">
        <v>319</v>
      </c>
      <c r="D113" s="9" t="s">
        <v>1818</v>
      </c>
      <c r="E113" s="21" t="s">
        <v>182</v>
      </c>
      <c r="F113" s="19" t="s">
        <v>2156</v>
      </c>
      <c r="G113" s="19" t="s">
        <v>2156</v>
      </c>
      <c r="H113" s="164" t="str">
        <f t="shared" si="4"/>
        <v>,sum(n2ho_in_epsto5gs_succ_cnt*n2ho_in_epsto5gs_delay) / sum(n2ho_in_epsto5gs_succ_cnt) as n2ho_in_epsto5gs_delay</v>
      </c>
      <c r="I113" s="25"/>
      <c r="J113" s="25" t="s">
        <v>284</v>
      </c>
      <c r="K113" s="25" t="s">
        <v>471</v>
      </c>
      <c r="L113" s="25" t="s">
        <v>285</v>
      </c>
    </row>
    <row r="114" spans="2:12" s="1" customFormat="1">
      <c r="B114" s="13" t="s">
        <v>1820</v>
      </c>
      <c r="C114" s="26" t="s">
        <v>281</v>
      </c>
      <c r="D114" s="9" t="s">
        <v>1821</v>
      </c>
      <c r="E114" s="21" t="s">
        <v>182</v>
      </c>
      <c r="F114" s="19" t="s">
        <v>2106</v>
      </c>
      <c r="G114" s="19" t="s">
        <v>2106</v>
      </c>
      <c r="H114" s="164" t="str">
        <f t="shared" si="4"/>
        <v>,sum(n2ho_cancel_request_cnt) as n2ho_cancel_request_cnt</v>
      </c>
      <c r="I114" s="25"/>
      <c r="J114" s="25" t="s">
        <v>284</v>
      </c>
      <c r="K114" s="25" t="s">
        <v>750</v>
      </c>
      <c r="L114" s="25" t="s">
        <v>285</v>
      </c>
    </row>
    <row r="115" spans="2:12" s="1" customFormat="1">
      <c r="B115" s="13" t="s">
        <v>1823</v>
      </c>
      <c r="C115" s="26" t="s">
        <v>281</v>
      </c>
      <c r="D115" s="9" t="s">
        <v>1824</v>
      </c>
      <c r="E115" s="21" t="s">
        <v>182</v>
      </c>
      <c r="F115" s="19" t="s">
        <v>2108</v>
      </c>
      <c r="G115" s="19" t="s">
        <v>2108</v>
      </c>
      <c r="H115" s="164" t="str">
        <f t="shared" si="4"/>
        <v>,sum(n2ho_cancel_succ_cnt) as n2ho_cancel_succ_cnt</v>
      </c>
      <c r="I115" s="25"/>
      <c r="J115" s="25" t="s">
        <v>284</v>
      </c>
      <c r="K115" s="25" t="s">
        <v>750</v>
      </c>
      <c r="L115" s="25" t="s">
        <v>285</v>
      </c>
    </row>
    <row r="116" spans="2:12" s="1" customFormat="1">
      <c r="B116" s="13" t="s">
        <v>1826</v>
      </c>
      <c r="C116" s="26" t="s">
        <v>281</v>
      </c>
      <c r="D116" s="9" t="s">
        <v>1827</v>
      </c>
      <c r="E116" s="21" t="s">
        <v>182</v>
      </c>
      <c r="F116" s="19" t="s">
        <v>2110</v>
      </c>
      <c r="G116" s="19" t="s">
        <v>2110</v>
      </c>
      <c r="H116" s="164" t="str">
        <f t="shared" si="4"/>
        <v>,sum(n2ho_cancel_fail_cnt) as n2ho_cancel_fail_cnt</v>
      </c>
      <c r="I116" s="25"/>
      <c r="J116" s="25" t="s">
        <v>284</v>
      </c>
      <c r="K116" s="25" t="s">
        <v>750</v>
      </c>
      <c r="L116" s="25" t="s">
        <v>285</v>
      </c>
    </row>
    <row r="117" spans="2:12" s="1" customFormat="1">
      <c r="B117" s="13" t="s">
        <v>1829</v>
      </c>
      <c r="C117" s="26" t="s">
        <v>281</v>
      </c>
      <c r="D117" s="9" t="s">
        <v>1830</v>
      </c>
      <c r="E117" s="21" t="s">
        <v>182</v>
      </c>
      <c r="F117" s="19" t="s">
        <v>2112</v>
      </c>
      <c r="G117" s="19" t="s">
        <v>2112</v>
      </c>
      <c r="H117" s="164" t="str">
        <f t="shared" si="4"/>
        <v>,sum(n2ho_cancel_timeout_cnt) as n2ho_cancel_timeout_cnt</v>
      </c>
      <c r="I117" s="25"/>
      <c r="J117" s="25" t="s">
        <v>284</v>
      </c>
      <c r="K117" s="25" t="s">
        <v>750</v>
      </c>
      <c r="L117" s="25" t="s">
        <v>285</v>
      </c>
    </row>
    <row r="118" spans="2:12" s="1" customFormat="1">
      <c r="B118" s="13" t="s">
        <v>1832</v>
      </c>
      <c r="C118" s="13" t="s">
        <v>319</v>
      </c>
      <c r="D118" s="9" t="s">
        <v>1833</v>
      </c>
      <c r="E118" s="21" t="s">
        <v>182</v>
      </c>
      <c r="F118" s="19" t="s">
        <v>2157</v>
      </c>
      <c r="G118" s="19" t="s">
        <v>2157</v>
      </c>
      <c r="H118" s="164" t="str">
        <f t="shared" si="4"/>
        <v>,sum(n2ho_cancel_succ_cnt*n2ho_cancel_delay) / sum(n2ho_cancel_succ_cnt) as n2ho_cancel_delay</v>
      </c>
      <c r="I118" s="25"/>
      <c r="J118" s="25" t="s">
        <v>284</v>
      </c>
      <c r="K118" s="25" t="s">
        <v>471</v>
      </c>
      <c r="L118" s="25" t="s">
        <v>285</v>
      </c>
    </row>
    <row r="119" spans="2:12" s="1" customFormat="1">
      <c r="B119" s="13" t="s">
        <v>1835</v>
      </c>
      <c r="C119" s="26" t="s">
        <v>281</v>
      </c>
      <c r="D119" s="9" t="s">
        <v>1836</v>
      </c>
      <c r="E119" s="21" t="s">
        <v>182</v>
      </c>
      <c r="F119" s="19" t="s">
        <v>2074</v>
      </c>
      <c r="G119" s="19" t="s">
        <v>2074</v>
      </c>
      <c r="H119" s="164" t="str">
        <f t="shared" si="4"/>
        <v>,sum(xnho_request_cnt) as xnho_request_cnt</v>
      </c>
      <c r="I119" s="25"/>
      <c r="J119" s="25" t="s">
        <v>284</v>
      </c>
      <c r="K119" s="25" t="s">
        <v>750</v>
      </c>
      <c r="L119" s="25" t="s">
        <v>285</v>
      </c>
    </row>
    <row r="120" spans="2:12" s="1" customFormat="1">
      <c r="B120" s="13" t="s">
        <v>1838</v>
      </c>
      <c r="C120" s="26" t="s">
        <v>281</v>
      </c>
      <c r="D120" s="9" t="s">
        <v>1839</v>
      </c>
      <c r="E120" s="21" t="s">
        <v>182</v>
      </c>
      <c r="F120" s="19" t="s">
        <v>2076</v>
      </c>
      <c r="G120" s="19" t="s">
        <v>2076</v>
      </c>
      <c r="H120" s="164" t="str">
        <f t="shared" si="4"/>
        <v>,sum(xnho_succ_cnt) as xnho_succ_cnt</v>
      </c>
      <c r="I120" s="25"/>
      <c r="J120" s="25" t="s">
        <v>284</v>
      </c>
      <c r="K120" s="25" t="s">
        <v>750</v>
      </c>
      <c r="L120" s="25" t="s">
        <v>285</v>
      </c>
    </row>
    <row r="121" spans="2:12" s="1" customFormat="1">
      <c r="B121" s="13" t="s">
        <v>1841</v>
      </c>
      <c r="C121" s="26" t="s">
        <v>281</v>
      </c>
      <c r="D121" s="9" t="s">
        <v>1842</v>
      </c>
      <c r="E121" s="21" t="s">
        <v>182</v>
      </c>
      <c r="F121" s="19" t="s">
        <v>2078</v>
      </c>
      <c r="G121" s="19" t="s">
        <v>2078</v>
      </c>
      <c r="H121" s="164" t="str">
        <f t="shared" si="4"/>
        <v>,sum(xnho_fail_cnt) as xnho_fail_cnt</v>
      </c>
      <c r="I121" s="25"/>
      <c r="J121" s="25" t="s">
        <v>284</v>
      </c>
      <c r="K121" s="25" t="s">
        <v>750</v>
      </c>
      <c r="L121" s="25" t="s">
        <v>285</v>
      </c>
    </row>
    <row r="122" spans="2:12" s="1" customFormat="1">
      <c r="B122" s="13" t="s">
        <v>1844</v>
      </c>
      <c r="C122" s="26" t="s">
        <v>281</v>
      </c>
      <c r="D122" s="9" t="s">
        <v>1845</v>
      </c>
      <c r="E122" s="21" t="s">
        <v>182</v>
      </c>
      <c r="F122" s="19" t="s">
        <v>2080</v>
      </c>
      <c r="G122" s="19" t="s">
        <v>2080</v>
      </c>
      <c r="H122" s="164" t="str">
        <f t="shared" si="4"/>
        <v>,sum(xnho_timeout_cnt) as xnho_timeout_cnt</v>
      </c>
      <c r="I122" s="25"/>
      <c r="J122" s="25" t="s">
        <v>284</v>
      </c>
      <c r="K122" s="25" t="s">
        <v>750</v>
      </c>
      <c r="L122" s="25" t="s">
        <v>285</v>
      </c>
    </row>
    <row r="123" spans="2:12" s="1" customFormat="1">
      <c r="B123" s="13" t="s">
        <v>1847</v>
      </c>
      <c r="C123" s="13" t="s">
        <v>319</v>
      </c>
      <c r="D123" s="9" t="s">
        <v>1848</v>
      </c>
      <c r="E123" s="21" t="s">
        <v>182</v>
      </c>
      <c r="F123" s="19" t="s">
        <v>2158</v>
      </c>
      <c r="G123" s="19" t="s">
        <v>2158</v>
      </c>
      <c r="H123" s="164" t="str">
        <f t="shared" si="4"/>
        <v>,sum(xnho_succ_cnt*xnho_delay) / sum(xnho_succ_cnt) as xnho_delay</v>
      </c>
      <c r="I123" s="25"/>
      <c r="J123" s="25" t="s">
        <v>284</v>
      </c>
      <c r="K123" s="25" t="s">
        <v>471</v>
      </c>
      <c r="L123" s="25" t="s">
        <v>285</v>
      </c>
    </row>
    <row r="124" spans="2:12" s="1" customFormat="1">
      <c r="B124" s="13" t="s">
        <v>1850</v>
      </c>
      <c r="C124" s="26" t="s">
        <v>281</v>
      </c>
      <c r="D124" s="9" t="s">
        <v>1851</v>
      </c>
      <c r="E124" s="21" t="s">
        <v>182</v>
      </c>
      <c r="F124" s="19" t="s">
        <v>2086</v>
      </c>
      <c r="G124" s="19" t="s">
        <v>2086</v>
      </c>
      <c r="H124" s="164" t="str">
        <f t="shared" si="4"/>
        <v>,sum(amf_ue_context_release_request_cnt) as amf_ue_context_release_request_cnt</v>
      </c>
      <c r="I124" s="25"/>
      <c r="J124" s="25" t="s">
        <v>284</v>
      </c>
      <c r="K124" s="25" t="s">
        <v>750</v>
      </c>
      <c r="L124" s="25" t="s">
        <v>285</v>
      </c>
    </row>
    <row r="125" spans="2:12" s="1" customFormat="1">
      <c r="B125" s="13" t="s">
        <v>1853</v>
      </c>
      <c r="C125" s="26" t="s">
        <v>281</v>
      </c>
      <c r="D125" s="9" t="s">
        <v>1854</v>
      </c>
      <c r="E125" s="21" t="s">
        <v>182</v>
      </c>
      <c r="F125" s="19" t="s">
        <v>2088</v>
      </c>
      <c r="G125" s="19" t="s">
        <v>2088</v>
      </c>
      <c r="H125" s="164" t="str">
        <f t="shared" si="4"/>
        <v>,sum(amf_ue_context_release_succ_cnt) as amf_ue_context_release_succ_cnt</v>
      </c>
      <c r="I125" s="25"/>
      <c r="J125" s="25" t="s">
        <v>284</v>
      </c>
      <c r="K125" s="25" t="s">
        <v>750</v>
      </c>
      <c r="L125" s="25" t="s">
        <v>285</v>
      </c>
    </row>
    <row r="126" spans="2:12" s="1" customFormat="1">
      <c r="B126" s="13" t="s">
        <v>1856</v>
      </c>
      <c r="C126" s="26" t="s">
        <v>281</v>
      </c>
      <c r="D126" s="9" t="s">
        <v>1857</v>
      </c>
      <c r="E126" s="21" t="s">
        <v>182</v>
      </c>
      <c r="F126" s="19" t="s">
        <v>2090</v>
      </c>
      <c r="G126" s="19" t="s">
        <v>2090</v>
      </c>
      <c r="H126" s="164" t="str">
        <f t="shared" si="4"/>
        <v>,sum(amf_ue_context_release_fail_cnt) as amf_ue_context_release_fail_cnt</v>
      </c>
      <c r="I126" s="25"/>
      <c r="J126" s="25" t="s">
        <v>284</v>
      </c>
      <c r="K126" s="25" t="s">
        <v>750</v>
      </c>
      <c r="L126" s="25" t="s">
        <v>285</v>
      </c>
    </row>
    <row r="127" spans="2:12" s="1" customFormat="1">
      <c r="B127" s="13" t="s">
        <v>1859</v>
      </c>
      <c r="C127" s="26" t="s">
        <v>281</v>
      </c>
      <c r="D127" s="9" t="s">
        <v>1860</v>
      </c>
      <c r="E127" s="21" t="s">
        <v>182</v>
      </c>
      <c r="F127" s="19" t="s">
        <v>2092</v>
      </c>
      <c r="G127" s="19" t="s">
        <v>2092</v>
      </c>
      <c r="H127" s="164" t="str">
        <f t="shared" si="4"/>
        <v>,sum(amf_ue_context_release_timeout) as amf_ue_context_release_timeout</v>
      </c>
      <c r="I127" s="25"/>
      <c r="J127" s="25" t="s">
        <v>284</v>
      </c>
      <c r="K127" s="25" t="s">
        <v>750</v>
      </c>
      <c r="L127" s="25" t="s">
        <v>285</v>
      </c>
    </row>
    <row r="128" spans="2:12" s="1" customFormat="1">
      <c r="B128" s="13" t="s">
        <v>1862</v>
      </c>
      <c r="C128" s="13" t="s">
        <v>319</v>
      </c>
      <c r="D128" s="9" t="s">
        <v>1863</v>
      </c>
      <c r="E128" s="21" t="s">
        <v>182</v>
      </c>
      <c r="F128" s="19" t="s">
        <v>2159</v>
      </c>
      <c r="G128" s="19" t="s">
        <v>2159</v>
      </c>
      <c r="H128" s="164" t="str">
        <f t="shared" si="4"/>
        <v>,sum(amf_ue_context_release_succ_cnt*amf_ue_context_release_delay) / sum(amf_ue_context_release_succ_cnt) as amf_ue_context_release_delay</v>
      </c>
      <c r="I128" s="25"/>
      <c r="J128" s="25" t="s">
        <v>284</v>
      </c>
      <c r="K128" s="25" t="s">
        <v>471</v>
      </c>
      <c r="L128" s="25" t="s">
        <v>285</v>
      </c>
    </row>
    <row r="129" spans="2:17" s="1" customFormat="1">
      <c r="B129" s="13" t="s">
        <v>1865</v>
      </c>
      <c r="C129" s="26" t="s">
        <v>281</v>
      </c>
      <c r="D129" s="9" t="s">
        <v>1866</v>
      </c>
      <c r="E129" s="21" t="s">
        <v>182</v>
      </c>
      <c r="F129" s="19" t="s">
        <v>2096</v>
      </c>
      <c r="G129" s="19" t="s">
        <v>2096</v>
      </c>
      <c r="H129" s="164" t="str">
        <f t="shared" si="4"/>
        <v>,sum(an_ue_context_release_request_cnt) as an_ue_context_release_request_cnt</v>
      </c>
      <c r="I129" s="25"/>
      <c r="J129" s="25" t="s">
        <v>284</v>
      </c>
      <c r="K129" s="25" t="s">
        <v>750</v>
      </c>
      <c r="L129" s="25" t="s">
        <v>285</v>
      </c>
    </row>
    <row r="130" spans="2:17" s="1" customFormat="1">
      <c r="B130" s="13" t="s">
        <v>1868</v>
      </c>
      <c r="C130" s="26" t="s">
        <v>281</v>
      </c>
      <c r="D130" s="9" t="s">
        <v>1869</v>
      </c>
      <c r="E130" s="21" t="s">
        <v>182</v>
      </c>
      <c r="F130" s="19" t="s">
        <v>2098</v>
      </c>
      <c r="G130" s="19" t="s">
        <v>2098</v>
      </c>
      <c r="H130" s="164" t="str">
        <f t="shared" si="4"/>
        <v>,sum(an_ue_context_release_succ_cnt) as an_ue_context_release_succ_cnt</v>
      </c>
      <c r="I130" s="25"/>
      <c r="J130" s="25" t="s">
        <v>284</v>
      </c>
      <c r="K130" s="25" t="s">
        <v>750</v>
      </c>
      <c r="L130" s="25" t="s">
        <v>285</v>
      </c>
    </row>
    <row r="131" spans="2:17" s="1" customFormat="1">
      <c r="B131" s="13" t="s">
        <v>1871</v>
      </c>
      <c r="C131" s="26" t="s">
        <v>281</v>
      </c>
      <c r="D131" s="9" t="s">
        <v>1872</v>
      </c>
      <c r="E131" s="21" t="s">
        <v>182</v>
      </c>
      <c r="F131" s="19" t="s">
        <v>2100</v>
      </c>
      <c r="G131" s="19" t="s">
        <v>2100</v>
      </c>
      <c r="H131" s="164" t="str">
        <f t="shared" si="4"/>
        <v>,sum(an_ue_context_release_fail_cnt) as an_ue_context_release_fail_cnt</v>
      </c>
      <c r="I131" s="25"/>
      <c r="J131" s="25" t="s">
        <v>284</v>
      </c>
      <c r="K131" s="25" t="s">
        <v>750</v>
      </c>
      <c r="L131" s="25" t="s">
        <v>285</v>
      </c>
    </row>
    <row r="132" spans="2:17" s="1" customFormat="1">
      <c r="B132" s="13" t="s">
        <v>1874</v>
      </c>
      <c r="C132" s="26" t="s">
        <v>281</v>
      </c>
      <c r="D132" s="9" t="s">
        <v>1875</v>
      </c>
      <c r="E132" s="21" t="s">
        <v>182</v>
      </c>
      <c r="F132" s="19" t="s">
        <v>2102</v>
      </c>
      <c r="G132" s="19" t="s">
        <v>2102</v>
      </c>
      <c r="H132" s="164" t="str">
        <f t="shared" si="4"/>
        <v>,sum(an_ue_context_release_timeout) as an_ue_context_release_timeout</v>
      </c>
      <c r="I132" s="25"/>
      <c r="J132" s="25" t="s">
        <v>284</v>
      </c>
      <c r="K132" s="25" t="s">
        <v>750</v>
      </c>
      <c r="L132" s="25" t="s">
        <v>285</v>
      </c>
    </row>
    <row r="133" spans="2:17" s="1" customFormat="1">
      <c r="B133" s="13" t="s">
        <v>1877</v>
      </c>
      <c r="C133" s="13" t="s">
        <v>319</v>
      </c>
      <c r="D133" s="9" t="s">
        <v>1878</v>
      </c>
      <c r="E133" s="21" t="s">
        <v>182</v>
      </c>
      <c r="F133" s="19" t="s">
        <v>2160</v>
      </c>
      <c r="G133" s="19" t="s">
        <v>2160</v>
      </c>
      <c r="H133" s="164" t="str">
        <f t="shared" si="4"/>
        <v>,sum(an_ue_context_release_succ_cnt*an_ue_context_release_delay) / sum(an_ue_context_release_succ_cnt) as an_ue_context_release_delay</v>
      </c>
      <c r="I133" s="25"/>
      <c r="J133" s="25" t="s">
        <v>284</v>
      </c>
      <c r="K133" s="25" t="s">
        <v>471</v>
      </c>
      <c r="L133" s="25" t="s">
        <v>285</v>
      </c>
    </row>
    <row r="134" spans="2:17" s="165" customFormat="1">
      <c r="B134" s="166" t="s">
        <v>2310</v>
      </c>
      <c r="C134" s="26" t="s">
        <v>281</v>
      </c>
      <c r="D134" s="158" t="s">
        <v>2311</v>
      </c>
      <c r="E134" s="21" t="s">
        <v>182</v>
      </c>
      <c r="F134" s="167"/>
      <c r="G134" s="167" t="s">
        <v>2312</v>
      </c>
      <c r="H134" s="168"/>
      <c r="I134" s="169"/>
      <c r="J134" s="25" t="s">
        <v>284</v>
      </c>
      <c r="K134" s="25" t="s">
        <v>750</v>
      </c>
      <c r="L134" s="25" t="s">
        <v>285</v>
      </c>
    </row>
    <row r="135" spans="2:17" s="1" customFormat="1">
      <c r="B135" s="13" t="s">
        <v>1880</v>
      </c>
      <c r="C135" s="26" t="s">
        <v>281</v>
      </c>
      <c r="D135" s="9" t="s">
        <v>1881</v>
      </c>
      <c r="E135" s="21" t="s">
        <v>182</v>
      </c>
      <c r="F135" s="19" t="s">
        <v>2161</v>
      </c>
      <c r="G135" s="19" t="s">
        <v>2161</v>
      </c>
      <c r="H135" s="164" t="str">
        <f t="shared" si="4"/>
        <v>,sum(procedure_record_cnt) as procedure_record_cnt</v>
      </c>
      <c r="I135" s="25"/>
      <c r="J135" s="25" t="s">
        <v>284</v>
      </c>
      <c r="K135" s="25" t="s">
        <v>750</v>
      </c>
      <c r="L135" s="25" t="s">
        <v>285</v>
      </c>
    </row>
    <row r="136" spans="2:17" s="1" customFormat="1">
      <c r="B136" s="13" t="s">
        <v>1882</v>
      </c>
      <c r="C136" s="26" t="s">
        <v>281</v>
      </c>
      <c r="D136" s="9" t="s">
        <v>1883</v>
      </c>
      <c r="E136" s="21" t="s">
        <v>182</v>
      </c>
      <c r="F136" s="19" t="s">
        <v>2119</v>
      </c>
      <c r="G136" s="19" t="s">
        <v>2119</v>
      </c>
      <c r="H136" s="164" t="str">
        <f t="shared" si="4"/>
        <v>,sum(procedure_succ_cnt) as procedure_succ_cnt</v>
      </c>
      <c r="I136" s="25"/>
      <c r="J136" s="25" t="s">
        <v>284</v>
      </c>
      <c r="K136" s="25" t="s">
        <v>750</v>
      </c>
      <c r="L136" s="25" t="s">
        <v>285</v>
      </c>
    </row>
    <row r="137" spans="2:17" s="1" customFormat="1">
      <c r="B137" s="13" t="s">
        <v>1885</v>
      </c>
      <c r="C137" s="26" t="s">
        <v>281</v>
      </c>
      <c r="D137" s="9" t="s">
        <v>1886</v>
      </c>
      <c r="E137" s="21" t="s">
        <v>182</v>
      </c>
      <c r="F137" s="19" t="s">
        <v>2121</v>
      </c>
      <c r="G137" s="19" t="s">
        <v>2121</v>
      </c>
      <c r="H137" s="164" t="str">
        <f t="shared" si="4"/>
        <v>,sum(procedure_fail_cnt) as procedure_fail_cnt</v>
      </c>
      <c r="I137" s="25"/>
      <c r="J137" s="25" t="s">
        <v>284</v>
      </c>
      <c r="K137" s="25" t="s">
        <v>750</v>
      </c>
      <c r="L137" s="25" t="s">
        <v>285</v>
      </c>
    </row>
    <row r="138" spans="2:17" s="1" customFormat="1">
      <c r="B138" s="13" t="s">
        <v>1888</v>
      </c>
      <c r="C138" s="26" t="s">
        <v>281</v>
      </c>
      <c r="D138" s="9" t="s">
        <v>1889</v>
      </c>
      <c r="E138" s="21" t="s">
        <v>182</v>
      </c>
      <c r="F138" s="19" t="s">
        <v>2123</v>
      </c>
      <c r="G138" s="19" t="s">
        <v>2123</v>
      </c>
      <c r="H138" s="164" t="str">
        <f t="shared" si="4"/>
        <v>,sum(procedure_timeout_cnt) as procedure_timeout_cnt</v>
      </c>
      <c r="I138" s="25"/>
      <c r="J138" s="25" t="s">
        <v>284</v>
      </c>
      <c r="K138" s="25" t="s">
        <v>750</v>
      </c>
      <c r="L138" s="25" t="s">
        <v>285</v>
      </c>
    </row>
    <row r="139" spans="2:17" s="1" customFormat="1">
      <c r="B139" s="13" t="s">
        <v>1443</v>
      </c>
      <c r="C139" s="26" t="s">
        <v>281</v>
      </c>
      <c r="D139" s="9" t="s">
        <v>1891</v>
      </c>
      <c r="E139" s="21" t="s">
        <v>182</v>
      </c>
      <c r="F139" s="19" t="s">
        <v>1548</v>
      </c>
      <c r="G139" s="19" t="s">
        <v>1548</v>
      </c>
      <c r="H139" s="164" t="str">
        <f t="shared" si="4"/>
        <v>,sum(abnor_release_cnt) as abnor_release_cnt</v>
      </c>
      <c r="I139" s="25"/>
      <c r="J139" s="25" t="s">
        <v>284</v>
      </c>
      <c r="K139" s="25" t="s">
        <v>750</v>
      </c>
      <c r="L139" s="25" t="s">
        <v>285</v>
      </c>
    </row>
    <row r="140" spans="2:17" s="1" customFormat="1">
      <c r="B140" s="13" t="s">
        <v>1446</v>
      </c>
      <c r="C140" s="26" t="s">
        <v>281</v>
      </c>
      <c r="D140" s="9" t="s">
        <v>1447</v>
      </c>
      <c r="E140" s="21" t="s">
        <v>182</v>
      </c>
      <c r="F140" s="19" t="s">
        <v>1549</v>
      </c>
      <c r="G140" s="19" t="s">
        <v>1549</v>
      </c>
      <c r="H140" s="164" t="str">
        <f t="shared" si="4"/>
        <v>,sum(normal_release_cnt) as normal_release_cnt</v>
      </c>
      <c r="I140" s="25"/>
      <c r="J140" s="25" t="s">
        <v>284</v>
      </c>
      <c r="K140" s="25" t="s">
        <v>750</v>
      </c>
      <c r="L140" s="25" t="s">
        <v>285</v>
      </c>
    </row>
    <row r="141" spans="2:17" s="1" customFormat="1" ht="26.4">
      <c r="B141" s="13" t="s">
        <v>648</v>
      </c>
      <c r="C141" s="26" t="s">
        <v>206</v>
      </c>
      <c r="D141" s="9" t="s">
        <v>1455</v>
      </c>
      <c r="E141" s="21" t="s">
        <v>182</v>
      </c>
      <c r="F141" s="22" t="s">
        <v>802</v>
      </c>
      <c r="G141" s="22" t="s">
        <v>802</v>
      </c>
      <c r="H141" s="164" t="str">
        <f t="shared" si="4"/>
        <v>,min(min_starttime) as min_starttime</v>
      </c>
      <c r="I141" s="25"/>
      <c r="J141" s="25" t="s">
        <v>284</v>
      </c>
      <c r="K141" s="25" t="s">
        <v>1457</v>
      </c>
      <c r="L141" s="25" t="s">
        <v>485</v>
      </c>
    </row>
    <row r="142" spans="2:17" s="1" customFormat="1" ht="26.4">
      <c r="B142" s="13" t="s">
        <v>652</v>
      </c>
      <c r="C142" s="26" t="s">
        <v>206</v>
      </c>
      <c r="D142" s="9" t="s">
        <v>1458</v>
      </c>
      <c r="E142" s="21" t="s">
        <v>182</v>
      </c>
      <c r="F142" s="22" t="s">
        <v>803</v>
      </c>
      <c r="G142" s="22" t="s">
        <v>803</v>
      </c>
      <c r="H142" s="164" t="str">
        <f t="shared" si="4"/>
        <v>,max(max_endtime) as max_endtime</v>
      </c>
      <c r="I142" s="25"/>
      <c r="J142" s="25" t="s">
        <v>284</v>
      </c>
      <c r="K142" s="25" t="s">
        <v>1457</v>
      </c>
      <c r="L142" s="25" t="s">
        <v>485</v>
      </c>
    </row>
    <row r="143" spans="2:17" s="2" customFormat="1">
      <c r="B143" s="14" t="s">
        <v>222</v>
      </c>
      <c r="C143" s="15" t="s">
        <v>211</v>
      </c>
      <c r="D143" s="16" t="s">
        <v>344</v>
      </c>
      <c r="E143" s="24"/>
      <c r="F143" s="24" t="s">
        <v>1892</v>
      </c>
      <c r="G143" s="24" t="s">
        <v>1892</v>
      </c>
      <c r="H143" s="24"/>
      <c r="I143" s="14"/>
      <c r="J143" s="14"/>
      <c r="K143" s="14"/>
      <c r="L143" s="14"/>
      <c r="M143" s="14"/>
      <c r="N143" s="14"/>
      <c r="O143" s="14"/>
      <c r="P143" s="14"/>
      <c r="Q143" s="14"/>
    </row>
    <row r="144" spans="2:17" s="2" customFormat="1">
      <c r="B144" s="14" t="s">
        <v>0</v>
      </c>
      <c r="C144" s="15" t="s">
        <v>206</v>
      </c>
      <c r="D144" s="16" t="s">
        <v>345</v>
      </c>
      <c r="E144" s="24"/>
      <c r="F144" s="24" t="s">
        <v>1892</v>
      </c>
      <c r="G144" s="24" t="s">
        <v>1892</v>
      </c>
      <c r="H144" s="24"/>
      <c r="I144" s="14"/>
      <c r="J144" s="14"/>
      <c r="K144" s="14"/>
      <c r="L144" s="14"/>
      <c r="M144" s="14"/>
      <c r="N144" s="14"/>
      <c r="O144" s="14"/>
      <c r="P144" s="14"/>
      <c r="Q144" s="14"/>
    </row>
    <row r="145" spans="2:17" s="2" customFormat="1">
      <c r="B145" s="14" t="s">
        <v>1</v>
      </c>
      <c r="C145" s="15" t="s">
        <v>211</v>
      </c>
      <c r="D145" s="16" t="s">
        <v>346</v>
      </c>
      <c r="E145" s="24"/>
      <c r="F145" s="24" t="s">
        <v>1892</v>
      </c>
      <c r="G145" s="24" t="s">
        <v>1892</v>
      </c>
      <c r="H145" s="24"/>
      <c r="I145" s="14"/>
      <c r="J145" s="14"/>
      <c r="K145" s="14"/>
      <c r="L145" s="14"/>
      <c r="M145" s="14"/>
      <c r="N145" s="14"/>
      <c r="O145" s="14"/>
      <c r="P145" s="14"/>
      <c r="Q145" s="14"/>
    </row>
  </sheetData>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31"/>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23.6640625" style="3" customWidth="1"/>
    <col min="3" max="3" width="30.21875" style="3" customWidth="1"/>
    <col min="4" max="4" width="30.44140625" style="3" customWidth="1"/>
    <col min="5" max="5" width="16.21875" style="3" customWidth="1"/>
    <col min="6" max="7" width="24.88671875" style="3" customWidth="1"/>
    <col min="8" max="8" width="14.44140625" style="3" customWidth="1"/>
    <col min="9" max="9" width="8.33203125" style="3" customWidth="1"/>
    <col min="10" max="10" width="5.6640625" style="3" customWidth="1"/>
    <col min="11" max="11" width="9.6640625" style="3" customWidth="1"/>
    <col min="12" max="12" width="10.777343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7" t="s">
        <v>172</v>
      </c>
      <c r="G4" s="7" t="s">
        <v>43</v>
      </c>
      <c r="H4" s="7" t="s">
        <v>173</v>
      </c>
    </row>
    <row r="5" spans="2:14">
      <c r="B5" s="8" t="s">
        <v>105</v>
      </c>
      <c r="C5" s="9" t="s">
        <v>145</v>
      </c>
      <c r="D5" s="9" t="s">
        <v>146</v>
      </c>
      <c r="E5" s="12" t="s">
        <v>20</v>
      </c>
      <c r="F5" s="61"/>
      <c r="G5" s="19" t="s">
        <v>147</v>
      </c>
      <c r="H5" s="12"/>
      <c r="N5" s="3"/>
    </row>
    <row r="6" spans="2:14">
      <c r="B6" s="6"/>
      <c r="C6" s="6"/>
      <c r="D6" s="6"/>
      <c r="E6" s="6"/>
      <c r="F6" s="6"/>
      <c r="G6" s="6"/>
      <c r="H6" s="6"/>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143</v>
      </c>
      <c r="D9" s="9" t="s">
        <v>144</v>
      </c>
      <c r="E9" s="12" t="s">
        <v>182</v>
      </c>
      <c r="F9" s="186"/>
      <c r="G9" s="186"/>
      <c r="H9" s="20"/>
    </row>
    <row r="10" spans="2:14">
      <c r="B10" s="12"/>
      <c r="C10" s="9" t="s">
        <v>787</v>
      </c>
      <c r="D10" s="9" t="s">
        <v>788</v>
      </c>
      <c r="E10" s="12" t="s">
        <v>418</v>
      </c>
      <c r="F10" s="186" t="s">
        <v>2162</v>
      </c>
      <c r="G10" s="186"/>
      <c r="H10" s="20"/>
    </row>
    <row r="11" spans="2:14">
      <c r="C11" s="58"/>
      <c r="D11" s="58"/>
      <c r="F11" s="62"/>
      <c r="G11" s="62"/>
    </row>
    <row r="12" spans="2:14">
      <c r="B12" s="3" t="s">
        <v>194</v>
      </c>
    </row>
    <row r="13" spans="2:14">
      <c r="B13" s="181" t="s">
        <v>194</v>
      </c>
      <c r="C13" s="181"/>
      <c r="D13" s="181"/>
      <c r="E13" s="181"/>
      <c r="F13" s="181"/>
      <c r="G13" s="181"/>
      <c r="H13" s="181"/>
      <c r="I13" s="181"/>
      <c r="J13" s="181"/>
      <c r="K13" s="181"/>
      <c r="L13" s="181"/>
    </row>
    <row r="14" spans="2:14" ht="24">
      <c r="B14" s="59" t="s">
        <v>195</v>
      </c>
      <c r="C14" s="59" t="s">
        <v>196</v>
      </c>
      <c r="D14" s="59" t="s">
        <v>197</v>
      </c>
      <c r="E14" s="59" t="s">
        <v>198</v>
      </c>
      <c r="F14" s="59" t="s">
        <v>199</v>
      </c>
      <c r="G14" s="59" t="s">
        <v>200</v>
      </c>
      <c r="H14" s="59" t="s">
        <v>201</v>
      </c>
      <c r="I14" s="59" t="s">
        <v>53</v>
      </c>
      <c r="J14" s="59" t="s">
        <v>202</v>
      </c>
      <c r="K14" s="59" t="s">
        <v>203</v>
      </c>
      <c r="L14" s="59" t="s">
        <v>204</v>
      </c>
    </row>
    <row r="15" spans="2:14" s="1" customFormat="1">
      <c r="B15" s="27" t="s">
        <v>205</v>
      </c>
      <c r="C15" s="27" t="s">
        <v>206</v>
      </c>
      <c r="D15" s="27" t="s">
        <v>207</v>
      </c>
      <c r="E15" s="63"/>
      <c r="F15" s="27" t="s">
        <v>0</v>
      </c>
      <c r="G15" s="27" t="s">
        <v>207</v>
      </c>
      <c r="H15" s="23" t="str">
        <f>_xlfn.CONCAT(",",F15," as ",B15)</f>
        <v>,p_date as day</v>
      </c>
      <c r="I15" s="64"/>
      <c r="J15" s="64" t="s">
        <v>4</v>
      </c>
      <c r="K15" s="64" t="s">
        <v>209</v>
      </c>
      <c r="L15" s="64" t="s">
        <v>209</v>
      </c>
    </row>
    <row r="16" spans="2:14" s="1" customFormat="1">
      <c r="B16" s="27" t="s">
        <v>20</v>
      </c>
      <c r="C16" s="27" t="s">
        <v>211</v>
      </c>
      <c r="D16" s="27" t="s">
        <v>73</v>
      </c>
      <c r="E16" s="63"/>
      <c r="F16" s="27" t="s">
        <v>1</v>
      </c>
      <c r="G16" s="27" t="s">
        <v>73</v>
      </c>
      <c r="H16" s="23" t="str">
        <f t="shared" ref="H16:H28" si="0">_xlfn.CONCAT(",",F16," as ",B16)</f>
        <v>,p_hour as hour</v>
      </c>
      <c r="I16" s="64"/>
      <c r="J16" s="64" t="s">
        <v>4</v>
      </c>
      <c r="K16" s="64" t="s">
        <v>209</v>
      </c>
      <c r="L16" s="64" t="s">
        <v>209</v>
      </c>
    </row>
    <row r="17" spans="1:12" s="1" customFormat="1" ht="26.4">
      <c r="B17" s="27" t="s">
        <v>2370</v>
      </c>
      <c r="C17" s="27" t="s">
        <v>206</v>
      </c>
      <c r="D17" s="9" t="s">
        <v>243</v>
      </c>
      <c r="E17" s="63" t="s">
        <v>182</v>
      </c>
      <c r="F17" s="27" t="s">
        <v>242</v>
      </c>
      <c r="G17" s="27" t="s">
        <v>208</v>
      </c>
      <c r="H17" s="23" t="str">
        <f t="shared" si="0"/>
        <v>,cellkey as cellkey</v>
      </c>
      <c r="I17" s="64"/>
      <c r="J17" s="64" t="s">
        <v>4</v>
      </c>
      <c r="K17" s="64" t="s">
        <v>209</v>
      </c>
      <c r="L17" s="64" t="s">
        <v>209</v>
      </c>
    </row>
    <row r="18" spans="1:12" s="1" customFormat="1">
      <c r="B18" s="27" t="s">
        <v>2379</v>
      </c>
      <c r="C18" s="27" t="s">
        <v>206</v>
      </c>
      <c r="D18" s="9" t="s">
        <v>250</v>
      </c>
      <c r="E18" s="63" t="s">
        <v>182</v>
      </c>
      <c r="F18" s="27" t="s">
        <v>419</v>
      </c>
      <c r="G18" s="27" t="s">
        <v>208</v>
      </c>
      <c r="H18" s="23" t="str">
        <f t="shared" si="0"/>
        <v>,imsi as imsi</v>
      </c>
      <c r="I18" s="64"/>
      <c r="J18" s="64" t="s">
        <v>4</v>
      </c>
      <c r="K18" s="64" t="s">
        <v>209</v>
      </c>
      <c r="L18" s="64" t="s">
        <v>209</v>
      </c>
    </row>
    <row r="19" spans="1:12" s="1" customFormat="1" ht="26.4">
      <c r="B19" s="27" t="s">
        <v>251</v>
      </c>
      <c r="C19" s="27" t="s">
        <v>206</v>
      </c>
      <c r="D19" s="9" t="s">
        <v>252</v>
      </c>
      <c r="E19" s="63" t="s">
        <v>182</v>
      </c>
      <c r="F19" s="27" t="s">
        <v>251</v>
      </c>
      <c r="G19" s="27" t="s">
        <v>208</v>
      </c>
      <c r="H19" s="23" t="str">
        <f t="shared" si="0"/>
        <v>,msisdn as msisdn</v>
      </c>
      <c r="I19" s="64"/>
      <c r="J19" s="64" t="s">
        <v>4</v>
      </c>
      <c r="K19" s="64" t="s">
        <v>209</v>
      </c>
      <c r="L19" s="64" t="s">
        <v>209</v>
      </c>
    </row>
    <row r="20" spans="1:12" s="1" customFormat="1" ht="39.6">
      <c r="B20" s="27" t="s">
        <v>648</v>
      </c>
      <c r="C20" s="27" t="s">
        <v>206</v>
      </c>
      <c r="D20" s="9" t="s">
        <v>1455</v>
      </c>
      <c r="E20" s="63" t="s">
        <v>182</v>
      </c>
      <c r="F20" s="27" t="s">
        <v>802</v>
      </c>
      <c r="G20" s="27" t="s">
        <v>802</v>
      </c>
      <c r="H20" s="23" t="str">
        <f t="shared" si="0"/>
        <v>,min(min_starttime) as min_starttime</v>
      </c>
      <c r="I20" s="64"/>
      <c r="J20" s="64" t="s">
        <v>284</v>
      </c>
      <c r="K20" s="64" t="s">
        <v>209</v>
      </c>
      <c r="L20" s="64" t="s">
        <v>485</v>
      </c>
    </row>
    <row r="21" spans="1:12" s="1" customFormat="1" ht="39.6">
      <c r="B21" s="27" t="s">
        <v>652</v>
      </c>
      <c r="C21" s="27" t="s">
        <v>206</v>
      </c>
      <c r="D21" s="9" t="s">
        <v>1458</v>
      </c>
      <c r="E21" s="63" t="s">
        <v>182</v>
      </c>
      <c r="F21" s="27" t="s">
        <v>803</v>
      </c>
      <c r="G21" s="27" t="s">
        <v>803</v>
      </c>
      <c r="H21" s="23" t="str">
        <f t="shared" si="0"/>
        <v>,max(max_endtime) as max_endtime</v>
      </c>
      <c r="I21" s="64"/>
      <c r="J21" s="64" t="s">
        <v>284</v>
      </c>
      <c r="K21" s="64" t="s">
        <v>209</v>
      </c>
      <c r="L21" s="64" t="s">
        <v>485</v>
      </c>
    </row>
    <row r="22" spans="1:12" s="1" customFormat="1" ht="39.6">
      <c r="B22" s="27" t="s">
        <v>2163</v>
      </c>
      <c r="C22" s="27" t="s">
        <v>281</v>
      </c>
      <c r="D22" s="9" t="s">
        <v>2164</v>
      </c>
      <c r="E22" s="63" t="s">
        <v>182</v>
      </c>
      <c r="F22" s="27" t="s">
        <v>1894</v>
      </c>
      <c r="G22" s="27" t="s">
        <v>1894</v>
      </c>
      <c r="H22" s="23" t="str">
        <f t="shared" si="0"/>
        <v>,sum(regist_request_cnt) as regis_req</v>
      </c>
      <c r="I22" s="64"/>
      <c r="J22" s="64" t="s">
        <v>284</v>
      </c>
      <c r="K22" s="64" t="s">
        <v>209</v>
      </c>
      <c r="L22" s="64" t="s">
        <v>285</v>
      </c>
    </row>
    <row r="23" spans="1:12" s="1" customFormat="1" ht="39.6">
      <c r="B23" s="27" t="s">
        <v>2165</v>
      </c>
      <c r="C23" s="27" t="s">
        <v>281</v>
      </c>
      <c r="D23" s="9" t="s">
        <v>2166</v>
      </c>
      <c r="E23" s="63" t="s">
        <v>182</v>
      </c>
      <c r="F23" s="27" t="s">
        <v>1896</v>
      </c>
      <c r="G23" s="27" t="s">
        <v>1896</v>
      </c>
      <c r="H23" s="23" t="str">
        <f t="shared" si="0"/>
        <v>,sum(regist_succ_cnt) as regis_suc</v>
      </c>
      <c r="I23" s="64"/>
      <c r="J23" s="64" t="s">
        <v>284</v>
      </c>
      <c r="K23" s="64" t="s">
        <v>209</v>
      </c>
      <c r="L23" s="64" t="s">
        <v>285</v>
      </c>
    </row>
    <row r="24" spans="1:12" s="1" customFormat="1" ht="52.8">
      <c r="B24" s="27" t="s">
        <v>2167</v>
      </c>
      <c r="C24" s="27" t="s">
        <v>319</v>
      </c>
      <c r="D24" s="9" t="s">
        <v>2168</v>
      </c>
      <c r="E24" s="63" t="s">
        <v>182</v>
      </c>
      <c r="F24" s="27" t="s">
        <v>2169</v>
      </c>
      <c r="G24" s="27" t="s">
        <v>2169</v>
      </c>
      <c r="H24" s="23" t="str">
        <f t="shared" si="0"/>
        <v>,sum(regist_succ_cnt)/sum(regist_request_cnt) as regis_suc_rate</v>
      </c>
      <c r="I24" s="64"/>
      <c r="J24" s="64" t="s">
        <v>284</v>
      </c>
      <c r="K24" s="64" t="s">
        <v>209</v>
      </c>
      <c r="L24" s="64" t="s">
        <v>322</v>
      </c>
    </row>
    <row r="25" spans="1:12" s="1" customFormat="1" ht="52.8">
      <c r="B25" s="27" t="s">
        <v>2170</v>
      </c>
      <c r="C25" s="27" t="s">
        <v>281</v>
      </c>
      <c r="D25" s="9" t="s">
        <v>2171</v>
      </c>
      <c r="E25" s="63" t="s">
        <v>182</v>
      </c>
      <c r="F25" s="27" t="s">
        <v>2172</v>
      </c>
      <c r="G25" s="27" t="s">
        <v>2172</v>
      </c>
      <c r="H25" s="23" t="str">
        <f t="shared" si="0"/>
        <v>,sum(n2ho_out_request_cnt+xnho_request_cnt) as ho_req_cnt</v>
      </c>
      <c r="I25" s="64"/>
      <c r="J25" s="64" t="s">
        <v>284</v>
      </c>
      <c r="K25" s="64" t="s">
        <v>209</v>
      </c>
      <c r="L25" s="64" t="s">
        <v>285</v>
      </c>
    </row>
    <row r="26" spans="1:12" s="1" customFormat="1" ht="52.8">
      <c r="B26" s="27" t="s">
        <v>2173</v>
      </c>
      <c r="C26" s="27" t="s">
        <v>281</v>
      </c>
      <c r="D26" s="9" t="s">
        <v>2174</v>
      </c>
      <c r="E26" s="63" t="s">
        <v>182</v>
      </c>
      <c r="F26" s="27" t="s">
        <v>2175</v>
      </c>
      <c r="G26" s="27" t="s">
        <v>2175</v>
      </c>
      <c r="H26" s="23" t="str">
        <f t="shared" si="0"/>
        <v>,sum(n2ho_out_succ_cnt+xnho_succ_cnt) as ho_succ_cnt</v>
      </c>
      <c r="I26" s="64"/>
      <c r="J26" s="64" t="s">
        <v>284</v>
      </c>
      <c r="K26" s="64" t="s">
        <v>209</v>
      </c>
      <c r="L26" s="64" t="s">
        <v>285</v>
      </c>
    </row>
    <row r="27" spans="1:12" s="1" customFormat="1" ht="52.8">
      <c r="B27" s="27" t="s">
        <v>1446</v>
      </c>
      <c r="C27" s="27" t="s">
        <v>281</v>
      </c>
      <c r="D27" s="9" t="s">
        <v>1447</v>
      </c>
      <c r="E27" s="63" t="s">
        <v>182</v>
      </c>
      <c r="F27" s="27" t="s">
        <v>1549</v>
      </c>
      <c r="G27" s="27" t="s">
        <v>1549</v>
      </c>
      <c r="H27" s="23" t="str">
        <f t="shared" si="0"/>
        <v>,sum(normal_release_cnt) as normal_release_cnt</v>
      </c>
      <c r="I27" s="64"/>
      <c r="J27" s="64" t="s">
        <v>284</v>
      </c>
      <c r="K27" s="64" t="s">
        <v>209</v>
      </c>
      <c r="L27" s="64" t="s">
        <v>285</v>
      </c>
    </row>
    <row r="28" spans="1:12" s="1" customFormat="1" ht="52.8">
      <c r="B28" s="27" t="s">
        <v>1443</v>
      </c>
      <c r="C28" s="27" t="s">
        <v>281</v>
      </c>
      <c r="D28" s="9" t="s">
        <v>2176</v>
      </c>
      <c r="E28" s="63" t="s">
        <v>182</v>
      </c>
      <c r="F28" s="27" t="s">
        <v>1548</v>
      </c>
      <c r="G28" s="27" t="s">
        <v>1548</v>
      </c>
      <c r="H28" s="23" t="str">
        <f t="shared" si="0"/>
        <v>,sum(abnor_release_cnt) as abnor_release_cnt</v>
      </c>
      <c r="I28" s="64"/>
      <c r="J28" s="64" t="s">
        <v>284</v>
      </c>
      <c r="K28" s="64" t="s">
        <v>209</v>
      </c>
      <c r="L28" s="64" t="s">
        <v>285</v>
      </c>
    </row>
    <row r="29" spans="1:12" s="2" customFormat="1">
      <c r="A29" s="60"/>
      <c r="B29" s="16" t="s">
        <v>222</v>
      </c>
      <c r="C29" s="16" t="s">
        <v>211</v>
      </c>
      <c r="D29" s="16" t="s">
        <v>344</v>
      </c>
      <c r="E29" s="16"/>
      <c r="F29" s="16"/>
      <c r="G29" s="16"/>
      <c r="H29" s="16"/>
      <c r="I29" s="16"/>
      <c r="J29" s="16"/>
      <c r="K29" s="16"/>
      <c r="L29" s="16"/>
    </row>
    <row r="30" spans="1:12" s="2" customFormat="1">
      <c r="A30" s="60"/>
      <c r="B30" s="16" t="s">
        <v>0</v>
      </c>
      <c r="C30" s="16" t="s">
        <v>206</v>
      </c>
      <c r="D30" s="16" t="s">
        <v>345</v>
      </c>
      <c r="E30" s="16"/>
      <c r="F30" s="16"/>
      <c r="G30" s="16"/>
      <c r="H30" s="16"/>
      <c r="I30" s="16"/>
      <c r="J30" s="16"/>
      <c r="K30" s="16"/>
      <c r="L30" s="16"/>
    </row>
    <row r="31" spans="1:12" s="2" customFormat="1">
      <c r="A31" s="60"/>
      <c r="B31" s="16" t="s">
        <v>1</v>
      </c>
      <c r="C31" s="16" t="s">
        <v>211</v>
      </c>
      <c r="D31" s="16" t="s">
        <v>346</v>
      </c>
      <c r="E31" s="16"/>
      <c r="F31" s="16"/>
      <c r="G31" s="16"/>
      <c r="H31" s="16"/>
      <c r="I31" s="16"/>
      <c r="J31" s="16"/>
      <c r="K31" s="16"/>
      <c r="L31" s="16"/>
    </row>
  </sheetData>
  <autoFilter ref="A14:N31" xr:uid="{00000000-0009-0000-0000-00001B000000}"/>
  <mergeCells count="6">
    <mergeCell ref="B13:L13"/>
    <mergeCell ref="B2:H2"/>
    <mergeCell ref="B3:H3"/>
    <mergeCell ref="B7:H7"/>
    <mergeCell ref="F9:G9"/>
    <mergeCell ref="F10:G10"/>
  </mergeCells>
  <phoneticPr fontId="33" type="noConversion"/>
  <pageMargins left="0.7" right="0.7" top="0.75" bottom="0.75"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Y143"/>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11" t="s">
        <v>172</v>
      </c>
      <c r="G4" s="11" t="s">
        <v>43</v>
      </c>
      <c r="H4" s="11" t="s">
        <v>173</v>
      </c>
    </row>
    <row r="5" spans="2:14">
      <c r="B5" s="8" t="s">
        <v>105</v>
      </c>
      <c r="C5" s="9" t="s">
        <v>148</v>
      </c>
      <c r="D5" s="10" t="s">
        <v>149</v>
      </c>
      <c r="E5" s="12" t="s">
        <v>205</v>
      </c>
      <c r="F5" s="17"/>
      <c r="G5" s="12"/>
      <c r="H5" s="12"/>
      <c r="N5" s="3"/>
    </row>
    <row r="6" spans="2:14">
      <c r="B6" s="6"/>
      <c r="C6" s="6"/>
      <c r="D6" s="6"/>
      <c r="E6" s="6"/>
      <c r="F6" s="18"/>
      <c r="G6" s="18"/>
      <c r="H6" s="18"/>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143</v>
      </c>
      <c r="D9" s="10" t="s">
        <v>144</v>
      </c>
      <c r="E9" s="12" t="s">
        <v>182</v>
      </c>
      <c r="F9" s="19"/>
      <c r="G9" s="19"/>
      <c r="H9" s="20" t="s">
        <v>63</v>
      </c>
    </row>
    <row r="11" spans="2:14">
      <c r="B11" s="3" t="s">
        <v>194</v>
      </c>
    </row>
    <row r="12" spans="2:14">
      <c r="B12" s="181" t="s">
        <v>194</v>
      </c>
      <c r="C12" s="181"/>
      <c r="D12" s="181"/>
      <c r="E12" s="181"/>
      <c r="F12" s="181"/>
      <c r="G12" s="181"/>
      <c r="H12" s="181"/>
      <c r="I12" s="181"/>
      <c r="J12" s="181"/>
      <c r="K12" s="181"/>
      <c r="L12" s="181"/>
    </row>
    <row r="13" spans="2:14">
      <c r="B13" s="7" t="s">
        <v>195</v>
      </c>
      <c r="C13" s="7" t="s">
        <v>196</v>
      </c>
      <c r="D13" s="7" t="s">
        <v>197</v>
      </c>
      <c r="E13" s="7" t="s">
        <v>198</v>
      </c>
      <c r="F13" s="11" t="s">
        <v>199</v>
      </c>
      <c r="G13" s="11" t="s">
        <v>200</v>
      </c>
      <c r="H13" s="11" t="s">
        <v>201</v>
      </c>
      <c r="I13" s="7" t="s">
        <v>53</v>
      </c>
      <c r="J13" s="7" t="s">
        <v>202</v>
      </c>
      <c r="K13" s="7" t="s">
        <v>203</v>
      </c>
      <c r="L13" s="7" t="s">
        <v>204</v>
      </c>
    </row>
    <row r="14" spans="2:14" s="1" customFormat="1">
      <c r="B14" s="13" t="s">
        <v>205</v>
      </c>
      <c r="C14" s="13" t="s">
        <v>206</v>
      </c>
      <c r="D14" s="9" t="s">
        <v>207</v>
      </c>
      <c r="E14" s="21" t="s">
        <v>182</v>
      </c>
      <c r="F14" s="19" t="s">
        <v>0</v>
      </c>
      <c r="G14" s="19" t="s">
        <v>208</v>
      </c>
      <c r="H14" s="164" t="str">
        <f>_xlfn.CONCAT(",",F14," as ",B14)</f>
        <v>,p_date as day</v>
      </c>
      <c r="I14" s="25"/>
      <c r="J14" s="25" t="s">
        <v>4</v>
      </c>
      <c r="K14" s="25" t="s">
        <v>209</v>
      </c>
      <c r="L14" s="25" t="s">
        <v>209</v>
      </c>
    </row>
    <row r="15" spans="2:14" s="1" customFormat="1">
      <c r="B15" s="13" t="s">
        <v>249</v>
      </c>
      <c r="C15" s="13" t="s">
        <v>206</v>
      </c>
      <c r="D15" s="9" t="s">
        <v>1235</v>
      </c>
      <c r="E15" s="21" t="s">
        <v>182</v>
      </c>
      <c r="F15" s="19" t="str">
        <f>VLOOKUP(B15,'12'!B:L,1,0)</f>
        <v>supi</v>
      </c>
      <c r="G15" s="19" t="s">
        <v>208</v>
      </c>
      <c r="H15" s="164" t="str">
        <f t="shared" ref="H15:H45" si="0">_xlfn.CONCAT(",",F15," as ",B15)</f>
        <v>,supi as supi</v>
      </c>
      <c r="I15" s="25"/>
      <c r="J15" s="25" t="s">
        <v>4</v>
      </c>
      <c r="K15" s="25" t="s">
        <v>209</v>
      </c>
      <c r="L15" s="25" t="s">
        <v>209</v>
      </c>
    </row>
    <row r="16" spans="2:14" s="1" customFormat="1">
      <c r="B16" s="13" t="s">
        <v>254</v>
      </c>
      <c r="C16" s="13" t="s">
        <v>206</v>
      </c>
      <c r="D16" s="9" t="s">
        <v>1236</v>
      </c>
      <c r="E16" s="21" t="s">
        <v>182</v>
      </c>
      <c r="F16" s="19" t="str">
        <f>VLOOKUP(B16,'12'!B:L,1,0)</f>
        <v>pei</v>
      </c>
      <c r="G16" s="19" t="s">
        <v>208</v>
      </c>
      <c r="H16" s="164" t="str">
        <f t="shared" si="0"/>
        <v>,pei as pei</v>
      </c>
      <c r="I16" s="25"/>
      <c r="J16" s="25" t="s">
        <v>4</v>
      </c>
      <c r="K16" s="25" t="s">
        <v>209</v>
      </c>
      <c r="L16" s="25" t="s">
        <v>209</v>
      </c>
    </row>
    <row r="17" spans="2:12" s="1" customFormat="1">
      <c r="B17" s="13" t="s">
        <v>251</v>
      </c>
      <c r="C17" s="13" t="s">
        <v>206</v>
      </c>
      <c r="D17" s="9" t="s">
        <v>1237</v>
      </c>
      <c r="E17" s="21" t="s">
        <v>182</v>
      </c>
      <c r="F17" s="19" t="str">
        <f>VLOOKUP(B17,'12'!B:L,1,0)</f>
        <v>msisdn</v>
      </c>
      <c r="G17" s="19" t="s">
        <v>208</v>
      </c>
      <c r="H17" s="164" t="str">
        <f t="shared" si="0"/>
        <v>,msisdn as msisdn</v>
      </c>
      <c r="I17" s="25"/>
      <c r="J17" s="25" t="s">
        <v>4</v>
      </c>
      <c r="K17" s="25" t="s">
        <v>209</v>
      </c>
      <c r="L17" s="25" t="s">
        <v>209</v>
      </c>
    </row>
    <row r="18" spans="2:12" s="1" customFormat="1">
      <c r="B18" s="13" t="s">
        <v>264</v>
      </c>
      <c r="C18" s="13" t="s">
        <v>206</v>
      </c>
      <c r="D18" s="9" t="s">
        <v>1240</v>
      </c>
      <c r="E18" s="21" t="s">
        <v>182</v>
      </c>
      <c r="F18" s="19" t="str">
        <f>VLOOKUP(B18,'12'!B:L,1,0)</f>
        <v>home_province</v>
      </c>
      <c r="G18" s="19" t="s">
        <v>208</v>
      </c>
      <c r="H18" s="164" t="str">
        <f t="shared" si="0"/>
        <v>,home_province as home_province</v>
      </c>
      <c r="I18" s="25"/>
      <c r="J18" s="25" t="s">
        <v>4</v>
      </c>
      <c r="K18" s="25" t="s">
        <v>209</v>
      </c>
      <c r="L18" s="25" t="s">
        <v>209</v>
      </c>
    </row>
    <row r="19" spans="2:12" s="1" customFormat="1">
      <c r="B19" s="13" t="s">
        <v>242</v>
      </c>
      <c r="C19" s="13" t="s">
        <v>206</v>
      </c>
      <c r="D19" s="9" t="s">
        <v>243</v>
      </c>
      <c r="E19" s="21" t="s">
        <v>182</v>
      </c>
      <c r="F19" s="19" t="s">
        <v>242</v>
      </c>
      <c r="G19" s="19" t="s">
        <v>208</v>
      </c>
      <c r="H19" s="164" t="str">
        <f t="shared" si="0"/>
        <v>,cellkey as cellkey</v>
      </c>
      <c r="I19" s="25"/>
      <c r="J19" s="25" t="s">
        <v>4</v>
      </c>
      <c r="K19" s="25" t="s">
        <v>209</v>
      </c>
      <c r="L19" s="25" t="s">
        <v>209</v>
      </c>
    </row>
    <row r="20" spans="2:12" s="1" customFormat="1">
      <c r="B20" s="13" t="s">
        <v>220</v>
      </c>
      <c r="C20" s="13" t="s">
        <v>206</v>
      </c>
      <c r="D20" s="9" t="s">
        <v>1569</v>
      </c>
      <c r="E20" s="21" t="s">
        <v>182</v>
      </c>
      <c r="F20" s="19" t="s">
        <v>222</v>
      </c>
      <c r="G20" s="19" t="s">
        <v>208</v>
      </c>
      <c r="H20" s="164" t="str">
        <f t="shared" si="0"/>
        <v>,p_provincecode as provincecode</v>
      </c>
      <c r="I20" s="25"/>
      <c r="J20" s="25" t="s">
        <v>4</v>
      </c>
      <c r="K20" s="25" t="s">
        <v>209</v>
      </c>
      <c r="L20" s="25" t="s">
        <v>209</v>
      </c>
    </row>
    <row r="21" spans="2:12" s="1" customFormat="1">
      <c r="B21" s="13" t="s">
        <v>230</v>
      </c>
      <c r="C21" s="13" t="s">
        <v>206</v>
      </c>
      <c r="D21" s="9" t="s">
        <v>231</v>
      </c>
      <c r="E21" s="21" t="s">
        <v>789</v>
      </c>
      <c r="F21" s="19" t="s">
        <v>230</v>
      </c>
      <c r="G21" s="19" t="s">
        <v>208</v>
      </c>
      <c r="H21" s="164" t="str">
        <f t="shared" si="0"/>
        <v>,province as province</v>
      </c>
      <c r="I21" s="25"/>
      <c r="J21" s="25" t="s">
        <v>4</v>
      </c>
      <c r="K21" s="25" t="s">
        <v>209</v>
      </c>
      <c r="L21" s="25" t="s">
        <v>209</v>
      </c>
    </row>
    <row r="22" spans="2:12" s="1" customFormat="1">
      <c r="B22" s="13" t="s">
        <v>224</v>
      </c>
      <c r="C22" s="13" t="s">
        <v>206</v>
      </c>
      <c r="D22" s="9" t="s">
        <v>444</v>
      </c>
      <c r="E22" s="21" t="s">
        <v>182</v>
      </c>
      <c r="F22" s="19" t="str">
        <f>VLOOKUP(B22,'12'!B:L,1,0)</f>
        <v>citycode</v>
      </c>
      <c r="G22" s="19" t="s">
        <v>208</v>
      </c>
      <c r="H22" s="164" t="str">
        <f t="shared" si="0"/>
        <v>,citycode as citycode</v>
      </c>
      <c r="I22" s="25"/>
      <c r="J22" s="25" t="s">
        <v>4</v>
      </c>
      <c r="K22" s="25" t="s">
        <v>209</v>
      </c>
      <c r="L22" s="25" t="s">
        <v>209</v>
      </c>
    </row>
    <row r="23" spans="2:12" s="1" customFormat="1">
      <c r="B23" s="13" t="s">
        <v>233</v>
      </c>
      <c r="C23" s="13" t="s">
        <v>206</v>
      </c>
      <c r="D23" s="9" t="s">
        <v>446</v>
      </c>
      <c r="E23" s="21" t="s">
        <v>182</v>
      </c>
      <c r="F23" s="19" t="str">
        <f>VLOOKUP(B23,'12'!B:L,1,0)</f>
        <v>city</v>
      </c>
      <c r="G23" s="19" t="s">
        <v>208</v>
      </c>
      <c r="H23" s="164" t="str">
        <f t="shared" si="0"/>
        <v>,city as city</v>
      </c>
      <c r="I23" s="25"/>
      <c r="J23" s="25" t="s">
        <v>4</v>
      </c>
      <c r="K23" s="25" t="s">
        <v>209</v>
      </c>
      <c r="L23" s="25" t="s">
        <v>209</v>
      </c>
    </row>
    <row r="24" spans="2:12" s="1" customFormat="1">
      <c r="B24" s="13" t="s">
        <v>228</v>
      </c>
      <c r="C24" s="13" t="s">
        <v>211</v>
      </c>
      <c r="D24" s="9" t="s">
        <v>445</v>
      </c>
      <c r="E24" s="21" t="s">
        <v>182</v>
      </c>
      <c r="F24" s="19" t="s">
        <v>228</v>
      </c>
      <c r="G24" s="19" t="s">
        <v>208</v>
      </c>
      <c r="H24" s="164" t="str">
        <f t="shared" si="0"/>
        <v>,districtcode as districtcode</v>
      </c>
      <c r="I24" s="25"/>
      <c r="J24" s="25" t="s">
        <v>4</v>
      </c>
      <c r="K24" s="25" t="s">
        <v>209</v>
      </c>
      <c r="L24" s="25" t="s">
        <v>209</v>
      </c>
    </row>
    <row r="25" spans="2:12" s="1" customFormat="1">
      <c r="B25" s="13" t="s">
        <v>236</v>
      </c>
      <c r="C25" s="13" t="s">
        <v>206</v>
      </c>
      <c r="D25" s="9" t="s">
        <v>237</v>
      </c>
      <c r="E25" s="21" t="s">
        <v>182</v>
      </c>
      <c r="F25" s="19" t="s">
        <v>236</v>
      </c>
      <c r="G25" s="19" t="s">
        <v>208</v>
      </c>
      <c r="H25" s="164" t="str">
        <f t="shared" si="0"/>
        <v>,district as district</v>
      </c>
      <c r="I25" s="25"/>
      <c r="J25" s="25" t="s">
        <v>4</v>
      </c>
      <c r="K25" s="25" t="s">
        <v>209</v>
      </c>
      <c r="L25" s="25" t="s">
        <v>209</v>
      </c>
    </row>
    <row r="26" spans="2:12" s="1" customFormat="1">
      <c r="B26" s="13" t="s">
        <v>1267</v>
      </c>
      <c r="C26" s="13" t="s">
        <v>206</v>
      </c>
      <c r="D26" s="9" t="s">
        <v>1268</v>
      </c>
      <c r="E26" s="21" t="s">
        <v>182</v>
      </c>
      <c r="F26" s="19" t="s">
        <v>1267</v>
      </c>
      <c r="G26" s="19" t="s">
        <v>208</v>
      </c>
      <c r="H26" s="164" t="str">
        <f t="shared" si="0"/>
        <v>,gnb_ip_add as gnb_ip_add</v>
      </c>
      <c r="I26" s="25"/>
      <c r="J26" s="25" t="s">
        <v>4</v>
      </c>
      <c r="K26" s="25" t="s">
        <v>209</v>
      </c>
      <c r="L26" s="25" t="s">
        <v>209</v>
      </c>
    </row>
    <row r="27" spans="2:12" s="1" customFormat="1">
      <c r="B27" s="13" t="s">
        <v>1570</v>
      </c>
      <c r="C27" s="13" t="s">
        <v>281</v>
      </c>
      <c r="D27" s="9" t="s">
        <v>1571</v>
      </c>
      <c r="E27" s="21" t="s">
        <v>182</v>
      </c>
      <c r="F27" s="19" t="s">
        <v>1894</v>
      </c>
      <c r="G27" s="19" t="s">
        <v>1894</v>
      </c>
      <c r="H27" s="164" t="str">
        <f t="shared" si="0"/>
        <v>,sum(regist_request_cnt) as regist_request_cnt</v>
      </c>
      <c r="I27" s="25"/>
      <c r="J27" s="25" t="s">
        <v>284</v>
      </c>
      <c r="K27" s="25" t="s">
        <v>750</v>
      </c>
      <c r="L27" s="25" t="s">
        <v>285</v>
      </c>
    </row>
    <row r="28" spans="2:12" s="1" customFormat="1">
      <c r="B28" s="13" t="s">
        <v>1573</v>
      </c>
      <c r="C28" s="13" t="s">
        <v>281</v>
      </c>
      <c r="D28" s="9" t="s">
        <v>1574</v>
      </c>
      <c r="E28" s="21" t="s">
        <v>182</v>
      </c>
      <c r="F28" s="19" t="s">
        <v>1896</v>
      </c>
      <c r="G28" s="19" t="s">
        <v>1896</v>
      </c>
      <c r="H28" s="164" t="str">
        <f t="shared" si="0"/>
        <v>,sum(regist_succ_cnt) as regist_succ_cnt</v>
      </c>
      <c r="I28" s="25"/>
      <c r="J28" s="25" t="s">
        <v>284</v>
      </c>
      <c r="K28" s="25" t="s">
        <v>750</v>
      </c>
      <c r="L28" s="25" t="s">
        <v>285</v>
      </c>
    </row>
    <row r="29" spans="2:12" s="1" customFormat="1">
      <c r="B29" s="13" t="s">
        <v>1576</v>
      </c>
      <c r="C29" s="13" t="s">
        <v>281</v>
      </c>
      <c r="D29" s="27" t="s">
        <v>1577</v>
      </c>
      <c r="E29" s="21" t="s">
        <v>182</v>
      </c>
      <c r="F29" s="19" t="s">
        <v>1898</v>
      </c>
      <c r="G29" s="19" t="s">
        <v>1898</v>
      </c>
      <c r="H29" s="164" t="str">
        <f t="shared" si="0"/>
        <v>,sum(regist_fail_cnt) as regist_fail_cnt</v>
      </c>
      <c r="I29" s="25"/>
      <c r="J29" s="25" t="s">
        <v>284</v>
      </c>
      <c r="K29" s="25" t="s">
        <v>750</v>
      </c>
      <c r="L29" s="25" t="s">
        <v>285</v>
      </c>
    </row>
    <row r="30" spans="2:12" s="1" customFormat="1">
      <c r="B30" s="13" t="s">
        <v>1579</v>
      </c>
      <c r="C30" s="13" t="s">
        <v>281</v>
      </c>
      <c r="D30" s="9" t="s">
        <v>1580</v>
      </c>
      <c r="E30" s="21" t="s">
        <v>182</v>
      </c>
      <c r="F30" s="19" t="s">
        <v>1900</v>
      </c>
      <c r="G30" s="19" t="s">
        <v>1900</v>
      </c>
      <c r="H30" s="164" t="str">
        <f t="shared" si="0"/>
        <v>,sum(regist_timeout_cnt) as regist_timeout_cnt</v>
      </c>
      <c r="I30" s="25"/>
      <c r="J30" s="25" t="s">
        <v>284</v>
      </c>
      <c r="K30" s="25" t="s">
        <v>750</v>
      </c>
      <c r="L30" s="25" t="s">
        <v>285</v>
      </c>
    </row>
    <row r="31" spans="2:12" s="1" customFormat="1">
      <c r="B31" s="13" t="s">
        <v>1582</v>
      </c>
      <c r="C31" s="13" t="s">
        <v>319</v>
      </c>
      <c r="D31" s="9" t="s">
        <v>1583</v>
      </c>
      <c r="E31" s="21" t="s">
        <v>182</v>
      </c>
      <c r="F31" s="19" t="s">
        <v>2136</v>
      </c>
      <c r="G31" s="19" t="s">
        <v>2136</v>
      </c>
      <c r="H31" s="164" t="str">
        <f t="shared" si="0"/>
        <v>,sum(regist_succ_cnt*regist_delay) / sum(regist_succ_cnt) as regist_delay</v>
      </c>
      <c r="I31" s="25"/>
      <c r="J31" s="25" t="s">
        <v>284</v>
      </c>
      <c r="K31" s="25" t="s">
        <v>471</v>
      </c>
      <c r="L31" s="25" t="s">
        <v>285</v>
      </c>
    </row>
    <row r="32" spans="2:12" s="1" customFormat="1">
      <c r="B32" s="13" t="s">
        <v>1585</v>
      </c>
      <c r="C32" s="13" t="s">
        <v>281</v>
      </c>
      <c r="D32" s="9" t="s">
        <v>1586</v>
      </c>
      <c r="E32" s="21" t="s">
        <v>182</v>
      </c>
      <c r="F32" s="19" t="s">
        <v>1906</v>
      </c>
      <c r="G32" s="19" t="s">
        <v>1906</v>
      </c>
      <c r="H32" s="164" t="str">
        <f t="shared" si="0"/>
        <v>,sum(regist_init_request_cnt) as regist_init_request_cnt</v>
      </c>
      <c r="I32" s="25"/>
      <c r="J32" s="25" t="s">
        <v>284</v>
      </c>
      <c r="K32" s="25" t="s">
        <v>750</v>
      </c>
      <c r="L32" s="25" t="s">
        <v>285</v>
      </c>
    </row>
    <row r="33" spans="2:12" s="1" customFormat="1">
      <c r="B33" s="13" t="s">
        <v>1588</v>
      </c>
      <c r="C33" s="26" t="s">
        <v>281</v>
      </c>
      <c r="D33" s="9" t="s">
        <v>1589</v>
      </c>
      <c r="E33" s="21" t="s">
        <v>182</v>
      </c>
      <c r="F33" s="19" t="s">
        <v>1908</v>
      </c>
      <c r="G33" s="19" t="s">
        <v>1908</v>
      </c>
      <c r="H33" s="164" t="str">
        <f t="shared" si="0"/>
        <v>,sum(regist_init_succ_cnt) as regist_init_succ_cnt</v>
      </c>
      <c r="I33" s="25"/>
      <c r="J33" s="25" t="s">
        <v>284</v>
      </c>
      <c r="K33" s="25" t="s">
        <v>750</v>
      </c>
      <c r="L33" s="25" t="s">
        <v>285</v>
      </c>
    </row>
    <row r="34" spans="2:12" s="1" customFormat="1">
      <c r="B34" s="13" t="s">
        <v>1591</v>
      </c>
      <c r="C34" s="26" t="s">
        <v>281</v>
      </c>
      <c r="D34" s="9" t="s">
        <v>1592</v>
      </c>
      <c r="E34" s="21" t="s">
        <v>182</v>
      </c>
      <c r="F34" s="19" t="s">
        <v>1910</v>
      </c>
      <c r="G34" s="19" t="s">
        <v>1910</v>
      </c>
      <c r="H34" s="164" t="str">
        <f t="shared" si="0"/>
        <v>,sum(regist_init_fail_cnt) as regist_init_fail_cnt</v>
      </c>
      <c r="I34" s="25"/>
      <c r="J34" s="25" t="s">
        <v>284</v>
      </c>
      <c r="K34" s="25" t="s">
        <v>750</v>
      </c>
      <c r="L34" s="25" t="s">
        <v>285</v>
      </c>
    </row>
    <row r="35" spans="2:12" s="1" customFormat="1">
      <c r="B35" s="13" t="s">
        <v>1594</v>
      </c>
      <c r="C35" s="26" t="s">
        <v>281</v>
      </c>
      <c r="D35" s="9" t="s">
        <v>1595</v>
      </c>
      <c r="E35" s="21" t="s">
        <v>182</v>
      </c>
      <c r="F35" s="19" t="s">
        <v>1912</v>
      </c>
      <c r="G35" s="19" t="s">
        <v>1912</v>
      </c>
      <c r="H35" s="164" t="str">
        <f t="shared" si="0"/>
        <v>,sum(regist_init_timeout_cnt) as regist_init_timeout_cnt</v>
      </c>
      <c r="I35" s="25"/>
      <c r="J35" s="25" t="s">
        <v>284</v>
      </c>
      <c r="K35" s="25" t="s">
        <v>750</v>
      </c>
      <c r="L35" s="25" t="s">
        <v>285</v>
      </c>
    </row>
    <row r="36" spans="2:12" s="1" customFormat="1">
      <c r="B36" s="13" t="s">
        <v>1597</v>
      </c>
      <c r="C36" s="13" t="s">
        <v>319</v>
      </c>
      <c r="D36" s="9" t="s">
        <v>1598</v>
      </c>
      <c r="E36" s="21" t="s">
        <v>182</v>
      </c>
      <c r="F36" s="19" t="s">
        <v>2137</v>
      </c>
      <c r="G36" s="19" t="s">
        <v>2137</v>
      </c>
      <c r="H36" s="164" t="str">
        <f t="shared" si="0"/>
        <v>,sum(regist_init_succ_cnt*regist_init_delay) / sum(regist_init_succ_cnt) as regist_init_delay</v>
      </c>
      <c r="I36" s="25"/>
      <c r="J36" s="25" t="s">
        <v>284</v>
      </c>
      <c r="K36" s="25" t="s">
        <v>471</v>
      </c>
      <c r="L36" s="25" t="s">
        <v>285</v>
      </c>
    </row>
    <row r="37" spans="2:12" s="1" customFormat="1">
      <c r="B37" s="13" t="s">
        <v>1600</v>
      </c>
      <c r="C37" s="26" t="s">
        <v>281</v>
      </c>
      <c r="D37" s="9" t="s">
        <v>1601</v>
      </c>
      <c r="E37" s="21" t="s">
        <v>182</v>
      </c>
      <c r="F37" s="19" t="s">
        <v>1918</v>
      </c>
      <c r="G37" s="19" t="s">
        <v>1918</v>
      </c>
      <c r="H37" s="164" t="str">
        <f t="shared" si="0"/>
        <v>,sum(regist_periodic_request_cnt) as regist_periodic_request_cnt</v>
      </c>
      <c r="I37" s="25"/>
      <c r="J37" s="25" t="s">
        <v>284</v>
      </c>
      <c r="K37" s="25" t="s">
        <v>750</v>
      </c>
      <c r="L37" s="25" t="s">
        <v>285</v>
      </c>
    </row>
    <row r="38" spans="2:12" s="1" customFormat="1">
      <c r="B38" s="13" t="s">
        <v>1603</v>
      </c>
      <c r="C38" s="26" t="s">
        <v>281</v>
      </c>
      <c r="D38" s="9" t="s">
        <v>1604</v>
      </c>
      <c r="E38" s="21" t="s">
        <v>182</v>
      </c>
      <c r="F38" s="19" t="s">
        <v>1920</v>
      </c>
      <c r="G38" s="19" t="s">
        <v>1920</v>
      </c>
      <c r="H38" s="164" t="str">
        <f t="shared" si="0"/>
        <v>,sum(regist_periodic_succ_cnt) as regist_periodic_succ_cnt</v>
      </c>
      <c r="I38" s="25"/>
      <c r="J38" s="25" t="s">
        <v>284</v>
      </c>
      <c r="K38" s="25" t="s">
        <v>750</v>
      </c>
      <c r="L38" s="25" t="s">
        <v>285</v>
      </c>
    </row>
    <row r="39" spans="2:12" s="1" customFormat="1">
      <c r="B39" s="13" t="s">
        <v>1606</v>
      </c>
      <c r="C39" s="26" t="s">
        <v>281</v>
      </c>
      <c r="D39" s="9" t="s">
        <v>1607</v>
      </c>
      <c r="E39" s="21" t="s">
        <v>182</v>
      </c>
      <c r="F39" s="19" t="s">
        <v>1922</v>
      </c>
      <c r="G39" s="19" t="s">
        <v>1922</v>
      </c>
      <c r="H39" s="164" t="str">
        <f t="shared" si="0"/>
        <v>,sum(regist_periodic_fail_cnt) as regist_periodic_fail_cnt</v>
      </c>
      <c r="I39" s="25"/>
      <c r="J39" s="25" t="s">
        <v>284</v>
      </c>
      <c r="K39" s="25" t="s">
        <v>750</v>
      </c>
      <c r="L39" s="25" t="s">
        <v>285</v>
      </c>
    </row>
    <row r="40" spans="2:12" s="1" customFormat="1">
      <c r="B40" s="13" t="s">
        <v>1609</v>
      </c>
      <c r="C40" s="26" t="s">
        <v>281</v>
      </c>
      <c r="D40" s="9" t="s">
        <v>1610</v>
      </c>
      <c r="E40" s="21" t="s">
        <v>182</v>
      </c>
      <c r="F40" s="19" t="s">
        <v>1924</v>
      </c>
      <c r="G40" s="19" t="s">
        <v>1924</v>
      </c>
      <c r="H40" s="164" t="str">
        <f t="shared" si="0"/>
        <v>,sum(regist_periodic_timeout_cnt) as regist_periodic_timeout_cnt</v>
      </c>
      <c r="I40" s="25"/>
      <c r="J40" s="25" t="s">
        <v>284</v>
      </c>
      <c r="K40" s="25" t="s">
        <v>750</v>
      </c>
      <c r="L40" s="25" t="s">
        <v>285</v>
      </c>
    </row>
    <row r="41" spans="2:12" s="1" customFormat="1">
      <c r="B41" s="13" t="s">
        <v>1612</v>
      </c>
      <c r="C41" s="13" t="s">
        <v>319</v>
      </c>
      <c r="D41" s="9" t="s">
        <v>1613</v>
      </c>
      <c r="E41" s="21" t="s">
        <v>182</v>
      </c>
      <c r="F41" s="19" t="s">
        <v>2138</v>
      </c>
      <c r="G41" s="19" t="s">
        <v>2138</v>
      </c>
      <c r="H41" s="164" t="str">
        <f t="shared" si="0"/>
        <v>,sum(regist_periodic_succ_cnt*regist_periodic_delay) / sum(regist_periodic_succ_cnt) as regist_periodic_delay</v>
      </c>
      <c r="I41" s="25"/>
      <c r="J41" s="25" t="s">
        <v>284</v>
      </c>
      <c r="K41" s="25" t="s">
        <v>471</v>
      </c>
      <c r="L41" s="25" t="s">
        <v>285</v>
      </c>
    </row>
    <row r="42" spans="2:12" s="1" customFormat="1">
      <c r="B42" s="13" t="s">
        <v>1615</v>
      </c>
      <c r="C42" s="26" t="s">
        <v>281</v>
      </c>
      <c r="D42" s="9" t="s">
        <v>1616</v>
      </c>
      <c r="E42" s="21" t="s">
        <v>182</v>
      </c>
      <c r="F42" s="19" t="s">
        <v>1930</v>
      </c>
      <c r="G42" s="19" t="s">
        <v>1930</v>
      </c>
      <c r="H42" s="164" t="str">
        <f t="shared" si="0"/>
        <v>,sum(regist_mobility_request_cnt) as regist_mobility_request_cnt</v>
      </c>
      <c r="I42" s="25"/>
      <c r="J42" s="25" t="s">
        <v>284</v>
      </c>
      <c r="K42" s="25" t="s">
        <v>750</v>
      </c>
      <c r="L42" s="25" t="s">
        <v>285</v>
      </c>
    </row>
    <row r="43" spans="2:12" s="1" customFormat="1">
      <c r="B43" s="13" t="s">
        <v>1618</v>
      </c>
      <c r="C43" s="26" t="s">
        <v>281</v>
      </c>
      <c r="D43" s="9" t="s">
        <v>1619</v>
      </c>
      <c r="E43" s="21" t="s">
        <v>182</v>
      </c>
      <c r="F43" s="19" t="s">
        <v>1932</v>
      </c>
      <c r="G43" s="19" t="s">
        <v>1932</v>
      </c>
      <c r="H43" s="164" t="str">
        <f t="shared" si="0"/>
        <v>,sum(regist_mobility_succ_cnt) as regist_mobility_succ_cnt</v>
      </c>
      <c r="I43" s="25"/>
      <c r="J43" s="25" t="s">
        <v>284</v>
      </c>
      <c r="K43" s="25" t="s">
        <v>750</v>
      </c>
      <c r="L43" s="25" t="s">
        <v>285</v>
      </c>
    </row>
    <row r="44" spans="2:12" s="1" customFormat="1">
      <c r="B44" s="13" t="s">
        <v>1621</v>
      </c>
      <c r="C44" s="26" t="s">
        <v>281</v>
      </c>
      <c r="D44" s="9" t="s">
        <v>1622</v>
      </c>
      <c r="E44" s="21" t="s">
        <v>182</v>
      </c>
      <c r="F44" s="19" t="s">
        <v>1934</v>
      </c>
      <c r="G44" s="19" t="s">
        <v>1934</v>
      </c>
      <c r="H44" s="164" t="str">
        <f t="shared" si="0"/>
        <v>,sum(regist_mobility_fail_cnt) as regist_mobility_fail_cnt</v>
      </c>
      <c r="I44" s="25"/>
      <c r="J44" s="25" t="s">
        <v>284</v>
      </c>
      <c r="K44" s="25" t="s">
        <v>750</v>
      </c>
      <c r="L44" s="25" t="s">
        <v>285</v>
      </c>
    </row>
    <row r="45" spans="2:12" s="1" customFormat="1">
      <c r="B45" s="13" t="s">
        <v>1624</v>
      </c>
      <c r="C45" s="26" t="s">
        <v>281</v>
      </c>
      <c r="D45" s="9" t="s">
        <v>1625</v>
      </c>
      <c r="E45" s="21" t="s">
        <v>182</v>
      </c>
      <c r="F45" s="19" t="s">
        <v>1936</v>
      </c>
      <c r="G45" s="19" t="s">
        <v>1936</v>
      </c>
      <c r="H45" s="164" t="str">
        <f t="shared" si="0"/>
        <v>,sum(regist_mobility_timeout_cnt) as regist_mobility_timeout_cnt</v>
      </c>
      <c r="I45" s="25"/>
      <c r="J45" s="25" t="s">
        <v>284</v>
      </c>
      <c r="K45" s="25" t="s">
        <v>750</v>
      </c>
      <c r="L45" s="25" t="s">
        <v>285</v>
      </c>
    </row>
    <row r="46" spans="2:12" s="1" customFormat="1">
      <c r="B46" s="13" t="s">
        <v>1627</v>
      </c>
      <c r="C46" s="13" t="s">
        <v>319</v>
      </c>
      <c r="D46" s="9" t="s">
        <v>1628</v>
      </c>
      <c r="E46" s="21" t="s">
        <v>182</v>
      </c>
      <c r="F46" s="19" t="s">
        <v>2139</v>
      </c>
      <c r="G46" s="19" t="s">
        <v>2139</v>
      </c>
      <c r="H46" s="164" t="str">
        <f t="shared" ref="H46:H77" si="1">_xlfn.CONCAT(",",F46," as ",B46)</f>
        <v>,sum(regist_mobility_succ_cnt*regist_mobility_delay) / sum(regist_mobility_succ_cnt) as regist_mobility_delay</v>
      </c>
      <c r="I46" s="25"/>
      <c r="J46" s="25" t="s">
        <v>284</v>
      </c>
      <c r="K46" s="25" t="s">
        <v>471</v>
      </c>
      <c r="L46" s="25" t="s">
        <v>285</v>
      </c>
    </row>
    <row r="47" spans="2:12" s="1" customFormat="1">
      <c r="B47" s="13" t="s">
        <v>1630</v>
      </c>
      <c r="C47" s="26" t="s">
        <v>281</v>
      </c>
      <c r="D47" s="9" t="s">
        <v>1631</v>
      </c>
      <c r="E47" s="21" t="s">
        <v>182</v>
      </c>
      <c r="F47" s="19" t="s">
        <v>1942</v>
      </c>
      <c r="G47" s="19" t="s">
        <v>1942</v>
      </c>
      <c r="H47" s="164" t="str">
        <f t="shared" si="1"/>
        <v>,sum(regist_emergency_request_cnt) as regist_emergency_request_cnt</v>
      </c>
      <c r="I47" s="25"/>
      <c r="J47" s="25" t="s">
        <v>284</v>
      </c>
      <c r="K47" s="25" t="s">
        <v>750</v>
      </c>
      <c r="L47" s="25" t="s">
        <v>285</v>
      </c>
    </row>
    <row r="48" spans="2:12" s="1" customFormat="1">
      <c r="B48" s="13" t="s">
        <v>1633</v>
      </c>
      <c r="C48" s="26" t="s">
        <v>281</v>
      </c>
      <c r="D48" s="9" t="s">
        <v>1634</v>
      </c>
      <c r="E48" s="21" t="s">
        <v>182</v>
      </c>
      <c r="F48" s="19" t="s">
        <v>1944</v>
      </c>
      <c r="G48" s="19" t="s">
        <v>1944</v>
      </c>
      <c r="H48" s="164" t="str">
        <f t="shared" si="1"/>
        <v>,sum(regist_emergency_succ_cnt) as regist_emergency_succ_cnt</v>
      </c>
      <c r="I48" s="25"/>
      <c r="J48" s="25" t="s">
        <v>284</v>
      </c>
      <c r="K48" s="25" t="s">
        <v>750</v>
      </c>
      <c r="L48" s="25" t="s">
        <v>285</v>
      </c>
    </row>
    <row r="49" spans="1:25" s="1" customFormat="1">
      <c r="B49" s="13" t="s">
        <v>1636</v>
      </c>
      <c r="C49" s="26" t="s">
        <v>281</v>
      </c>
      <c r="D49" s="9" t="s">
        <v>1637</v>
      </c>
      <c r="E49" s="21" t="s">
        <v>182</v>
      </c>
      <c r="F49" s="19" t="s">
        <v>1946</v>
      </c>
      <c r="G49" s="19" t="s">
        <v>1946</v>
      </c>
      <c r="H49" s="164" t="str">
        <f t="shared" si="1"/>
        <v>,sum(regist_emergency_fail_cnt) as regist_emergency_fail_cnt</v>
      </c>
      <c r="I49" s="25"/>
      <c r="J49" s="25" t="s">
        <v>284</v>
      </c>
      <c r="K49" s="25" t="s">
        <v>750</v>
      </c>
      <c r="L49" s="25" t="s">
        <v>285</v>
      </c>
    </row>
    <row r="50" spans="1:25" s="1" customFormat="1">
      <c r="B50" s="13" t="s">
        <v>1639</v>
      </c>
      <c r="C50" s="26" t="s">
        <v>281</v>
      </c>
      <c r="D50" s="9" t="s">
        <v>1640</v>
      </c>
      <c r="E50" s="21" t="s">
        <v>182</v>
      </c>
      <c r="F50" s="19" t="s">
        <v>1948</v>
      </c>
      <c r="G50" s="19" t="s">
        <v>1948</v>
      </c>
      <c r="H50" s="164" t="str">
        <f t="shared" si="1"/>
        <v>,sum(regist_emergency_timeout_cnt) as regist_emergency_timeout_cnt</v>
      </c>
      <c r="I50" s="25"/>
      <c r="J50" s="25" t="s">
        <v>284</v>
      </c>
      <c r="K50" s="25" t="s">
        <v>750</v>
      </c>
      <c r="L50" s="25" t="s">
        <v>285</v>
      </c>
    </row>
    <row r="51" spans="1:25" s="1" customFormat="1">
      <c r="B51" s="13" t="s">
        <v>1642</v>
      </c>
      <c r="C51" s="13" t="s">
        <v>319</v>
      </c>
      <c r="D51" s="9" t="s">
        <v>1643</v>
      </c>
      <c r="E51" s="21" t="s">
        <v>182</v>
      </c>
      <c r="F51" s="19" t="s">
        <v>2140</v>
      </c>
      <c r="G51" s="19" t="s">
        <v>2140</v>
      </c>
      <c r="H51" s="164" t="str">
        <f t="shared" si="1"/>
        <v>,sum(regist_emergency_succ_cnt*regist_emergency_delay) / sum(regist_emergency_succ_cnt) as regist_emergency_delay</v>
      </c>
      <c r="I51" s="25"/>
      <c r="J51" s="25" t="s">
        <v>284</v>
      </c>
      <c r="K51" s="25" t="s">
        <v>471</v>
      </c>
      <c r="L51" s="25" t="s">
        <v>285</v>
      </c>
    </row>
    <row r="52" spans="1:25" s="1" customFormat="1">
      <c r="B52" s="13" t="s">
        <v>1645</v>
      </c>
      <c r="C52" s="26" t="s">
        <v>281</v>
      </c>
      <c r="D52" s="9" t="s">
        <v>1646</v>
      </c>
      <c r="E52" s="21" t="s">
        <v>182</v>
      </c>
      <c r="F52" s="19" t="s">
        <v>1954</v>
      </c>
      <c r="G52" s="19" t="s">
        <v>1954</v>
      </c>
      <c r="H52" s="164" t="str">
        <f t="shared" si="1"/>
        <v>,sum(servicerequest_request_cnt) as servicerequest_request_cnt</v>
      </c>
      <c r="I52" s="25"/>
      <c r="J52" s="25" t="s">
        <v>284</v>
      </c>
      <c r="K52" s="25" t="s">
        <v>750</v>
      </c>
      <c r="L52" s="25" t="s">
        <v>285</v>
      </c>
    </row>
    <row r="53" spans="1:25" s="1" customFormat="1">
      <c r="B53" s="13" t="s">
        <v>1648</v>
      </c>
      <c r="C53" s="26" t="s">
        <v>281</v>
      </c>
      <c r="D53" s="9" t="s">
        <v>1649</v>
      </c>
      <c r="E53" s="21" t="s">
        <v>182</v>
      </c>
      <c r="F53" s="19" t="s">
        <v>1956</v>
      </c>
      <c r="G53" s="19" t="s">
        <v>1956</v>
      </c>
      <c r="H53" s="164" t="str">
        <f t="shared" si="1"/>
        <v>,sum(servicerequest_succ_cnt) as servicerequest_succ_cnt</v>
      </c>
      <c r="I53" s="25"/>
      <c r="J53" s="25" t="s">
        <v>284</v>
      </c>
      <c r="K53" s="25" t="s">
        <v>750</v>
      </c>
      <c r="L53" s="25" t="s">
        <v>285</v>
      </c>
    </row>
    <row r="54" spans="1:25" s="1" customFormat="1">
      <c r="B54" s="13" t="s">
        <v>1651</v>
      </c>
      <c r="C54" s="26" t="s">
        <v>281</v>
      </c>
      <c r="D54" s="9" t="s">
        <v>1652</v>
      </c>
      <c r="E54" s="21" t="s">
        <v>182</v>
      </c>
      <c r="F54" s="19" t="s">
        <v>1958</v>
      </c>
      <c r="G54" s="19" t="s">
        <v>1958</v>
      </c>
      <c r="H54" s="164" t="str">
        <f t="shared" si="1"/>
        <v>,sum(servicerequest_fail_cnt) as servicerequest_fail_cnt</v>
      </c>
      <c r="I54" s="25"/>
      <c r="J54" s="25" t="s">
        <v>284</v>
      </c>
      <c r="K54" s="25" t="s">
        <v>750</v>
      </c>
      <c r="L54" s="25" t="s">
        <v>285</v>
      </c>
    </row>
    <row r="55" spans="1:25" s="1" customFormat="1">
      <c r="B55" s="13" t="s">
        <v>1654</v>
      </c>
      <c r="C55" s="26" t="s">
        <v>281</v>
      </c>
      <c r="D55" s="9" t="s">
        <v>1655</v>
      </c>
      <c r="E55" s="21" t="s">
        <v>182</v>
      </c>
      <c r="F55" s="19" t="s">
        <v>1960</v>
      </c>
      <c r="G55" s="19" t="s">
        <v>1960</v>
      </c>
      <c r="H55" s="164" t="str">
        <f t="shared" si="1"/>
        <v>,sum(servicerequest_timeout_cnt) as servicerequest_timeout_cnt</v>
      </c>
      <c r="I55" s="25"/>
      <c r="J55" s="25" t="s">
        <v>284</v>
      </c>
      <c r="K55" s="25" t="s">
        <v>750</v>
      </c>
      <c r="L55" s="25" t="s">
        <v>285</v>
      </c>
    </row>
    <row r="56" spans="1:25" s="1" customFormat="1">
      <c r="B56" s="13" t="s">
        <v>1657</v>
      </c>
      <c r="C56" s="13" t="s">
        <v>319</v>
      </c>
      <c r="D56" s="9" t="s">
        <v>1658</v>
      </c>
      <c r="E56" s="21" t="s">
        <v>182</v>
      </c>
      <c r="F56" s="19" t="s">
        <v>2141</v>
      </c>
      <c r="G56" s="19" t="s">
        <v>2141</v>
      </c>
      <c r="H56" s="164" t="str">
        <f t="shared" si="1"/>
        <v>,sum(servicerequest_succ_cnt*servicerequest_delay) / sum(servicerequest_succ_cnt) as servicerequest_delay</v>
      </c>
      <c r="I56" s="25"/>
      <c r="J56" s="25" t="s">
        <v>284</v>
      </c>
      <c r="K56" s="25" t="s">
        <v>471</v>
      </c>
      <c r="L56" s="25" t="s">
        <v>285</v>
      </c>
    </row>
    <row r="57" spans="1:25" s="52" customFormat="1" ht="15.6">
      <c r="A57" s="53">
        <f t="shared" ref="A57:A61" si="2">ROW()-1</f>
        <v>56</v>
      </c>
      <c r="B57" s="54" t="s">
        <v>1660</v>
      </c>
      <c r="C57" s="55" t="s">
        <v>281</v>
      </c>
      <c r="D57" s="56" t="s">
        <v>1661</v>
      </c>
      <c r="E57" s="21" t="s">
        <v>182</v>
      </c>
      <c r="F57" s="19" t="s">
        <v>2126</v>
      </c>
      <c r="G57" s="19" t="s">
        <v>2126</v>
      </c>
      <c r="H57" s="164" t="str">
        <f t="shared" si="1"/>
        <v>,sum(sms_request_cnt) as sms_request_cnt</v>
      </c>
      <c r="I57" s="57"/>
      <c r="J57" s="25" t="s">
        <v>284</v>
      </c>
      <c r="K57" s="25" t="s">
        <v>750</v>
      </c>
      <c r="L57" s="25" t="s">
        <v>285</v>
      </c>
      <c r="M57" s="1"/>
      <c r="N57" s="1"/>
      <c r="O57" s="1"/>
      <c r="P57" s="1"/>
      <c r="Q57" s="1"/>
      <c r="R57" s="1"/>
      <c r="S57" s="1"/>
      <c r="T57" s="1"/>
      <c r="U57" s="1"/>
      <c r="V57" s="1"/>
      <c r="W57" s="1"/>
      <c r="X57" s="1"/>
      <c r="Y57" s="1"/>
    </row>
    <row r="58" spans="1:25" s="52" customFormat="1" ht="15.6">
      <c r="A58" s="53">
        <f t="shared" si="2"/>
        <v>57</v>
      </c>
      <c r="B58" s="54" t="s">
        <v>1662</v>
      </c>
      <c r="C58" s="55" t="s">
        <v>281</v>
      </c>
      <c r="D58" s="56" t="s">
        <v>1663</v>
      </c>
      <c r="E58" s="21" t="s">
        <v>182</v>
      </c>
      <c r="F58" s="19" t="s">
        <v>2129</v>
      </c>
      <c r="G58" s="19" t="s">
        <v>2129</v>
      </c>
      <c r="H58" s="164" t="str">
        <f t="shared" si="1"/>
        <v>,sum(sms_succ_cnt) as sms_succ_cnt</v>
      </c>
      <c r="I58" s="57"/>
      <c r="J58" s="25" t="s">
        <v>284</v>
      </c>
      <c r="K58" s="25" t="s">
        <v>750</v>
      </c>
      <c r="L58" s="25" t="s">
        <v>285</v>
      </c>
      <c r="M58" s="1"/>
      <c r="N58" s="1"/>
      <c r="O58" s="1"/>
      <c r="P58" s="1"/>
      <c r="Q58" s="1"/>
      <c r="R58" s="1"/>
      <c r="S58" s="1"/>
      <c r="T58" s="1"/>
      <c r="U58" s="1"/>
      <c r="V58" s="1"/>
      <c r="W58" s="1"/>
      <c r="X58" s="1"/>
      <c r="Y58" s="1"/>
    </row>
    <row r="59" spans="1:25" s="52" customFormat="1" ht="15.6">
      <c r="A59" s="53">
        <f t="shared" si="2"/>
        <v>58</v>
      </c>
      <c r="B59" s="54" t="s">
        <v>1664</v>
      </c>
      <c r="C59" s="55" t="s">
        <v>281</v>
      </c>
      <c r="D59" s="56" t="s">
        <v>1665</v>
      </c>
      <c r="E59" s="21" t="s">
        <v>182</v>
      </c>
      <c r="F59" s="19" t="s">
        <v>2132</v>
      </c>
      <c r="G59" s="19" t="s">
        <v>2132</v>
      </c>
      <c r="H59" s="164" t="str">
        <f t="shared" si="1"/>
        <v>,sum(sms_fail_cnt) as sms_fail_cnt</v>
      </c>
      <c r="I59" s="57"/>
      <c r="J59" s="25" t="s">
        <v>284</v>
      </c>
      <c r="K59" s="25" t="s">
        <v>750</v>
      </c>
      <c r="L59" s="25" t="s">
        <v>285</v>
      </c>
      <c r="M59" s="1"/>
      <c r="N59" s="1"/>
      <c r="O59" s="1"/>
      <c r="P59" s="1"/>
      <c r="Q59" s="1"/>
      <c r="R59" s="1"/>
      <c r="S59" s="1"/>
      <c r="T59" s="1"/>
      <c r="U59" s="1"/>
      <c r="V59" s="1"/>
      <c r="W59" s="1"/>
      <c r="X59" s="1"/>
      <c r="Y59" s="1"/>
    </row>
    <row r="60" spans="1:25" s="52" customFormat="1" ht="15.6">
      <c r="A60" s="53">
        <f t="shared" si="2"/>
        <v>59</v>
      </c>
      <c r="B60" s="54" t="s">
        <v>1666</v>
      </c>
      <c r="C60" s="55" t="s">
        <v>281</v>
      </c>
      <c r="D60" s="56" t="s">
        <v>1667</v>
      </c>
      <c r="E60" s="21" t="s">
        <v>182</v>
      </c>
      <c r="F60" s="19" t="s">
        <v>2135</v>
      </c>
      <c r="G60" s="19" t="s">
        <v>2135</v>
      </c>
      <c r="H60" s="164" t="str">
        <f t="shared" si="1"/>
        <v>,sum(sms_timeout_cnt) as sms_timeout_cnt</v>
      </c>
      <c r="I60" s="57"/>
      <c r="J60" s="25" t="s">
        <v>284</v>
      </c>
      <c r="K60" s="25" t="s">
        <v>750</v>
      </c>
      <c r="L60" s="25" t="s">
        <v>285</v>
      </c>
      <c r="M60" s="1"/>
      <c r="N60" s="1"/>
      <c r="O60" s="1"/>
      <c r="P60" s="1"/>
      <c r="Q60" s="1"/>
      <c r="R60" s="1"/>
      <c r="S60" s="1"/>
      <c r="T60" s="1"/>
      <c r="U60" s="1"/>
      <c r="V60" s="1"/>
      <c r="W60" s="1"/>
      <c r="X60" s="1"/>
      <c r="Y60" s="1"/>
    </row>
    <row r="61" spans="1:25" s="52" customFormat="1" ht="15.6">
      <c r="A61" s="53">
        <f t="shared" si="2"/>
        <v>60</v>
      </c>
      <c r="B61" s="54" t="s">
        <v>1668</v>
      </c>
      <c r="C61" s="55" t="s">
        <v>281</v>
      </c>
      <c r="D61" s="56" t="s">
        <v>1669</v>
      </c>
      <c r="E61" s="21" t="s">
        <v>182</v>
      </c>
      <c r="F61" s="19" t="s">
        <v>2142</v>
      </c>
      <c r="G61" s="19" t="s">
        <v>2142</v>
      </c>
      <c r="H61" s="164" t="str">
        <f t="shared" si="1"/>
        <v>,sum(sms_succ_cnt*sms_delay) / sum(sms_succ_cnt) as sms_delay</v>
      </c>
      <c r="I61" s="57"/>
      <c r="J61" s="25" t="s">
        <v>284</v>
      </c>
      <c r="K61" s="25" t="s">
        <v>471</v>
      </c>
      <c r="L61" s="25" t="s">
        <v>285</v>
      </c>
      <c r="M61" s="1"/>
      <c r="N61" s="1"/>
      <c r="O61" s="1"/>
      <c r="P61" s="1"/>
      <c r="Q61" s="1"/>
      <c r="R61" s="1"/>
      <c r="S61" s="1"/>
      <c r="T61" s="1"/>
      <c r="U61" s="1"/>
      <c r="V61" s="1"/>
      <c r="W61" s="1"/>
      <c r="X61" s="1"/>
      <c r="Y61" s="1"/>
    </row>
    <row r="62" spans="1:25" s="1" customFormat="1">
      <c r="B62" s="13" t="s">
        <v>1670</v>
      </c>
      <c r="C62" s="26" t="s">
        <v>281</v>
      </c>
      <c r="D62" s="9" t="s">
        <v>1671</v>
      </c>
      <c r="E62" s="21" t="s">
        <v>182</v>
      </c>
      <c r="F62" s="19" t="s">
        <v>1966</v>
      </c>
      <c r="G62" s="19" t="s">
        <v>1966</v>
      </c>
      <c r="H62" s="164" t="str">
        <f t="shared" si="1"/>
        <v>,sum(sms_mo_request_cnt) as sms_mo_request_cnt</v>
      </c>
      <c r="I62" s="25"/>
      <c r="J62" s="25" t="s">
        <v>284</v>
      </c>
      <c r="K62" s="25" t="s">
        <v>750</v>
      </c>
      <c r="L62" s="25" t="s">
        <v>285</v>
      </c>
    </row>
    <row r="63" spans="1:25" s="1" customFormat="1">
      <c r="B63" s="13" t="s">
        <v>1673</v>
      </c>
      <c r="C63" s="26" t="s">
        <v>281</v>
      </c>
      <c r="D63" s="9" t="s">
        <v>1674</v>
      </c>
      <c r="E63" s="21" t="s">
        <v>182</v>
      </c>
      <c r="F63" s="19" t="s">
        <v>1968</v>
      </c>
      <c r="G63" s="19" t="s">
        <v>1968</v>
      </c>
      <c r="H63" s="164" t="str">
        <f t="shared" si="1"/>
        <v>,sum(sms_mo_succ_cnt) as sms_mo_succ_cnt</v>
      </c>
      <c r="I63" s="25"/>
      <c r="J63" s="25" t="s">
        <v>284</v>
      </c>
      <c r="K63" s="25" t="s">
        <v>750</v>
      </c>
      <c r="L63" s="25" t="s">
        <v>285</v>
      </c>
    </row>
    <row r="64" spans="1:25" s="1" customFormat="1">
      <c r="B64" s="13" t="s">
        <v>1676</v>
      </c>
      <c r="C64" s="26" t="s">
        <v>281</v>
      </c>
      <c r="D64" s="9" t="s">
        <v>1677</v>
      </c>
      <c r="E64" s="21" t="s">
        <v>182</v>
      </c>
      <c r="F64" s="19" t="s">
        <v>1970</v>
      </c>
      <c r="G64" s="19" t="s">
        <v>1970</v>
      </c>
      <c r="H64" s="164" t="str">
        <f t="shared" si="1"/>
        <v>,sum(sms_mo_fail_cnt) as sms_mo_fail_cnt</v>
      </c>
      <c r="I64" s="25"/>
      <c r="J64" s="25" t="s">
        <v>284</v>
      </c>
      <c r="K64" s="25" t="s">
        <v>750</v>
      </c>
      <c r="L64" s="25" t="s">
        <v>285</v>
      </c>
    </row>
    <row r="65" spans="2:12" s="1" customFormat="1">
      <c r="B65" s="13" t="s">
        <v>1679</v>
      </c>
      <c r="C65" s="26" t="s">
        <v>281</v>
      </c>
      <c r="D65" s="9" t="s">
        <v>1680</v>
      </c>
      <c r="E65" s="21" t="s">
        <v>182</v>
      </c>
      <c r="F65" s="19" t="s">
        <v>1972</v>
      </c>
      <c r="G65" s="19" t="s">
        <v>1972</v>
      </c>
      <c r="H65" s="164" t="str">
        <f t="shared" si="1"/>
        <v>,sum(sms_mo_timeout_cnt) as sms_mo_timeout_cnt</v>
      </c>
      <c r="I65" s="25"/>
      <c r="J65" s="25" t="s">
        <v>284</v>
      </c>
      <c r="K65" s="25" t="s">
        <v>750</v>
      </c>
      <c r="L65" s="25" t="s">
        <v>285</v>
      </c>
    </row>
    <row r="66" spans="2:12" s="1" customFormat="1">
      <c r="B66" s="13" t="s">
        <v>1682</v>
      </c>
      <c r="C66" s="13" t="s">
        <v>319</v>
      </c>
      <c r="D66" s="9" t="s">
        <v>1683</v>
      </c>
      <c r="E66" s="21" t="s">
        <v>182</v>
      </c>
      <c r="F66" s="19" t="s">
        <v>2143</v>
      </c>
      <c r="G66" s="19" t="s">
        <v>2143</v>
      </c>
      <c r="H66" s="164" t="str">
        <f t="shared" si="1"/>
        <v>,sum(sms_mo_succ_cnt*sms_mo_delay) / sum(sms_mo_succ_cnt) as sms_mo_delay</v>
      </c>
      <c r="I66" s="25"/>
      <c r="J66" s="25" t="s">
        <v>284</v>
      </c>
      <c r="K66" s="25" t="s">
        <v>471</v>
      </c>
      <c r="L66" s="25" t="s">
        <v>285</v>
      </c>
    </row>
    <row r="67" spans="2:12" s="1" customFormat="1">
      <c r="B67" s="13" t="s">
        <v>1685</v>
      </c>
      <c r="C67" s="26" t="s">
        <v>281</v>
      </c>
      <c r="D67" s="9" t="s">
        <v>1686</v>
      </c>
      <c r="E67" s="21" t="s">
        <v>182</v>
      </c>
      <c r="F67" s="19" t="s">
        <v>1978</v>
      </c>
      <c r="G67" s="19" t="s">
        <v>1978</v>
      </c>
      <c r="H67" s="164" t="str">
        <f t="shared" si="1"/>
        <v>,sum(sms_mt_request_cnt) as sms_mt_request_cnt</v>
      </c>
      <c r="I67" s="25"/>
      <c r="J67" s="25" t="s">
        <v>284</v>
      </c>
      <c r="K67" s="25" t="s">
        <v>750</v>
      </c>
      <c r="L67" s="25" t="s">
        <v>285</v>
      </c>
    </row>
    <row r="68" spans="2:12" s="1" customFormat="1">
      <c r="B68" s="13" t="s">
        <v>1688</v>
      </c>
      <c r="C68" s="26" t="s">
        <v>281</v>
      </c>
      <c r="D68" s="9" t="s">
        <v>1689</v>
      </c>
      <c r="E68" s="21" t="s">
        <v>182</v>
      </c>
      <c r="F68" s="19" t="s">
        <v>1980</v>
      </c>
      <c r="G68" s="19" t="s">
        <v>1980</v>
      </c>
      <c r="H68" s="164" t="str">
        <f t="shared" si="1"/>
        <v>,sum(sms_mt_succ_cnt) as sms_mt_succ_cnt</v>
      </c>
      <c r="I68" s="25"/>
      <c r="J68" s="25" t="s">
        <v>284</v>
      </c>
      <c r="K68" s="25" t="s">
        <v>750</v>
      </c>
      <c r="L68" s="25" t="s">
        <v>285</v>
      </c>
    </row>
    <row r="69" spans="2:12" s="1" customFormat="1">
      <c r="B69" s="13" t="s">
        <v>1691</v>
      </c>
      <c r="C69" s="26" t="s">
        <v>281</v>
      </c>
      <c r="D69" s="9" t="s">
        <v>1692</v>
      </c>
      <c r="E69" s="21" t="s">
        <v>182</v>
      </c>
      <c r="F69" s="19" t="s">
        <v>1982</v>
      </c>
      <c r="G69" s="19" t="s">
        <v>1982</v>
      </c>
      <c r="H69" s="164" t="str">
        <f t="shared" si="1"/>
        <v>,sum(sms_mt_fail_cnt) as sms_mt_fail_cnt</v>
      </c>
      <c r="I69" s="25"/>
      <c r="J69" s="25" t="s">
        <v>284</v>
      </c>
      <c r="K69" s="25" t="s">
        <v>750</v>
      </c>
      <c r="L69" s="25" t="s">
        <v>285</v>
      </c>
    </row>
    <row r="70" spans="2:12" s="1" customFormat="1">
      <c r="B70" s="13" t="s">
        <v>1694</v>
      </c>
      <c r="C70" s="26" t="s">
        <v>281</v>
      </c>
      <c r="D70" s="9" t="s">
        <v>1695</v>
      </c>
      <c r="E70" s="21" t="s">
        <v>182</v>
      </c>
      <c r="F70" s="19" t="s">
        <v>1984</v>
      </c>
      <c r="G70" s="19" t="s">
        <v>1984</v>
      </c>
      <c r="H70" s="164" t="str">
        <f t="shared" si="1"/>
        <v>,sum(sms_mt_timeout_cnt) as sms_mt_timeout_cnt</v>
      </c>
      <c r="I70" s="25"/>
      <c r="J70" s="25" t="s">
        <v>284</v>
      </c>
      <c r="K70" s="25" t="s">
        <v>750</v>
      </c>
      <c r="L70" s="25" t="s">
        <v>285</v>
      </c>
    </row>
    <row r="71" spans="2:12" s="1" customFormat="1">
      <c r="B71" s="13" t="s">
        <v>1697</v>
      </c>
      <c r="C71" s="13" t="s">
        <v>319</v>
      </c>
      <c r="D71" s="9" t="s">
        <v>1698</v>
      </c>
      <c r="E71" s="21" t="s">
        <v>182</v>
      </c>
      <c r="F71" s="19" t="s">
        <v>2144</v>
      </c>
      <c r="G71" s="19" t="s">
        <v>2144</v>
      </c>
      <c r="H71" s="164" t="str">
        <f t="shared" si="1"/>
        <v>,sum(sms_mt_succ_cnt*sms_mt_delay) / sum(sms_mt_succ_cnt) as sms_mt_delay</v>
      </c>
      <c r="I71" s="25"/>
      <c r="J71" s="25" t="s">
        <v>284</v>
      </c>
      <c r="K71" s="25" t="s">
        <v>471</v>
      </c>
      <c r="L71" s="25" t="s">
        <v>285</v>
      </c>
    </row>
    <row r="72" spans="2:12" s="1" customFormat="1">
      <c r="B72" s="13" t="s">
        <v>1700</v>
      </c>
      <c r="C72" s="26" t="s">
        <v>281</v>
      </c>
      <c r="D72" s="9" t="s">
        <v>1701</v>
      </c>
      <c r="E72" s="21" t="s">
        <v>182</v>
      </c>
      <c r="F72" s="19" t="s">
        <v>1990</v>
      </c>
      <c r="G72" s="19" t="s">
        <v>1990</v>
      </c>
      <c r="H72" s="164" t="str">
        <f t="shared" si="1"/>
        <v>,sum(pdusession_estab_request_cnt) as pdusession_estab_request_cnt</v>
      </c>
      <c r="I72" s="25"/>
      <c r="J72" s="25" t="s">
        <v>284</v>
      </c>
      <c r="K72" s="25" t="s">
        <v>750</v>
      </c>
      <c r="L72" s="25" t="s">
        <v>285</v>
      </c>
    </row>
    <row r="73" spans="2:12" s="1" customFormat="1">
      <c r="B73" s="13" t="s">
        <v>1703</v>
      </c>
      <c r="C73" s="26" t="s">
        <v>281</v>
      </c>
      <c r="D73" s="9" t="s">
        <v>1704</v>
      </c>
      <c r="E73" s="21" t="s">
        <v>182</v>
      </c>
      <c r="F73" s="19" t="s">
        <v>1992</v>
      </c>
      <c r="G73" s="19" t="s">
        <v>1992</v>
      </c>
      <c r="H73" s="164" t="str">
        <f t="shared" si="1"/>
        <v>,sum(pdusession_estab_succ_cnt) as pdusession_estab_succ_cnt</v>
      </c>
      <c r="I73" s="25"/>
      <c r="J73" s="25" t="s">
        <v>284</v>
      </c>
      <c r="K73" s="25" t="s">
        <v>750</v>
      </c>
      <c r="L73" s="25" t="s">
        <v>285</v>
      </c>
    </row>
    <row r="74" spans="2:12" s="1" customFormat="1">
      <c r="B74" s="13" t="s">
        <v>1706</v>
      </c>
      <c r="C74" s="26" t="s">
        <v>281</v>
      </c>
      <c r="D74" s="9" t="s">
        <v>1707</v>
      </c>
      <c r="E74" s="21" t="s">
        <v>182</v>
      </c>
      <c r="F74" s="19" t="s">
        <v>1994</v>
      </c>
      <c r="G74" s="19" t="s">
        <v>1994</v>
      </c>
      <c r="H74" s="164" t="str">
        <f t="shared" si="1"/>
        <v>,sum(pdusession_estab_fail_cnt) as pdusession_estab_fail_cnt</v>
      </c>
      <c r="I74" s="25"/>
      <c r="J74" s="25" t="s">
        <v>284</v>
      </c>
      <c r="K74" s="25" t="s">
        <v>750</v>
      </c>
      <c r="L74" s="25" t="s">
        <v>285</v>
      </c>
    </row>
    <row r="75" spans="2:12" s="1" customFormat="1">
      <c r="B75" s="13" t="s">
        <v>1709</v>
      </c>
      <c r="C75" s="26" t="s">
        <v>281</v>
      </c>
      <c r="D75" s="9" t="s">
        <v>1710</v>
      </c>
      <c r="E75" s="21" t="s">
        <v>182</v>
      </c>
      <c r="F75" s="19" t="s">
        <v>1996</v>
      </c>
      <c r="G75" s="19" t="s">
        <v>1996</v>
      </c>
      <c r="H75" s="164" t="str">
        <f t="shared" si="1"/>
        <v>,sum(pdusession_estab_timeout_cnt) as pdusession_estab_timeout_cnt</v>
      </c>
      <c r="I75" s="25"/>
      <c r="J75" s="25" t="s">
        <v>284</v>
      </c>
      <c r="K75" s="25" t="s">
        <v>750</v>
      </c>
      <c r="L75" s="25" t="s">
        <v>285</v>
      </c>
    </row>
    <row r="76" spans="2:12" s="1" customFormat="1">
      <c r="B76" s="13" t="s">
        <v>1712</v>
      </c>
      <c r="C76" s="13" t="s">
        <v>319</v>
      </c>
      <c r="D76" s="9" t="s">
        <v>1713</v>
      </c>
      <c r="E76" s="21" t="s">
        <v>182</v>
      </c>
      <c r="F76" s="19" t="s">
        <v>2145</v>
      </c>
      <c r="G76" s="19" t="s">
        <v>2145</v>
      </c>
      <c r="H76" s="164" t="str">
        <f t="shared" si="1"/>
        <v>,sum(pdusession_estab_succ_cnt*pdusession_estab_delay) / sum(pdusession_estab_succ_cnt) as pdusession_estab_delay</v>
      </c>
      <c r="I76" s="25"/>
      <c r="J76" s="25" t="s">
        <v>284</v>
      </c>
      <c r="K76" s="25" t="s">
        <v>471</v>
      </c>
      <c r="L76" s="25" t="s">
        <v>285</v>
      </c>
    </row>
    <row r="77" spans="2:12" s="1" customFormat="1">
      <c r="B77" s="13" t="s">
        <v>1715</v>
      </c>
      <c r="C77" s="26" t="s">
        <v>281</v>
      </c>
      <c r="D77" s="9" t="s">
        <v>1716</v>
      </c>
      <c r="E77" s="21" t="s">
        <v>182</v>
      </c>
      <c r="F77" s="19" t="s">
        <v>2002</v>
      </c>
      <c r="G77" s="19" t="s">
        <v>2002</v>
      </c>
      <c r="H77" s="164" t="str">
        <f t="shared" si="1"/>
        <v>,sum(pdusession_modify_request_cnt) as pdusession_modify_request_cnt</v>
      </c>
      <c r="I77" s="25"/>
      <c r="J77" s="25" t="s">
        <v>284</v>
      </c>
      <c r="K77" s="25" t="s">
        <v>750</v>
      </c>
      <c r="L77" s="25" t="s">
        <v>285</v>
      </c>
    </row>
    <row r="78" spans="2:12" s="1" customFormat="1">
      <c r="B78" s="13" t="s">
        <v>1718</v>
      </c>
      <c r="C78" s="26" t="s">
        <v>281</v>
      </c>
      <c r="D78" s="9" t="s">
        <v>1719</v>
      </c>
      <c r="E78" s="21" t="s">
        <v>182</v>
      </c>
      <c r="F78" s="19" t="s">
        <v>2004</v>
      </c>
      <c r="G78" s="19" t="s">
        <v>2004</v>
      </c>
      <c r="H78" s="164" t="str">
        <f t="shared" ref="H78:H109" si="3">_xlfn.CONCAT(",",F78," as ",B78)</f>
        <v>,sum(pdusession_modify_succ_cnt) as pdusession_modify_succ_cnt</v>
      </c>
      <c r="I78" s="25"/>
      <c r="J78" s="25" t="s">
        <v>284</v>
      </c>
      <c r="K78" s="25" t="s">
        <v>750</v>
      </c>
      <c r="L78" s="25" t="s">
        <v>285</v>
      </c>
    </row>
    <row r="79" spans="2:12" s="1" customFormat="1">
      <c r="B79" s="13" t="s">
        <v>1721</v>
      </c>
      <c r="C79" s="26" t="s">
        <v>281</v>
      </c>
      <c r="D79" s="9" t="s">
        <v>1722</v>
      </c>
      <c r="E79" s="21" t="s">
        <v>182</v>
      </c>
      <c r="F79" s="19" t="s">
        <v>2006</v>
      </c>
      <c r="G79" s="19" t="s">
        <v>2006</v>
      </c>
      <c r="H79" s="164" t="str">
        <f t="shared" si="3"/>
        <v>,sum(pdusession_modify_fail_cnt) as pdusession_modify_fail_cnt</v>
      </c>
      <c r="I79" s="25"/>
      <c r="J79" s="25" t="s">
        <v>284</v>
      </c>
      <c r="K79" s="25" t="s">
        <v>750</v>
      </c>
      <c r="L79" s="25" t="s">
        <v>285</v>
      </c>
    </row>
    <row r="80" spans="2:12" s="1" customFormat="1">
      <c r="B80" s="13" t="s">
        <v>1724</v>
      </c>
      <c r="C80" s="26" t="s">
        <v>281</v>
      </c>
      <c r="D80" s="9" t="s">
        <v>1725</v>
      </c>
      <c r="E80" s="21" t="s">
        <v>182</v>
      </c>
      <c r="F80" s="19" t="s">
        <v>2008</v>
      </c>
      <c r="G80" s="19" t="s">
        <v>2008</v>
      </c>
      <c r="H80" s="164" t="str">
        <f t="shared" si="3"/>
        <v>,sum(pdusession_modify_timeout_cnt) as pdusession_modify_timeout_cnt</v>
      </c>
      <c r="I80" s="25"/>
      <c r="J80" s="25" t="s">
        <v>284</v>
      </c>
      <c r="K80" s="25" t="s">
        <v>750</v>
      </c>
      <c r="L80" s="25" t="s">
        <v>285</v>
      </c>
    </row>
    <row r="81" spans="2:12" s="1" customFormat="1">
      <c r="B81" s="13" t="s">
        <v>1727</v>
      </c>
      <c r="C81" s="13" t="s">
        <v>319</v>
      </c>
      <c r="D81" s="9" t="s">
        <v>1728</v>
      </c>
      <c r="E81" s="21" t="s">
        <v>182</v>
      </c>
      <c r="F81" s="19" t="s">
        <v>2146</v>
      </c>
      <c r="G81" s="19" t="s">
        <v>2146</v>
      </c>
      <c r="H81" s="164" t="str">
        <f t="shared" si="3"/>
        <v>,sum(pdusession_modify_succ_cnt*pdusession_modify_delay) / sum(pdusession_modify_succ_cnt) as pdusession_modify_delay</v>
      </c>
      <c r="I81" s="25"/>
      <c r="J81" s="25" t="s">
        <v>284</v>
      </c>
      <c r="K81" s="25" t="s">
        <v>471</v>
      </c>
      <c r="L81" s="25" t="s">
        <v>285</v>
      </c>
    </row>
    <row r="82" spans="2:12" s="1" customFormat="1">
      <c r="B82" s="13" t="s">
        <v>1730</v>
      </c>
      <c r="C82" s="26" t="s">
        <v>281</v>
      </c>
      <c r="D82" s="9" t="s">
        <v>1731</v>
      </c>
      <c r="E82" s="21" t="s">
        <v>182</v>
      </c>
      <c r="F82" s="19" t="s">
        <v>2014</v>
      </c>
      <c r="G82" s="19" t="s">
        <v>2014</v>
      </c>
      <c r="H82" s="164" t="str">
        <f t="shared" si="3"/>
        <v>,sum(pdusession_release_request_cnt) as pdusession_release_request_cnt</v>
      </c>
      <c r="I82" s="25"/>
      <c r="J82" s="25" t="s">
        <v>284</v>
      </c>
      <c r="K82" s="25" t="s">
        <v>750</v>
      </c>
      <c r="L82" s="25" t="s">
        <v>285</v>
      </c>
    </row>
    <row r="83" spans="2:12" s="1" customFormat="1">
      <c r="B83" s="13" t="s">
        <v>1733</v>
      </c>
      <c r="C83" s="26" t="s">
        <v>281</v>
      </c>
      <c r="D83" s="9" t="s">
        <v>1734</v>
      </c>
      <c r="E83" s="21" t="s">
        <v>182</v>
      </c>
      <c r="F83" s="19" t="s">
        <v>2016</v>
      </c>
      <c r="G83" s="19" t="s">
        <v>2016</v>
      </c>
      <c r="H83" s="164" t="str">
        <f t="shared" si="3"/>
        <v>,sum(pdusession_release_succ_cnt) as pdusession_release_succ_cnt</v>
      </c>
      <c r="I83" s="25"/>
      <c r="J83" s="25" t="s">
        <v>284</v>
      </c>
      <c r="K83" s="25" t="s">
        <v>750</v>
      </c>
      <c r="L83" s="25" t="s">
        <v>285</v>
      </c>
    </row>
    <row r="84" spans="2:12" s="1" customFormat="1">
      <c r="B84" s="13" t="s">
        <v>1736</v>
      </c>
      <c r="C84" s="26" t="s">
        <v>281</v>
      </c>
      <c r="D84" s="9" t="s">
        <v>1737</v>
      </c>
      <c r="E84" s="21" t="s">
        <v>182</v>
      </c>
      <c r="F84" s="19" t="s">
        <v>2018</v>
      </c>
      <c r="G84" s="19" t="s">
        <v>2018</v>
      </c>
      <c r="H84" s="164" t="str">
        <f t="shared" si="3"/>
        <v>,sum(pdusession_release_fail_cnt) as pdusession_release_fail_cnt</v>
      </c>
      <c r="I84" s="25"/>
      <c r="J84" s="25" t="s">
        <v>284</v>
      </c>
      <c r="K84" s="25" t="s">
        <v>750</v>
      </c>
      <c r="L84" s="25" t="s">
        <v>285</v>
      </c>
    </row>
    <row r="85" spans="2:12" s="1" customFormat="1">
      <c r="B85" s="13" t="s">
        <v>1739</v>
      </c>
      <c r="C85" s="26" t="s">
        <v>281</v>
      </c>
      <c r="D85" s="9" t="s">
        <v>1740</v>
      </c>
      <c r="E85" s="21" t="s">
        <v>182</v>
      </c>
      <c r="F85" s="19" t="s">
        <v>2020</v>
      </c>
      <c r="G85" s="19" t="s">
        <v>2020</v>
      </c>
      <c r="H85" s="164" t="str">
        <f t="shared" si="3"/>
        <v>,sum(pdusession_release_timeout_cnt) as pdusession_release_timeout_cnt</v>
      </c>
      <c r="I85" s="25"/>
      <c r="J85" s="25" t="s">
        <v>284</v>
      </c>
      <c r="K85" s="25" t="s">
        <v>750</v>
      </c>
      <c r="L85" s="25" t="s">
        <v>285</v>
      </c>
    </row>
    <row r="86" spans="2:12" s="1" customFormat="1">
      <c r="B86" s="13" t="s">
        <v>1742</v>
      </c>
      <c r="C86" s="13" t="s">
        <v>319</v>
      </c>
      <c r="D86" s="9" t="s">
        <v>1743</v>
      </c>
      <c r="E86" s="21" t="s">
        <v>182</v>
      </c>
      <c r="F86" s="19" t="s">
        <v>2147</v>
      </c>
      <c r="G86" s="19" t="s">
        <v>2147</v>
      </c>
      <c r="H86" s="164" t="str">
        <f t="shared" si="3"/>
        <v>,sum(pdusession_release_succ_cnt*pdusession_release_delay) / sum(pdusession_release_succ_cnt) as pdusession_release_delay</v>
      </c>
      <c r="I86" s="25"/>
      <c r="J86" s="25" t="s">
        <v>284</v>
      </c>
      <c r="K86" s="25" t="s">
        <v>471</v>
      </c>
      <c r="L86" s="25" t="s">
        <v>285</v>
      </c>
    </row>
    <row r="87" spans="2:12" s="1" customFormat="1">
      <c r="B87" s="13" t="s">
        <v>1745</v>
      </c>
      <c r="C87" s="26" t="s">
        <v>281</v>
      </c>
      <c r="D87" s="9" t="s">
        <v>1746</v>
      </c>
      <c r="E87" s="21" t="s">
        <v>182</v>
      </c>
      <c r="F87" s="19" t="s">
        <v>2148</v>
      </c>
      <c r="G87" s="19" t="s">
        <v>2148</v>
      </c>
      <c r="H87" s="164" t="str">
        <f t="shared" si="3"/>
        <v>,sum(n2ho_out_request_cnt) as n2ho_out_request_cnt</v>
      </c>
      <c r="I87" s="25"/>
      <c r="J87" s="25" t="s">
        <v>284</v>
      </c>
      <c r="K87" s="25" t="s">
        <v>750</v>
      </c>
      <c r="L87" s="25" t="s">
        <v>285</v>
      </c>
    </row>
    <row r="88" spans="2:12" s="1" customFormat="1">
      <c r="B88" s="13" t="s">
        <v>1748</v>
      </c>
      <c r="C88" s="26" t="s">
        <v>281</v>
      </c>
      <c r="D88" s="9" t="s">
        <v>1749</v>
      </c>
      <c r="E88" s="21" t="s">
        <v>182</v>
      </c>
      <c r="F88" s="19" t="s">
        <v>2149</v>
      </c>
      <c r="G88" s="19" t="s">
        <v>2149</v>
      </c>
      <c r="H88" s="164" t="str">
        <f t="shared" si="3"/>
        <v>,sum(n2ho_out_succ_cnt) as n2ho_out_succ_cnt</v>
      </c>
      <c r="I88" s="25"/>
      <c r="J88" s="25" t="s">
        <v>284</v>
      </c>
      <c r="K88" s="25" t="s">
        <v>750</v>
      </c>
      <c r="L88" s="25" t="s">
        <v>285</v>
      </c>
    </row>
    <row r="89" spans="2:12" s="1" customFormat="1">
      <c r="B89" s="13" t="s">
        <v>1751</v>
      </c>
      <c r="C89" s="26" t="s">
        <v>281</v>
      </c>
      <c r="D89" s="9" t="s">
        <v>1752</v>
      </c>
      <c r="E89" s="21" t="s">
        <v>182</v>
      </c>
      <c r="F89" s="19" t="s">
        <v>2150</v>
      </c>
      <c r="G89" s="19" t="s">
        <v>2150</v>
      </c>
      <c r="H89" s="164" t="str">
        <f t="shared" si="3"/>
        <v>,sum(n2ho_out_fail_cnt) as n2ho_out_fail_cnt</v>
      </c>
      <c r="I89" s="25"/>
      <c r="J89" s="25" t="s">
        <v>284</v>
      </c>
      <c r="K89" s="25" t="s">
        <v>750</v>
      </c>
      <c r="L89" s="25" t="s">
        <v>285</v>
      </c>
    </row>
    <row r="90" spans="2:12" s="1" customFormat="1">
      <c r="B90" s="13" t="s">
        <v>1754</v>
      </c>
      <c r="C90" s="26" t="s">
        <v>281</v>
      </c>
      <c r="D90" s="9" t="s">
        <v>1755</v>
      </c>
      <c r="E90" s="21" t="s">
        <v>182</v>
      </c>
      <c r="F90" s="19" t="s">
        <v>2151</v>
      </c>
      <c r="G90" s="19" t="s">
        <v>2151</v>
      </c>
      <c r="H90" s="164" t="str">
        <f t="shared" si="3"/>
        <v>,sum(n2ho_out_timeout_cnt) as n2ho_out_timeout_cnt</v>
      </c>
      <c r="I90" s="25"/>
      <c r="J90" s="25" t="s">
        <v>284</v>
      </c>
      <c r="K90" s="25" t="s">
        <v>750</v>
      </c>
      <c r="L90" s="25" t="s">
        <v>285</v>
      </c>
    </row>
    <row r="91" spans="2:12" s="1" customFormat="1">
      <c r="B91" s="13" t="s">
        <v>1757</v>
      </c>
      <c r="C91" s="13" t="s">
        <v>319</v>
      </c>
      <c r="D91" s="9" t="s">
        <v>1758</v>
      </c>
      <c r="E91" s="21" t="s">
        <v>182</v>
      </c>
      <c r="F91" s="19" t="s">
        <v>2152</v>
      </c>
      <c r="G91" s="19" t="s">
        <v>2152</v>
      </c>
      <c r="H91" s="164" t="str">
        <f t="shared" si="3"/>
        <v>,sum(n2ho_out_succ_cnt*n2ho_out_delay) / sum(n2ho_out_succ_cnt) as n2ho_out_delay</v>
      </c>
      <c r="I91" s="25"/>
      <c r="J91" s="25" t="s">
        <v>284</v>
      </c>
      <c r="K91" s="25" t="s">
        <v>471</v>
      </c>
      <c r="L91" s="25" t="s">
        <v>285</v>
      </c>
    </row>
    <row r="92" spans="2:12" s="1" customFormat="1">
      <c r="B92" s="13" t="s">
        <v>1760</v>
      </c>
      <c r="C92" s="26" t="s">
        <v>281</v>
      </c>
      <c r="D92" s="9" t="s">
        <v>1761</v>
      </c>
      <c r="E92" s="21" t="s">
        <v>182</v>
      </c>
      <c r="F92" s="19" t="s">
        <v>2026</v>
      </c>
      <c r="G92" s="19" t="s">
        <v>2026</v>
      </c>
      <c r="H92" s="164" t="str">
        <f t="shared" si="3"/>
        <v>,sum(n2ho_out_intra5gs_request_cnt) as n2ho_out_intra5gs_request_cnt</v>
      </c>
      <c r="I92" s="25"/>
      <c r="J92" s="25" t="s">
        <v>284</v>
      </c>
      <c r="K92" s="25" t="s">
        <v>750</v>
      </c>
      <c r="L92" s="25" t="s">
        <v>285</v>
      </c>
    </row>
    <row r="93" spans="2:12" s="1" customFormat="1">
      <c r="B93" s="13" t="s">
        <v>1763</v>
      </c>
      <c r="C93" s="26" t="s">
        <v>281</v>
      </c>
      <c r="D93" s="9" t="s">
        <v>1764</v>
      </c>
      <c r="E93" s="21" t="s">
        <v>182</v>
      </c>
      <c r="F93" s="19" t="s">
        <v>2028</v>
      </c>
      <c r="G93" s="19" t="s">
        <v>2028</v>
      </c>
      <c r="H93" s="164" t="str">
        <f t="shared" si="3"/>
        <v>,sum(n2ho_out_intra5gs_succ_cnt) as n2ho_out_intra5gs_succ_cnt</v>
      </c>
      <c r="I93" s="25"/>
      <c r="J93" s="25" t="s">
        <v>284</v>
      </c>
      <c r="K93" s="25" t="s">
        <v>750</v>
      </c>
      <c r="L93" s="25" t="s">
        <v>285</v>
      </c>
    </row>
    <row r="94" spans="2:12" s="1" customFormat="1">
      <c r="B94" s="13" t="s">
        <v>1766</v>
      </c>
      <c r="C94" s="26" t="s">
        <v>281</v>
      </c>
      <c r="D94" s="9" t="s">
        <v>1767</v>
      </c>
      <c r="E94" s="21" t="s">
        <v>182</v>
      </c>
      <c r="F94" s="19" t="s">
        <v>2030</v>
      </c>
      <c r="G94" s="19" t="s">
        <v>2030</v>
      </c>
      <c r="H94" s="164" t="str">
        <f t="shared" si="3"/>
        <v>,sum(n2ho_out_intra5gs_fail_cnt) as n2ho_out_intra5gs_fail_cnt</v>
      </c>
      <c r="I94" s="25"/>
      <c r="J94" s="25" t="s">
        <v>284</v>
      </c>
      <c r="K94" s="25" t="s">
        <v>750</v>
      </c>
      <c r="L94" s="25" t="s">
        <v>285</v>
      </c>
    </row>
    <row r="95" spans="2:12" s="1" customFormat="1">
      <c r="B95" s="13" t="s">
        <v>1769</v>
      </c>
      <c r="C95" s="26" t="s">
        <v>281</v>
      </c>
      <c r="D95" s="9" t="s">
        <v>1770</v>
      </c>
      <c r="E95" s="21" t="s">
        <v>182</v>
      </c>
      <c r="F95" s="19" t="s">
        <v>2032</v>
      </c>
      <c r="G95" s="19" t="s">
        <v>2032</v>
      </c>
      <c r="H95" s="164" t="str">
        <f t="shared" si="3"/>
        <v>,sum(n2ho_out_intra5gs_timeout_cnt) as n2ho_out_intra5gs_timeout_cnt</v>
      </c>
      <c r="I95" s="25"/>
      <c r="J95" s="25" t="s">
        <v>284</v>
      </c>
      <c r="K95" s="25" t="s">
        <v>750</v>
      </c>
      <c r="L95" s="25" t="s">
        <v>285</v>
      </c>
    </row>
    <row r="96" spans="2:12" s="1" customFormat="1">
      <c r="B96" s="13" t="s">
        <v>1772</v>
      </c>
      <c r="C96" s="13" t="s">
        <v>319</v>
      </c>
      <c r="D96" s="9" t="s">
        <v>1773</v>
      </c>
      <c r="E96" s="21" t="s">
        <v>182</v>
      </c>
      <c r="F96" s="19" t="s">
        <v>2153</v>
      </c>
      <c r="G96" s="19" t="s">
        <v>2153</v>
      </c>
      <c r="H96" s="164" t="str">
        <f t="shared" si="3"/>
        <v>,sum(n2ho_out_intra5gs_succ_cnt*n2ho_out_intra5gs_delay) / sum(n2ho_out_intra5gs_succ_cnt) as n2ho_out_intra5gs_delay</v>
      </c>
      <c r="I96" s="25"/>
      <c r="J96" s="25" t="s">
        <v>284</v>
      </c>
      <c r="K96" s="25" t="s">
        <v>471</v>
      </c>
      <c r="L96" s="25" t="s">
        <v>285</v>
      </c>
    </row>
    <row r="97" spans="2:12" s="1" customFormat="1">
      <c r="B97" s="13" t="s">
        <v>1775</v>
      </c>
      <c r="C97" s="26" t="s">
        <v>281</v>
      </c>
      <c r="D97" s="9" t="s">
        <v>1776</v>
      </c>
      <c r="E97" s="21" t="s">
        <v>182</v>
      </c>
      <c r="F97" s="19" t="s">
        <v>2038</v>
      </c>
      <c r="G97" s="19" t="s">
        <v>2038</v>
      </c>
      <c r="H97" s="164" t="str">
        <f t="shared" si="3"/>
        <v>,sum(n2ho_out_5gstoeps_request_cnt) as n2ho_out_5gstoeps_request_cnt</v>
      </c>
      <c r="I97" s="25"/>
      <c r="J97" s="25" t="s">
        <v>284</v>
      </c>
      <c r="K97" s="25" t="s">
        <v>750</v>
      </c>
      <c r="L97" s="25" t="s">
        <v>285</v>
      </c>
    </row>
    <row r="98" spans="2:12" s="1" customFormat="1">
      <c r="B98" s="13" t="s">
        <v>1778</v>
      </c>
      <c r="C98" s="26" t="s">
        <v>281</v>
      </c>
      <c r="D98" s="9" t="s">
        <v>1779</v>
      </c>
      <c r="E98" s="21" t="s">
        <v>182</v>
      </c>
      <c r="F98" s="19" t="s">
        <v>2040</v>
      </c>
      <c r="G98" s="19" t="s">
        <v>2040</v>
      </c>
      <c r="H98" s="164" t="str">
        <f t="shared" si="3"/>
        <v>,sum(n2ho_out_5gstoeps_succ_cnt) as n2ho_out_5gstoeps_succ_cnt</v>
      </c>
      <c r="I98" s="25"/>
      <c r="J98" s="25" t="s">
        <v>284</v>
      </c>
      <c r="K98" s="25" t="s">
        <v>750</v>
      </c>
      <c r="L98" s="25" t="s">
        <v>285</v>
      </c>
    </row>
    <row r="99" spans="2:12" s="1" customFormat="1">
      <c r="B99" s="13" t="s">
        <v>1781</v>
      </c>
      <c r="C99" s="26" t="s">
        <v>281</v>
      </c>
      <c r="D99" s="9" t="s">
        <v>1782</v>
      </c>
      <c r="E99" s="21" t="s">
        <v>182</v>
      </c>
      <c r="F99" s="19" t="s">
        <v>2042</v>
      </c>
      <c r="G99" s="19" t="s">
        <v>2042</v>
      </c>
      <c r="H99" s="164" t="str">
        <f t="shared" si="3"/>
        <v>,sum(n2ho_out_5gstoeps_fail_cnt) as n2ho_out_5gstoeps_fail_cnt</v>
      </c>
      <c r="I99" s="25"/>
      <c r="J99" s="25" t="s">
        <v>284</v>
      </c>
      <c r="K99" s="25" t="s">
        <v>750</v>
      </c>
      <c r="L99" s="25" t="s">
        <v>285</v>
      </c>
    </row>
    <row r="100" spans="2:12" s="1" customFormat="1">
      <c r="B100" s="13" t="s">
        <v>1784</v>
      </c>
      <c r="C100" s="26" t="s">
        <v>281</v>
      </c>
      <c r="D100" s="9" t="s">
        <v>1785</v>
      </c>
      <c r="E100" s="21" t="s">
        <v>182</v>
      </c>
      <c r="F100" s="19" t="s">
        <v>2044</v>
      </c>
      <c r="G100" s="19" t="s">
        <v>2044</v>
      </c>
      <c r="H100" s="164" t="str">
        <f t="shared" si="3"/>
        <v>,sum(n2ho_out_5gstoeps_timeout_cnt) as n2ho_out_5gstoeps_timeout_cnt</v>
      </c>
      <c r="I100" s="25"/>
      <c r="J100" s="25" t="s">
        <v>284</v>
      </c>
      <c r="K100" s="25" t="s">
        <v>750</v>
      </c>
      <c r="L100" s="25" t="s">
        <v>285</v>
      </c>
    </row>
    <row r="101" spans="2:12" s="1" customFormat="1">
      <c r="B101" s="13" t="s">
        <v>1787</v>
      </c>
      <c r="C101" s="13" t="s">
        <v>319</v>
      </c>
      <c r="D101" s="9" t="s">
        <v>1788</v>
      </c>
      <c r="E101" s="21" t="s">
        <v>182</v>
      </c>
      <c r="F101" s="19" t="s">
        <v>2154</v>
      </c>
      <c r="G101" s="19" t="s">
        <v>2154</v>
      </c>
      <c r="H101" s="164" t="str">
        <f t="shared" si="3"/>
        <v>,sum(n2ho_out_5gstoeps_succ_cnt*n2ho_out_5gstoeps_delay)/sum(n2ho_out_5gstoeps_succ_cnt) as n2ho_out_5gstoeps_delay</v>
      </c>
      <c r="I101" s="25"/>
      <c r="J101" s="25" t="s">
        <v>284</v>
      </c>
      <c r="K101" s="25" t="s">
        <v>471</v>
      </c>
      <c r="L101" s="25" t="s">
        <v>285</v>
      </c>
    </row>
    <row r="102" spans="2:12" s="1" customFormat="1">
      <c r="B102" s="13" t="s">
        <v>1790</v>
      </c>
      <c r="C102" s="26" t="s">
        <v>281</v>
      </c>
      <c r="D102" s="9" t="s">
        <v>1791</v>
      </c>
      <c r="E102" s="21" t="s">
        <v>182</v>
      </c>
      <c r="F102" s="19" t="s">
        <v>2050</v>
      </c>
      <c r="G102" s="19" t="s">
        <v>2050</v>
      </c>
      <c r="H102" s="164" t="str">
        <f t="shared" si="3"/>
        <v>,sum(n2ho_in_intra5gs_request_cnt) as n2ho_in_intra5gs_request_cnt</v>
      </c>
      <c r="I102" s="25"/>
      <c r="J102" s="25" t="s">
        <v>284</v>
      </c>
      <c r="K102" s="25" t="s">
        <v>750</v>
      </c>
      <c r="L102" s="25" t="s">
        <v>285</v>
      </c>
    </row>
    <row r="103" spans="2:12" s="1" customFormat="1">
      <c r="B103" s="13" t="s">
        <v>1793</v>
      </c>
      <c r="C103" s="26" t="s">
        <v>281</v>
      </c>
      <c r="D103" s="9" t="s">
        <v>1794</v>
      </c>
      <c r="E103" s="21" t="s">
        <v>182</v>
      </c>
      <c r="F103" s="19" t="s">
        <v>2052</v>
      </c>
      <c r="G103" s="19" t="s">
        <v>2052</v>
      </c>
      <c r="H103" s="164" t="str">
        <f t="shared" si="3"/>
        <v>,sum(n2ho_in_intra5gs_succ_cnt) as n2ho_in_intra5gs_succ_cnt</v>
      </c>
      <c r="I103" s="25"/>
      <c r="J103" s="25" t="s">
        <v>284</v>
      </c>
      <c r="K103" s="25" t="s">
        <v>750</v>
      </c>
      <c r="L103" s="25" t="s">
        <v>285</v>
      </c>
    </row>
    <row r="104" spans="2:12" s="1" customFormat="1">
      <c r="B104" s="13" t="s">
        <v>1796</v>
      </c>
      <c r="C104" s="26" t="s">
        <v>281</v>
      </c>
      <c r="D104" s="9" t="s">
        <v>1797</v>
      </c>
      <c r="E104" s="21" t="s">
        <v>182</v>
      </c>
      <c r="F104" s="19" t="s">
        <v>2054</v>
      </c>
      <c r="G104" s="19" t="s">
        <v>2054</v>
      </c>
      <c r="H104" s="164" t="str">
        <f t="shared" si="3"/>
        <v>,sum(n2ho_in_intra5gs_fail_cnt) as n2ho_in_intra5gs_fail_cnt</v>
      </c>
      <c r="I104" s="25"/>
      <c r="J104" s="25" t="s">
        <v>284</v>
      </c>
      <c r="K104" s="25" t="s">
        <v>750</v>
      </c>
      <c r="L104" s="25" t="s">
        <v>285</v>
      </c>
    </row>
    <row r="105" spans="2:12" s="1" customFormat="1">
      <c r="B105" s="13" t="s">
        <v>1799</v>
      </c>
      <c r="C105" s="26" t="s">
        <v>281</v>
      </c>
      <c r="D105" s="9" t="s">
        <v>1800</v>
      </c>
      <c r="E105" s="21" t="s">
        <v>182</v>
      </c>
      <c r="F105" s="19" t="s">
        <v>2056</v>
      </c>
      <c r="G105" s="19" t="s">
        <v>2056</v>
      </c>
      <c r="H105" s="164" t="str">
        <f t="shared" si="3"/>
        <v>,sum(n2ho_in_intra5gs_timeout) as n2ho_in_intra5gs_timeout</v>
      </c>
      <c r="I105" s="25"/>
      <c r="J105" s="25" t="s">
        <v>284</v>
      </c>
      <c r="K105" s="25" t="s">
        <v>750</v>
      </c>
      <c r="L105" s="25" t="s">
        <v>285</v>
      </c>
    </row>
    <row r="106" spans="2:12" s="1" customFormat="1">
      <c r="B106" s="13" t="s">
        <v>1802</v>
      </c>
      <c r="C106" s="13" t="s">
        <v>319</v>
      </c>
      <c r="D106" s="9" t="s">
        <v>1803</v>
      </c>
      <c r="E106" s="21" t="s">
        <v>182</v>
      </c>
      <c r="F106" s="19" t="s">
        <v>2155</v>
      </c>
      <c r="G106" s="19" t="s">
        <v>2155</v>
      </c>
      <c r="H106" s="164" t="str">
        <f t="shared" si="3"/>
        <v>,sum(n2ho_in_intra5gs_succ_cnt*n2ho_in_intra5gs_delay) / sum(n2ho_in_intra5gs_succ_cnt) as n2ho_in_intra5gs_delay</v>
      </c>
      <c r="I106" s="25"/>
      <c r="J106" s="25" t="s">
        <v>284</v>
      </c>
      <c r="K106" s="25" t="s">
        <v>471</v>
      </c>
      <c r="L106" s="25" t="s">
        <v>285</v>
      </c>
    </row>
    <row r="107" spans="2:12" s="1" customFormat="1">
      <c r="B107" s="13" t="s">
        <v>1805</v>
      </c>
      <c r="C107" s="26" t="s">
        <v>281</v>
      </c>
      <c r="D107" s="9" t="s">
        <v>1806</v>
      </c>
      <c r="E107" s="21" t="s">
        <v>182</v>
      </c>
      <c r="F107" s="19" t="s">
        <v>2062</v>
      </c>
      <c r="G107" s="19" t="s">
        <v>2062</v>
      </c>
      <c r="H107" s="164" t="str">
        <f t="shared" si="3"/>
        <v>,sum(n2ho_in_epsto5gs_request_cnt) as n2ho_in_epsto5gs_request_cnt</v>
      </c>
      <c r="I107" s="25"/>
      <c r="J107" s="25" t="s">
        <v>284</v>
      </c>
      <c r="K107" s="25" t="s">
        <v>750</v>
      </c>
      <c r="L107" s="25" t="s">
        <v>285</v>
      </c>
    </row>
    <row r="108" spans="2:12" s="1" customFormat="1">
      <c r="B108" s="13" t="s">
        <v>1808</v>
      </c>
      <c r="C108" s="26" t="s">
        <v>281</v>
      </c>
      <c r="D108" s="9" t="s">
        <v>1809</v>
      </c>
      <c r="E108" s="21" t="s">
        <v>182</v>
      </c>
      <c r="F108" s="19" t="s">
        <v>2064</v>
      </c>
      <c r="G108" s="19" t="s">
        <v>2064</v>
      </c>
      <c r="H108" s="164" t="str">
        <f t="shared" si="3"/>
        <v>,sum(n2ho_in_epsto5gs_succ_cnt) as n2ho_in_epsto5gs_succ_cnt</v>
      </c>
      <c r="I108" s="25"/>
      <c r="J108" s="25" t="s">
        <v>284</v>
      </c>
      <c r="K108" s="25" t="s">
        <v>750</v>
      </c>
      <c r="L108" s="25" t="s">
        <v>285</v>
      </c>
    </row>
    <row r="109" spans="2:12" s="1" customFormat="1">
      <c r="B109" s="13" t="s">
        <v>1811</v>
      </c>
      <c r="C109" s="26" t="s">
        <v>281</v>
      </c>
      <c r="D109" s="9" t="s">
        <v>1812</v>
      </c>
      <c r="E109" s="21" t="s">
        <v>182</v>
      </c>
      <c r="F109" s="19" t="s">
        <v>2066</v>
      </c>
      <c r="G109" s="19" t="s">
        <v>2066</v>
      </c>
      <c r="H109" s="164" t="str">
        <f t="shared" si="3"/>
        <v>,sum(n2ho_in_epsto5gs_fail_cnt) as n2ho_in_epsto5gs_fail_cnt</v>
      </c>
      <c r="I109" s="25"/>
      <c r="J109" s="25" t="s">
        <v>284</v>
      </c>
      <c r="K109" s="25" t="s">
        <v>750</v>
      </c>
      <c r="L109" s="25" t="s">
        <v>285</v>
      </c>
    </row>
    <row r="110" spans="2:12" s="1" customFormat="1">
      <c r="B110" s="13" t="s">
        <v>1814</v>
      </c>
      <c r="C110" s="26" t="s">
        <v>281</v>
      </c>
      <c r="D110" s="9" t="s">
        <v>1815</v>
      </c>
      <c r="E110" s="21" t="s">
        <v>182</v>
      </c>
      <c r="F110" s="19" t="s">
        <v>2068</v>
      </c>
      <c r="G110" s="19" t="s">
        <v>2068</v>
      </c>
      <c r="H110" s="164" t="str">
        <f t="shared" ref="H110:H140" si="4">_xlfn.CONCAT(",",F110," as ",B110)</f>
        <v>,sum(n2ho_in_epsto5gs_timeout) as n2ho_in_epsto5gs_timeout</v>
      </c>
      <c r="I110" s="25"/>
      <c r="J110" s="25" t="s">
        <v>284</v>
      </c>
      <c r="K110" s="25" t="s">
        <v>750</v>
      </c>
      <c r="L110" s="25" t="s">
        <v>285</v>
      </c>
    </row>
    <row r="111" spans="2:12" s="1" customFormat="1">
      <c r="B111" s="13" t="s">
        <v>1817</v>
      </c>
      <c r="C111" s="13" t="s">
        <v>319</v>
      </c>
      <c r="D111" s="9" t="s">
        <v>1818</v>
      </c>
      <c r="E111" s="21" t="s">
        <v>182</v>
      </c>
      <c r="F111" s="19" t="s">
        <v>2156</v>
      </c>
      <c r="G111" s="19" t="s">
        <v>2156</v>
      </c>
      <c r="H111" s="164" t="str">
        <f t="shared" si="4"/>
        <v>,sum(n2ho_in_epsto5gs_succ_cnt*n2ho_in_epsto5gs_delay) / sum(n2ho_in_epsto5gs_succ_cnt) as n2ho_in_epsto5gs_delay</v>
      </c>
      <c r="I111" s="25"/>
      <c r="J111" s="25" t="s">
        <v>284</v>
      </c>
      <c r="K111" s="25" t="s">
        <v>471</v>
      </c>
      <c r="L111" s="25" t="s">
        <v>285</v>
      </c>
    </row>
    <row r="112" spans="2:12" s="1" customFormat="1">
      <c r="B112" s="13" t="s">
        <v>1820</v>
      </c>
      <c r="C112" s="26" t="s">
        <v>281</v>
      </c>
      <c r="D112" s="9" t="s">
        <v>1821</v>
      </c>
      <c r="E112" s="21" t="s">
        <v>182</v>
      </c>
      <c r="F112" s="19" t="s">
        <v>2106</v>
      </c>
      <c r="G112" s="19" t="s">
        <v>2106</v>
      </c>
      <c r="H112" s="164" t="str">
        <f t="shared" si="4"/>
        <v>,sum(n2ho_cancel_request_cnt) as n2ho_cancel_request_cnt</v>
      </c>
      <c r="I112" s="25"/>
      <c r="J112" s="25" t="s">
        <v>284</v>
      </c>
      <c r="K112" s="25" t="s">
        <v>750</v>
      </c>
      <c r="L112" s="25" t="s">
        <v>285</v>
      </c>
    </row>
    <row r="113" spans="2:12" s="1" customFormat="1">
      <c r="B113" s="13" t="s">
        <v>1823</v>
      </c>
      <c r="C113" s="26" t="s">
        <v>281</v>
      </c>
      <c r="D113" s="9" t="s">
        <v>1824</v>
      </c>
      <c r="E113" s="21" t="s">
        <v>182</v>
      </c>
      <c r="F113" s="19" t="s">
        <v>2108</v>
      </c>
      <c r="G113" s="19" t="s">
        <v>2108</v>
      </c>
      <c r="H113" s="164" t="str">
        <f t="shared" si="4"/>
        <v>,sum(n2ho_cancel_succ_cnt) as n2ho_cancel_succ_cnt</v>
      </c>
      <c r="I113" s="25"/>
      <c r="J113" s="25" t="s">
        <v>284</v>
      </c>
      <c r="K113" s="25" t="s">
        <v>750</v>
      </c>
      <c r="L113" s="25" t="s">
        <v>285</v>
      </c>
    </row>
    <row r="114" spans="2:12" s="1" customFormat="1">
      <c r="B114" s="13" t="s">
        <v>1826</v>
      </c>
      <c r="C114" s="26" t="s">
        <v>281</v>
      </c>
      <c r="D114" s="9" t="s">
        <v>1827</v>
      </c>
      <c r="E114" s="21" t="s">
        <v>182</v>
      </c>
      <c r="F114" s="19" t="s">
        <v>2110</v>
      </c>
      <c r="G114" s="19" t="s">
        <v>2110</v>
      </c>
      <c r="H114" s="164" t="str">
        <f t="shared" si="4"/>
        <v>,sum(n2ho_cancel_fail_cnt) as n2ho_cancel_fail_cnt</v>
      </c>
      <c r="I114" s="25"/>
      <c r="J114" s="25" t="s">
        <v>284</v>
      </c>
      <c r="K114" s="25" t="s">
        <v>750</v>
      </c>
      <c r="L114" s="25" t="s">
        <v>285</v>
      </c>
    </row>
    <row r="115" spans="2:12" s="1" customFormat="1">
      <c r="B115" s="13" t="s">
        <v>1829</v>
      </c>
      <c r="C115" s="26" t="s">
        <v>281</v>
      </c>
      <c r="D115" s="9" t="s">
        <v>1830</v>
      </c>
      <c r="E115" s="21" t="s">
        <v>182</v>
      </c>
      <c r="F115" s="19" t="s">
        <v>2112</v>
      </c>
      <c r="G115" s="19" t="s">
        <v>2112</v>
      </c>
      <c r="H115" s="164" t="str">
        <f t="shared" si="4"/>
        <v>,sum(n2ho_cancel_timeout_cnt) as n2ho_cancel_timeout_cnt</v>
      </c>
      <c r="I115" s="25"/>
      <c r="J115" s="25" t="s">
        <v>284</v>
      </c>
      <c r="K115" s="25" t="s">
        <v>750</v>
      </c>
      <c r="L115" s="25" t="s">
        <v>285</v>
      </c>
    </row>
    <row r="116" spans="2:12" s="1" customFormat="1">
      <c r="B116" s="13" t="s">
        <v>1832</v>
      </c>
      <c r="C116" s="13" t="s">
        <v>319</v>
      </c>
      <c r="D116" s="9" t="s">
        <v>1833</v>
      </c>
      <c r="E116" s="21" t="s">
        <v>182</v>
      </c>
      <c r="F116" s="19" t="s">
        <v>2157</v>
      </c>
      <c r="G116" s="19" t="s">
        <v>2157</v>
      </c>
      <c r="H116" s="164" t="str">
        <f t="shared" si="4"/>
        <v>,sum(n2ho_cancel_succ_cnt*n2ho_cancel_delay) / sum(n2ho_cancel_succ_cnt) as n2ho_cancel_delay</v>
      </c>
      <c r="I116" s="25"/>
      <c r="J116" s="25" t="s">
        <v>284</v>
      </c>
      <c r="K116" s="25" t="s">
        <v>471</v>
      </c>
      <c r="L116" s="25" t="s">
        <v>285</v>
      </c>
    </row>
    <row r="117" spans="2:12" s="1" customFormat="1">
      <c r="B117" s="13" t="s">
        <v>1835</v>
      </c>
      <c r="C117" s="26" t="s">
        <v>281</v>
      </c>
      <c r="D117" s="9" t="s">
        <v>1836</v>
      </c>
      <c r="E117" s="21" t="s">
        <v>182</v>
      </c>
      <c r="F117" s="19" t="s">
        <v>2074</v>
      </c>
      <c r="G117" s="19" t="s">
        <v>2074</v>
      </c>
      <c r="H117" s="164" t="str">
        <f t="shared" si="4"/>
        <v>,sum(xnho_request_cnt) as xnho_request_cnt</v>
      </c>
      <c r="I117" s="25"/>
      <c r="J117" s="25" t="s">
        <v>284</v>
      </c>
      <c r="K117" s="25" t="s">
        <v>750</v>
      </c>
      <c r="L117" s="25" t="s">
        <v>285</v>
      </c>
    </row>
    <row r="118" spans="2:12" s="1" customFormat="1">
      <c r="B118" s="13" t="s">
        <v>1838</v>
      </c>
      <c r="C118" s="26" t="s">
        <v>281</v>
      </c>
      <c r="D118" s="9" t="s">
        <v>1839</v>
      </c>
      <c r="E118" s="21" t="s">
        <v>182</v>
      </c>
      <c r="F118" s="19" t="s">
        <v>2076</v>
      </c>
      <c r="G118" s="19" t="s">
        <v>2076</v>
      </c>
      <c r="H118" s="164" t="str">
        <f t="shared" si="4"/>
        <v>,sum(xnho_succ_cnt) as xnho_succ_cnt</v>
      </c>
      <c r="I118" s="25"/>
      <c r="J118" s="25" t="s">
        <v>284</v>
      </c>
      <c r="K118" s="25" t="s">
        <v>750</v>
      </c>
      <c r="L118" s="25" t="s">
        <v>285</v>
      </c>
    </row>
    <row r="119" spans="2:12" s="1" customFormat="1">
      <c r="B119" s="13" t="s">
        <v>1841</v>
      </c>
      <c r="C119" s="26" t="s">
        <v>281</v>
      </c>
      <c r="D119" s="9" t="s">
        <v>1842</v>
      </c>
      <c r="E119" s="21" t="s">
        <v>182</v>
      </c>
      <c r="F119" s="19" t="s">
        <v>2078</v>
      </c>
      <c r="G119" s="19" t="s">
        <v>2078</v>
      </c>
      <c r="H119" s="164" t="str">
        <f t="shared" si="4"/>
        <v>,sum(xnho_fail_cnt) as xnho_fail_cnt</v>
      </c>
      <c r="I119" s="25"/>
      <c r="J119" s="25" t="s">
        <v>284</v>
      </c>
      <c r="K119" s="25" t="s">
        <v>750</v>
      </c>
      <c r="L119" s="25" t="s">
        <v>285</v>
      </c>
    </row>
    <row r="120" spans="2:12" s="1" customFormat="1">
      <c r="B120" s="13" t="s">
        <v>1844</v>
      </c>
      <c r="C120" s="26" t="s">
        <v>281</v>
      </c>
      <c r="D120" s="9" t="s">
        <v>1845</v>
      </c>
      <c r="E120" s="21" t="s">
        <v>182</v>
      </c>
      <c r="F120" s="19" t="s">
        <v>2080</v>
      </c>
      <c r="G120" s="19" t="s">
        <v>2080</v>
      </c>
      <c r="H120" s="164" t="str">
        <f t="shared" si="4"/>
        <v>,sum(xnho_timeout_cnt) as xnho_timeout_cnt</v>
      </c>
      <c r="I120" s="25"/>
      <c r="J120" s="25" t="s">
        <v>284</v>
      </c>
      <c r="K120" s="25" t="s">
        <v>750</v>
      </c>
      <c r="L120" s="25" t="s">
        <v>285</v>
      </c>
    </row>
    <row r="121" spans="2:12" s="1" customFormat="1">
      <c r="B121" s="13" t="s">
        <v>1847</v>
      </c>
      <c r="C121" s="13" t="s">
        <v>319</v>
      </c>
      <c r="D121" s="9" t="s">
        <v>1848</v>
      </c>
      <c r="E121" s="21" t="s">
        <v>182</v>
      </c>
      <c r="F121" s="19" t="s">
        <v>2158</v>
      </c>
      <c r="G121" s="19" t="s">
        <v>2158</v>
      </c>
      <c r="H121" s="164" t="str">
        <f t="shared" si="4"/>
        <v>,sum(xnho_succ_cnt*xnho_delay) / sum(xnho_succ_cnt) as xnho_delay</v>
      </c>
      <c r="I121" s="25"/>
      <c r="J121" s="25" t="s">
        <v>284</v>
      </c>
      <c r="K121" s="25" t="s">
        <v>471</v>
      </c>
      <c r="L121" s="25" t="s">
        <v>285</v>
      </c>
    </row>
    <row r="122" spans="2:12" s="1" customFormat="1">
      <c r="B122" s="13" t="s">
        <v>1850</v>
      </c>
      <c r="C122" s="26" t="s">
        <v>281</v>
      </c>
      <c r="D122" s="9" t="s">
        <v>1851</v>
      </c>
      <c r="E122" s="21" t="s">
        <v>182</v>
      </c>
      <c r="F122" s="19" t="s">
        <v>2086</v>
      </c>
      <c r="G122" s="19" t="s">
        <v>2086</v>
      </c>
      <c r="H122" s="164" t="str">
        <f t="shared" si="4"/>
        <v>,sum(amf_ue_context_release_request_cnt) as amf_ue_context_release_request_cnt</v>
      </c>
      <c r="I122" s="25"/>
      <c r="J122" s="25" t="s">
        <v>284</v>
      </c>
      <c r="K122" s="25" t="s">
        <v>750</v>
      </c>
      <c r="L122" s="25" t="s">
        <v>285</v>
      </c>
    </row>
    <row r="123" spans="2:12" s="1" customFormat="1">
      <c r="B123" s="13" t="s">
        <v>1853</v>
      </c>
      <c r="C123" s="26" t="s">
        <v>281</v>
      </c>
      <c r="D123" s="9" t="s">
        <v>1854</v>
      </c>
      <c r="E123" s="21" t="s">
        <v>182</v>
      </c>
      <c r="F123" s="19" t="s">
        <v>2088</v>
      </c>
      <c r="G123" s="19" t="s">
        <v>2088</v>
      </c>
      <c r="H123" s="164" t="str">
        <f t="shared" si="4"/>
        <v>,sum(amf_ue_context_release_succ_cnt) as amf_ue_context_release_succ_cnt</v>
      </c>
      <c r="I123" s="25"/>
      <c r="J123" s="25" t="s">
        <v>284</v>
      </c>
      <c r="K123" s="25" t="s">
        <v>750</v>
      </c>
      <c r="L123" s="25" t="s">
        <v>285</v>
      </c>
    </row>
    <row r="124" spans="2:12" s="1" customFormat="1">
      <c r="B124" s="13" t="s">
        <v>1856</v>
      </c>
      <c r="C124" s="26" t="s">
        <v>281</v>
      </c>
      <c r="D124" s="9" t="s">
        <v>1857</v>
      </c>
      <c r="E124" s="21" t="s">
        <v>182</v>
      </c>
      <c r="F124" s="19" t="s">
        <v>2090</v>
      </c>
      <c r="G124" s="19" t="s">
        <v>2090</v>
      </c>
      <c r="H124" s="164" t="str">
        <f t="shared" si="4"/>
        <v>,sum(amf_ue_context_release_fail_cnt) as amf_ue_context_release_fail_cnt</v>
      </c>
      <c r="I124" s="25"/>
      <c r="J124" s="25" t="s">
        <v>284</v>
      </c>
      <c r="K124" s="25" t="s">
        <v>750</v>
      </c>
      <c r="L124" s="25" t="s">
        <v>285</v>
      </c>
    </row>
    <row r="125" spans="2:12" s="1" customFormat="1">
      <c r="B125" s="13" t="s">
        <v>1859</v>
      </c>
      <c r="C125" s="26" t="s">
        <v>281</v>
      </c>
      <c r="D125" s="9" t="s">
        <v>1860</v>
      </c>
      <c r="E125" s="21" t="s">
        <v>182</v>
      </c>
      <c r="F125" s="19" t="s">
        <v>2092</v>
      </c>
      <c r="G125" s="19" t="s">
        <v>2092</v>
      </c>
      <c r="H125" s="164" t="str">
        <f t="shared" si="4"/>
        <v>,sum(amf_ue_context_release_timeout) as amf_ue_context_release_timeout</v>
      </c>
      <c r="I125" s="25"/>
      <c r="J125" s="25" t="s">
        <v>284</v>
      </c>
      <c r="K125" s="25" t="s">
        <v>750</v>
      </c>
      <c r="L125" s="25" t="s">
        <v>285</v>
      </c>
    </row>
    <row r="126" spans="2:12" s="1" customFormat="1">
      <c r="B126" s="13" t="s">
        <v>1862</v>
      </c>
      <c r="C126" s="13" t="s">
        <v>319</v>
      </c>
      <c r="D126" s="9" t="s">
        <v>1863</v>
      </c>
      <c r="E126" s="21" t="s">
        <v>182</v>
      </c>
      <c r="F126" s="19" t="s">
        <v>2159</v>
      </c>
      <c r="G126" s="19" t="s">
        <v>2159</v>
      </c>
      <c r="H126" s="164" t="str">
        <f t="shared" si="4"/>
        <v>,sum(amf_ue_context_release_succ_cnt*amf_ue_context_release_delay) / sum(amf_ue_context_release_succ_cnt) as amf_ue_context_release_delay</v>
      </c>
      <c r="I126" s="25"/>
      <c r="J126" s="25" t="s">
        <v>284</v>
      </c>
      <c r="K126" s="25" t="s">
        <v>471</v>
      </c>
      <c r="L126" s="25" t="s">
        <v>285</v>
      </c>
    </row>
    <row r="127" spans="2:12" s="1" customFormat="1">
      <c r="B127" s="13" t="s">
        <v>1865</v>
      </c>
      <c r="C127" s="26" t="s">
        <v>281</v>
      </c>
      <c r="D127" s="9" t="s">
        <v>1866</v>
      </c>
      <c r="E127" s="21" t="s">
        <v>182</v>
      </c>
      <c r="F127" s="19" t="s">
        <v>2096</v>
      </c>
      <c r="G127" s="19" t="s">
        <v>2096</v>
      </c>
      <c r="H127" s="164" t="str">
        <f t="shared" si="4"/>
        <v>,sum(an_ue_context_release_request_cnt) as an_ue_context_release_request_cnt</v>
      </c>
      <c r="I127" s="25"/>
      <c r="J127" s="25" t="s">
        <v>284</v>
      </c>
      <c r="K127" s="25" t="s">
        <v>750</v>
      </c>
      <c r="L127" s="25" t="s">
        <v>285</v>
      </c>
    </row>
    <row r="128" spans="2:12" s="1" customFormat="1">
      <c r="B128" s="13" t="s">
        <v>1868</v>
      </c>
      <c r="C128" s="26" t="s">
        <v>281</v>
      </c>
      <c r="D128" s="9" t="s">
        <v>1869</v>
      </c>
      <c r="E128" s="21" t="s">
        <v>182</v>
      </c>
      <c r="F128" s="19" t="s">
        <v>2098</v>
      </c>
      <c r="G128" s="19" t="s">
        <v>2098</v>
      </c>
      <c r="H128" s="164" t="str">
        <f t="shared" si="4"/>
        <v>,sum(an_ue_context_release_succ_cnt) as an_ue_context_release_succ_cnt</v>
      </c>
      <c r="I128" s="25"/>
      <c r="J128" s="25" t="s">
        <v>284</v>
      </c>
      <c r="K128" s="25" t="s">
        <v>750</v>
      </c>
      <c r="L128" s="25" t="s">
        <v>285</v>
      </c>
    </row>
    <row r="129" spans="2:17" s="1" customFormat="1">
      <c r="B129" s="13" t="s">
        <v>1871</v>
      </c>
      <c r="C129" s="26" t="s">
        <v>281</v>
      </c>
      <c r="D129" s="9" t="s">
        <v>1872</v>
      </c>
      <c r="E129" s="21" t="s">
        <v>182</v>
      </c>
      <c r="F129" s="19" t="s">
        <v>2100</v>
      </c>
      <c r="G129" s="19" t="s">
        <v>2100</v>
      </c>
      <c r="H129" s="164" t="str">
        <f t="shared" si="4"/>
        <v>,sum(an_ue_context_release_fail_cnt) as an_ue_context_release_fail_cnt</v>
      </c>
      <c r="I129" s="25"/>
      <c r="J129" s="25" t="s">
        <v>284</v>
      </c>
      <c r="K129" s="25" t="s">
        <v>750</v>
      </c>
      <c r="L129" s="25" t="s">
        <v>285</v>
      </c>
    </row>
    <row r="130" spans="2:17" s="1" customFormat="1">
      <c r="B130" s="13" t="s">
        <v>1874</v>
      </c>
      <c r="C130" s="26" t="s">
        <v>281</v>
      </c>
      <c r="D130" s="9" t="s">
        <v>1875</v>
      </c>
      <c r="E130" s="21" t="s">
        <v>182</v>
      </c>
      <c r="F130" s="19" t="s">
        <v>2102</v>
      </c>
      <c r="G130" s="19" t="s">
        <v>2102</v>
      </c>
      <c r="H130" s="164" t="str">
        <f t="shared" si="4"/>
        <v>,sum(an_ue_context_release_timeout) as an_ue_context_release_timeout</v>
      </c>
      <c r="I130" s="25"/>
      <c r="J130" s="25" t="s">
        <v>284</v>
      </c>
      <c r="K130" s="25" t="s">
        <v>750</v>
      </c>
      <c r="L130" s="25" t="s">
        <v>285</v>
      </c>
    </row>
    <row r="131" spans="2:17" s="1" customFormat="1">
      <c r="B131" s="13" t="s">
        <v>1877</v>
      </c>
      <c r="C131" s="13" t="s">
        <v>319</v>
      </c>
      <c r="D131" s="9" t="s">
        <v>1878</v>
      </c>
      <c r="E131" s="21" t="s">
        <v>182</v>
      </c>
      <c r="F131" s="19" t="s">
        <v>2160</v>
      </c>
      <c r="G131" s="19" t="s">
        <v>2160</v>
      </c>
      <c r="H131" s="164" t="str">
        <f t="shared" si="4"/>
        <v>,sum(an_ue_context_release_succ_cnt*an_ue_context_release_delay) / sum(an_ue_context_release_succ_cnt) as an_ue_context_release_delay</v>
      </c>
      <c r="I131" s="25"/>
      <c r="J131" s="25" t="s">
        <v>284</v>
      </c>
      <c r="K131" s="25" t="s">
        <v>471</v>
      </c>
      <c r="L131" s="25" t="s">
        <v>285</v>
      </c>
    </row>
    <row r="132" spans="2:17" s="165" customFormat="1">
      <c r="B132" s="166" t="s">
        <v>2310</v>
      </c>
      <c r="C132" s="26" t="s">
        <v>281</v>
      </c>
      <c r="D132" s="158" t="s">
        <v>2311</v>
      </c>
      <c r="E132" s="21" t="s">
        <v>182</v>
      </c>
      <c r="F132" s="167"/>
      <c r="G132" s="167" t="s">
        <v>2312</v>
      </c>
      <c r="H132" s="168"/>
      <c r="I132" s="169"/>
      <c r="J132" s="25" t="s">
        <v>284</v>
      </c>
      <c r="K132" s="25" t="s">
        <v>750</v>
      </c>
      <c r="L132" s="25" t="s">
        <v>285</v>
      </c>
    </row>
    <row r="133" spans="2:17" s="1" customFormat="1">
      <c r="B133" s="13" t="s">
        <v>1880</v>
      </c>
      <c r="C133" s="26" t="s">
        <v>281</v>
      </c>
      <c r="D133" s="9" t="s">
        <v>1881</v>
      </c>
      <c r="E133" s="21" t="s">
        <v>182</v>
      </c>
      <c r="F133" s="19" t="s">
        <v>2161</v>
      </c>
      <c r="G133" s="19" t="s">
        <v>2161</v>
      </c>
      <c r="H133" s="164" t="str">
        <f t="shared" si="4"/>
        <v>,sum(procedure_record_cnt) as procedure_record_cnt</v>
      </c>
      <c r="I133" s="25"/>
      <c r="J133" s="25" t="s">
        <v>284</v>
      </c>
      <c r="K133" s="25" t="s">
        <v>750</v>
      </c>
      <c r="L133" s="25" t="s">
        <v>285</v>
      </c>
    </row>
    <row r="134" spans="2:17" s="1" customFormat="1">
      <c r="B134" s="13" t="s">
        <v>1882</v>
      </c>
      <c r="C134" s="26" t="s">
        <v>281</v>
      </c>
      <c r="D134" s="9" t="s">
        <v>1883</v>
      </c>
      <c r="E134" s="21" t="s">
        <v>182</v>
      </c>
      <c r="F134" s="19" t="s">
        <v>2119</v>
      </c>
      <c r="G134" s="19" t="s">
        <v>2119</v>
      </c>
      <c r="H134" s="164" t="str">
        <f t="shared" si="4"/>
        <v>,sum(procedure_succ_cnt) as procedure_succ_cnt</v>
      </c>
      <c r="I134" s="25"/>
      <c r="J134" s="25" t="s">
        <v>284</v>
      </c>
      <c r="K134" s="25" t="s">
        <v>750</v>
      </c>
      <c r="L134" s="25" t="s">
        <v>285</v>
      </c>
    </row>
    <row r="135" spans="2:17" s="1" customFormat="1">
      <c r="B135" s="13" t="s">
        <v>1885</v>
      </c>
      <c r="C135" s="26" t="s">
        <v>281</v>
      </c>
      <c r="D135" s="9" t="s">
        <v>1886</v>
      </c>
      <c r="E135" s="21" t="s">
        <v>182</v>
      </c>
      <c r="F135" s="19" t="s">
        <v>2121</v>
      </c>
      <c r="G135" s="19" t="s">
        <v>2121</v>
      </c>
      <c r="H135" s="164" t="str">
        <f t="shared" si="4"/>
        <v>,sum(procedure_fail_cnt) as procedure_fail_cnt</v>
      </c>
      <c r="I135" s="25"/>
      <c r="J135" s="25" t="s">
        <v>284</v>
      </c>
      <c r="K135" s="25" t="s">
        <v>750</v>
      </c>
      <c r="L135" s="25" t="s">
        <v>285</v>
      </c>
    </row>
    <row r="136" spans="2:17" s="1" customFormat="1">
      <c r="B136" s="13" t="s">
        <v>1888</v>
      </c>
      <c r="C136" s="26" t="s">
        <v>281</v>
      </c>
      <c r="D136" s="9" t="s">
        <v>1889</v>
      </c>
      <c r="E136" s="21" t="s">
        <v>182</v>
      </c>
      <c r="F136" s="19" t="s">
        <v>2123</v>
      </c>
      <c r="G136" s="19" t="s">
        <v>2123</v>
      </c>
      <c r="H136" s="164" t="str">
        <f t="shared" si="4"/>
        <v>,sum(procedure_timeout_cnt) as procedure_timeout_cnt</v>
      </c>
      <c r="I136" s="25"/>
      <c r="J136" s="25" t="s">
        <v>284</v>
      </c>
      <c r="K136" s="25" t="s">
        <v>750</v>
      </c>
      <c r="L136" s="25" t="s">
        <v>285</v>
      </c>
    </row>
    <row r="137" spans="2:17" s="1" customFormat="1">
      <c r="B137" s="13" t="s">
        <v>1443</v>
      </c>
      <c r="C137" s="26" t="s">
        <v>281</v>
      </c>
      <c r="D137" s="9" t="s">
        <v>1891</v>
      </c>
      <c r="E137" s="21" t="s">
        <v>182</v>
      </c>
      <c r="F137" s="19" t="s">
        <v>1548</v>
      </c>
      <c r="G137" s="19" t="s">
        <v>1548</v>
      </c>
      <c r="H137" s="164" t="str">
        <f t="shared" si="4"/>
        <v>,sum(abnor_release_cnt) as abnor_release_cnt</v>
      </c>
      <c r="I137" s="25"/>
      <c r="J137" s="25" t="s">
        <v>284</v>
      </c>
      <c r="K137" s="25" t="s">
        <v>750</v>
      </c>
      <c r="L137" s="25" t="s">
        <v>285</v>
      </c>
    </row>
    <row r="138" spans="2:17" s="1" customFormat="1">
      <c r="B138" s="13" t="s">
        <v>1446</v>
      </c>
      <c r="C138" s="26" t="s">
        <v>281</v>
      </c>
      <c r="D138" s="9" t="s">
        <v>1447</v>
      </c>
      <c r="E138" s="21" t="s">
        <v>182</v>
      </c>
      <c r="F138" s="19" t="s">
        <v>1549</v>
      </c>
      <c r="G138" s="19" t="s">
        <v>1549</v>
      </c>
      <c r="H138" s="164" t="str">
        <f t="shared" si="4"/>
        <v>,sum(normal_release_cnt) as normal_release_cnt</v>
      </c>
      <c r="I138" s="25"/>
      <c r="J138" s="25" t="s">
        <v>284</v>
      </c>
      <c r="K138" s="25" t="s">
        <v>750</v>
      </c>
      <c r="L138" s="25" t="s">
        <v>285</v>
      </c>
    </row>
    <row r="139" spans="2:17" s="1" customFormat="1" ht="26.4">
      <c r="B139" s="13" t="s">
        <v>648</v>
      </c>
      <c r="C139" s="26" t="s">
        <v>206</v>
      </c>
      <c r="D139" s="9" t="s">
        <v>1455</v>
      </c>
      <c r="E139" s="21" t="s">
        <v>182</v>
      </c>
      <c r="F139" s="22" t="s">
        <v>802</v>
      </c>
      <c r="G139" s="22" t="s">
        <v>802</v>
      </c>
      <c r="H139" s="164" t="str">
        <f t="shared" si="4"/>
        <v>,min(min_starttime) as min_starttime</v>
      </c>
      <c r="I139" s="25"/>
      <c r="J139" s="25" t="s">
        <v>284</v>
      </c>
      <c r="K139" s="25" t="s">
        <v>1457</v>
      </c>
      <c r="L139" s="25" t="s">
        <v>485</v>
      </c>
    </row>
    <row r="140" spans="2:17" s="1" customFormat="1" ht="26.4">
      <c r="B140" s="13" t="s">
        <v>652</v>
      </c>
      <c r="C140" s="26" t="s">
        <v>206</v>
      </c>
      <c r="D140" s="9" t="s">
        <v>1458</v>
      </c>
      <c r="E140" s="21" t="s">
        <v>182</v>
      </c>
      <c r="F140" s="22" t="s">
        <v>803</v>
      </c>
      <c r="G140" s="22" t="s">
        <v>803</v>
      </c>
      <c r="H140" s="164" t="str">
        <f t="shared" si="4"/>
        <v>,max(max_endtime) as max_endtime</v>
      </c>
      <c r="I140" s="25"/>
      <c r="J140" s="25" t="s">
        <v>284</v>
      </c>
      <c r="K140" s="25" t="s">
        <v>1457</v>
      </c>
      <c r="L140" s="25" t="s">
        <v>485</v>
      </c>
    </row>
    <row r="141" spans="2:17" s="2" customFormat="1">
      <c r="B141" s="14" t="s">
        <v>222</v>
      </c>
      <c r="C141" s="15" t="s">
        <v>211</v>
      </c>
      <c r="D141" s="16" t="s">
        <v>344</v>
      </c>
      <c r="E141" s="24"/>
      <c r="F141" s="24" t="s">
        <v>1892</v>
      </c>
      <c r="G141" s="24" t="s">
        <v>1892</v>
      </c>
      <c r="H141" s="24"/>
      <c r="I141" s="14"/>
      <c r="J141" s="14"/>
      <c r="K141" s="14"/>
      <c r="L141" s="14"/>
      <c r="M141" s="14"/>
      <c r="N141" s="14"/>
      <c r="O141" s="14"/>
      <c r="P141" s="14"/>
      <c r="Q141" s="14"/>
    </row>
    <row r="142" spans="2:17" s="2" customFormat="1">
      <c r="B142" s="14" t="s">
        <v>0</v>
      </c>
      <c r="C142" s="15" t="s">
        <v>206</v>
      </c>
      <c r="D142" s="16" t="s">
        <v>345</v>
      </c>
      <c r="E142" s="24"/>
      <c r="F142" s="24" t="s">
        <v>1892</v>
      </c>
      <c r="G142" s="24" t="s">
        <v>1892</v>
      </c>
      <c r="H142" s="24"/>
      <c r="I142" s="14"/>
      <c r="J142" s="14"/>
      <c r="K142" s="14"/>
      <c r="L142" s="14"/>
      <c r="M142" s="14"/>
      <c r="N142" s="14"/>
      <c r="O142" s="14"/>
      <c r="P142" s="14"/>
      <c r="Q142" s="14"/>
    </row>
    <row r="143" spans="2:17" s="2" customFormat="1">
      <c r="B143" s="14" t="s">
        <v>1</v>
      </c>
      <c r="C143" s="15" t="s">
        <v>211</v>
      </c>
      <c r="D143" s="16" t="s">
        <v>346</v>
      </c>
      <c r="E143" s="24"/>
      <c r="F143" s="24" t="s">
        <v>1892</v>
      </c>
      <c r="G143" s="24" t="s">
        <v>1892</v>
      </c>
      <c r="H143" s="24"/>
      <c r="I143" s="14"/>
      <c r="J143" s="14"/>
      <c r="K143" s="14"/>
      <c r="L143" s="14"/>
      <c r="M143" s="14"/>
      <c r="N143" s="14"/>
      <c r="O143" s="14"/>
      <c r="P143" s="14"/>
      <c r="Q143" s="14"/>
    </row>
  </sheetData>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Y136"/>
  <sheetViews>
    <sheetView zoomScale="85" zoomScaleNormal="85" workbookViewId="0">
      <pane ySplit="5" topLeftCell="A6" activePane="bottomLeft" state="frozen"/>
      <selection pane="bottomLeft" activeCell="G24" sqref="G24"/>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11" t="s">
        <v>172</v>
      </c>
      <c r="G4" s="11" t="s">
        <v>43</v>
      </c>
      <c r="H4" s="7" t="s">
        <v>173</v>
      </c>
    </row>
    <row r="5" spans="2:14">
      <c r="B5" s="8" t="s">
        <v>105</v>
      </c>
      <c r="C5" s="9" t="s">
        <v>151</v>
      </c>
      <c r="D5" s="10" t="s">
        <v>152</v>
      </c>
      <c r="E5" s="12" t="s">
        <v>205</v>
      </c>
      <c r="F5" s="17"/>
      <c r="G5" s="12"/>
      <c r="H5" s="12"/>
      <c r="N5" s="3"/>
    </row>
    <row r="6" spans="2:14">
      <c r="B6" s="6"/>
      <c r="C6" s="6"/>
      <c r="D6" s="6"/>
      <c r="E6" s="6"/>
      <c r="F6" s="18"/>
      <c r="G6" s="18"/>
      <c r="H6" s="6"/>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148</v>
      </c>
      <c r="D9" s="10" t="s">
        <v>149</v>
      </c>
      <c r="E9" s="12" t="s">
        <v>182</v>
      </c>
      <c r="F9" s="19"/>
      <c r="G9" s="19"/>
      <c r="H9" s="20" t="s">
        <v>63</v>
      </c>
    </row>
    <row r="11" spans="2:14">
      <c r="B11" s="3" t="s">
        <v>194</v>
      </c>
    </row>
    <row r="12" spans="2:14">
      <c r="B12" s="181" t="s">
        <v>194</v>
      </c>
      <c r="C12" s="181"/>
      <c r="D12" s="181"/>
      <c r="E12" s="181"/>
      <c r="F12" s="181"/>
      <c r="G12" s="181"/>
      <c r="H12" s="181"/>
      <c r="I12" s="181"/>
      <c r="J12" s="181"/>
      <c r="K12" s="181"/>
      <c r="L12" s="181"/>
    </row>
    <row r="13" spans="2:14">
      <c r="B13" s="7" t="s">
        <v>195</v>
      </c>
      <c r="C13" s="7" t="s">
        <v>196</v>
      </c>
      <c r="D13" s="7" t="s">
        <v>197</v>
      </c>
      <c r="E13" s="7" t="s">
        <v>198</v>
      </c>
      <c r="F13" s="11" t="s">
        <v>199</v>
      </c>
      <c r="G13" s="11" t="s">
        <v>200</v>
      </c>
      <c r="H13" s="7" t="s">
        <v>201</v>
      </c>
      <c r="I13" s="7" t="s">
        <v>53</v>
      </c>
      <c r="J13" s="7" t="s">
        <v>202</v>
      </c>
      <c r="K13" s="7" t="s">
        <v>203</v>
      </c>
      <c r="L13" s="7" t="s">
        <v>204</v>
      </c>
    </row>
    <row r="14" spans="2:14" s="1" customFormat="1">
      <c r="B14" s="13" t="s">
        <v>205</v>
      </c>
      <c r="C14" s="13" t="s">
        <v>206</v>
      </c>
      <c r="D14" s="9" t="s">
        <v>207</v>
      </c>
      <c r="E14" s="21" t="s">
        <v>182</v>
      </c>
      <c r="F14" s="19" t="s">
        <v>0</v>
      </c>
      <c r="G14" s="19" t="s">
        <v>208</v>
      </c>
      <c r="H14" s="23" t="str">
        <f>_xlfn.CONCAT(",",F14," as ",B14)</f>
        <v>,p_date as day</v>
      </c>
      <c r="I14" s="25"/>
      <c r="J14" s="25" t="s">
        <v>4</v>
      </c>
      <c r="K14" s="25" t="s">
        <v>209</v>
      </c>
      <c r="L14" s="25" t="s">
        <v>209</v>
      </c>
    </row>
    <row r="15" spans="2:14" s="1" customFormat="1" ht="26.4">
      <c r="B15" s="13" t="s">
        <v>220</v>
      </c>
      <c r="C15" s="13" t="s">
        <v>206</v>
      </c>
      <c r="D15" s="9" t="s">
        <v>1569</v>
      </c>
      <c r="E15" s="21" t="s">
        <v>182</v>
      </c>
      <c r="F15" s="19" t="s">
        <v>222</v>
      </c>
      <c r="G15" s="19" t="s">
        <v>208</v>
      </c>
      <c r="H15" s="23" t="str">
        <f t="shared" ref="H15:H45" si="0">_xlfn.CONCAT(",",F15," as ",B15)</f>
        <v>,p_provincecode as provincecode</v>
      </c>
      <c r="I15" s="25"/>
      <c r="J15" s="25" t="s">
        <v>4</v>
      </c>
      <c r="K15" s="25" t="s">
        <v>209</v>
      </c>
      <c r="L15" s="25" t="s">
        <v>209</v>
      </c>
    </row>
    <row r="16" spans="2:14" s="1" customFormat="1" ht="26.4">
      <c r="B16" s="13" t="s">
        <v>224</v>
      </c>
      <c r="C16" s="13" t="s">
        <v>206</v>
      </c>
      <c r="D16" s="9" t="s">
        <v>444</v>
      </c>
      <c r="E16" s="21" t="s">
        <v>182</v>
      </c>
      <c r="F16" s="19" t="str">
        <f>VLOOKUP(B16,'12'!B:L,1,0)</f>
        <v>citycode</v>
      </c>
      <c r="G16" s="19" t="s">
        <v>208</v>
      </c>
      <c r="H16" s="23" t="str">
        <f t="shared" si="0"/>
        <v>,citycode as citycode</v>
      </c>
      <c r="I16" s="25"/>
      <c r="J16" s="25" t="s">
        <v>4</v>
      </c>
      <c r="K16" s="25" t="s">
        <v>209</v>
      </c>
      <c r="L16" s="25" t="s">
        <v>209</v>
      </c>
    </row>
    <row r="17" spans="2:12" s="1" customFormat="1">
      <c r="B17" s="13" t="s">
        <v>233</v>
      </c>
      <c r="C17" s="13" t="s">
        <v>206</v>
      </c>
      <c r="D17" s="9" t="s">
        <v>446</v>
      </c>
      <c r="E17" s="21" t="s">
        <v>182</v>
      </c>
      <c r="F17" s="19" t="str">
        <f>VLOOKUP(B17,'12'!B:L,1,0)</f>
        <v>city</v>
      </c>
      <c r="G17" s="19" t="s">
        <v>208</v>
      </c>
      <c r="H17" s="23" t="str">
        <f t="shared" si="0"/>
        <v>,city as city</v>
      </c>
      <c r="I17" s="25"/>
      <c r="J17" s="25" t="s">
        <v>4</v>
      </c>
      <c r="K17" s="25" t="s">
        <v>209</v>
      </c>
      <c r="L17" s="25" t="s">
        <v>209</v>
      </c>
    </row>
    <row r="18" spans="2:12" s="1" customFormat="1" ht="26.4">
      <c r="B18" s="13" t="s">
        <v>228</v>
      </c>
      <c r="C18" s="13" t="s">
        <v>211</v>
      </c>
      <c r="D18" s="9" t="s">
        <v>445</v>
      </c>
      <c r="E18" s="21" t="s">
        <v>182</v>
      </c>
      <c r="F18" s="19" t="s">
        <v>228</v>
      </c>
      <c r="G18" s="19" t="s">
        <v>208</v>
      </c>
      <c r="H18" s="23" t="str">
        <f t="shared" si="0"/>
        <v>,districtcode as districtcode</v>
      </c>
      <c r="I18" s="25"/>
      <c r="J18" s="25" t="s">
        <v>4</v>
      </c>
      <c r="K18" s="25" t="s">
        <v>209</v>
      </c>
      <c r="L18" s="25" t="s">
        <v>209</v>
      </c>
    </row>
    <row r="19" spans="2:12" s="1" customFormat="1" ht="26.4">
      <c r="B19" s="13" t="s">
        <v>236</v>
      </c>
      <c r="C19" s="13" t="s">
        <v>206</v>
      </c>
      <c r="D19" s="9" t="s">
        <v>237</v>
      </c>
      <c r="E19" s="21" t="s">
        <v>182</v>
      </c>
      <c r="F19" s="19" t="s">
        <v>236</v>
      </c>
      <c r="G19" s="19" t="s">
        <v>208</v>
      </c>
      <c r="H19" s="23" t="str">
        <f t="shared" si="0"/>
        <v>,district as district</v>
      </c>
      <c r="I19" s="25"/>
      <c r="J19" s="25" t="s">
        <v>4</v>
      </c>
      <c r="K19" s="25" t="s">
        <v>209</v>
      </c>
      <c r="L19" s="25" t="s">
        <v>209</v>
      </c>
    </row>
    <row r="20" spans="2:12" s="1" customFormat="1" ht="26.4">
      <c r="B20" s="13" t="s">
        <v>242</v>
      </c>
      <c r="C20" s="13" t="s">
        <v>206</v>
      </c>
      <c r="D20" s="9" t="s">
        <v>243</v>
      </c>
      <c r="E20" s="21" t="s">
        <v>182</v>
      </c>
      <c r="F20" s="19" t="s">
        <v>242</v>
      </c>
      <c r="G20" s="19" t="s">
        <v>208</v>
      </c>
      <c r="H20" s="23" t="str">
        <f t="shared" si="0"/>
        <v>,cellkey as cellkey</v>
      </c>
      <c r="I20" s="25"/>
      <c r="J20" s="25" t="s">
        <v>4</v>
      </c>
      <c r="K20" s="25" t="s">
        <v>209</v>
      </c>
      <c r="L20" s="25" t="s">
        <v>209</v>
      </c>
    </row>
    <row r="21" spans="2:12" s="1" customFormat="1" ht="52.8">
      <c r="B21" s="13" t="s">
        <v>1570</v>
      </c>
      <c r="C21" s="13" t="s">
        <v>281</v>
      </c>
      <c r="D21" s="9" t="s">
        <v>1571</v>
      </c>
      <c r="E21" s="21" t="s">
        <v>182</v>
      </c>
      <c r="F21" s="19" t="s">
        <v>1894</v>
      </c>
      <c r="G21" s="19" t="s">
        <v>1894</v>
      </c>
      <c r="H21" s="23" t="str">
        <f t="shared" si="0"/>
        <v>,sum(regist_request_cnt) as regist_request_cnt</v>
      </c>
      <c r="I21" s="25"/>
      <c r="J21" s="25" t="s">
        <v>284</v>
      </c>
      <c r="K21" s="25" t="s">
        <v>750</v>
      </c>
      <c r="L21" s="25" t="s">
        <v>285</v>
      </c>
    </row>
    <row r="22" spans="2:12" s="1" customFormat="1" ht="39.6">
      <c r="B22" s="13" t="s">
        <v>1573</v>
      </c>
      <c r="C22" s="13" t="s">
        <v>281</v>
      </c>
      <c r="D22" s="9" t="s">
        <v>1574</v>
      </c>
      <c r="E22" s="21" t="s">
        <v>182</v>
      </c>
      <c r="F22" s="19" t="s">
        <v>1896</v>
      </c>
      <c r="G22" s="19" t="s">
        <v>1896</v>
      </c>
      <c r="H22" s="23" t="str">
        <f t="shared" si="0"/>
        <v>,sum(regist_succ_cnt) as regist_succ_cnt</v>
      </c>
      <c r="I22" s="25"/>
      <c r="J22" s="25" t="s">
        <v>284</v>
      </c>
      <c r="K22" s="25" t="s">
        <v>750</v>
      </c>
      <c r="L22" s="25" t="s">
        <v>285</v>
      </c>
    </row>
    <row r="23" spans="2:12" s="1" customFormat="1" ht="39.6">
      <c r="B23" s="13" t="s">
        <v>1576</v>
      </c>
      <c r="C23" s="13" t="s">
        <v>281</v>
      </c>
      <c r="D23" s="27" t="s">
        <v>1577</v>
      </c>
      <c r="E23" s="21" t="s">
        <v>182</v>
      </c>
      <c r="F23" s="19" t="s">
        <v>1898</v>
      </c>
      <c r="G23" s="19" t="s">
        <v>1898</v>
      </c>
      <c r="H23" s="23" t="str">
        <f t="shared" si="0"/>
        <v>,sum(regist_fail_cnt) as regist_fail_cnt</v>
      </c>
      <c r="I23" s="25"/>
      <c r="J23" s="25" t="s">
        <v>284</v>
      </c>
      <c r="K23" s="25" t="s">
        <v>750</v>
      </c>
      <c r="L23" s="25" t="s">
        <v>285</v>
      </c>
    </row>
    <row r="24" spans="2:12" s="1" customFormat="1" ht="52.8">
      <c r="B24" s="13" t="s">
        <v>1579</v>
      </c>
      <c r="C24" s="13" t="s">
        <v>281</v>
      </c>
      <c r="D24" s="9" t="s">
        <v>1580</v>
      </c>
      <c r="E24" s="21" t="s">
        <v>182</v>
      </c>
      <c r="F24" s="19" t="s">
        <v>1900</v>
      </c>
      <c r="G24" s="19" t="s">
        <v>1900</v>
      </c>
      <c r="H24" s="23" t="str">
        <f t="shared" si="0"/>
        <v>,sum(regist_timeout_cnt) as regist_timeout_cnt</v>
      </c>
      <c r="I24" s="25"/>
      <c r="J24" s="25" t="s">
        <v>284</v>
      </c>
      <c r="K24" s="25" t="s">
        <v>750</v>
      </c>
      <c r="L24" s="25" t="s">
        <v>285</v>
      </c>
    </row>
    <row r="25" spans="2:12" s="1" customFormat="1" ht="79.2">
      <c r="B25" s="13" t="s">
        <v>1582</v>
      </c>
      <c r="C25" s="13" t="s">
        <v>319</v>
      </c>
      <c r="D25" s="9" t="s">
        <v>1583</v>
      </c>
      <c r="E25" s="21" t="s">
        <v>182</v>
      </c>
      <c r="F25" s="19" t="s">
        <v>2136</v>
      </c>
      <c r="G25" s="19" t="s">
        <v>2136</v>
      </c>
      <c r="H25" s="23" t="str">
        <f t="shared" si="0"/>
        <v>,sum(regist_succ_cnt*regist_delay) / sum(regist_succ_cnt) as regist_delay</v>
      </c>
      <c r="I25" s="25"/>
      <c r="J25" s="25" t="s">
        <v>284</v>
      </c>
      <c r="K25" s="25" t="s">
        <v>471</v>
      </c>
      <c r="L25" s="25" t="s">
        <v>285</v>
      </c>
    </row>
    <row r="26" spans="2:12" s="1" customFormat="1" ht="52.8">
      <c r="B26" s="13" t="s">
        <v>1585</v>
      </c>
      <c r="C26" s="13" t="s">
        <v>281</v>
      </c>
      <c r="D26" s="9" t="s">
        <v>1586</v>
      </c>
      <c r="E26" s="21" t="s">
        <v>182</v>
      </c>
      <c r="F26" s="19" t="s">
        <v>1906</v>
      </c>
      <c r="G26" s="19" t="s">
        <v>1906</v>
      </c>
      <c r="H26" s="23" t="str">
        <f t="shared" si="0"/>
        <v>,sum(regist_init_request_cnt) as regist_init_request_cnt</v>
      </c>
      <c r="I26" s="25"/>
      <c r="J26" s="25" t="s">
        <v>284</v>
      </c>
      <c r="K26" s="25" t="s">
        <v>750</v>
      </c>
      <c r="L26" s="25" t="s">
        <v>285</v>
      </c>
    </row>
    <row r="27" spans="2:12" s="1" customFormat="1" ht="52.8">
      <c r="B27" s="13" t="s">
        <v>1588</v>
      </c>
      <c r="C27" s="26" t="s">
        <v>281</v>
      </c>
      <c r="D27" s="9" t="s">
        <v>1589</v>
      </c>
      <c r="E27" s="21" t="s">
        <v>182</v>
      </c>
      <c r="F27" s="19" t="s">
        <v>1908</v>
      </c>
      <c r="G27" s="19" t="s">
        <v>1908</v>
      </c>
      <c r="H27" s="23" t="str">
        <f t="shared" si="0"/>
        <v>,sum(regist_init_succ_cnt) as regist_init_succ_cnt</v>
      </c>
      <c r="I27" s="25"/>
      <c r="J27" s="25" t="s">
        <v>284</v>
      </c>
      <c r="K27" s="25" t="s">
        <v>750</v>
      </c>
      <c r="L27" s="25" t="s">
        <v>285</v>
      </c>
    </row>
    <row r="28" spans="2:12" s="1" customFormat="1" ht="52.8">
      <c r="B28" s="13" t="s">
        <v>1591</v>
      </c>
      <c r="C28" s="26" t="s">
        <v>281</v>
      </c>
      <c r="D28" s="9" t="s">
        <v>1592</v>
      </c>
      <c r="E28" s="21" t="s">
        <v>182</v>
      </c>
      <c r="F28" s="19" t="s">
        <v>1910</v>
      </c>
      <c r="G28" s="19" t="s">
        <v>1910</v>
      </c>
      <c r="H28" s="23" t="str">
        <f t="shared" si="0"/>
        <v>,sum(regist_init_fail_cnt) as regist_init_fail_cnt</v>
      </c>
      <c r="I28" s="25"/>
      <c r="J28" s="25" t="s">
        <v>284</v>
      </c>
      <c r="K28" s="25" t="s">
        <v>750</v>
      </c>
      <c r="L28" s="25" t="s">
        <v>285</v>
      </c>
    </row>
    <row r="29" spans="2:12" s="1" customFormat="1" ht="52.8">
      <c r="B29" s="13" t="s">
        <v>1594</v>
      </c>
      <c r="C29" s="26" t="s">
        <v>281</v>
      </c>
      <c r="D29" s="9" t="s">
        <v>1595</v>
      </c>
      <c r="E29" s="21" t="s">
        <v>182</v>
      </c>
      <c r="F29" s="19" t="s">
        <v>1912</v>
      </c>
      <c r="G29" s="19" t="s">
        <v>1912</v>
      </c>
      <c r="H29" s="23" t="str">
        <f t="shared" si="0"/>
        <v>,sum(regist_init_timeout_cnt) as regist_init_timeout_cnt</v>
      </c>
      <c r="I29" s="25"/>
      <c r="J29" s="25" t="s">
        <v>284</v>
      </c>
      <c r="K29" s="25" t="s">
        <v>750</v>
      </c>
      <c r="L29" s="25" t="s">
        <v>285</v>
      </c>
    </row>
    <row r="30" spans="2:12" s="1" customFormat="1" ht="79.2">
      <c r="B30" s="13" t="s">
        <v>1597</v>
      </c>
      <c r="C30" s="13" t="s">
        <v>319</v>
      </c>
      <c r="D30" s="9" t="s">
        <v>1598</v>
      </c>
      <c r="E30" s="21" t="s">
        <v>182</v>
      </c>
      <c r="F30" s="19" t="s">
        <v>2137</v>
      </c>
      <c r="G30" s="19" t="s">
        <v>2137</v>
      </c>
      <c r="H30" s="23" t="str">
        <f t="shared" si="0"/>
        <v>,sum(regist_init_succ_cnt*regist_init_delay) / sum(regist_init_succ_cnt) as regist_init_delay</v>
      </c>
      <c r="I30" s="25"/>
      <c r="J30" s="25" t="s">
        <v>284</v>
      </c>
      <c r="K30" s="25" t="s">
        <v>471</v>
      </c>
      <c r="L30" s="25" t="s">
        <v>285</v>
      </c>
    </row>
    <row r="31" spans="2:12" s="1" customFormat="1" ht="66">
      <c r="B31" s="13" t="s">
        <v>1600</v>
      </c>
      <c r="C31" s="26" t="s">
        <v>281</v>
      </c>
      <c r="D31" s="9" t="s">
        <v>1601</v>
      </c>
      <c r="E31" s="21" t="s">
        <v>182</v>
      </c>
      <c r="F31" s="19" t="s">
        <v>1918</v>
      </c>
      <c r="G31" s="19" t="s">
        <v>1918</v>
      </c>
      <c r="H31" s="23" t="str">
        <f t="shared" si="0"/>
        <v>,sum(regist_periodic_request_cnt) as regist_periodic_request_cnt</v>
      </c>
      <c r="I31" s="25"/>
      <c r="J31" s="25" t="s">
        <v>284</v>
      </c>
      <c r="K31" s="25" t="s">
        <v>750</v>
      </c>
      <c r="L31" s="25" t="s">
        <v>285</v>
      </c>
    </row>
    <row r="32" spans="2:12" s="1" customFormat="1" ht="66">
      <c r="B32" s="13" t="s">
        <v>1603</v>
      </c>
      <c r="C32" s="26" t="s">
        <v>281</v>
      </c>
      <c r="D32" s="9" t="s">
        <v>1604</v>
      </c>
      <c r="E32" s="21" t="s">
        <v>182</v>
      </c>
      <c r="F32" s="19" t="s">
        <v>1920</v>
      </c>
      <c r="G32" s="19" t="s">
        <v>1920</v>
      </c>
      <c r="H32" s="23" t="str">
        <f t="shared" si="0"/>
        <v>,sum(regist_periodic_succ_cnt) as regist_periodic_succ_cnt</v>
      </c>
      <c r="I32" s="25"/>
      <c r="J32" s="25" t="s">
        <v>284</v>
      </c>
      <c r="K32" s="25" t="s">
        <v>750</v>
      </c>
      <c r="L32" s="25" t="s">
        <v>285</v>
      </c>
    </row>
    <row r="33" spans="2:12" s="1" customFormat="1" ht="52.8">
      <c r="B33" s="13" t="s">
        <v>1606</v>
      </c>
      <c r="C33" s="26" t="s">
        <v>281</v>
      </c>
      <c r="D33" s="9" t="s">
        <v>1607</v>
      </c>
      <c r="E33" s="21" t="s">
        <v>182</v>
      </c>
      <c r="F33" s="19" t="s">
        <v>1922</v>
      </c>
      <c r="G33" s="19" t="s">
        <v>1922</v>
      </c>
      <c r="H33" s="23" t="str">
        <f t="shared" si="0"/>
        <v>,sum(regist_periodic_fail_cnt) as regist_periodic_fail_cnt</v>
      </c>
      <c r="I33" s="25"/>
      <c r="J33" s="25" t="s">
        <v>284</v>
      </c>
      <c r="K33" s="25" t="s">
        <v>750</v>
      </c>
      <c r="L33" s="25" t="s">
        <v>285</v>
      </c>
    </row>
    <row r="34" spans="2:12" s="1" customFormat="1" ht="66">
      <c r="B34" s="13" t="s">
        <v>1609</v>
      </c>
      <c r="C34" s="26" t="s">
        <v>281</v>
      </c>
      <c r="D34" s="9" t="s">
        <v>1610</v>
      </c>
      <c r="E34" s="21" t="s">
        <v>182</v>
      </c>
      <c r="F34" s="19" t="s">
        <v>1924</v>
      </c>
      <c r="G34" s="19" t="s">
        <v>1924</v>
      </c>
      <c r="H34" s="23" t="str">
        <f t="shared" si="0"/>
        <v>,sum(regist_periodic_timeout_cnt) as regist_periodic_timeout_cnt</v>
      </c>
      <c r="I34" s="25"/>
      <c r="J34" s="25" t="s">
        <v>284</v>
      </c>
      <c r="K34" s="25" t="s">
        <v>750</v>
      </c>
      <c r="L34" s="25" t="s">
        <v>285</v>
      </c>
    </row>
    <row r="35" spans="2:12" s="1" customFormat="1" ht="105.6">
      <c r="B35" s="13" t="s">
        <v>1612</v>
      </c>
      <c r="C35" s="13" t="s">
        <v>319</v>
      </c>
      <c r="D35" s="9" t="s">
        <v>1613</v>
      </c>
      <c r="E35" s="21" t="s">
        <v>182</v>
      </c>
      <c r="F35" s="19" t="s">
        <v>2138</v>
      </c>
      <c r="G35" s="19" t="s">
        <v>2138</v>
      </c>
      <c r="H35" s="23" t="str">
        <f t="shared" si="0"/>
        <v>,sum(regist_periodic_succ_cnt*regist_periodic_delay) / sum(regist_periodic_succ_cnt) as regist_periodic_delay</v>
      </c>
      <c r="I35" s="25"/>
      <c r="J35" s="25" t="s">
        <v>284</v>
      </c>
      <c r="K35" s="25" t="s">
        <v>471</v>
      </c>
      <c r="L35" s="25" t="s">
        <v>285</v>
      </c>
    </row>
    <row r="36" spans="2:12" s="1" customFormat="1" ht="66">
      <c r="B36" s="13" t="s">
        <v>1615</v>
      </c>
      <c r="C36" s="26" t="s">
        <v>281</v>
      </c>
      <c r="D36" s="9" t="s">
        <v>1616</v>
      </c>
      <c r="E36" s="21" t="s">
        <v>182</v>
      </c>
      <c r="F36" s="19" t="s">
        <v>1930</v>
      </c>
      <c r="G36" s="19" t="s">
        <v>1930</v>
      </c>
      <c r="H36" s="23" t="str">
        <f t="shared" si="0"/>
        <v>,sum(regist_mobility_request_cnt) as regist_mobility_request_cnt</v>
      </c>
      <c r="I36" s="25"/>
      <c r="J36" s="25" t="s">
        <v>284</v>
      </c>
      <c r="K36" s="25" t="s">
        <v>750</v>
      </c>
      <c r="L36" s="25" t="s">
        <v>285</v>
      </c>
    </row>
    <row r="37" spans="2:12" s="1" customFormat="1" ht="52.8">
      <c r="B37" s="13" t="s">
        <v>1618</v>
      </c>
      <c r="C37" s="26" t="s">
        <v>281</v>
      </c>
      <c r="D37" s="9" t="s">
        <v>1619</v>
      </c>
      <c r="E37" s="21" t="s">
        <v>182</v>
      </c>
      <c r="F37" s="19" t="s">
        <v>1932</v>
      </c>
      <c r="G37" s="19" t="s">
        <v>1932</v>
      </c>
      <c r="H37" s="23" t="str">
        <f t="shared" si="0"/>
        <v>,sum(regist_mobility_succ_cnt) as regist_mobility_succ_cnt</v>
      </c>
      <c r="I37" s="25"/>
      <c r="J37" s="25" t="s">
        <v>284</v>
      </c>
      <c r="K37" s="25" t="s">
        <v>750</v>
      </c>
      <c r="L37" s="25" t="s">
        <v>285</v>
      </c>
    </row>
    <row r="38" spans="2:12" s="1" customFormat="1" ht="52.8">
      <c r="B38" s="13" t="s">
        <v>1621</v>
      </c>
      <c r="C38" s="26" t="s">
        <v>281</v>
      </c>
      <c r="D38" s="9" t="s">
        <v>1622</v>
      </c>
      <c r="E38" s="21" t="s">
        <v>182</v>
      </c>
      <c r="F38" s="19" t="s">
        <v>1934</v>
      </c>
      <c r="G38" s="19" t="s">
        <v>1934</v>
      </c>
      <c r="H38" s="23" t="str">
        <f t="shared" si="0"/>
        <v>,sum(regist_mobility_fail_cnt) as regist_mobility_fail_cnt</v>
      </c>
      <c r="I38" s="25"/>
      <c r="J38" s="25" t="s">
        <v>284</v>
      </c>
      <c r="K38" s="25" t="s">
        <v>750</v>
      </c>
      <c r="L38" s="25" t="s">
        <v>285</v>
      </c>
    </row>
    <row r="39" spans="2:12" s="1" customFormat="1" ht="66">
      <c r="B39" s="13" t="s">
        <v>1624</v>
      </c>
      <c r="C39" s="26" t="s">
        <v>281</v>
      </c>
      <c r="D39" s="9" t="s">
        <v>1625</v>
      </c>
      <c r="E39" s="21" t="s">
        <v>182</v>
      </c>
      <c r="F39" s="19" t="s">
        <v>1936</v>
      </c>
      <c r="G39" s="19" t="s">
        <v>1936</v>
      </c>
      <c r="H39" s="23" t="str">
        <f t="shared" si="0"/>
        <v>,sum(regist_mobility_timeout_cnt) as regist_mobility_timeout_cnt</v>
      </c>
      <c r="I39" s="25"/>
      <c r="J39" s="25" t="s">
        <v>284</v>
      </c>
      <c r="K39" s="25" t="s">
        <v>750</v>
      </c>
      <c r="L39" s="25" t="s">
        <v>285</v>
      </c>
    </row>
    <row r="40" spans="2:12" s="1" customFormat="1" ht="105.6">
      <c r="B40" s="13" t="s">
        <v>1627</v>
      </c>
      <c r="C40" s="13" t="s">
        <v>319</v>
      </c>
      <c r="D40" s="9" t="s">
        <v>1628</v>
      </c>
      <c r="E40" s="21" t="s">
        <v>182</v>
      </c>
      <c r="F40" s="19" t="s">
        <v>2139</v>
      </c>
      <c r="G40" s="19" t="s">
        <v>2139</v>
      </c>
      <c r="H40" s="23" t="str">
        <f t="shared" si="0"/>
        <v>,sum(regist_mobility_succ_cnt*regist_mobility_delay) / sum(regist_mobility_succ_cnt) as regist_mobility_delay</v>
      </c>
      <c r="I40" s="25"/>
      <c r="J40" s="25" t="s">
        <v>284</v>
      </c>
      <c r="K40" s="25" t="s">
        <v>471</v>
      </c>
      <c r="L40" s="25" t="s">
        <v>285</v>
      </c>
    </row>
    <row r="41" spans="2:12" s="1" customFormat="1" ht="66">
      <c r="B41" s="13" t="s">
        <v>1630</v>
      </c>
      <c r="C41" s="26" t="s">
        <v>281</v>
      </c>
      <c r="D41" s="9" t="s">
        <v>1631</v>
      </c>
      <c r="E41" s="21" t="s">
        <v>182</v>
      </c>
      <c r="F41" s="19" t="s">
        <v>1942</v>
      </c>
      <c r="G41" s="19" t="s">
        <v>1942</v>
      </c>
      <c r="H41" s="23" t="str">
        <f t="shared" si="0"/>
        <v>,sum(regist_emergency_request_cnt) as regist_emergency_request_cnt</v>
      </c>
      <c r="I41" s="25"/>
      <c r="J41" s="25" t="s">
        <v>284</v>
      </c>
      <c r="K41" s="25" t="s">
        <v>750</v>
      </c>
      <c r="L41" s="25" t="s">
        <v>285</v>
      </c>
    </row>
    <row r="42" spans="2:12" s="1" customFormat="1" ht="66">
      <c r="B42" s="13" t="s">
        <v>1633</v>
      </c>
      <c r="C42" s="26" t="s">
        <v>281</v>
      </c>
      <c r="D42" s="9" t="s">
        <v>1634</v>
      </c>
      <c r="E42" s="21" t="s">
        <v>182</v>
      </c>
      <c r="F42" s="19" t="s">
        <v>1944</v>
      </c>
      <c r="G42" s="19" t="s">
        <v>1944</v>
      </c>
      <c r="H42" s="23" t="str">
        <f t="shared" si="0"/>
        <v>,sum(regist_emergency_succ_cnt) as regist_emergency_succ_cnt</v>
      </c>
      <c r="I42" s="25"/>
      <c r="J42" s="25" t="s">
        <v>284</v>
      </c>
      <c r="K42" s="25" t="s">
        <v>750</v>
      </c>
      <c r="L42" s="25" t="s">
        <v>285</v>
      </c>
    </row>
    <row r="43" spans="2:12" s="1" customFormat="1" ht="66">
      <c r="B43" s="13" t="s">
        <v>1636</v>
      </c>
      <c r="C43" s="26" t="s">
        <v>281</v>
      </c>
      <c r="D43" s="9" t="s">
        <v>1637</v>
      </c>
      <c r="E43" s="21" t="s">
        <v>182</v>
      </c>
      <c r="F43" s="19" t="s">
        <v>1946</v>
      </c>
      <c r="G43" s="19" t="s">
        <v>1946</v>
      </c>
      <c r="H43" s="23" t="str">
        <f t="shared" si="0"/>
        <v>,sum(regist_emergency_fail_cnt) as regist_emergency_fail_cnt</v>
      </c>
      <c r="I43" s="25"/>
      <c r="J43" s="25" t="s">
        <v>284</v>
      </c>
      <c r="K43" s="25" t="s">
        <v>750</v>
      </c>
      <c r="L43" s="25" t="s">
        <v>285</v>
      </c>
    </row>
    <row r="44" spans="2:12" s="1" customFormat="1" ht="66">
      <c r="B44" s="13" t="s">
        <v>1639</v>
      </c>
      <c r="C44" s="26" t="s">
        <v>281</v>
      </c>
      <c r="D44" s="9" t="s">
        <v>1640</v>
      </c>
      <c r="E44" s="21" t="s">
        <v>182</v>
      </c>
      <c r="F44" s="19" t="s">
        <v>1948</v>
      </c>
      <c r="G44" s="19" t="s">
        <v>1948</v>
      </c>
      <c r="H44" s="23" t="str">
        <f t="shared" si="0"/>
        <v>,sum(regist_emergency_timeout_cnt) as regist_emergency_timeout_cnt</v>
      </c>
      <c r="I44" s="25"/>
      <c r="J44" s="25" t="s">
        <v>284</v>
      </c>
      <c r="K44" s="25" t="s">
        <v>750</v>
      </c>
      <c r="L44" s="25" t="s">
        <v>285</v>
      </c>
    </row>
    <row r="45" spans="2:12" s="1" customFormat="1" ht="118.8">
      <c r="B45" s="13" t="s">
        <v>1642</v>
      </c>
      <c r="C45" s="13" t="s">
        <v>319</v>
      </c>
      <c r="D45" s="9" t="s">
        <v>1643</v>
      </c>
      <c r="E45" s="21" t="s">
        <v>182</v>
      </c>
      <c r="F45" s="19" t="s">
        <v>2140</v>
      </c>
      <c r="G45" s="19" t="s">
        <v>2140</v>
      </c>
      <c r="H45" s="23" t="str">
        <f t="shared" si="0"/>
        <v>,sum(regist_emergency_succ_cnt*regist_emergency_delay) / sum(regist_emergency_succ_cnt) as regist_emergency_delay</v>
      </c>
      <c r="I45" s="25"/>
      <c r="J45" s="25" t="s">
        <v>284</v>
      </c>
      <c r="K45" s="25" t="s">
        <v>471</v>
      </c>
      <c r="L45" s="25" t="s">
        <v>285</v>
      </c>
    </row>
    <row r="46" spans="2:12" s="1" customFormat="1" ht="66">
      <c r="B46" s="13" t="s">
        <v>1645</v>
      </c>
      <c r="C46" s="26" t="s">
        <v>281</v>
      </c>
      <c r="D46" s="9" t="s">
        <v>1646</v>
      </c>
      <c r="E46" s="21" t="s">
        <v>182</v>
      </c>
      <c r="F46" s="19" t="s">
        <v>1954</v>
      </c>
      <c r="G46" s="19" t="s">
        <v>1954</v>
      </c>
      <c r="H46" s="23" t="str">
        <f t="shared" ref="H46:H77" si="1">_xlfn.CONCAT(",",F46," as ",B46)</f>
        <v>,sum(servicerequest_request_cnt) as servicerequest_request_cnt</v>
      </c>
      <c r="I46" s="25"/>
      <c r="J46" s="25" t="s">
        <v>284</v>
      </c>
      <c r="K46" s="25" t="s">
        <v>750</v>
      </c>
      <c r="L46" s="25" t="s">
        <v>285</v>
      </c>
    </row>
    <row r="47" spans="2:12" s="1" customFormat="1" ht="66">
      <c r="B47" s="13" t="s">
        <v>1648</v>
      </c>
      <c r="C47" s="26" t="s">
        <v>281</v>
      </c>
      <c r="D47" s="9" t="s">
        <v>1649</v>
      </c>
      <c r="E47" s="21" t="s">
        <v>182</v>
      </c>
      <c r="F47" s="19" t="s">
        <v>1956</v>
      </c>
      <c r="G47" s="19" t="s">
        <v>1956</v>
      </c>
      <c r="H47" s="23" t="str">
        <f t="shared" si="1"/>
        <v>,sum(servicerequest_succ_cnt) as servicerequest_succ_cnt</v>
      </c>
      <c r="I47" s="25"/>
      <c r="J47" s="25" t="s">
        <v>284</v>
      </c>
      <c r="K47" s="25" t="s">
        <v>750</v>
      </c>
      <c r="L47" s="25" t="s">
        <v>285</v>
      </c>
    </row>
    <row r="48" spans="2:12" s="1" customFormat="1" ht="52.8">
      <c r="B48" s="13" t="s">
        <v>1651</v>
      </c>
      <c r="C48" s="26" t="s">
        <v>281</v>
      </c>
      <c r="D48" s="9" t="s">
        <v>1652</v>
      </c>
      <c r="E48" s="21" t="s">
        <v>182</v>
      </c>
      <c r="F48" s="19" t="s">
        <v>1958</v>
      </c>
      <c r="G48" s="19" t="s">
        <v>1958</v>
      </c>
      <c r="H48" s="23" t="str">
        <f t="shared" si="1"/>
        <v>,sum(servicerequest_fail_cnt) as servicerequest_fail_cnt</v>
      </c>
      <c r="I48" s="25"/>
      <c r="J48" s="25" t="s">
        <v>284</v>
      </c>
      <c r="K48" s="25" t="s">
        <v>750</v>
      </c>
      <c r="L48" s="25" t="s">
        <v>285</v>
      </c>
    </row>
    <row r="49" spans="1:25" s="1" customFormat="1" ht="66">
      <c r="B49" s="13" t="s">
        <v>1654</v>
      </c>
      <c r="C49" s="26" t="s">
        <v>281</v>
      </c>
      <c r="D49" s="9" t="s">
        <v>1655</v>
      </c>
      <c r="E49" s="21" t="s">
        <v>182</v>
      </c>
      <c r="F49" s="19" t="s">
        <v>1960</v>
      </c>
      <c r="G49" s="19" t="s">
        <v>1960</v>
      </c>
      <c r="H49" s="23" t="str">
        <f t="shared" si="1"/>
        <v>,sum(servicerequest_timeout_cnt) as servicerequest_timeout_cnt</v>
      </c>
      <c r="I49" s="25"/>
      <c r="J49" s="25" t="s">
        <v>284</v>
      </c>
      <c r="K49" s="25" t="s">
        <v>750</v>
      </c>
      <c r="L49" s="25" t="s">
        <v>285</v>
      </c>
    </row>
    <row r="50" spans="1:25" s="1" customFormat="1" ht="105.6">
      <c r="B50" s="13" t="s">
        <v>1657</v>
      </c>
      <c r="C50" s="13" t="s">
        <v>319</v>
      </c>
      <c r="D50" s="9" t="s">
        <v>1658</v>
      </c>
      <c r="E50" s="21" t="s">
        <v>182</v>
      </c>
      <c r="F50" s="19" t="s">
        <v>2141</v>
      </c>
      <c r="G50" s="19" t="s">
        <v>2141</v>
      </c>
      <c r="H50" s="23" t="str">
        <f t="shared" si="1"/>
        <v>,sum(servicerequest_succ_cnt*servicerequest_delay) / sum(servicerequest_succ_cnt) as servicerequest_delay</v>
      </c>
      <c r="I50" s="25"/>
      <c r="J50" s="25" t="s">
        <v>284</v>
      </c>
      <c r="K50" s="25" t="s">
        <v>471</v>
      </c>
      <c r="L50" s="25" t="s">
        <v>285</v>
      </c>
    </row>
    <row r="51" spans="1:25" s="52" customFormat="1" ht="39.6">
      <c r="A51" s="53">
        <f t="shared" ref="A51:A55" si="2">ROW()-1</f>
        <v>50</v>
      </c>
      <c r="B51" s="54" t="s">
        <v>1660</v>
      </c>
      <c r="C51" s="55" t="s">
        <v>281</v>
      </c>
      <c r="D51" s="56" t="s">
        <v>1661</v>
      </c>
      <c r="E51" s="21" t="s">
        <v>182</v>
      </c>
      <c r="F51" s="19" t="s">
        <v>2126</v>
      </c>
      <c r="G51" s="19" t="s">
        <v>2126</v>
      </c>
      <c r="H51" s="23" t="str">
        <f t="shared" si="1"/>
        <v>,sum(sms_request_cnt) as sms_request_cnt</v>
      </c>
      <c r="I51" s="57"/>
      <c r="J51" s="25" t="s">
        <v>284</v>
      </c>
      <c r="K51" s="25" t="s">
        <v>750</v>
      </c>
      <c r="L51" s="25" t="s">
        <v>285</v>
      </c>
      <c r="M51" s="1"/>
      <c r="N51" s="1"/>
      <c r="O51" s="1"/>
      <c r="P51" s="1"/>
      <c r="Q51" s="1"/>
      <c r="R51" s="1"/>
      <c r="S51" s="1"/>
      <c r="T51" s="1"/>
      <c r="U51" s="1"/>
      <c r="V51" s="1"/>
      <c r="W51" s="1"/>
      <c r="X51" s="1"/>
      <c r="Y51" s="1"/>
    </row>
    <row r="52" spans="1:25" s="52" customFormat="1" ht="39.6">
      <c r="A52" s="53">
        <f t="shared" si="2"/>
        <v>51</v>
      </c>
      <c r="B52" s="54" t="s">
        <v>1662</v>
      </c>
      <c r="C52" s="55" t="s">
        <v>281</v>
      </c>
      <c r="D52" s="56" t="s">
        <v>1663</v>
      </c>
      <c r="E52" s="21" t="s">
        <v>182</v>
      </c>
      <c r="F52" s="19" t="s">
        <v>2129</v>
      </c>
      <c r="G52" s="19" t="s">
        <v>2129</v>
      </c>
      <c r="H52" s="23" t="str">
        <f t="shared" si="1"/>
        <v>,sum(sms_succ_cnt) as sms_succ_cnt</v>
      </c>
      <c r="I52" s="57"/>
      <c r="J52" s="25" t="s">
        <v>284</v>
      </c>
      <c r="K52" s="25" t="s">
        <v>750</v>
      </c>
      <c r="L52" s="25" t="s">
        <v>285</v>
      </c>
      <c r="M52" s="1"/>
      <c r="N52" s="1"/>
      <c r="O52" s="1"/>
      <c r="P52" s="1"/>
      <c r="Q52" s="1"/>
      <c r="R52" s="1"/>
      <c r="S52" s="1"/>
      <c r="T52" s="1"/>
      <c r="U52" s="1"/>
      <c r="V52" s="1"/>
      <c r="W52" s="1"/>
      <c r="X52" s="1"/>
      <c r="Y52" s="1"/>
    </row>
    <row r="53" spans="1:25" s="52" customFormat="1" ht="26.4">
      <c r="A53" s="53">
        <f t="shared" si="2"/>
        <v>52</v>
      </c>
      <c r="B53" s="54" t="s">
        <v>1664</v>
      </c>
      <c r="C53" s="55" t="s">
        <v>281</v>
      </c>
      <c r="D53" s="56" t="s">
        <v>1665</v>
      </c>
      <c r="E53" s="21" t="s">
        <v>182</v>
      </c>
      <c r="F53" s="19" t="s">
        <v>2132</v>
      </c>
      <c r="G53" s="19" t="s">
        <v>2132</v>
      </c>
      <c r="H53" s="23" t="str">
        <f t="shared" si="1"/>
        <v>,sum(sms_fail_cnt) as sms_fail_cnt</v>
      </c>
      <c r="I53" s="57"/>
      <c r="J53" s="25" t="s">
        <v>284</v>
      </c>
      <c r="K53" s="25" t="s">
        <v>750</v>
      </c>
      <c r="L53" s="25" t="s">
        <v>285</v>
      </c>
      <c r="M53" s="1"/>
      <c r="N53" s="1"/>
      <c r="O53" s="1"/>
      <c r="P53" s="1"/>
      <c r="Q53" s="1"/>
      <c r="R53" s="1"/>
      <c r="S53" s="1"/>
      <c r="T53" s="1"/>
      <c r="U53" s="1"/>
      <c r="V53" s="1"/>
      <c r="W53" s="1"/>
      <c r="X53" s="1"/>
      <c r="Y53" s="1"/>
    </row>
    <row r="54" spans="1:25" s="52" customFormat="1" ht="39.6">
      <c r="A54" s="53">
        <f t="shared" si="2"/>
        <v>53</v>
      </c>
      <c r="B54" s="54" t="s">
        <v>1666</v>
      </c>
      <c r="C54" s="55" t="s">
        <v>281</v>
      </c>
      <c r="D54" s="56" t="s">
        <v>1667</v>
      </c>
      <c r="E54" s="21" t="s">
        <v>182</v>
      </c>
      <c r="F54" s="19" t="s">
        <v>2135</v>
      </c>
      <c r="G54" s="19" t="s">
        <v>2135</v>
      </c>
      <c r="H54" s="23" t="str">
        <f t="shared" si="1"/>
        <v>,sum(sms_timeout_cnt) as sms_timeout_cnt</v>
      </c>
      <c r="I54" s="57"/>
      <c r="J54" s="25" t="s">
        <v>284</v>
      </c>
      <c r="K54" s="25" t="s">
        <v>750</v>
      </c>
      <c r="L54" s="25" t="s">
        <v>285</v>
      </c>
      <c r="M54" s="1"/>
      <c r="N54" s="1"/>
      <c r="O54" s="1"/>
      <c r="P54" s="1"/>
      <c r="Q54" s="1"/>
      <c r="R54" s="1"/>
      <c r="S54" s="1"/>
      <c r="T54" s="1"/>
      <c r="U54" s="1"/>
      <c r="V54" s="1"/>
      <c r="W54" s="1"/>
      <c r="X54" s="1"/>
      <c r="Y54" s="1"/>
    </row>
    <row r="55" spans="1:25" s="52" customFormat="1" ht="52.8">
      <c r="A55" s="53">
        <f t="shared" si="2"/>
        <v>54</v>
      </c>
      <c r="B55" s="54" t="s">
        <v>1668</v>
      </c>
      <c r="C55" s="55" t="s">
        <v>281</v>
      </c>
      <c r="D55" s="56" t="s">
        <v>1669</v>
      </c>
      <c r="E55" s="21" t="s">
        <v>182</v>
      </c>
      <c r="F55" s="19" t="s">
        <v>2142</v>
      </c>
      <c r="G55" s="19" t="s">
        <v>2142</v>
      </c>
      <c r="H55" s="23" t="str">
        <f t="shared" si="1"/>
        <v>,sum(sms_succ_cnt*sms_delay) / sum(sms_succ_cnt) as sms_delay</v>
      </c>
      <c r="I55" s="57"/>
      <c r="J55" s="25" t="s">
        <v>284</v>
      </c>
      <c r="K55" s="25" t="s">
        <v>471</v>
      </c>
      <c r="L55" s="25" t="s">
        <v>285</v>
      </c>
      <c r="M55" s="1"/>
      <c r="N55" s="1"/>
      <c r="O55" s="1"/>
      <c r="P55" s="1"/>
      <c r="Q55" s="1"/>
      <c r="R55" s="1"/>
      <c r="S55" s="1"/>
      <c r="T55" s="1"/>
      <c r="U55" s="1"/>
      <c r="V55" s="1"/>
      <c r="W55" s="1"/>
      <c r="X55" s="1"/>
      <c r="Y55" s="1"/>
    </row>
    <row r="56" spans="1:25" s="1" customFormat="1" ht="52.8">
      <c r="B56" s="13" t="s">
        <v>1670</v>
      </c>
      <c r="C56" s="26" t="s">
        <v>281</v>
      </c>
      <c r="D56" s="9" t="s">
        <v>1671</v>
      </c>
      <c r="E56" s="21" t="s">
        <v>182</v>
      </c>
      <c r="F56" s="19" t="s">
        <v>1966</v>
      </c>
      <c r="G56" s="19" t="s">
        <v>1966</v>
      </c>
      <c r="H56" s="23" t="str">
        <f t="shared" si="1"/>
        <v>,sum(sms_mo_request_cnt) as sms_mo_request_cnt</v>
      </c>
      <c r="I56" s="25"/>
      <c r="J56" s="25" t="s">
        <v>284</v>
      </c>
      <c r="K56" s="25" t="s">
        <v>750</v>
      </c>
      <c r="L56" s="25" t="s">
        <v>285</v>
      </c>
    </row>
    <row r="57" spans="1:25" s="1" customFormat="1" ht="52.8">
      <c r="B57" s="13" t="s">
        <v>1673</v>
      </c>
      <c r="C57" s="26" t="s">
        <v>281</v>
      </c>
      <c r="D57" s="9" t="s">
        <v>1674</v>
      </c>
      <c r="E57" s="21" t="s">
        <v>182</v>
      </c>
      <c r="F57" s="19" t="s">
        <v>1968</v>
      </c>
      <c r="G57" s="19" t="s">
        <v>1968</v>
      </c>
      <c r="H57" s="23" t="str">
        <f t="shared" si="1"/>
        <v>,sum(sms_mo_succ_cnt) as sms_mo_succ_cnt</v>
      </c>
      <c r="I57" s="25"/>
      <c r="J57" s="25" t="s">
        <v>284</v>
      </c>
      <c r="K57" s="25" t="s">
        <v>750</v>
      </c>
      <c r="L57" s="25" t="s">
        <v>285</v>
      </c>
    </row>
    <row r="58" spans="1:25" s="1" customFormat="1" ht="39.6">
      <c r="B58" s="13" t="s">
        <v>1676</v>
      </c>
      <c r="C58" s="26" t="s">
        <v>281</v>
      </c>
      <c r="D58" s="9" t="s">
        <v>1677</v>
      </c>
      <c r="E58" s="21" t="s">
        <v>182</v>
      </c>
      <c r="F58" s="19" t="s">
        <v>1970</v>
      </c>
      <c r="G58" s="19" t="s">
        <v>1970</v>
      </c>
      <c r="H58" s="23" t="str">
        <f t="shared" si="1"/>
        <v>,sum(sms_mo_fail_cnt) as sms_mo_fail_cnt</v>
      </c>
      <c r="I58" s="25"/>
      <c r="J58" s="25" t="s">
        <v>284</v>
      </c>
      <c r="K58" s="25" t="s">
        <v>750</v>
      </c>
      <c r="L58" s="25" t="s">
        <v>285</v>
      </c>
    </row>
    <row r="59" spans="1:25" s="1" customFormat="1" ht="52.8">
      <c r="B59" s="13" t="s">
        <v>1679</v>
      </c>
      <c r="C59" s="26" t="s">
        <v>281</v>
      </c>
      <c r="D59" s="9" t="s">
        <v>1680</v>
      </c>
      <c r="E59" s="21" t="s">
        <v>182</v>
      </c>
      <c r="F59" s="19" t="s">
        <v>1972</v>
      </c>
      <c r="G59" s="19" t="s">
        <v>1972</v>
      </c>
      <c r="H59" s="23" t="str">
        <f t="shared" si="1"/>
        <v>,sum(sms_mo_timeout_cnt) as sms_mo_timeout_cnt</v>
      </c>
      <c r="I59" s="25"/>
      <c r="J59" s="25" t="s">
        <v>284</v>
      </c>
      <c r="K59" s="25" t="s">
        <v>750</v>
      </c>
      <c r="L59" s="25" t="s">
        <v>285</v>
      </c>
    </row>
    <row r="60" spans="1:25" s="1" customFormat="1" ht="79.2">
      <c r="B60" s="13" t="s">
        <v>1682</v>
      </c>
      <c r="C60" s="13" t="s">
        <v>319</v>
      </c>
      <c r="D60" s="9" t="s">
        <v>1683</v>
      </c>
      <c r="E60" s="21" t="s">
        <v>182</v>
      </c>
      <c r="F60" s="19" t="s">
        <v>2143</v>
      </c>
      <c r="G60" s="19" t="s">
        <v>2143</v>
      </c>
      <c r="H60" s="23" t="str">
        <f t="shared" si="1"/>
        <v>,sum(sms_mo_succ_cnt*sms_mo_delay) / sum(sms_mo_succ_cnt) as sms_mo_delay</v>
      </c>
      <c r="I60" s="25"/>
      <c r="J60" s="25" t="s">
        <v>284</v>
      </c>
      <c r="K60" s="25" t="s">
        <v>471</v>
      </c>
      <c r="L60" s="25" t="s">
        <v>285</v>
      </c>
    </row>
    <row r="61" spans="1:25" s="1" customFormat="1" ht="52.8">
      <c r="B61" s="13" t="s">
        <v>1685</v>
      </c>
      <c r="C61" s="26" t="s">
        <v>281</v>
      </c>
      <c r="D61" s="9" t="s">
        <v>1686</v>
      </c>
      <c r="E61" s="21" t="s">
        <v>182</v>
      </c>
      <c r="F61" s="19" t="s">
        <v>1978</v>
      </c>
      <c r="G61" s="19" t="s">
        <v>1978</v>
      </c>
      <c r="H61" s="23" t="str">
        <f t="shared" si="1"/>
        <v>,sum(sms_mt_request_cnt) as sms_mt_request_cnt</v>
      </c>
      <c r="I61" s="25"/>
      <c r="J61" s="25" t="s">
        <v>284</v>
      </c>
      <c r="K61" s="25" t="s">
        <v>750</v>
      </c>
      <c r="L61" s="25" t="s">
        <v>285</v>
      </c>
    </row>
    <row r="62" spans="1:25" s="1" customFormat="1" ht="52.8">
      <c r="B62" s="13" t="s">
        <v>1688</v>
      </c>
      <c r="C62" s="26" t="s">
        <v>281</v>
      </c>
      <c r="D62" s="9" t="s">
        <v>1689</v>
      </c>
      <c r="E62" s="21" t="s">
        <v>182</v>
      </c>
      <c r="F62" s="19" t="s">
        <v>1980</v>
      </c>
      <c r="G62" s="19" t="s">
        <v>1980</v>
      </c>
      <c r="H62" s="23" t="str">
        <f t="shared" si="1"/>
        <v>,sum(sms_mt_succ_cnt) as sms_mt_succ_cnt</v>
      </c>
      <c r="I62" s="25"/>
      <c r="J62" s="25" t="s">
        <v>284</v>
      </c>
      <c r="K62" s="25" t="s">
        <v>750</v>
      </c>
      <c r="L62" s="25" t="s">
        <v>285</v>
      </c>
    </row>
    <row r="63" spans="1:25" s="1" customFormat="1" ht="39.6">
      <c r="B63" s="13" t="s">
        <v>1691</v>
      </c>
      <c r="C63" s="26" t="s">
        <v>281</v>
      </c>
      <c r="D63" s="9" t="s">
        <v>1692</v>
      </c>
      <c r="E63" s="21" t="s">
        <v>182</v>
      </c>
      <c r="F63" s="19" t="s">
        <v>1982</v>
      </c>
      <c r="G63" s="19" t="s">
        <v>1982</v>
      </c>
      <c r="H63" s="23" t="str">
        <f t="shared" si="1"/>
        <v>,sum(sms_mt_fail_cnt) as sms_mt_fail_cnt</v>
      </c>
      <c r="I63" s="25"/>
      <c r="J63" s="25" t="s">
        <v>284</v>
      </c>
      <c r="K63" s="25" t="s">
        <v>750</v>
      </c>
      <c r="L63" s="25" t="s">
        <v>285</v>
      </c>
    </row>
    <row r="64" spans="1:25" s="1" customFormat="1" ht="52.8">
      <c r="B64" s="13" t="s">
        <v>1694</v>
      </c>
      <c r="C64" s="26" t="s">
        <v>281</v>
      </c>
      <c r="D64" s="9" t="s">
        <v>1695</v>
      </c>
      <c r="E64" s="21" t="s">
        <v>182</v>
      </c>
      <c r="F64" s="19" t="s">
        <v>1984</v>
      </c>
      <c r="G64" s="19" t="s">
        <v>1984</v>
      </c>
      <c r="H64" s="23" t="str">
        <f t="shared" si="1"/>
        <v>,sum(sms_mt_timeout_cnt) as sms_mt_timeout_cnt</v>
      </c>
      <c r="I64" s="25"/>
      <c r="J64" s="25" t="s">
        <v>284</v>
      </c>
      <c r="K64" s="25" t="s">
        <v>750</v>
      </c>
      <c r="L64" s="25" t="s">
        <v>285</v>
      </c>
    </row>
    <row r="65" spans="2:12" s="1" customFormat="1" ht="79.2">
      <c r="B65" s="13" t="s">
        <v>1697</v>
      </c>
      <c r="C65" s="13" t="s">
        <v>319</v>
      </c>
      <c r="D65" s="9" t="s">
        <v>1698</v>
      </c>
      <c r="E65" s="21" t="s">
        <v>182</v>
      </c>
      <c r="F65" s="19" t="s">
        <v>2144</v>
      </c>
      <c r="G65" s="19" t="s">
        <v>2144</v>
      </c>
      <c r="H65" s="23" t="str">
        <f t="shared" si="1"/>
        <v>,sum(sms_mt_succ_cnt*sms_mt_delay) / sum(sms_mt_succ_cnt) as sms_mt_delay</v>
      </c>
      <c r="I65" s="25"/>
      <c r="J65" s="25" t="s">
        <v>284</v>
      </c>
      <c r="K65" s="25" t="s">
        <v>471</v>
      </c>
      <c r="L65" s="25" t="s">
        <v>285</v>
      </c>
    </row>
    <row r="66" spans="2:12" s="1" customFormat="1" ht="66">
      <c r="B66" s="13" t="s">
        <v>1700</v>
      </c>
      <c r="C66" s="26" t="s">
        <v>281</v>
      </c>
      <c r="D66" s="9" t="s">
        <v>1701</v>
      </c>
      <c r="E66" s="21" t="s">
        <v>182</v>
      </c>
      <c r="F66" s="19" t="s">
        <v>1990</v>
      </c>
      <c r="G66" s="19" t="s">
        <v>1990</v>
      </c>
      <c r="H66" s="23" t="str">
        <f t="shared" si="1"/>
        <v>,sum(pdusession_estab_request_cnt) as pdusession_estab_request_cnt</v>
      </c>
      <c r="I66" s="25"/>
      <c r="J66" s="25" t="s">
        <v>284</v>
      </c>
      <c r="K66" s="25" t="s">
        <v>750</v>
      </c>
      <c r="L66" s="25" t="s">
        <v>285</v>
      </c>
    </row>
    <row r="67" spans="2:12" s="1" customFormat="1" ht="66">
      <c r="B67" s="13" t="s">
        <v>1703</v>
      </c>
      <c r="C67" s="26" t="s">
        <v>281</v>
      </c>
      <c r="D67" s="9" t="s">
        <v>1704</v>
      </c>
      <c r="E67" s="21" t="s">
        <v>182</v>
      </c>
      <c r="F67" s="19" t="s">
        <v>1992</v>
      </c>
      <c r="G67" s="19" t="s">
        <v>1992</v>
      </c>
      <c r="H67" s="23" t="str">
        <f t="shared" si="1"/>
        <v>,sum(pdusession_estab_succ_cnt) as pdusession_estab_succ_cnt</v>
      </c>
      <c r="I67" s="25"/>
      <c r="J67" s="25" t="s">
        <v>284</v>
      </c>
      <c r="K67" s="25" t="s">
        <v>750</v>
      </c>
      <c r="L67" s="25" t="s">
        <v>285</v>
      </c>
    </row>
    <row r="68" spans="2:12" s="1" customFormat="1" ht="66">
      <c r="B68" s="13" t="s">
        <v>1706</v>
      </c>
      <c r="C68" s="26" t="s">
        <v>281</v>
      </c>
      <c r="D68" s="9" t="s">
        <v>1707</v>
      </c>
      <c r="E68" s="21" t="s">
        <v>182</v>
      </c>
      <c r="F68" s="19" t="s">
        <v>1994</v>
      </c>
      <c r="G68" s="19" t="s">
        <v>1994</v>
      </c>
      <c r="H68" s="23" t="str">
        <f t="shared" si="1"/>
        <v>,sum(pdusession_estab_fail_cnt) as pdusession_estab_fail_cnt</v>
      </c>
      <c r="I68" s="25"/>
      <c r="J68" s="25" t="s">
        <v>284</v>
      </c>
      <c r="K68" s="25" t="s">
        <v>750</v>
      </c>
      <c r="L68" s="25" t="s">
        <v>285</v>
      </c>
    </row>
    <row r="69" spans="2:12" s="1" customFormat="1" ht="66">
      <c r="B69" s="13" t="s">
        <v>1709</v>
      </c>
      <c r="C69" s="26" t="s">
        <v>281</v>
      </c>
      <c r="D69" s="9" t="s">
        <v>1710</v>
      </c>
      <c r="E69" s="21" t="s">
        <v>182</v>
      </c>
      <c r="F69" s="19" t="s">
        <v>1996</v>
      </c>
      <c r="G69" s="19" t="s">
        <v>1996</v>
      </c>
      <c r="H69" s="23" t="str">
        <f t="shared" si="1"/>
        <v>,sum(pdusession_estab_timeout_cnt) as pdusession_estab_timeout_cnt</v>
      </c>
      <c r="I69" s="25"/>
      <c r="J69" s="25" t="s">
        <v>284</v>
      </c>
      <c r="K69" s="25" t="s">
        <v>750</v>
      </c>
      <c r="L69" s="25" t="s">
        <v>285</v>
      </c>
    </row>
    <row r="70" spans="2:12" s="1" customFormat="1" ht="118.8">
      <c r="B70" s="13" t="s">
        <v>1712</v>
      </c>
      <c r="C70" s="13" t="s">
        <v>319</v>
      </c>
      <c r="D70" s="9" t="s">
        <v>1713</v>
      </c>
      <c r="E70" s="21" t="s">
        <v>182</v>
      </c>
      <c r="F70" s="19" t="s">
        <v>2145</v>
      </c>
      <c r="G70" s="19" t="s">
        <v>2145</v>
      </c>
      <c r="H70" s="23" t="str">
        <f t="shared" si="1"/>
        <v>,sum(pdusession_estab_succ_cnt*pdusession_estab_delay) / sum(pdusession_estab_succ_cnt) as pdusession_estab_delay</v>
      </c>
      <c r="I70" s="25"/>
      <c r="J70" s="25" t="s">
        <v>284</v>
      </c>
      <c r="K70" s="25" t="s">
        <v>471</v>
      </c>
      <c r="L70" s="25" t="s">
        <v>285</v>
      </c>
    </row>
    <row r="71" spans="2:12" s="1" customFormat="1" ht="66">
      <c r="B71" s="13" t="s">
        <v>1715</v>
      </c>
      <c r="C71" s="26" t="s">
        <v>281</v>
      </c>
      <c r="D71" s="9" t="s">
        <v>1716</v>
      </c>
      <c r="E71" s="21" t="s">
        <v>182</v>
      </c>
      <c r="F71" s="19" t="s">
        <v>2002</v>
      </c>
      <c r="G71" s="19" t="s">
        <v>2002</v>
      </c>
      <c r="H71" s="23" t="str">
        <f t="shared" si="1"/>
        <v>,sum(pdusession_modify_request_cnt) as pdusession_modify_request_cnt</v>
      </c>
      <c r="I71" s="25"/>
      <c r="J71" s="25" t="s">
        <v>284</v>
      </c>
      <c r="K71" s="25" t="s">
        <v>750</v>
      </c>
      <c r="L71" s="25" t="s">
        <v>285</v>
      </c>
    </row>
    <row r="72" spans="2:12" s="1" customFormat="1" ht="66">
      <c r="B72" s="13" t="s">
        <v>1718</v>
      </c>
      <c r="C72" s="26" t="s">
        <v>281</v>
      </c>
      <c r="D72" s="9" t="s">
        <v>1719</v>
      </c>
      <c r="E72" s="21" t="s">
        <v>182</v>
      </c>
      <c r="F72" s="19" t="s">
        <v>2004</v>
      </c>
      <c r="G72" s="19" t="s">
        <v>2004</v>
      </c>
      <c r="H72" s="23" t="str">
        <f t="shared" si="1"/>
        <v>,sum(pdusession_modify_succ_cnt) as pdusession_modify_succ_cnt</v>
      </c>
      <c r="I72" s="25"/>
      <c r="J72" s="25" t="s">
        <v>284</v>
      </c>
      <c r="K72" s="25" t="s">
        <v>750</v>
      </c>
      <c r="L72" s="25" t="s">
        <v>285</v>
      </c>
    </row>
    <row r="73" spans="2:12" s="1" customFormat="1" ht="66">
      <c r="B73" s="13" t="s">
        <v>1721</v>
      </c>
      <c r="C73" s="26" t="s">
        <v>281</v>
      </c>
      <c r="D73" s="9" t="s">
        <v>1722</v>
      </c>
      <c r="E73" s="21" t="s">
        <v>182</v>
      </c>
      <c r="F73" s="19" t="s">
        <v>2006</v>
      </c>
      <c r="G73" s="19" t="s">
        <v>2006</v>
      </c>
      <c r="H73" s="23" t="str">
        <f t="shared" si="1"/>
        <v>,sum(pdusession_modify_fail_cnt) as pdusession_modify_fail_cnt</v>
      </c>
      <c r="I73" s="25"/>
      <c r="J73" s="25" t="s">
        <v>284</v>
      </c>
      <c r="K73" s="25" t="s">
        <v>750</v>
      </c>
      <c r="L73" s="25" t="s">
        <v>285</v>
      </c>
    </row>
    <row r="74" spans="2:12" s="1" customFormat="1" ht="66">
      <c r="B74" s="13" t="s">
        <v>1724</v>
      </c>
      <c r="C74" s="26" t="s">
        <v>281</v>
      </c>
      <c r="D74" s="9" t="s">
        <v>1725</v>
      </c>
      <c r="E74" s="21" t="s">
        <v>182</v>
      </c>
      <c r="F74" s="19" t="s">
        <v>2008</v>
      </c>
      <c r="G74" s="19" t="s">
        <v>2008</v>
      </c>
      <c r="H74" s="23" t="str">
        <f t="shared" si="1"/>
        <v>,sum(pdusession_modify_timeout_cnt) as pdusession_modify_timeout_cnt</v>
      </c>
      <c r="I74" s="25"/>
      <c r="J74" s="25" t="s">
        <v>284</v>
      </c>
      <c r="K74" s="25" t="s">
        <v>750</v>
      </c>
      <c r="L74" s="25" t="s">
        <v>285</v>
      </c>
    </row>
    <row r="75" spans="2:12" s="1" customFormat="1" ht="118.8">
      <c r="B75" s="13" t="s">
        <v>1727</v>
      </c>
      <c r="C75" s="13" t="s">
        <v>319</v>
      </c>
      <c r="D75" s="9" t="s">
        <v>1728</v>
      </c>
      <c r="E75" s="21" t="s">
        <v>182</v>
      </c>
      <c r="F75" s="19" t="s">
        <v>2146</v>
      </c>
      <c r="G75" s="19" t="s">
        <v>2146</v>
      </c>
      <c r="H75" s="23" t="str">
        <f t="shared" si="1"/>
        <v>,sum(pdusession_modify_succ_cnt*pdusession_modify_delay) / sum(pdusession_modify_succ_cnt) as pdusession_modify_delay</v>
      </c>
      <c r="I75" s="25"/>
      <c r="J75" s="25" t="s">
        <v>284</v>
      </c>
      <c r="K75" s="25" t="s">
        <v>471</v>
      </c>
      <c r="L75" s="25" t="s">
        <v>285</v>
      </c>
    </row>
    <row r="76" spans="2:12" s="1" customFormat="1" ht="66">
      <c r="B76" s="13" t="s">
        <v>1730</v>
      </c>
      <c r="C76" s="26" t="s">
        <v>281</v>
      </c>
      <c r="D76" s="9" t="s">
        <v>1731</v>
      </c>
      <c r="E76" s="21" t="s">
        <v>182</v>
      </c>
      <c r="F76" s="19" t="s">
        <v>2014</v>
      </c>
      <c r="G76" s="19" t="s">
        <v>2014</v>
      </c>
      <c r="H76" s="23" t="str">
        <f t="shared" si="1"/>
        <v>,sum(pdusession_release_request_cnt) as pdusession_release_request_cnt</v>
      </c>
      <c r="I76" s="25"/>
      <c r="J76" s="25" t="s">
        <v>284</v>
      </c>
      <c r="K76" s="25" t="s">
        <v>750</v>
      </c>
      <c r="L76" s="25" t="s">
        <v>285</v>
      </c>
    </row>
    <row r="77" spans="2:12" s="1" customFormat="1" ht="66">
      <c r="B77" s="13" t="s">
        <v>1733</v>
      </c>
      <c r="C77" s="26" t="s">
        <v>281</v>
      </c>
      <c r="D77" s="9" t="s">
        <v>1734</v>
      </c>
      <c r="E77" s="21" t="s">
        <v>182</v>
      </c>
      <c r="F77" s="19" t="s">
        <v>2016</v>
      </c>
      <c r="G77" s="19" t="s">
        <v>2016</v>
      </c>
      <c r="H77" s="23" t="str">
        <f t="shared" si="1"/>
        <v>,sum(pdusession_release_succ_cnt) as pdusession_release_succ_cnt</v>
      </c>
      <c r="I77" s="25"/>
      <c r="J77" s="25" t="s">
        <v>284</v>
      </c>
      <c r="K77" s="25" t="s">
        <v>750</v>
      </c>
      <c r="L77" s="25" t="s">
        <v>285</v>
      </c>
    </row>
    <row r="78" spans="2:12" s="1" customFormat="1" ht="66">
      <c r="B78" s="13" t="s">
        <v>1736</v>
      </c>
      <c r="C78" s="26" t="s">
        <v>281</v>
      </c>
      <c r="D78" s="9" t="s">
        <v>1737</v>
      </c>
      <c r="E78" s="21" t="s">
        <v>182</v>
      </c>
      <c r="F78" s="19" t="s">
        <v>2018</v>
      </c>
      <c r="G78" s="19" t="s">
        <v>2018</v>
      </c>
      <c r="H78" s="23" t="str">
        <f t="shared" ref="H78:H109" si="3">_xlfn.CONCAT(",",F78," as ",B78)</f>
        <v>,sum(pdusession_release_fail_cnt) as pdusession_release_fail_cnt</v>
      </c>
      <c r="I78" s="25"/>
      <c r="J78" s="25" t="s">
        <v>284</v>
      </c>
      <c r="K78" s="25" t="s">
        <v>750</v>
      </c>
      <c r="L78" s="25" t="s">
        <v>285</v>
      </c>
    </row>
    <row r="79" spans="2:12" s="1" customFormat="1" ht="66">
      <c r="B79" s="13" t="s">
        <v>1739</v>
      </c>
      <c r="C79" s="26" t="s">
        <v>281</v>
      </c>
      <c r="D79" s="9" t="s">
        <v>1740</v>
      </c>
      <c r="E79" s="21" t="s">
        <v>182</v>
      </c>
      <c r="F79" s="19" t="s">
        <v>2020</v>
      </c>
      <c r="G79" s="19" t="s">
        <v>2020</v>
      </c>
      <c r="H79" s="23" t="str">
        <f t="shared" si="3"/>
        <v>,sum(pdusession_release_timeout_cnt) as pdusession_release_timeout_cnt</v>
      </c>
      <c r="I79" s="25"/>
      <c r="J79" s="25" t="s">
        <v>284</v>
      </c>
      <c r="K79" s="25" t="s">
        <v>750</v>
      </c>
      <c r="L79" s="25" t="s">
        <v>285</v>
      </c>
    </row>
    <row r="80" spans="2:12" s="1" customFormat="1" ht="118.8">
      <c r="B80" s="13" t="s">
        <v>1742</v>
      </c>
      <c r="C80" s="13" t="s">
        <v>319</v>
      </c>
      <c r="D80" s="9" t="s">
        <v>1743</v>
      </c>
      <c r="E80" s="21" t="s">
        <v>182</v>
      </c>
      <c r="F80" s="19" t="s">
        <v>2147</v>
      </c>
      <c r="G80" s="19" t="s">
        <v>2147</v>
      </c>
      <c r="H80" s="23" t="str">
        <f t="shared" si="3"/>
        <v>,sum(pdusession_release_succ_cnt*pdusession_release_delay) / sum(pdusession_release_succ_cnt) as pdusession_release_delay</v>
      </c>
      <c r="I80" s="25"/>
      <c r="J80" s="25" t="s">
        <v>284</v>
      </c>
      <c r="K80" s="25" t="s">
        <v>471</v>
      </c>
      <c r="L80" s="25" t="s">
        <v>285</v>
      </c>
    </row>
    <row r="81" spans="2:12" s="1" customFormat="1" ht="52.8">
      <c r="B81" s="13" t="s">
        <v>1745</v>
      </c>
      <c r="C81" s="26" t="s">
        <v>281</v>
      </c>
      <c r="D81" s="9" t="s">
        <v>1746</v>
      </c>
      <c r="E81" s="21" t="s">
        <v>182</v>
      </c>
      <c r="F81" s="19" t="s">
        <v>2148</v>
      </c>
      <c r="G81" s="19" t="s">
        <v>2148</v>
      </c>
      <c r="H81" s="23" t="str">
        <f t="shared" si="3"/>
        <v>,sum(n2ho_out_request_cnt) as n2ho_out_request_cnt</v>
      </c>
      <c r="I81" s="25"/>
      <c r="J81" s="25" t="s">
        <v>284</v>
      </c>
      <c r="K81" s="25" t="s">
        <v>750</v>
      </c>
      <c r="L81" s="25" t="s">
        <v>285</v>
      </c>
    </row>
    <row r="82" spans="2:12" s="1" customFormat="1" ht="52.8">
      <c r="B82" s="13" t="s">
        <v>1748</v>
      </c>
      <c r="C82" s="26" t="s">
        <v>281</v>
      </c>
      <c r="D82" s="9" t="s">
        <v>1749</v>
      </c>
      <c r="E82" s="21" t="s">
        <v>182</v>
      </c>
      <c r="F82" s="19" t="s">
        <v>2149</v>
      </c>
      <c r="G82" s="19" t="s">
        <v>2149</v>
      </c>
      <c r="H82" s="23" t="str">
        <f t="shared" si="3"/>
        <v>,sum(n2ho_out_succ_cnt) as n2ho_out_succ_cnt</v>
      </c>
      <c r="I82" s="25"/>
      <c r="J82" s="25" t="s">
        <v>284</v>
      </c>
      <c r="K82" s="25" t="s">
        <v>750</v>
      </c>
      <c r="L82" s="25" t="s">
        <v>285</v>
      </c>
    </row>
    <row r="83" spans="2:12" s="1" customFormat="1" ht="52.8">
      <c r="B83" s="13" t="s">
        <v>1751</v>
      </c>
      <c r="C83" s="26" t="s">
        <v>281</v>
      </c>
      <c r="D83" s="9" t="s">
        <v>1752</v>
      </c>
      <c r="E83" s="21" t="s">
        <v>182</v>
      </c>
      <c r="F83" s="19" t="s">
        <v>2150</v>
      </c>
      <c r="G83" s="19" t="s">
        <v>2150</v>
      </c>
      <c r="H83" s="23" t="str">
        <f t="shared" si="3"/>
        <v>,sum(n2ho_out_fail_cnt) as n2ho_out_fail_cnt</v>
      </c>
      <c r="I83" s="25"/>
      <c r="J83" s="25" t="s">
        <v>284</v>
      </c>
      <c r="K83" s="25" t="s">
        <v>750</v>
      </c>
      <c r="L83" s="25" t="s">
        <v>285</v>
      </c>
    </row>
    <row r="84" spans="2:12" s="1" customFormat="1" ht="52.8">
      <c r="B84" s="13" t="s">
        <v>1754</v>
      </c>
      <c r="C84" s="26" t="s">
        <v>281</v>
      </c>
      <c r="D84" s="9" t="s">
        <v>1755</v>
      </c>
      <c r="E84" s="21" t="s">
        <v>182</v>
      </c>
      <c r="F84" s="19" t="s">
        <v>2151</v>
      </c>
      <c r="G84" s="19" t="s">
        <v>2151</v>
      </c>
      <c r="H84" s="23" t="str">
        <f t="shared" si="3"/>
        <v>,sum(n2ho_out_timeout_cnt) as n2ho_out_timeout_cnt</v>
      </c>
      <c r="I84" s="25"/>
      <c r="J84" s="25" t="s">
        <v>284</v>
      </c>
      <c r="K84" s="25" t="s">
        <v>750</v>
      </c>
      <c r="L84" s="25" t="s">
        <v>285</v>
      </c>
    </row>
    <row r="85" spans="2:12" s="1" customFormat="1" ht="79.2">
      <c r="B85" s="13" t="s">
        <v>1757</v>
      </c>
      <c r="C85" s="13" t="s">
        <v>319</v>
      </c>
      <c r="D85" s="9" t="s">
        <v>1758</v>
      </c>
      <c r="E85" s="21" t="s">
        <v>182</v>
      </c>
      <c r="F85" s="19" t="s">
        <v>2152</v>
      </c>
      <c r="G85" s="19" t="s">
        <v>2152</v>
      </c>
      <c r="H85" s="23" t="str">
        <f t="shared" si="3"/>
        <v>,sum(n2ho_out_succ_cnt*n2ho_out_delay) / sum(n2ho_out_succ_cnt) as n2ho_out_delay</v>
      </c>
      <c r="I85" s="25"/>
      <c r="J85" s="25" t="s">
        <v>284</v>
      </c>
      <c r="K85" s="25" t="s">
        <v>471</v>
      </c>
      <c r="L85" s="25" t="s">
        <v>285</v>
      </c>
    </row>
    <row r="86" spans="2:12" s="1" customFormat="1" ht="66">
      <c r="B86" s="13" t="s">
        <v>1760</v>
      </c>
      <c r="C86" s="26" t="s">
        <v>281</v>
      </c>
      <c r="D86" s="9" t="s">
        <v>1761</v>
      </c>
      <c r="E86" s="21" t="s">
        <v>182</v>
      </c>
      <c r="F86" s="19" t="s">
        <v>2026</v>
      </c>
      <c r="G86" s="19" t="s">
        <v>2026</v>
      </c>
      <c r="H86" s="23" t="str">
        <f t="shared" si="3"/>
        <v>,sum(n2ho_out_intra5gs_request_cnt) as n2ho_out_intra5gs_request_cnt</v>
      </c>
      <c r="I86" s="25"/>
      <c r="J86" s="25" t="s">
        <v>284</v>
      </c>
      <c r="K86" s="25" t="s">
        <v>750</v>
      </c>
      <c r="L86" s="25" t="s">
        <v>285</v>
      </c>
    </row>
    <row r="87" spans="2:12" s="1" customFormat="1" ht="66">
      <c r="B87" s="13" t="s">
        <v>1763</v>
      </c>
      <c r="C87" s="26" t="s">
        <v>281</v>
      </c>
      <c r="D87" s="9" t="s">
        <v>1764</v>
      </c>
      <c r="E87" s="21" t="s">
        <v>182</v>
      </c>
      <c r="F87" s="19" t="s">
        <v>2028</v>
      </c>
      <c r="G87" s="19" t="s">
        <v>2028</v>
      </c>
      <c r="H87" s="23" t="str">
        <f t="shared" si="3"/>
        <v>,sum(n2ho_out_intra5gs_succ_cnt) as n2ho_out_intra5gs_succ_cnt</v>
      </c>
      <c r="I87" s="25"/>
      <c r="J87" s="25" t="s">
        <v>284</v>
      </c>
      <c r="K87" s="25" t="s">
        <v>750</v>
      </c>
      <c r="L87" s="25" t="s">
        <v>285</v>
      </c>
    </row>
    <row r="88" spans="2:12" s="1" customFormat="1" ht="66">
      <c r="B88" s="13" t="s">
        <v>1766</v>
      </c>
      <c r="C88" s="26" t="s">
        <v>281</v>
      </c>
      <c r="D88" s="9" t="s">
        <v>1767</v>
      </c>
      <c r="E88" s="21" t="s">
        <v>182</v>
      </c>
      <c r="F88" s="19" t="s">
        <v>2030</v>
      </c>
      <c r="G88" s="19" t="s">
        <v>2030</v>
      </c>
      <c r="H88" s="23" t="str">
        <f t="shared" si="3"/>
        <v>,sum(n2ho_out_intra5gs_fail_cnt) as n2ho_out_intra5gs_fail_cnt</v>
      </c>
      <c r="I88" s="25"/>
      <c r="J88" s="25" t="s">
        <v>284</v>
      </c>
      <c r="K88" s="25" t="s">
        <v>750</v>
      </c>
      <c r="L88" s="25" t="s">
        <v>285</v>
      </c>
    </row>
    <row r="89" spans="2:12" s="1" customFormat="1" ht="66">
      <c r="B89" s="13" t="s">
        <v>1769</v>
      </c>
      <c r="C89" s="26" t="s">
        <v>281</v>
      </c>
      <c r="D89" s="9" t="s">
        <v>1770</v>
      </c>
      <c r="E89" s="21" t="s">
        <v>182</v>
      </c>
      <c r="F89" s="19" t="s">
        <v>2032</v>
      </c>
      <c r="G89" s="19" t="s">
        <v>2032</v>
      </c>
      <c r="H89" s="23" t="str">
        <f t="shared" si="3"/>
        <v>,sum(n2ho_out_intra5gs_timeout_cnt) as n2ho_out_intra5gs_timeout_cnt</v>
      </c>
      <c r="I89" s="25"/>
      <c r="J89" s="25" t="s">
        <v>284</v>
      </c>
      <c r="K89" s="25" t="s">
        <v>750</v>
      </c>
      <c r="L89" s="25" t="s">
        <v>285</v>
      </c>
    </row>
    <row r="90" spans="2:12" s="1" customFormat="1" ht="118.8">
      <c r="B90" s="13" t="s">
        <v>1772</v>
      </c>
      <c r="C90" s="13" t="s">
        <v>319</v>
      </c>
      <c r="D90" s="9" t="s">
        <v>1773</v>
      </c>
      <c r="E90" s="21" t="s">
        <v>182</v>
      </c>
      <c r="F90" s="19" t="s">
        <v>2153</v>
      </c>
      <c r="G90" s="19" t="s">
        <v>2153</v>
      </c>
      <c r="H90" s="23" t="str">
        <f t="shared" si="3"/>
        <v>,sum(n2ho_out_intra5gs_succ_cnt*n2ho_out_intra5gs_delay) / sum(n2ho_out_intra5gs_succ_cnt) as n2ho_out_intra5gs_delay</v>
      </c>
      <c r="I90" s="25"/>
      <c r="J90" s="25" t="s">
        <v>284</v>
      </c>
      <c r="K90" s="25" t="s">
        <v>471</v>
      </c>
      <c r="L90" s="25" t="s">
        <v>285</v>
      </c>
    </row>
    <row r="91" spans="2:12" s="1" customFormat="1" ht="66">
      <c r="B91" s="13" t="s">
        <v>1775</v>
      </c>
      <c r="C91" s="26" t="s">
        <v>281</v>
      </c>
      <c r="D91" s="9" t="s">
        <v>1776</v>
      </c>
      <c r="E91" s="21" t="s">
        <v>182</v>
      </c>
      <c r="F91" s="19" t="s">
        <v>2038</v>
      </c>
      <c r="G91" s="19" t="s">
        <v>2038</v>
      </c>
      <c r="H91" s="23" t="str">
        <f t="shared" si="3"/>
        <v>,sum(n2ho_out_5gstoeps_request_cnt) as n2ho_out_5gstoeps_request_cnt</v>
      </c>
      <c r="I91" s="25"/>
      <c r="J91" s="25" t="s">
        <v>284</v>
      </c>
      <c r="K91" s="25" t="s">
        <v>750</v>
      </c>
      <c r="L91" s="25" t="s">
        <v>285</v>
      </c>
    </row>
    <row r="92" spans="2:12" s="1" customFormat="1" ht="66">
      <c r="B92" s="13" t="s">
        <v>1778</v>
      </c>
      <c r="C92" s="26" t="s">
        <v>281</v>
      </c>
      <c r="D92" s="9" t="s">
        <v>1779</v>
      </c>
      <c r="E92" s="21" t="s">
        <v>182</v>
      </c>
      <c r="F92" s="19" t="s">
        <v>2040</v>
      </c>
      <c r="G92" s="19" t="s">
        <v>2040</v>
      </c>
      <c r="H92" s="23" t="str">
        <f t="shared" si="3"/>
        <v>,sum(n2ho_out_5gstoeps_succ_cnt) as n2ho_out_5gstoeps_succ_cnt</v>
      </c>
      <c r="I92" s="25"/>
      <c r="J92" s="25" t="s">
        <v>284</v>
      </c>
      <c r="K92" s="25" t="s">
        <v>750</v>
      </c>
      <c r="L92" s="25" t="s">
        <v>285</v>
      </c>
    </row>
    <row r="93" spans="2:12" s="1" customFormat="1" ht="66">
      <c r="B93" s="13" t="s">
        <v>1781</v>
      </c>
      <c r="C93" s="26" t="s">
        <v>281</v>
      </c>
      <c r="D93" s="9" t="s">
        <v>1782</v>
      </c>
      <c r="E93" s="21" t="s">
        <v>182</v>
      </c>
      <c r="F93" s="19" t="s">
        <v>2042</v>
      </c>
      <c r="G93" s="19" t="s">
        <v>2042</v>
      </c>
      <c r="H93" s="23" t="str">
        <f t="shared" si="3"/>
        <v>,sum(n2ho_out_5gstoeps_fail_cnt) as n2ho_out_5gstoeps_fail_cnt</v>
      </c>
      <c r="I93" s="25"/>
      <c r="J93" s="25" t="s">
        <v>284</v>
      </c>
      <c r="K93" s="25" t="s">
        <v>750</v>
      </c>
      <c r="L93" s="25" t="s">
        <v>285</v>
      </c>
    </row>
    <row r="94" spans="2:12" s="1" customFormat="1" ht="66">
      <c r="B94" s="13" t="s">
        <v>1784</v>
      </c>
      <c r="C94" s="26" t="s">
        <v>281</v>
      </c>
      <c r="D94" s="9" t="s">
        <v>1785</v>
      </c>
      <c r="E94" s="21" t="s">
        <v>182</v>
      </c>
      <c r="F94" s="19" t="s">
        <v>2044</v>
      </c>
      <c r="G94" s="19" t="s">
        <v>2044</v>
      </c>
      <c r="H94" s="23" t="str">
        <f t="shared" si="3"/>
        <v>,sum(n2ho_out_5gstoeps_timeout_cnt) as n2ho_out_5gstoeps_timeout_cnt</v>
      </c>
      <c r="I94" s="25"/>
      <c r="J94" s="25" t="s">
        <v>284</v>
      </c>
      <c r="K94" s="25" t="s">
        <v>750</v>
      </c>
      <c r="L94" s="25" t="s">
        <v>285</v>
      </c>
    </row>
    <row r="95" spans="2:12" s="1" customFormat="1" ht="118.8">
      <c r="B95" s="13" t="s">
        <v>1787</v>
      </c>
      <c r="C95" s="13" t="s">
        <v>319</v>
      </c>
      <c r="D95" s="9" t="s">
        <v>1788</v>
      </c>
      <c r="E95" s="21" t="s">
        <v>182</v>
      </c>
      <c r="F95" s="19" t="s">
        <v>2154</v>
      </c>
      <c r="G95" s="19" t="s">
        <v>2154</v>
      </c>
      <c r="H95" s="23" t="str">
        <f t="shared" si="3"/>
        <v>,sum(n2ho_out_5gstoeps_succ_cnt*n2ho_out_5gstoeps_delay)/sum(n2ho_out_5gstoeps_succ_cnt) as n2ho_out_5gstoeps_delay</v>
      </c>
      <c r="I95" s="25"/>
      <c r="J95" s="25" t="s">
        <v>284</v>
      </c>
      <c r="K95" s="25" t="s">
        <v>471</v>
      </c>
      <c r="L95" s="25" t="s">
        <v>285</v>
      </c>
    </row>
    <row r="96" spans="2:12" s="1" customFormat="1" ht="66">
      <c r="B96" s="13" t="s">
        <v>1790</v>
      </c>
      <c r="C96" s="26" t="s">
        <v>281</v>
      </c>
      <c r="D96" s="9" t="s">
        <v>1791</v>
      </c>
      <c r="E96" s="21" t="s">
        <v>182</v>
      </c>
      <c r="F96" s="19" t="s">
        <v>2050</v>
      </c>
      <c r="G96" s="19" t="s">
        <v>2050</v>
      </c>
      <c r="H96" s="23" t="str">
        <f t="shared" si="3"/>
        <v>,sum(n2ho_in_intra5gs_request_cnt) as n2ho_in_intra5gs_request_cnt</v>
      </c>
      <c r="I96" s="25"/>
      <c r="J96" s="25" t="s">
        <v>284</v>
      </c>
      <c r="K96" s="25" t="s">
        <v>750</v>
      </c>
      <c r="L96" s="25" t="s">
        <v>285</v>
      </c>
    </row>
    <row r="97" spans="2:12" s="1" customFormat="1" ht="66">
      <c r="B97" s="13" t="s">
        <v>1793</v>
      </c>
      <c r="C97" s="26" t="s">
        <v>281</v>
      </c>
      <c r="D97" s="9" t="s">
        <v>1794</v>
      </c>
      <c r="E97" s="21" t="s">
        <v>182</v>
      </c>
      <c r="F97" s="19" t="s">
        <v>2052</v>
      </c>
      <c r="G97" s="19" t="s">
        <v>2052</v>
      </c>
      <c r="H97" s="23" t="str">
        <f t="shared" si="3"/>
        <v>,sum(n2ho_in_intra5gs_succ_cnt) as n2ho_in_intra5gs_succ_cnt</v>
      </c>
      <c r="I97" s="25"/>
      <c r="J97" s="25" t="s">
        <v>284</v>
      </c>
      <c r="K97" s="25" t="s">
        <v>750</v>
      </c>
      <c r="L97" s="25" t="s">
        <v>285</v>
      </c>
    </row>
    <row r="98" spans="2:12" s="1" customFormat="1" ht="52.8">
      <c r="B98" s="13" t="s">
        <v>1796</v>
      </c>
      <c r="C98" s="26" t="s">
        <v>281</v>
      </c>
      <c r="D98" s="9" t="s">
        <v>1797</v>
      </c>
      <c r="E98" s="21" t="s">
        <v>182</v>
      </c>
      <c r="F98" s="19" t="s">
        <v>2054</v>
      </c>
      <c r="G98" s="19" t="s">
        <v>2054</v>
      </c>
      <c r="H98" s="23" t="str">
        <f t="shared" si="3"/>
        <v>,sum(n2ho_in_intra5gs_fail_cnt) as n2ho_in_intra5gs_fail_cnt</v>
      </c>
      <c r="I98" s="25"/>
      <c r="J98" s="25" t="s">
        <v>284</v>
      </c>
      <c r="K98" s="25" t="s">
        <v>750</v>
      </c>
      <c r="L98" s="25" t="s">
        <v>285</v>
      </c>
    </row>
    <row r="99" spans="2:12" s="1" customFormat="1" ht="66">
      <c r="B99" s="13" t="s">
        <v>1799</v>
      </c>
      <c r="C99" s="26" t="s">
        <v>281</v>
      </c>
      <c r="D99" s="9" t="s">
        <v>1800</v>
      </c>
      <c r="E99" s="21" t="s">
        <v>182</v>
      </c>
      <c r="F99" s="19" t="s">
        <v>2056</v>
      </c>
      <c r="G99" s="19" t="s">
        <v>2056</v>
      </c>
      <c r="H99" s="23" t="str">
        <f t="shared" si="3"/>
        <v>,sum(n2ho_in_intra5gs_timeout) as n2ho_in_intra5gs_timeout</v>
      </c>
      <c r="I99" s="25"/>
      <c r="J99" s="25" t="s">
        <v>284</v>
      </c>
      <c r="K99" s="25" t="s">
        <v>750</v>
      </c>
      <c r="L99" s="25" t="s">
        <v>285</v>
      </c>
    </row>
    <row r="100" spans="2:12" s="1" customFormat="1" ht="118.8">
      <c r="B100" s="13" t="s">
        <v>1802</v>
      </c>
      <c r="C100" s="13" t="s">
        <v>319</v>
      </c>
      <c r="D100" s="9" t="s">
        <v>1803</v>
      </c>
      <c r="E100" s="21" t="s">
        <v>182</v>
      </c>
      <c r="F100" s="19" t="s">
        <v>2155</v>
      </c>
      <c r="G100" s="19" t="s">
        <v>2155</v>
      </c>
      <c r="H100" s="23" t="str">
        <f t="shared" si="3"/>
        <v>,sum(n2ho_in_intra5gs_succ_cnt*n2ho_in_intra5gs_delay) / sum(n2ho_in_intra5gs_succ_cnt) as n2ho_in_intra5gs_delay</v>
      </c>
      <c r="I100" s="25"/>
      <c r="J100" s="25" t="s">
        <v>284</v>
      </c>
      <c r="K100" s="25" t="s">
        <v>471</v>
      </c>
      <c r="L100" s="25" t="s">
        <v>285</v>
      </c>
    </row>
    <row r="101" spans="2:12" s="1" customFormat="1" ht="66">
      <c r="B101" s="13" t="s">
        <v>1805</v>
      </c>
      <c r="C101" s="26" t="s">
        <v>281</v>
      </c>
      <c r="D101" s="9" t="s">
        <v>1806</v>
      </c>
      <c r="E101" s="21" t="s">
        <v>182</v>
      </c>
      <c r="F101" s="19" t="s">
        <v>2062</v>
      </c>
      <c r="G101" s="19" t="s">
        <v>2062</v>
      </c>
      <c r="H101" s="23" t="str">
        <f t="shared" si="3"/>
        <v>,sum(n2ho_in_epsto5gs_request_cnt) as n2ho_in_epsto5gs_request_cnt</v>
      </c>
      <c r="I101" s="25"/>
      <c r="J101" s="25" t="s">
        <v>284</v>
      </c>
      <c r="K101" s="25" t="s">
        <v>750</v>
      </c>
      <c r="L101" s="25" t="s">
        <v>285</v>
      </c>
    </row>
    <row r="102" spans="2:12" s="1" customFormat="1" ht="66">
      <c r="B102" s="13" t="s">
        <v>1808</v>
      </c>
      <c r="C102" s="26" t="s">
        <v>281</v>
      </c>
      <c r="D102" s="9" t="s">
        <v>1809</v>
      </c>
      <c r="E102" s="21" t="s">
        <v>182</v>
      </c>
      <c r="F102" s="19" t="s">
        <v>2064</v>
      </c>
      <c r="G102" s="19" t="s">
        <v>2064</v>
      </c>
      <c r="H102" s="23" t="str">
        <f t="shared" si="3"/>
        <v>,sum(n2ho_in_epsto5gs_succ_cnt) as n2ho_in_epsto5gs_succ_cnt</v>
      </c>
      <c r="I102" s="25"/>
      <c r="J102" s="25" t="s">
        <v>284</v>
      </c>
      <c r="K102" s="25" t="s">
        <v>750</v>
      </c>
      <c r="L102" s="25" t="s">
        <v>285</v>
      </c>
    </row>
    <row r="103" spans="2:12" s="1" customFormat="1" ht="66">
      <c r="B103" s="13" t="s">
        <v>1811</v>
      </c>
      <c r="C103" s="26" t="s">
        <v>281</v>
      </c>
      <c r="D103" s="9" t="s">
        <v>1812</v>
      </c>
      <c r="E103" s="21" t="s">
        <v>182</v>
      </c>
      <c r="F103" s="19" t="s">
        <v>2066</v>
      </c>
      <c r="G103" s="19" t="s">
        <v>2066</v>
      </c>
      <c r="H103" s="23" t="str">
        <f t="shared" si="3"/>
        <v>,sum(n2ho_in_epsto5gs_fail_cnt) as n2ho_in_epsto5gs_fail_cnt</v>
      </c>
      <c r="I103" s="25"/>
      <c r="J103" s="25" t="s">
        <v>284</v>
      </c>
      <c r="K103" s="25" t="s">
        <v>750</v>
      </c>
      <c r="L103" s="25" t="s">
        <v>285</v>
      </c>
    </row>
    <row r="104" spans="2:12" s="1" customFormat="1" ht="66">
      <c r="B104" s="13" t="s">
        <v>1814</v>
      </c>
      <c r="C104" s="26" t="s">
        <v>281</v>
      </c>
      <c r="D104" s="9" t="s">
        <v>1815</v>
      </c>
      <c r="E104" s="21" t="s">
        <v>182</v>
      </c>
      <c r="F104" s="19" t="s">
        <v>2068</v>
      </c>
      <c r="G104" s="19" t="s">
        <v>2068</v>
      </c>
      <c r="H104" s="23" t="str">
        <f t="shared" si="3"/>
        <v>,sum(n2ho_in_epsto5gs_timeout) as n2ho_in_epsto5gs_timeout</v>
      </c>
      <c r="I104" s="25"/>
      <c r="J104" s="25" t="s">
        <v>284</v>
      </c>
      <c r="K104" s="25" t="s">
        <v>750</v>
      </c>
      <c r="L104" s="25" t="s">
        <v>285</v>
      </c>
    </row>
    <row r="105" spans="2:12" s="1" customFormat="1" ht="118.8">
      <c r="B105" s="13" t="s">
        <v>1817</v>
      </c>
      <c r="C105" s="13" t="s">
        <v>319</v>
      </c>
      <c r="D105" s="9" t="s">
        <v>1818</v>
      </c>
      <c r="E105" s="21" t="s">
        <v>182</v>
      </c>
      <c r="F105" s="19" t="s">
        <v>2156</v>
      </c>
      <c r="G105" s="19" t="s">
        <v>2156</v>
      </c>
      <c r="H105" s="23" t="str">
        <f t="shared" si="3"/>
        <v>,sum(n2ho_in_epsto5gs_succ_cnt*n2ho_in_epsto5gs_delay) / sum(n2ho_in_epsto5gs_succ_cnt) as n2ho_in_epsto5gs_delay</v>
      </c>
      <c r="I105" s="25"/>
      <c r="J105" s="25" t="s">
        <v>284</v>
      </c>
      <c r="K105" s="25" t="s">
        <v>471</v>
      </c>
      <c r="L105" s="25" t="s">
        <v>285</v>
      </c>
    </row>
    <row r="106" spans="2:12" s="1" customFormat="1" ht="66">
      <c r="B106" s="13" t="s">
        <v>1820</v>
      </c>
      <c r="C106" s="26" t="s">
        <v>281</v>
      </c>
      <c r="D106" s="9" t="s">
        <v>1821</v>
      </c>
      <c r="E106" s="21" t="s">
        <v>182</v>
      </c>
      <c r="F106" s="19" t="s">
        <v>2106</v>
      </c>
      <c r="G106" s="19" t="s">
        <v>2106</v>
      </c>
      <c r="H106" s="23" t="str">
        <f t="shared" si="3"/>
        <v>,sum(n2ho_cancel_request_cnt) as n2ho_cancel_request_cnt</v>
      </c>
      <c r="I106" s="25"/>
      <c r="J106" s="25" t="s">
        <v>284</v>
      </c>
      <c r="K106" s="25" t="s">
        <v>750</v>
      </c>
      <c r="L106" s="25" t="s">
        <v>285</v>
      </c>
    </row>
    <row r="107" spans="2:12" s="1" customFormat="1" ht="52.8">
      <c r="B107" s="13" t="s">
        <v>1823</v>
      </c>
      <c r="C107" s="26" t="s">
        <v>281</v>
      </c>
      <c r="D107" s="9" t="s">
        <v>1824</v>
      </c>
      <c r="E107" s="21" t="s">
        <v>182</v>
      </c>
      <c r="F107" s="19" t="s">
        <v>2108</v>
      </c>
      <c r="G107" s="19" t="s">
        <v>2108</v>
      </c>
      <c r="H107" s="23" t="str">
        <f t="shared" si="3"/>
        <v>,sum(n2ho_cancel_succ_cnt) as n2ho_cancel_succ_cnt</v>
      </c>
      <c r="I107" s="25"/>
      <c r="J107" s="25" t="s">
        <v>284</v>
      </c>
      <c r="K107" s="25" t="s">
        <v>750</v>
      </c>
      <c r="L107" s="25" t="s">
        <v>285</v>
      </c>
    </row>
    <row r="108" spans="2:12" s="1" customFormat="1" ht="52.8">
      <c r="B108" s="13" t="s">
        <v>1826</v>
      </c>
      <c r="C108" s="26" t="s">
        <v>281</v>
      </c>
      <c r="D108" s="9" t="s">
        <v>1827</v>
      </c>
      <c r="E108" s="21" t="s">
        <v>182</v>
      </c>
      <c r="F108" s="19" t="s">
        <v>2110</v>
      </c>
      <c r="G108" s="19" t="s">
        <v>2110</v>
      </c>
      <c r="H108" s="23" t="str">
        <f t="shared" si="3"/>
        <v>,sum(n2ho_cancel_fail_cnt) as n2ho_cancel_fail_cnt</v>
      </c>
      <c r="I108" s="25"/>
      <c r="J108" s="25" t="s">
        <v>284</v>
      </c>
      <c r="K108" s="25" t="s">
        <v>750</v>
      </c>
      <c r="L108" s="25" t="s">
        <v>285</v>
      </c>
    </row>
    <row r="109" spans="2:12" s="1" customFormat="1" ht="66">
      <c r="B109" s="13" t="s">
        <v>1829</v>
      </c>
      <c r="C109" s="26" t="s">
        <v>281</v>
      </c>
      <c r="D109" s="9" t="s">
        <v>1830</v>
      </c>
      <c r="E109" s="21" t="s">
        <v>182</v>
      </c>
      <c r="F109" s="19" t="s">
        <v>2112</v>
      </c>
      <c r="G109" s="19" t="s">
        <v>2112</v>
      </c>
      <c r="H109" s="23" t="str">
        <f t="shared" si="3"/>
        <v>,sum(n2ho_cancel_timeout_cnt) as n2ho_cancel_timeout_cnt</v>
      </c>
      <c r="I109" s="25"/>
      <c r="J109" s="25" t="s">
        <v>284</v>
      </c>
      <c r="K109" s="25" t="s">
        <v>750</v>
      </c>
      <c r="L109" s="25" t="s">
        <v>285</v>
      </c>
    </row>
    <row r="110" spans="2:12" s="1" customFormat="1" ht="105.6">
      <c r="B110" s="13" t="s">
        <v>1832</v>
      </c>
      <c r="C110" s="13" t="s">
        <v>319</v>
      </c>
      <c r="D110" s="9" t="s">
        <v>1833</v>
      </c>
      <c r="E110" s="21" t="s">
        <v>182</v>
      </c>
      <c r="F110" s="19" t="s">
        <v>2157</v>
      </c>
      <c r="G110" s="19" t="s">
        <v>2157</v>
      </c>
      <c r="H110" s="23" t="str">
        <f t="shared" ref="H110:H133" si="4">_xlfn.CONCAT(",",F110," as ",B110)</f>
        <v>,sum(n2ho_cancel_succ_cnt*n2ho_cancel_delay) / sum(n2ho_cancel_succ_cnt) as n2ho_cancel_delay</v>
      </c>
      <c r="I110" s="25"/>
      <c r="J110" s="25" t="s">
        <v>284</v>
      </c>
      <c r="K110" s="25" t="s">
        <v>471</v>
      </c>
      <c r="L110" s="25" t="s">
        <v>285</v>
      </c>
    </row>
    <row r="111" spans="2:12" s="1" customFormat="1" ht="52.8">
      <c r="B111" s="13" t="s">
        <v>1835</v>
      </c>
      <c r="C111" s="26" t="s">
        <v>281</v>
      </c>
      <c r="D111" s="9" t="s">
        <v>1836</v>
      </c>
      <c r="E111" s="21" t="s">
        <v>182</v>
      </c>
      <c r="F111" s="19" t="s">
        <v>2074</v>
      </c>
      <c r="G111" s="19" t="s">
        <v>2074</v>
      </c>
      <c r="H111" s="23" t="str">
        <f t="shared" si="4"/>
        <v>,sum(xnho_request_cnt) as xnho_request_cnt</v>
      </c>
      <c r="I111" s="25"/>
      <c r="J111" s="25" t="s">
        <v>284</v>
      </c>
      <c r="K111" s="25" t="s">
        <v>750</v>
      </c>
      <c r="L111" s="25" t="s">
        <v>285</v>
      </c>
    </row>
    <row r="112" spans="2:12" s="1" customFormat="1" ht="39.6">
      <c r="B112" s="13" t="s">
        <v>1838</v>
      </c>
      <c r="C112" s="26" t="s">
        <v>281</v>
      </c>
      <c r="D112" s="9" t="s">
        <v>1839</v>
      </c>
      <c r="E112" s="21" t="s">
        <v>182</v>
      </c>
      <c r="F112" s="19" t="s">
        <v>2076</v>
      </c>
      <c r="G112" s="19" t="s">
        <v>2076</v>
      </c>
      <c r="H112" s="23" t="str">
        <f t="shared" si="4"/>
        <v>,sum(xnho_succ_cnt) as xnho_succ_cnt</v>
      </c>
      <c r="I112" s="25"/>
      <c r="J112" s="25" t="s">
        <v>284</v>
      </c>
      <c r="K112" s="25" t="s">
        <v>750</v>
      </c>
      <c r="L112" s="25" t="s">
        <v>285</v>
      </c>
    </row>
    <row r="113" spans="2:12" s="1" customFormat="1" ht="39.6">
      <c r="B113" s="13" t="s">
        <v>1841</v>
      </c>
      <c r="C113" s="26" t="s">
        <v>281</v>
      </c>
      <c r="D113" s="9" t="s">
        <v>1842</v>
      </c>
      <c r="E113" s="21" t="s">
        <v>182</v>
      </c>
      <c r="F113" s="19" t="s">
        <v>2078</v>
      </c>
      <c r="G113" s="19" t="s">
        <v>2078</v>
      </c>
      <c r="H113" s="23" t="str">
        <f t="shared" si="4"/>
        <v>,sum(xnho_fail_cnt) as xnho_fail_cnt</v>
      </c>
      <c r="I113" s="25"/>
      <c r="J113" s="25" t="s">
        <v>284</v>
      </c>
      <c r="K113" s="25" t="s">
        <v>750</v>
      </c>
      <c r="L113" s="25" t="s">
        <v>285</v>
      </c>
    </row>
    <row r="114" spans="2:12" s="1" customFormat="1" ht="52.8">
      <c r="B114" s="13" t="s">
        <v>1844</v>
      </c>
      <c r="C114" s="26" t="s">
        <v>281</v>
      </c>
      <c r="D114" s="9" t="s">
        <v>1845</v>
      </c>
      <c r="E114" s="21" t="s">
        <v>182</v>
      </c>
      <c r="F114" s="19" t="s">
        <v>2080</v>
      </c>
      <c r="G114" s="19" t="s">
        <v>2080</v>
      </c>
      <c r="H114" s="23" t="str">
        <f t="shared" si="4"/>
        <v>,sum(xnho_timeout_cnt) as xnho_timeout_cnt</v>
      </c>
      <c r="I114" s="25"/>
      <c r="J114" s="25" t="s">
        <v>284</v>
      </c>
      <c r="K114" s="25" t="s">
        <v>750</v>
      </c>
      <c r="L114" s="25" t="s">
        <v>285</v>
      </c>
    </row>
    <row r="115" spans="2:12" s="1" customFormat="1" ht="79.2">
      <c r="B115" s="13" t="s">
        <v>1847</v>
      </c>
      <c r="C115" s="13" t="s">
        <v>319</v>
      </c>
      <c r="D115" s="9" t="s">
        <v>1848</v>
      </c>
      <c r="E115" s="21" t="s">
        <v>182</v>
      </c>
      <c r="F115" s="19" t="s">
        <v>2158</v>
      </c>
      <c r="G115" s="19" t="s">
        <v>2158</v>
      </c>
      <c r="H115" s="23" t="str">
        <f t="shared" si="4"/>
        <v>,sum(xnho_succ_cnt*xnho_delay) / sum(xnho_succ_cnt) as xnho_delay</v>
      </c>
      <c r="I115" s="25"/>
      <c r="J115" s="25" t="s">
        <v>284</v>
      </c>
      <c r="K115" s="25" t="s">
        <v>471</v>
      </c>
      <c r="L115" s="25" t="s">
        <v>285</v>
      </c>
    </row>
    <row r="116" spans="2:12" s="1" customFormat="1" ht="79.2">
      <c r="B116" s="13" t="s">
        <v>1850</v>
      </c>
      <c r="C116" s="26" t="s">
        <v>281</v>
      </c>
      <c r="D116" s="9" t="s">
        <v>1851</v>
      </c>
      <c r="E116" s="21" t="s">
        <v>182</v>
      </c>
      <c r="F116" s="19" t="s">
        <v>2086</v>
      </c>
      <c r="G116" s="19" t="s">
        <v>2086</v>
      </c>
      <c r="H116" s="23" t="str">
        <f t="shared" si="4"/>
        <v>,sum(amf_ue_context_release_request_cnt) as amf_ue_context_release_request_cnt</v>
      </c>
      <c r="I116" s="25"/>
      <c r="J116" s="25" t="s">
        <v>284</v>
      </c>
      <c r="K116" s="25" t="s">
        <v>750</v>
      </c>
      <c r="L116" s="25" t="s">
        <v>285</v>
      </c>
    </row>
    <row r="117" spans="2:12" s="1" customFormat="1" ht="66">
      <c r="B117" s="13" t="s">
        <v>1853</v>
      </c>
      <c r="C117" s="26" t="s">
        <v>281</v>
      </c>
      <c r="D117" s="9" t="s">
        <v>1854</v>
      </c>
      <c r="E117" s="21" t="s">
        <v>182</v>
      </c>
      <c r="F117" s="19" t="s">
        <v>2088</v>
      </c>
      <c r="G117" s="19" t="s">
        <v>2088</v>
      </c>
      <c r="H117" s="23" t="str">
        <f t="shared" si="4"/>
        <v>,sum(amf_ue_context_release_succ_cnt) as amf_ue_context_release_succ_cnt</v>
      </c>
      <c r="I117" s="25"/>
      <c r="J117" s="25" t="s">
        <v>284</v>
      </c>
      <c r="K117" s="25" t="s">
        <v>750</v>
      </c>
      <c r="L117" s="25" t="s">
        <v>285</v>
      </c>
    </row>
    <row r="118" spans="2:12" s="1" customFormat="1" ht="66">
      <c r="B118" s="13" t="s">
        <v>1856</v>
      </c>
      <c r="C118" s="26" t="s">
        <v>281</v>
      </c>
      <c r="D118" s="9" t="s">
        <v>1857</v>
      </c>
      <c r="E118" s="21" t="s">
        <v>182</v>
      </c>
      <c r="F118" s="19" t="s">
        <v>2090</v>
      </c>
      <c r="G118" s="19" t="s">
        <v>2090</v>
      </c>
      <c r="H118" s="23" t="str">
        <f t="shared" si="4"/>
        <v>,sum(amf_ue_context_release_fail_cnt) as amf_ue_context_release_fail_cnt</v>
      </c>
      <c r="I118" s="25"/>
      <c r="J118" s="25" t="s">
        <v>284</v>
      </c>
      <c r="K118" s="25" t="s">
        <v>750</v>
      </c>
      <c r="L118" s="25" t="s">
        <v>285</v>
      </c>
    </row>
    <row r="119" spans="2:12" s="1" customFormat="1" ht="66">
      <c r="B119" s="13" t="s">
        <v>1859</v>
      </c>
      <c r="C119" s="26" t="s">
        <v>281</v>
      </c>
      <c r="D119" s="9" t="s">
        <v>1860</v>
      </c>
      <c r="E119" s="21" t="s">
        <v>182</v>
      </c>
      <c r="F119" s="19" t="s">
        <v>2092</v>
      </c>
      <c r="G119" s="19" t="s">
        <v>2092</v>
      </c>
      <c r="H119" s="23" t="str">
        <f t="shared" si="4"/>
        <v>,sum(amf_ue_context_release_timeout) as amf_ue_context_release_timeout</v>
      </c>
      <c r="I119" s="25"/>
      <c r="J119" s="25" t="s">
        <v>284</v>
      </c>
      <c r="K119" s="25" t="s">
        <v>750</v>
      </c>
      <c r="L119" s="25" t="s">
        <v>285</v>
      </c>
    </row>
    <row r="120" spans="2:12" s="1" customFormat="1" ht="132">
      <c r="B120" s="13" t="s">
        <v>1862</v>
      </c>
      <c r="C120" s="13" t="s">
        <v>319</v>
      </c>
      <c r="D120" s="9" t="s">
        <v>1863</v>
      </c>
      <c r="E120" s="21" t="s">
        <v>182</v>
      </c>
      <c r="F120" s="19" t="s">
        <v>2159</v>
      </c>
      <c r="G120" s="19" t="s">
        <v>2159</v>
      </c>
      <c r="H120" s="23" t="str">
        <f t="shared" si="4"/>
        <v>,sum(amf_ue_context_release_succ_cnt*amf_ue_context_release_delay) / sum(amf_ue_context_release_succ_cnt) as amf_ue_context_release_delay</v>
      </c>
      <c r="I120" s="25"/>
      <c r="J120" s="25" t="s">
        <v>284</v>
      </c>
      <c r="K120" s="25" t="s">
        <v>471</v>
      </c>
      <c r="L120" s="25" t="s">
        <v>285</v>
      </c>
    </row>
    <row r="121" spans="2:12" s="1" customFormat="1" ht="79.2">
      <c r="B121" s="13" t="s">
        <v>1865</v>
      </c>
      <c r="C121" s="26" t="s">
        <v>281</v>
      </c>
      <c r="D121" s="9" t="s">
        <v>1866</v>
      </c>
      <c r="E121" s="21" t="s">
        <v>182</v>
      </c>
      <c r="F121" s="19" t="s">
        <v>2096</v>
      </c>
      <c r="G121" s="19" t="s">
        <v>2096</v>
      </c>
      <c r="H121" s="23" t="str">
        <f t="shared" si="4"/>
        <v>,sum(an_ue_context_release_request_cnt) as an_ue_context_release_request_cnt</v>
      </c>
      <c r="I121" s="25"/>
      <c r="J121" s="25" t="s">
        <v>284</v>
      </c>
      <c r="K121" s="25" t="s">
        <v>750</v>
      </c>
      <c r="L121" s="25" t="s">
        <v>285</v>
      </c>
    </row>
    <row r="122" spans="2:12" s="1" customFormat="1" ht="66">
      <c r="B122" s="13" t="s">
        <v>1868</v>
      </c>
      <c r="C122" s="26" t="s">
        <v>281</v>
      </c>
      <c r="D122" s="9" t="s">
        <v>1869</v>
      </c>
      <c r="E122" s="21" t="s">
        <v>182</v>
      </c>
      <c r="F122" s="19" t="s">
        <v>2098</v>
      </c>
      <c r="G122" s="19" t="s">
        <v>2098</v>
      </c>
      <c r="H122" s="23" t="str">
        <f t="shared" si="4"/>
        <v>,sum(an_ue_context_release_succ_cnt) as an_ue_context_release_succ_cnt</v>
      </c>
      <c r="I122" s="25"/>
      <c r="J122" s="25" t="s">
        <v>284</v>
      </c>
      <c r="K122" s="25" t="s">
        <v>750</v>
      </c>
      <c r="L122" s="25" t="s">
        <v>285</v>
      </c>
    </row>
    <row r="123" spans="2:12" s="1" customFormat="1" ht="66">
      <c r="B123" s="13" t="s">
        <v>1871</v>
      </c>
      <c r="C123" s="26" t="s">
        <v>281</v>
      </c>
      <c r="D123" s="9" t="s">
        <v>1872</v>
      </c>
      <c r="E123" s="21" t="s">
        <v>182</v>
      </c>
      <c r="F123" s="19" t="s">
        <v>2100</v>
      </c>
      <c r="G123" s="19" t="s">
        <v>2100</v>
      </c>
      <c r="H123" s="23" t="str">
        <f t="shared" si="4"/>
        <v>,sum(an_ue_context_release_fail_cnt) as an_ue_context_release_fail_cnt</v>
      </c>
      <c r="I123" s="25"/>
      <c r="J123" s="25" t="s">
        <v>284</v>
      </c>
      <c r="K123" s="25" t="s">
        <v>750</v>
      </c>
      <c r="L123" s="25" t="s">
        <v>285</v>
      </c>
    </row>
    <row r="124" spans="2:12" s="1" customFormat="1" ht="66">
      <c r="B124" s="13" t="s">
        <v>1874</v>
      </c>
      <c r="C124" s="26" t="s">
        <v>281</v>
      </c>
      <c r="D124" s="9" t="s">
        <v>1875</v>
      </c>
      <c r="E124" s="21" t="s">
        <v>182</v>
      </c>
      <c r="F124" s="19" t="s">
        <v>2102</v>
      </c>
      <c r="G124" s="19" t="s">
        <v>2102</v>
      </c>
      <c r="H124" s="23" t="str">
        <f t="shared" si="4"/>
        <v>,sum(an_ue_context_release_timeout) as an_ue_context_release_timeout</v>
      </c>
      <c r="I124" s="25"/>
      <c r="J124" s="25" t="s">
        <v>284</v>
      </c>
      <c r="K124" s="25" t="s">
        <v>750</v>
      </c>
      <c r="L124" s="25" t="s">
        <v>285</v>
      </c>
    </row>
    <row r="125" spans="2:12" s="1" customFormat="1" ht="132">
      <c r="B125" s="13" t="s">
        <v>1877</v>
      </c>
      <c r="C125" s="13" t="s">
        <v>319</v>
      </c>
      <c r="D125" s="9" t="s">
        <v>1878</v>
      </c>
      <c r="E125" s="21" t="s">
        <v>182</v>
      </c>
      <c r="F125" s="19" t="s">
        <v>2160</v>
      </c>
      <c r="G125" s="19" t="s">
        <v>2160</v>
      </c>
      <c r="H125" s="23" t="str">
        <f t="shared" si="4"/>
        <v>,sum(an_ue_context_release_succ_cnt*an_ue_context_release_delay) / sum(an_ue_context_release_succ_cnt) as an_ue_context_release_delay</v>
      </c>
      <c r="I125" s="25"/>
      <c r="J125" s="25" t="s">
        <v>284</v>
      </c>
      <c r="K125" s="25" t="s">
        <v>471</v>
      </c>
      <c r="L125" s="25" t="s">
        <v>285</v>
      </c>
    </row>
    <row r="126" spans="2:12" s="1" customFormat="1" ht="52.8">
      <c r="B126" s="13" t="s">
        <v>1880</v>
      </c>
      <c r="C126" s="26" t="s">
        <v>281</v>
      </c>
      <c r="D126" s="9" t="s">
        <v>1881</v>
      </c>
      <c r="E126" s="21" t="s">
        <v>182</v>
      </c>
      <c r="F126" s="19" t="s">
        <v>2161</v>
      </c>
      <c r="G126" s="19" t="s">
        <v>2161</v>
      </c>
      <c r="H126" s="23" t="str">
        <f t="shared" si="4"/>
        <v>,sum(procedure_record_cnt) as procedure_record_cnt</v>
      </c>
      <c r="I126" s="25"/>
      <c r="J126" s="25" t="s">
        <v>284</v>
      </c>
      <c r="K126" s="25" t="s">
        <v>750</v>
      </c>
      <c r="L126" s="25" t="s">
        <v>285</v>
      </c>
    </row>
    <row r="127" spans="2:12" s="1" customFormat="1" ht="52.8">
      <c r="B127" s="13" t="s">
        <v>1882</v>
      </c>
      <c r="C127" s="26" t="s">
        <v>281</v>
      </c>
      <c r="D127" s="9" t="s">
        <v>1883</v>
      </c>
      <c r="E127" s="21" t="s">
        <v>182</v>
      </c>
      <c r="F127" s="19" t="s">
        <v>2119</v>
      </c>
      <c r="G127" s="19" t="s">
        <v>2119</v>
      </c>
      <c r="H127" s="23" t="str">
        <f t="shared" si="4"/>
        <v>,sum(procedure_succ_cnt) as procedure_succ_cnt</v>
      </c>
      <c r="I127" s="25"/>
      <c r="J127" s="25" t="s">
        <v>284</v>
      </c>
      <c r="K127" s="25" t="s">
        <v>750</v>
      </c>
      <c r="L127" s="25" t="s">
        <v>285</v>
      </c>
    </row>
    <row r="128" spans="2:12" s="1" customFormat="1" ht="52.8">
      <c r="B128" s="13" t="s">
        <v>1885</v>
      </c>
      <c r="C128" s="26" t="s">
        <v>281</v>
      </c>
      <c r="D128" s="9" t="s">
        <v>1886</v>
      </c>
      <c r="E128" s="21" t="s">
        <v>182</v>
      </c>
      <c r="F128" s="19" t="s">
        <v>2121</v>
      </c>
      <c r="G128" s="19" t="s">
        <v>2121</v>
      </c>
      <c r="H128" s="23" t="str">
        <f t="shared" si="4"/>
        <v>,sum(procedure_fail_cnt) as procedure_fail_cnt</v>
      </c>
      <c r="I128" s="25"/>
      <c r="J128" s="25" t="s">
        <v>284</v>
      </c>
      <c r="K128" s="25" t="s">
        <v>750</v>
      </c>
      <c r="L128" s="25" t="s">
        <v>285</v>
      </c>
    </row>
    <row r="129" spans="2:17" s="1" customFormat="1" ht="52.8">
      <c r="B129" s="13" t="s">
        <v>1888</v>
      </c>
      <c r="C129" s="26" t="s">
        <v>281</v>
      </c>
      <c r="D129" s="9" t="s">
        <v>1889</v>
      </c>
      <c r="E129" s="21" t="s">
        <v>182</v>
      </c>
      <c r="F129" s="19" t="s">
        <v>2123</v>
      </c>
      <c r="G129" s="19" t="s">
        <v>2123</v>
      </c>
      <c r="H129" s="23" t="str">
        <f t="shared" si="4"/>
        <v>,sum(procedure_timeout_cnt) as procedure_timeout_cnt</v>
      </c>
      <c r="I129" s="25"/>
      <c r="J129" s="25" t="s">
        <v>284</v>
      </c>
      <c r="K129" s="25" t="s">
        <v>750</v>
      </c>
      <c r="L129" s="25" t="s">
        <v>285</v>
      </c>
    </row>
    <row r="130" spans="2:17" s="1" customFormat="1" ht="52.8">
      <c r="B130" s="13" t="s">
        <v>1443</v>
      </c>
      <c r="C130" s="26" t="s">
        <v>281</v>
      </c>
      <c r="D130" s="9" t="s">
        <v>1891</v>
      </c>
      <c r="E130" s="21" t="s">
        <v>182</v>
      </c>
      <c r="F130" s="19" t="s">
        <v>1548</v>
      </c>
      <c r="G130" s="19" t="s">
        <v>1548</v>
      </c>
      <c r="H130" s="23" t="str">
        <f t="shared" si="4"/>
        <v>,sum(abnor_release_cnt) as abnor_release_cnt</v>
      </c>
      <c r="I130" s="25"/>
      <c r="J130" s="25" t="s">
        <v>284</v>
      </c>
      <c r="K130" s="25" t="s">
        <v>750</v>
      </c>
      <c r="L130" s="25" t="s">
        <v>285</v>
      </c>
    </row>
    <row r="131" spans="2:17" s="1" customFormat="1" ht="52.8">
      <c r="B131" s="13" t="s">
        <v>1446</v>
      </c>
      <c r="C131" s="26" t="s">
        <v>281</v>
      </c>
      <c r="D131" s="9" t="s">
        <v>1447</v>
      </c>
      <c r="E131" s="21" t="s">
        <v>182</v>
      </c>
      <c r="F131" s="19" t="s">
        <v>1549</v>
      </c>
      <c r="G131" s="19" t="s">
        <v>1549</v>
      </c>
      <c r="H131" s="23" t="str">
        <f t="shared" si="4"/>
        <v>,sum(normal_release_cnt) as normal_release_cnt</v>
      </c>
      <c r="I131" s="25"/>
      <c r="J131" s="25" t="s">
        <v>284</v>
      </c>
      <c r="K131" s="25" t="s">
        <v>750</v>
      </c>
      <c r="L131" s="25" t="s">
        <v>285</v>
      </c>
    </row>
    <row r="132" spans="2:17" s="1" customFormat="1" ht="39.6">
      <c r="B132" s="13" t="s">
        <v>648</v>
      </c>
      <c r="C132" s="26" t="s">
        <v>206</v>
      </c>
      <c r="D132" s="9" t="s">
        <v>1455</v>
      </c>
      <c r="E132" s="21" t="s">
        <v>182</v>
      </c>
      <c r="F132" s="22" t="s">
        <v>802</v>
      </c>
      <c r="G132" s="22" t="s">
        <v>802</v>
      </c>
      <c r="H132" s="23" t="str">
        <f t="shared" si="4"/>
        <v>,min(min_starttime) as min_starttime</v>
      </c>
      <c r="I132" s="25"/>
      <c r="J132" s="25" t="s">
        <v>284</v>
      </c>
      <c r="K132" s="25" t="s">
        <v>1457</v>
      </c>
      <c r="L132" s="25" t="s">
        <v>485</v>
      </c>
    </row>
    <row r="133" spans="2:17" s="1" customFormat="1" ht="39.6">
      <c r="B133" s="13" t="s">
        <v>652</v>
      </c>
      <c r="C133" s="26" t="s">
        <v>206</v>
      </c>
      <c r="D133" s="9" t="s">
        <v>1458</v>
      </c>
      <c r="E133" s="21" t="s">
        <v>182</v>
      </c>
      <c r="F133" s="22" t="s">
        <v>803</v>
      </c>
      <c r="G133" s="22" t="s">
        <v>803</v>
      </c>
      <c r="H133" s="23" t="str">
        <f t="shared" si="4"/>
        <v>,max(max_endtime) as max_endtime</v>
      </c>
      <c r="I133" s="25"/>
      <c r="J133" s="25" t="s">
        <v>284</v>
      </c>
      <c r="K133" s="25" t="s">
        <v>1457</v>
      </c>
      <c r="L133" s="25" t="s">
        <v>485</v>
      </c>
    </row>
    <row r="134" spans="2:17" s="2" customFormat="1">
      <c r="B134" s="14" t="s">
        <v>222</v>
      </c>
      <c r="C134" s="15" t="s">
        <v>211</v>
      </c>
      <c r="D134" s="16" t="s">
        <v>344</v>
      </c>
      <c r="E134" s="24"/>
      <c r="F134" s="24" t="s">
        <v>1892</v>
      </c>
      <c r="G134" s="24" t="s">
        <v>1892</v>
      </c>
      <c r="H134" s="24"/>
      <c r="I134" s="14"/>
      <c r="J134" s="14"/>
      <c r="K134" s="14"/>
      <c r="L134" s="14"/>
      <c r="M134" s="14"/>
      <c r="N134" s="14"/>
      <c r="O134" s="14"/>
      <c r="P134" s="14"/>
      <c r="Q134" s="14"/>
    </row>
    <row r="135" spans="2:17" s="2" customFormat="1">
      <c r="B135" s="14" t="s">
        <v>0</v>
      </c>
      <c r="C135" s="15" t="s">
        <v>206</v>
      </c>
      <c r="D135" s="16" t="s">
        <v>345</v>
      </c>
      <c r="E135" s="24"/>
      <c r="F135" s="24" t="s">
        <v>1892</v>
      </c>
      <c r="G135" s="24" t="s">
        <v>1892</v>
      </c>
      <c r="H135" s="24"/>
      <c r="I135" s="14"/>
      <c r="J135" s="14"/>
      <c r="K135" s="14"/>
      <c r="L135" s="14"/>
      <c r="M135" s="14"/>
      <c r="N135" s="14"/>
      <c r="O135" s="14"/>
      <c r="P135" s="14"/>
      <c r="Q135" s="14"/>
    </row>
    <row r="136" spans="2:17" s="2" customFormat="1">
      <c r="B136" s="14" t="s">
        <v>1</v>
      </c>
      <c r="C136" s="15" t="s">
        <v>211</v>
      </c>
      <c r="D136" s="16" t="s">
        <v>346</v>
      </c>
      <c r="E136" s="24"/>
      <c r="F136" s="24" t="s">
        <v>1892</v>
      </c>
      <c r="G136" s="24" t="s">
        <v>1892</v>
      </c>
      <c r="H136" s="24"/>
      <c r="I136" s="14"/>
      <c r="J136" s="14"/>
      <c r="K136" s="14"/>
      <c r="L136" s="14"/>
      <c r="M136" s="14"/>
      <c r="N136" s="14"/>
      <c r="O136" s="14"/>
      <c r="P136" s="14"/>
      <c r="Q136" s="14"/>
    </row>
  </sheetData>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Y140"/>
  <sheetViews>
    <sheetView zoomScale="85" zoomScaleNormal="85" workbookViewId="0">
      <pane ySplit="5" topLeftCell="A6" activePane="bottomLeft" state="frozen"/>
      <selection pane="bottomLeft" activeCell="B15" sqref="B15"/>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11" t="s">
        <v>172</v>
      </c>
      <c r="G4" s="11" t="s">
        <v>43</v>
      </c>
      <c r="H4" s="11" t="s">
        <v>173</v>
      </c>
    </row>
    <row r="5" spans="2:14">
      <c r="B5" s="8" t="s">
        <v>105</v>
      </c>
      <c r="C5" s="9" t="s">
        <v>153</v>
      </c>
      <c r="D5" s="10" t="s">
        <v>154</v>
      </c>
      <c r="E5" s="12" t="s">
        <v>205</v>
      </c>
      <c r="F5" s="17"/>
      <c r="G5" s="12"/>
      <c r="H5" s="12"/>
      <c r="N5" s="3"/>
    </row>
    <row r="6" spans="2:14">
      <c r="B6" s="6"/>
      <c r="C6" s="6"/>
      <c r="D6" s="6"/>
      <c r="E6" s="6"/>
      <c r="F6" s="18"/>
      <c r="G6" s="18"/>
      <c r="H6" s="18"/>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148</v>
      </c>
      <c r="D9" s="10" t="s">
        <v>149</v>
      </c>
      <c r="E9" s="12" t="s">
        <v>182</v>
      </c>
      <c r="F9" s="19"/>
      <c r="G9" s="19"/>
      <c r="H9" s="20" t="s">
        <v>63</v>
      </c>
    </row>
    <row r="11" spans="2:14">
      <c r="B11" s="3" t="s">
        <v>194</v>
      </c>
    </row>
    <row r="12" spans="2:14">
      <c r="B12" s="181" t="s">
        <v>194</v>
      </c>
      <c r="C12" s="181"/>
      <c r="D12" s="181"/>
      <c r="E12" s="181"/>
      <c r="F12" s="181"/>
      <c r="G12" s="181"/>
      <c r="H12" s="181"/>
      <c r="I12" s="181"/>
      <c r="J12" s="181"/>
      <c r="K12" s="181"/>
      <c r="L12" s="181"/>
    </row>
    <row r="13" spans="2:14">
      <c r="B13" s="7" t="s">
        <v>195</v>
      </c>
      <c r="C13" s="7" t="s">
        <v>196</v>
      </c>
      <c r="D13" s="7" t="s">
        <v>197</v>
      </c>
      <c r="E13" s="7" t="s">
        <v>198</v>
      </c>
      <c r="F13" s="11" t="s">
        <v>199</v>
      </c>
      <c r="G13" s="11" t="s">
        <v>200</v>
      </c>
      <c r="H13" s="11" t="s">
        <v>201</v>
      </c>
      <c r="I13" s="7" t="s">
        <v>53</v>
      </c>
      <c r="J13" s="7" t="s">
        <v>202</v>
      </c>
      <c r="K13" s="7" t="s">
        <v>203</v>
      </c>
      <c r="L13" s="7" t="s">
        <v>204</v>
      </c>
    </row>
    <row r="14" spans="2:14" s="1" customFormat="1">
      <c r="B14" s="13" t="s">
        <v>205</v>
      </c>
      <c r="C14" s="13" t="s">
        <v>206</v>
      </c>
      <c r="D14" s="9" t="s">
        <v>207</v>
      </c>
      <c r="E14" s="21" t="s">
        <v>182</v>
      </c>
      <c r="F14" s="19" t="s">
        <v>0</v>
      </c>
      <c r="G14" s="19" t="s">
        <v>208</v>
      </c>
      <c r="H14" s="164" t="str">
        <f>_xlfn.CONCAT(",",F14," as ",B14)</f>
        <v>,p_date as day</v>
      </c>
      <c r="I14" s="25"/>
      <c r="J14" s="25" t="s">
        <v>4</v>
      </c>
      <c r="K14" s="25" t="s">
        <v>209</v>
      </c>
      <c r="L14" s="25" t="s">
        <v>209</v>
      </c>
    </row>
    <row r="15" spans="2:14" s="1" customFormat="1">
      <c r="B15" s="13" t="s">
        <v>2447</v>
      </c>
      <c r="C15" s="13" t="s">
        <v>206</v>
      </c>
      <c r="D15" s="9" t="s">
        <v>1235</v>
      </c>
      <c r="E15" s="21" t="s">
        <v>182</v>
      </c>
      <c r="F15" s="19" t="str">
        <f>VLOOKUP(B15,'12'!B:L,1,0)</f>
        <v>supi</v>
      </c>
      <c r="G15" s="19" t="s">
        <v>208</v>
      </c>
      <c r="H15" s="164" t="str">
        <f t="shared" ref="H15:H76" si="0">_xlfn.CONCAT(",",F15," as ",B15)</f>
        <v>,supi as supi</v>
      </c>
      <c r="I15" s="25"/>
      <c r="J15" s="25" t="s">
        <v>4</v>
      </c>
      <c r="K15" s="25" t="s">
        <v>209</v>
      </c>
      <c r="L15" s="25" t="s">
        <v>209</v>
      </c>
    </row>
    <row r="16" spans="2:14" s="1" customFormat="1">
      <c r="B16" s="13" t="s">
        <v>254</v>
      </c>
      <c r="C16" s="13" t="s">
        <v>206</v>
      </c>
      <c r="D16" s="9" t="s">
        <v>1236</v>
      </c>
      <c r="E16" s="21" t="s">
        <v>182</v>
      </c>
      <c r="F16" s="19" t="str">
        <f>VLOOKUP(B16,'12'!B:L,1,0)</f>
        <v>pei</v>
      </c>
      <c r="G16" s="19" t="s">
        <v>208</v>
      </c>
      <c r="H16" s="164" t="str">
        <f t="shared" si="0"/>
        <v>,pei as pei</v>
      </c>
      <c r="I16" s="25"/>
      <c r="J16" s="25" t="s">
        <v>4</v>
      </c>
      <c r="K16" s="25" t="s">
        <v>209</v>
      </c>
      <c r="L16" s="25" t="s">
        <v>209</v>
      </c>
    </row>
    <row r="17" spans="2:12" s="1" customFormat="1">
      <c r="B17" s="13" t="s">
        <v>251</v>
      </c>
      <c r="C17" s="13" t="s">
        <v>206</v>
      </c>
      <c r="D17" s="9" t="s">
        <v>1237</v>
      </c>
      <c r="E17" s="21" t="s">
        <v>182</v>
      </c>
      <c r="F17" s="19" t="str">
        <f>VLOOKUP(B17,'12'!B:L,1,0)</f>
        <v>msisdn</v>
      </c>
      <c r="G17" s="19" t="s">
        <v>208</v>
      </c>
      <c r="H17" s="164" t="str">
        <f t="shared" si="0"/>
        <v>,msisdn as msisdn</v>
      </c>
      <c r="I17" s="25"/>
      <c r="J17" s="25" t="s">
        <v>4</v>
      </c>
      <c r="K17" s="25" t="s">
        <v>209</v>
      </c>
      <c r="L17" s="25" t="s">
        <v>209</v>
      </c>
    </row>
    <row r="18" spans="2:12" s="1" customFormat="1">
      <c r="B18" s="13" t="s">
        <v>264</v>
      </c>
      <c r="C18" s="13" t="s">
        <v>206</v>
      </c>
      <c r="D18" s="9" t="s">
        <v>1240</v>
      </c>
      <c r="E18" s="21" t="s">
        <v>182</v>
      </c>
      <c r="F18" s="19" t="str">
        <f>VLOOKUP(B18,'12'!B:L,1,0)</f>
        <v>home_province</v>
      </c>
      <c r="G18" s="19" t="s">
        <v>208</v>
      </c>
      <c r="H18" s="164" t="str">
        <f t="shared" si="0"/>
        <v>,home_province as home_province</v>
      </c>
      <c r="I18" s="25"/>
      <c r="J18" s="25" t="s">
        <v>4</v>
      </c>
      <c r="K18" s="25" t="s">
        <v>209</v>
      </c>
      <c r="L18" s="25" t="s">
        <v>209</v>
      </c>
    </row>
    <row r="19" spans="2:12" s="1" customFormat="1">
      <c r="B19" s="13" t="s">
        <v>220</v>
      </c>
      <c r="C19" s="13" t="s">
        <v>206</v>
      </c>
      <c r="D19" s="9" t="s">
        <v>1569</v>
      </c>
      <c r="E19" s="21" t="s">
        <v>182</v>
      </c>
      <c r="F19" s="19" t="s">
        <v>222</v>
      </c>
      <c r="G19" s="19" t="s">
        <v>208</v>
      </c>
      <c r="H19" s="164" t="str">
        <f t="shared" si="0"/>
        <v>,p_provincecode as provincecode</v>
      </c>
      <c r="I19" s="25"/>
      <c r="J19" s="25" t="s">
        <v>4</v>
      </c>
      <c r="K19" s="25" t="s">
        <v>209</v>
      </c>
      <c r="L19" s="25" t="s">
        <v>209</v>
      </c>
    </row>
    <row r="20" spans="2:12" s="1" customFormat="1">
      <c r="B20" s="13" t="s">
        <v>224</v>
      </c>
      <c r="C20" s="13" t="s">
        <v>206</v>
      </c>
      <c r="D20" s="9" t="s">
        <v>444</v>
      </c>
      <c r="E20" s="21" t="s">
        <v>182</v>
      </c>
      <c r="F20" s="19" t="str">
        <f>VLOOKUP(B20,'12'!B:L,1,0)</f>
        <v>citycode</v>
      </c>
      <c r="G20" s="19" t="s">
        <v>208</v>
      </c>
      <c r="H20" s="164" t="str">
        <f t="shared" si="0"/>
        <v>,citycode as citycode</v>
      </c>
      <c r="I20" s="25"/>
      <c r="J20" s="25" t="s">
        <v>4</v>
      </c>
      <c r="K20" s="25" t="s">
        <v>209</v>
      </c>
      <c r="L20" s="25" t="s">
        <v>209</v>
      </c>
    </row>
    <row r="21" spans="2:12" s="1" customFormat="1">
      <c r="B21" s="13" t="s">
        <v>233</v>
      </c>
      <c r="C21" s="13" t="s">
        <v>206</v>
      </c>
      <c r="D21" s="9" t="s">
        <v>446</v>
      </c>
      <c r="E21" s="21" t="s">
        <v>182</v>
      </c>
      <c r="F21" s="19" t="str">
        <f>VLOOKUP(B21,'12'!B:L,1,0)</f>
        <v>city</v>
      </c>
      <c r="G21" s="19" t="s">
        <v>208</v>
      </c>
      <c r="H21" s="164" t="str">
        <f t="shared" si="0"/>
        <v>,city as city</v>
      </c>
      <c r="I21" s="25"/>
      <c r="J21" s="25" t="s">
        <v>4</v>
      </c>
      <c r="K21" s="25" t="s">
        <v>209</v>
      </c>
      <c r="L21" s="25" t="s">
        <v>209</v>
      </c>
    </row>
    <row r="22" spans="2:12" s="1" customFormat="1">
      <c r="B22" s="13" t="s">
        <v>228</v>
      </c>
      <c r="C22" s="13" t="s">
        <v>211</v>
      </c>
      <c r="D22" s="9" t="s">
        <v>445</v>
      </c>
      <c r="E22" s="21" t="s">
        <v>182</v>
      </c>
      <c r="F22" s="19" t="s">
        <v>228</v>
      </c>
      <c r="G22" s="19" t="s">
        <v>208</v>
      </c>
      <c r="H22" s="164" t="str">
        <f t="shared" si="0"/>
        <v>,districtcode as districtcode</v>
      </c>
      <c r="I22" s="25"/>
      <c r="J22" s="25" t="s">
        <v>4</v>
      </c>
      <c r="K22" s="25" t="s">
        <v>209</v>
      </c>
      <c r="L22" s="25" t="s">
        <v>209</v>
      </c>
    </row>
    <row r="23" spans="2:12" s="1" customFormat="1">
      <c r="B23" s="13" t="s">
        <v>236</v>
      </c>
      <c r="C23" s="13" t="s">
        <v>206</v>
      </c>
      <c r="D23" s="9" t="s">
        <v>237</v>
      </c>
      <c r="E23" s="21" t="s">
        <v>182</v>
      </c>
      <c r="F23" s="19" t="s">
        <v>236</v>
      </c>
      <c r="G23" s="19" t="s">
        <v>208</v>
      </c>
      <c r="H23" s="164" t="str">
        <f t="shared" si="0"/>
        <v>,district as district</v>
      </c>
      <c r="I23" s="25"/>
      <c r="J23" s="25" t="s">
        <v>4</v>
      </c>
      <c r="K23" s="25" t="s">
        <v>209</v>
      </c>
      <c r="L23" s="25" t="s">
        <v>209</v>
      </c>
    </row>
    <row r="24" spans="2:12" s="1" customFormat="1">
      <c r="B24" s="13" t="s">
        <v>1570</v>
      </c>
      <c r="C24" s="13" t="s">
        <v>281</v>
      </c>
      <c r="D24" s="9" t="s">
        <v>1571</v>
      </c>
      <c r="E24" s="21" t="s">
        <v>182</v>
      </c>
      <c r="F24" s="19" t="s">
        <v>1894</v>
      </c>
      <c r="G24" s="19" t="s">
        <v>1894</v>
      </c>
      <c r="H24" s="164" t="str">
        <f t="shared" si="0"/>
        <v>,sum(regist_request_cnt) as regist_request_cnt</v>
      </c>
      <c r="I24" s="25"/>
      <c r="J24" s="25" t="s">
        <v>284</v>
      </c>
      <c r="K24" s="25" t="s">
        <v>750</v>
      </c>
      <c r="L24" s="25" t="s">
        <v>285</v>
      </c>
    </row>
    <row r="25" spans="2:12" s="1" customFormat="1">
      <c r="B25" s="13" t="s">
        <v>1573</v>
      </c>
      <c r="C25" s="13" t="s">
        <v>281</v>
      </c>
      <c r="D25" s="9" t="s">
        <v>1574</v>
      </c>
      <c r="E25" s="21" t="s">
        <v>182</v>
      </c>
      <c r="F25" s="19" t="s">
        <v>1896</v>
      </c>
      <c r="G25" s="19" t="s">
        <v>1896</v>
      </c>
      <c r="H25" s="164" t="str">
        <f t="shared" si="0"/>
        <v>,sum(regist_succ_cnt) as regist_succ_cnt</v>
      </c>
      <c r="I25" s="25"/>
      <c r="J25" s="25" t="s">
        <v>284</v>
      </c>
      <c r="K25" s="25" t="s">
        <v>750</v>
      </c>
      <c r="L25" s="25" t="s">
        <v>285</v>
      </c>
    </row>
    <row r="26" spans="2:12" s="1" customFormat="1">
      <c r="B26" s="13" t="s">
        <v>1576</v>
      </c>
      <c r="C26" s="13" t="s">
        <v>281</v>
      </c>
      <c r="D26" s="27" t="s">
        <v>1577</v>
      </c>
      <c r="E26" s="21" t="s">
        <v>182</v>
      </c>
      <c r="F26" s="19" t="s">
        <v>1898</v>
      </c>
      <c r="G26" s="19" t="s">
        <v>1898</v>
      </c>
      <c r="H26" s="164" t="str">
        <f t="shared" si="0"/>
        <v>,sum(regist_fail_cnt) as regist_fail_cnt</v>
      </c>
      <c r="I26" s="25"/>
      <c r="J26" s="25" t="s">
        <v>284</v>
      </c>
      <c r="K26" s="25" t="s">
        <v>750</v>
      </c>
      <c r="L26" s="25" t="s">
        <v>285</v>
      </c>
    </row>
    <row r="27" spans="2:12" s="1" customFormat="1">
      <c r="B27" s="13" t="s">
        <v>1579</v>
      </c>
      <c r="C27" s="13" t="s">
        <v>281</v>
      </c>
      <c r="D27" s="9" t="s">
        <v>1580</v>
      </c>
      <c r="E27" s="21" t="s">
        <v>182</v>
      </c>
      <c r="F27" s="19" t="s">
        <v>1900</v>
      </c>
      <c r="G27" s="19" t="s">
        <v>1900</v>
      </c>
      <c r="H27" s="164" t="str">
        <f t="shared" si="0"/>
        <v>,sum(regist_timeout_cnt) as regist_timeout_cnt</v>
      </c>
      <c r="I27" s="25"/>
      <c r="J27" s="25" t="s">
        <v>284</v>
      </c>
      <c r="K27" s="25" t="s">
        <v>750</v>
      </c>
      <c r="L27" s="25" t="s">
        <v>285</v>
      </c>
    </row>
    <row r="28" spans="2:12" s="1" customFormat="1">
      <c r="B28" s="13" t="s">
        <v>1582</v>
      </c>
      <c r="C28" s="13" t="s">
        <v>319</v>
      </c>
      <c r="D28" s="9" t="s">
        <v>1583</v>
      </c>
      <c r="E28" s="21" t="s">
        <v>182</v>
      </c>
      <c r="F28" s="19" t="s">
        <v>2136</v>
      </c>
      <c r="G28" s="19" t="s">
        <v>2136</v>
      </c>
      <c r="H28" s="164" t="str">
        <f t="shared" si="0"/>
        <v>,sum(regist_succ_cnt*regist_delay) / sum(regist_succ_cnt) as regist_delay</v>
      </c>
      <c r="I28" s="25"/>
      <c r="J28" s="25" t="s">
        <v>284</v>
      </c>
      <c r="K28" s="25" t="s">
        <v>471</v>
      </c>
      <c r="L28" s="25" t="s">
        <v>285</v>
      </c>
    </row>
    <row r="29" spans="2:12" s="1" customFormat="1">
      <c r="B29" s="13" t="s">
        <v>1585</v>
      </c>
      <c r="C29" s="13" t="s">
        <v>281</v>
      </c>
      <c r="D29" s="9" t="s">
        <v>1586</v>
      </c>
      <c r="E29" s="21" t="s">
        <v>182</v>
      </c>
      <c r="F29" s="19" t="s">
        <v>1906</v>
      </c>
      <c r="G29" s="19" t="s">
        <v>1906</v>
      </c>
      <c r="H29" s="164" t="str">
        <f t="shared" si="0"/>
        <v>,sum(regist_init_request_cnt) as regist_init_request_cnt</v>
      </c>
      <c r="I29" s="25"/>
      <c r="J29" s="25" t="s">
        <v>284</v>
      </c>
      <c r="K29" s="25" t="s">
        <v>750</v>
      </c>
      <c r="L29" s="25" t="s">
        <v>285</v>
      </c>
    </row>
    <row r="30" spans="2:12" s="1" customFormat="1">
      <c r="B30" s="13" t="s">
        <v>1588</v>
      </c>
      <c r="C30" s="26" t="s">
        <v>281</v>
      </c>
      <c r="D30" s="9" t="s">
        <v>1589</v>
      </c>
      <c r="E30" s="21" t="s">
        <v>182</v>
      </c>
      <c r="F30" s="19" t="s">
        <v>1908</v>
      </c>
      <c r="G30" s="19" t="s">
        <v>1908</v>
      </c>
      <c r="H30" s="164" t="str">
        <f t="shared" si="0"/>
        <v>,sum(regist_init_succ_cnt) as regist_init_succ_cnt</v>
      </c>
      <c r="I30" s="25"/>
      <c r="J30" s="25" t="s">
        <v>284</v>
      </c>
      <c r="K30" s="25" t="s">
        <v>750</v>
      </c>
      <c r="L30" s="25" t="s">
        <v>285</v>
      </c>
    </row>
    <row r="31" spans="2:12" s="1" customFormat="1">
      <c r="B31" s="13" t="s">
        <v>1591</v>
      </c>
      <c r="C31" s="26" t="s">
        <v>281</v>
      </c>
      <c r="D31" s="9" t="s">
        <v>1592</v>
      </c>
      <c r="E31" s="21" t="s">
        <v>182</v>
      </c>
      <c r="F31" s="19" t="s">
        <v>1910</v>
      </c>
      <c r="G31" s="19" t="s">
        <v>1910</v>
      </c>
      <c r="H31" s="164" t="str">
        <f t="shared" si="0"/>
        <v>,sum(regist_init_fail_cnt) as regist_init_fail_cnt</v>
      </c>
      <c r="I31" s="25"/>
      <c r="J31" s="25" t="s">
        <v>284</v>
      </c>
      <c r="K31" s="25" t="s">
        <v>750</v>
      </c>
      <c r="L31" s="25" t="s">
        <v>285</v>
      </c>
    </row>
    <row r="32" spans="2:12" s="1" customFormat="1">
      <c r="B32" s="13" t="s">
        <v>1594</v>
      </c>
      <c r="C32" s="26" t="s">
        <v>281</v>
      </c>
      <c r="D32" s="9" t="s">
        <v>1595</v>
      </c>
      <c r="E32" s="21" t="s">
        <v>182</v>
      </c>
      <c r="F32" s="19" t="s">
        <v>1912</v>
      </c>
      <c r="G32" s="19" t="s">
        <v>1912</v>
      </c>
      <c r="H32" s="164" t="str">
        <f t="shared" si="0"/>
        <v>,sum(regist_init_timeout_cnt) as regist_init_timeout_cnt</v>
      </c>
      <c r="I32" s="25"/>
      <c r="J32" s="25" t="s">
        <v>284</v>
      </c>
      <c r="K32" s="25" t="s">
        <v>750</v>
      </c>
      <c r="L32" s="25" t="s">
        <v>285</v>
      </c>
    </row>
    <row r="33" spans="2:12" s="1" customFormat="1">
      <c r="B33" s="13" t="s">
        <v>1597</v>
      </c>
      <c r="C33" s="13" t="s">
        <v>319</v>
      </c>
      <c r="D33" s="9" t="s">
        <v>1598</v>
      </c>
      <c r="E33" s="21" t="s">
        <v>182</v>
      </c>
      <c r="F33" s="19" t="s">
        <v>2137</v>
      </c>
      <c r="G33" s="19" t="s">
        <v>2137</v>
      </c>
      <c r="H33" s="164" t="str">
        <f t="shared" si="0"/>
        <v>,sum(regist_init_succ_cnt*regist_init_delay) / sum(regist_init_succ_cnt) as regist_init_delay</v>
      </c>
      <c r="I33" s="25"/>
      <c r="J33" s="25" t="s">
        <v>284</v>
      </c>
      <c r="K33" s="25" t="s">
        <v>471</v>
      </c>
      <c r="L33" s="25" t="s">
        <v>285</v>
      </c>
    </row>
    <row r="34" spans="2:12" s="1" customFormat="1">
      <c r="B34" s="13" t="s">
        <v>1600</v>
      </c>
      <c r="C34" s="26" t="s">
        <v>281</v>
      </c>
      <c r="D34" s="9" t="s">
        <v>1601</v>
      </c>
      <c r="E34" s="21" t="s">
        <v>182</v>
      </c>
      <c r="F34" s="19" t="s">
        <v>1918</v>
      </c>
      <c r="G34" s="19" t="s">
        <v>1918</v>
      </c>
      <c r="H34" s="164" t="str">
        <f t="shared" si="0"/>
        <v>,sum(regist_periodic_request_cnt) as regist_periodic_request_cnt</v>
      </c>
      <c r="I34" s="25"/>
      <c r="J34" s="25" t="s">
        <v>284</v>
      </c>
      <c r="K34" s="25" t="s">
        <v>750</v>
      </c>
      <c r="L34" s="25" t="s">
        <v>285</v>
      </c>
    </row>
    <row r="35" spans="2:12" s="1" customFormat="1">
      <c r="B35" s="13" t="s">
        <v>1603</v>
      </c>
      <c r="C35" s="26" t="s">
        <v>281</v>
      </c>
      <c r="D35" s="9" t="s">
        <v>1604</v>
      </c>
      <c r="E35" s="21" t="s">
        <v>182</v>
      </c>
      <c r="F35" s="19" t="s">
        <v>1920</v>
      </c>
      <c r="G35" s="19" t="s">
        <v>1920</v>
      </c>
      <c r="H35" s="164" t="str">
        <f t="shared" si="0"/>
        <v>,sum(regist_periodic_succ_cnt) as regist_periodic_succ_cnt</v>
      </c>
      <c r="I35" s="25"/>
      <c r="J35" s="25" t="s">
        <v>284</v>
      </c>
      <c r="K35" s="25" t="s">
        <v>750</v>
      </c>
      <c r="L35" s="25" t="s">
        <v>285</v>
      </c>
    </row>
    <row r="36" spans="2:12" s="1" customFormat="1">
      <c r="B36" s="13" t="s">
        <v>1606</v>
      </c>
      <c r="C36" s="26" t="s">
        <v>281</v>
      </c>
      <c r="D36" s="9" t="s">
        <v>1607</v>
      </c>
      <c r="E36" s="21" t="s">
        <v>182</v>
      </c>
      <c r="F36" s="19" t="s">
        <v>1922</v>
      </c>
      <c r="G36" s="19" t="s">
        <v>1922</v>
      </c>
      <c r="H36" s="164" t="str">
        <f t="shared" si="0"/>
        <v>,sum(regist_periodic_fail_cnt) as regist_periodic_fail_cnt</v>
      </c>
      <c r="I36" s="25"/>
      <c r="J36" s="25" t="s">
        <v>284</v>
      </c>
      <c r="K36" s="25" t="s">
        <v>750</v>
      </c>
      <c r="L36" s="25" t="s">
        <v>285</v>
      </c>
    </row>
    <row r="37" spans="2:12" s="1" customFormat="1">
      <c r="B37" s="13" t="s">
        <v>1609</v>
      </c>
      <c r="C37" s="26" t="s">
        <v>281</v>
      </c>
      <c r="D37" s="9" t="s">
        <v>1610</v>
      </c>
      <c r="E37" s="21" t="s">
        <v>182</v>
      </c>
      <c r="F37" s="19" t="s">
        <v>1924</v>
      </c>
      <c r="G37" s="19" t="s">
        <v>1924</v>
      </c>
      <c r="H37" s="164" t="str">
        <f t="shared" si="0"/>
        <v>,sum(regist_periodic_timeout_cnt) as regist_periodic_timeout_cnt</v>
      </c>
      <c r="I37" s="25"/>
      <c r="J37" s="25" t="s">
        <v>284</v>
      </c>
      <c r="K37" s="25" t="s">
        <v>750</v>
      </c>
      <c r="L37" s="25" t="s">
        <v>285</v>
      </c>
    </row>
    <row r="38" spans="2:12" s="1" customFormat="1">
      <c r="B38" s="13" t="s">
        <v>1612</v>
      </c>
      <c r="C38" s="13" t="s">
        <v>319</v>
      </c>
      <c r="D38" s="9" t="s">
        <v>1613</v>
      </c>
      <c r="E38" s="21" t="s">
        <v>182</v>
      </c>
      <c r="F38" s="19" t="s">
        <v>2138</v>
      </c>
      <c r="G38" s="19" t="s">
        <v>2138</v>
      </c>
      <c r="H38" s="164" t="str">
        <f t="shared" si="0"/>
        <v>,sum(regist_periodic_succ_cnt*regist_periodic_delay) / sum(regist_periodic_succ_cnt) as regist_periodic_delay</v>
      </c>
      <c r="I38" s="25"/>
      <c r="J38" s="25" t="s">
        <v>284</v>
      </c>
      <c r="K38" s="25" t="s">
        <v>471</v>
      </c>
      <c r="L38" s="25" t="s">
        <v>285</v>
      </c>
    </row>
    <row r="39" spans="2:12" s="1" customFormat="1">
      <c r="B39" s="13" t="s">
        <v>1615</v>
      </c>
      <c r="C39" s="26" t="s">
        <v>281</v>
      </c>
      <c r="D39" s="9" t="s">
        <v>1616</v>
      </c>
      <c r="E39" s="21" t="s">
        <v>182</v>
      </c>
      <c r="F39" s="19" t="s">
        <v>1930</v>
      </c>
      <c r="G39" s="19" t="s">
        <v>1930</v>
      </c>
      <c r="H39" s="164" t="str">
        <f t="shared" si="0"/>
        <v>,sum(regist_mobility_request_cnt) as regist_mobility_request_cnt</v>
      </c>
      <c r="I39" s="25"/>
      <c r="J39" s="25" t="s">
        <v>284</v>
      </c>
      <c r="K39" s="25" t="s">
        <v>750</v>
      </c>
      <c r="L39" s="25" t="s">
        <v>285</v>
      </c>
    </row>
    <row r="40" spans="2:12" s="1" customFormat="1">
      <c r="B40" s="13" t="s">
        <v>1618</v>
      </c>
      <c r="C40" s="26" t="s">
        <v>281</v>
      </c>
      <c r="D40" s="9" t="s">
        <v>1619</v>
      </c>
      <c r="E40" s="21" t="s">
        <v>182</v>
      </c>
      <c r="F40" s="19" t="s">
        <v>1932</v>
      </c>
      <c r="G40" s="19" t="s">
        <v>1932</v>
      </c>
      <c r="H40" s="164" t="str">
        <f t="shared" si="0"/>
        <v>,sum(regist_mobility_succ_cnt) as regist_mobility_succ_cnt</v>
      </c>
      <c r="I40" s="25"/>
      <c r="J40" s="25" t="s">
        <v>284</v>
      </c>
      <c r="K40" s="25" t="s">
        <v>750</v>
      </c>
      <c r="L40" s="25" t="s">
        <v>285</v>
      </c>
    </row>
    <row r="41" spans="2:12" s="1" customFormat="1">
      <c r="B41" s="13" t="s">
        <v>1621</v>
      </c>
      <c r="C41" s="26" t="s">
        <v>281</v>
      </c>
      <c r="D41" s="9" t="s">
        <v>1622</v>
      </c>
      <c r="E41" s="21" t="s">
        <v>182</v>
      </c>
      <c r="F41" s="19" t="s">
        <v>1934</v>
      </c>
      <c r="G41" s="19" t="s">
        <v>1934</v>
      </c>
      <c r="H41" s="164" t="str">
        <f t="shared" si="0"/>
        <v>,sum(regist_mobility_fail_cnt) as regist_mobility_fail_cnt</v>
      </c>
      <c r="I41" s="25"/>
      <c r="J41" s="25" t="s">
        <v>284</v>
      </c>
      <c r="K41" s="25" t="s">
        <v>750</v>
      </c>
      <c r="L41" s="25" t="s">
        <v>285</v>
      </c>
    </row>
    <row r="42" spans="2:12" s="1" customFormat="1">
      <c r="B42" s="13" t="s">
        <v>1624</v>
      </c>
      <c r="C42" s="26" t="s">
        <v>281</v>
      </c>
      <c r="D42" s="9" t="s">
        <v>1625</v>
      </c>
      <c r="E42" s="21" t="s">
        <v>182</v>
      </c>
      <c r="F42" s="19" t="s">
        <v>1936</v>
      </c>
      <c r="G42" s="19" t="s">
        <v>1936</v>
      </c>
      <c r="H42" s="164" t="str">
        <f t="shared" si="0"/>
        <v>,sum(regist_mobility_timeout_cnt) as regist_mobility_timeout_cnt</v>
      </c>
      <c r="I42" s="25"/>
      <c r="J42" s="25" t="s">
        <v>284</v>
      </c>
      <c r="K42" s="25" t="s">
        <v>750</v>
      </c>
      <c r="L42" s="25" t="s">
        <v>285</v>
      </c>
    </row>
    <row r="43" spans="2:12" s="1" customFormat="1">
      <c r="B43" s="13" t="s">
        <v>1627</v>
      </c>
      <c r="C43" s="13" t="s">
        <v>319</v>
      </c>
      <c r="D43" s="9" t="s">
        <v>1628</v>
      </c>
      <c r="E43" s="21" t="s">
        <v>182</v>
      </c>
      <c r="F43" s="19" t="s">
        <v>2139</v>
      </c>
      <c r="G43" s="19" t="s">
        <v>2139</v>
      </c>
      <c r="H43" s="164" t="str">
        <f t="shared" si="0"/>
        <v>,sum(regist_mobility_succ_cnt*regist_mobility_delay) / sum(regist_mobility_succ_cnt) as regist_mobility_delay</v>
      </c>
      <c r="I43" s="25"/>
      <c r="J43" s="25" t="s">
        <v>284</v>
      </c>
      <c r="K43" s="25" t="s">
        <v>471</v>
      </c>
      <c r="L43" s="25" t="s">
        <v>285</v>
      </c>
    </row>
    <row r="44" spans="2:12" s="1" customFormat="1">
      <c r="B44" s="13" t="s">
        <v>1630</v>
      </c>
      <c r="C44" s="26" t="s">
        <v>281</v>
      </c>
      <c r="D44" s="9" t="s">
        <v>1631</v>
      </c>
      <c r="E44" s="21" t="s">
        <v>182</v>
      </c>
      <c r="F44" s="19" t="s">
        <v>1942</v>
      </c>
      <c r="G44" s="19" t="s">
        <v>1942</v>
      </c>
      <c r="H44" s="164" t="str">
        <f t="shared" si="0"/>
        <v>,sum(regist_emergency_request_cnt) as regist_emergency_request_cnt</v>
      </c>
      <c r="I44" s="25"/>
      <c r="J44" s="25" t="s">
        <v>284</v>
      </c>
      <c r="K44" s="25" t="s">
        <v>750</v>
      </c>
      <c r="L44" s="25" t="s">
        <v>285</v>
      </c>
    </row>
    <row r="45" spans="2:12" s="1" customFormat="1">
      <c r="B45" s="13" t="s">
        <v>1633</v>
      </c>
      <c r="C45" s="26" t="s">
        <v>281</v>
      </c>
      <c r="D45" s="9" t="s">
        <v>1634</v>
      </c>
      <c r="E45" s="21" t="s">
        <v>182</v>
      </c>
      <c r="F45" s="19" t="s">
        <v>1944</v>
      </c>
      <c r="G45" s="19" t="s">
        <v>1944</v>
      </c>
      <c r="H45" s="164" t="str">
        <f t="shared" si="0"/>
        <v>,sum(regist_emergency_succ_cnt) as regist_emergency_succ_cnt</v>
      </c>
      <c r="I45" s="25"/>
      <c r="J45" s="25" t="s">
        <v>284</v>
      </c>
      <c r="K45" s="25" t="s">
        <v>750</v>
      </c>
      <c r="L45" s="25" t="s">
        <v>285</v>
      </c>
    </row>
    <row r="46" spans="2:12" s="1" customFormat="1">
      <c r="B46" s="13" t="s">
        <v>1636</v>
      </c>
      <c r="C46" s="26" t="s">
        <v>281</v>
      </c>
      <c r="D46" s="9" t="s">
        <v>1637</v>
      </c>
      <c r="E46" s="21" t="s">
        <v>182</v>
      </c>
      <c r="F46" s="19" t="s">
        <v>1946</v>
      </c>
      <c r="G46" s="19" t="s">
        <v>1946</v>
      </c>
      <c r="H46" s="164" t="str">
        <f t="shared" si="0"/>
        <v>,sum(regist_emergency_fail_cnt) as regist_emergency_fail_cnt</v>
      </c>
      <c r="I46" s="25"/>
      <c r="J46" s="25" t="s">
        <v>284</v>
      </c>
      <c r="K46" s="25" t="s">
        <v>750</v>
      </c>
      <c r="L46" s="25" t="s">
        <v>285</v>
      </c>
    </row>
    <row r="47" spans="2:12" s="1" customFormat="1">
      <c r="B47" s="13" t="s">
        <v>1639</v>
      </c>
      <c r="C47" s="26" t="s">
        <v>281</v>
      </c>
      <c r="D47" s="9" t="s">
        <v>1640</v>
      </c>
      <c r="E47" s="21" t="s">
        <v>182</v>
      </c>
      <c r="F47" s="19" t="s">
        <v>1948</v>
      </c>
      <c r="G47" s="19" t="s">
        <v>1948</v>
      </c>
      <c r="H47" s="164" t="str">
        <f t="shared" si="0"/>
        <v>,sum(regist_emergency_timeout_cnt) as regist_emergency_timeout_cnt</v>
      </c>
      <c r="I47" s="25"/>
      <c r="J47" s="25" t="s">
        <v>284</v>
      </c>
      <c r="K47" s="25" t="s">
        <v>750</v>
      </c>
      <c r="L47" s="25" t="s">
        <v>285</v>
      </c>
    </row>
    <row r="48" spans="2:12" s="1" customFormat="1">
      <c r="B48" s="13" t="s">
        <v>1642</v>
      </c>
      <c r="C48" s="13" t="s">
        <v>319</v>
      </c>
      <c r="D48" s="9" t="s">
        <v>1643</v>
      </c>
      <c r="E48" s="21" t="s">
        <v>182</v>
      </c>
      <c r="F48" s="19" t="s">
        <v>2140</v>
      </c>
      <c r="G48" s="19" t="s">
        <v>2140</v>
      </c>
      <c r="H48" s="164" t="str">
        <f t="shared" si="0"/>
        <v>,sum(regist_emergency_succ_cnt*regist_emergency_delay) / sum(regist_emergency_succ_cnt) as regist_emergency_delay</v>
      </c>
      <c r="I48" s="25"/>
      <c r="J48" s="25" t="s">
        <v>284</v>
      </c>
      <c r="K48" s="25" t="s">
        <v>471</v>
      </c>
      <c r="L48" s="25" t="s">
        <v>285</v>
      </c>
    </row>
    <row r="49" spans="1:25" s="1" customFormat="1">
      <c r="B49" s="13" t="s">
        <v>1645</v>
      </c>
      <c r="C49" s="26" t="s">
        <v>281</v>
      </c>
      <c r="D49" s="9" t="s">
        <v>1646</v>
      </c>
      <c r="E49" s="21" t="s">
        <v>182</v>
      </c>
      <c r="F49" s="19" t="s">
        <v>1954</v>
      </c>
      <c r="G49" s="19" t="s">
        <v>1954</v>
      </c>
      <c r="H49" s="164" t="str">
        <f t="shared" si="0"/>
        <v>,sum(servicerequest_request_cnt) as servicerequest_request_cnt</v>
      </c>
      <c r="I49" s="25"/>
      <c r="J49" s="25" t="s">
        <v>284</v>
      </c>
      <c r="K49" s="25" t="s">
        <v>750</v>
      </c>
      <c r="L49" s="25" t="s">
        <v>285</v>
      </c>
    </row>
    <row r="50" spans="1:25" s="1" customFormat="1">
      <c r="B50" s="13" t="s">
        <v>1648</v>
      </c>
      <c r="C50" s="26" t="s">
        <v>281</v>
      </c>
      <c r="D50" s="9" t="s">
        <v>1649</v>
      </c>
      <c r="E50" s="21" t="s">
        <v>182</v>
      </c>
      <c r="F50" s="19" t="s">
        <v>1956</v>
      </c>
      <c r="G50" s="19" t="s">
        <v>1956</v>
      </c>
      <c r="H50" s="164" t="str">
        <f t="shared" si="0"/>
        <v>,sum(servicerequest_succ_cnt) as servicerequest_succ_cnt</v>
      </c>
      <c r="I50" s="25"/>
      <c r="J50" s="25" t="s">
        <v>284</v>
      </c>
      <c r="K50" s="25" t="s">
        <v>750</v>
      </c>
      <c r="L50" s="25" t="s">
        <v>285</v>
      </c>
    </row>
    <row r="51" spans="1:25" s="1" customFormat="1">
      <c r="B51" s="13" t="s">
        <v>1651</v>
      </c>
      <c r="C51" s="26" t="s">
        <v>281</v>
      </c>
      <c r="D51" s="9" t="s">
        <v>1652</v>
      </c>
      <c r="E51" s="21" t="s">
        <v>182</v>
      </c>
      <c r="F51" s="19" t="s">
        <v>1958</v>
      </c>
      <c r="G51" s="19" t="s">
        <v>1958</v>
      </c>
      <c r="H51" s="164" t="str">
        <f t="shared" si="0"/>
        <v>,sum(servicerequest_fail_cnt) as servicerequest_fail_cnt</v>
      </c>
      <c r="I51" s="25"/>
      <c r="J51" s="25" t="s">
        <v>284</v>
      </c>
      <c r="K51" s="25" t="s">
        <v>750</v>
      </c>
      <c r="L51" s="25" t="s">
        <v>285</v>
      </c>
    </row>
    <row r="52" spans="1:25" s="1" customFormat="1">
      <c r="B52" s="13" t="s">
        <v>1654</v>
      </c>
      <c r="C52" s="26" t="s">
        <v>281</v>
      </c>
      <c r="D52" s="9" t="s">
        <v>1655</v>
      </c>
      <c r="E52" s="21" t="s">
        <v>182</v>
      </c>
      <c r="F52" s="19" t="s">
        <v>1960</v>
      </c>
      <c r="G52" s="19" t="s">
        <v>1960</v>
      </c>
      <c r="H52" s="164" t="str">
        <f t="shared" si="0"/>
        <v>,sum(servicerequest_timeout_cnt) as servicerequest_timeout_cnt</v>
      </c>
      <c r="I52" s="25"/>
      <c r="J52" s="25" t="s">
        <v>284</v>
      </c>
      <c r="K52" s="25" t="s">
        <v>750</v>
      </c>
      <c r="L52" s="25" t="s">
        <v>285</v>
      </c>
    </row>
    <row r="53" spans="1:25" s="1" customFormat="1">
      <c r="B53" s="13" t="s">
        <v>1657</v>
      </c>
      <c r="C53" s="13" t="s">
        <v>319</v>
      </c>
      <c r="D53" s="9" t="s">
        <v>1658</v>
      </c>
      <c r="E53" s="21" t="s">
        <v>182</v>
      </c>
      <c r="F53" s="19" t="s">
        <v>2141</v>
      </c>
      <c r="G53" s="19" t="s">
        <v>2141</v>
      </c>
      <c r="H53" s="164" t="str">
        <f t="shared" si="0"/>
        <v>,sum(servicerequest_succ_cnt*servicerequest_delay) / sum(servicerequest_succ_cnt) as servicerequest_delay</v>
      </c>
      <c r="I53" s="25"/>
      <c r="J53" s="25" t="s">
        <v>284</v>
      </c>
      <c r="K53" s="25" t="s">
        <v>471</v>
      </c>
      <c r="L53" s="25" t="s">
        <v>285</v>
      </c>
    </row>
    <row r="54" spans="1:25" s="52" customFormat="1" ht="15.6">
      <c r="A54" s="53">
        <f t="shared" ref="A54:A58" si="1">ROW()-1</f>
        <v>53</v>
      </c>
      <c r="B54" s="54" t="s">
        <v>1660</v>
      </c>
      <c r="C54" s="55" t="s">
        <v>281</v>
      </c>
      <c r="D54" s="56" t="s">
        <v>1661</v>
      </c>
      <c r="E54" s="21" t="s">
        <v>182</v>
      </c>
      <c r="F54" s="19" t="s">
        <v>2126</v>
      </c>
      <c r="G54" s="19" t="s">
        <v>2126</v>
      </c>
      <c r="H54" s="164" t="str">
        <f t="shared" si="0"/>
        <v>,sum(sms_request_cnt) as sms_request_cnt</v>
      </c>
      <c r="I54" s="57"/>
      <c r="J54" s="25" t="s">
        <v>284</v>
      </c>
      <c r="K54" s="25" t="s">
        <v>750</v>
      </c>
      <c r="L54" s="25" t="s">
        <v>285</v>
      </c>
      <c r="M54" s="1"/>
      <c r="N54" s="1"/>
      <c r="O54" s="1"/>
      <c r="P54" s="1"/>
      <c r="Q54" s="1"/>
      <c r="R54" s="1"/>
      <c r="S54" s="1"/>
      <c r="T54" s="1"/>
      <c r="U54" s="1"/>
      <c r="V54" s="1"/>
      <c r="W54" s="1"/>
      <c r="X54" s="1"/>
      <c r="Y54" s="1"/>
    </row>
    <row r="55" spans="1:25" s="52" customFormat="1" ht="15.6">
      <c r="A55" s="53">
        <f t="shared" si="1"/>
        <v>54</v>
      </c>
      <c r="B55" s="54" t="s">
        <v>1662</v>
      </c>
      <c r="C55" s="55" t="s">
        <v>281</v>
      </c>
      <c r="D55" s="56" t="s">
        <v>1663</v>
      </c>
      <c r="E55" s="21" t="s">
        <v>182</v>
      </c>
      <c r="F55" s="19" t="s">
        <v>2129</v>
      </c>
      <c r="G55" s="19" t="s">
        <v>2129</v>
      </c>
      <c r="H55" s="164" t="str">
        <f t="shared" si="0"/>
        <v>,sum(sms_succ_cnt) as sms_succ_cnt</v>
      </c>
      <c r="I55" s="57"/>
      <c r="J55" s="25" t="s">
        <v>284</v>
      </c>
      <c r="K55" s="25" t="s">
        <v>750</v>
      </c>
      <c r="L55" s="25" t="s">
        <v>285</v>
      </c>
      <c r="M55" s="1"/>
      <c r="N55" s="1"/>
      <c r="O55" s="1"/>
      <c r="P55" s="1"/>
      <c r="Q55" s="1"/>
      <c r="R55" s="1"/>
      <c r="S55" s="1"/>
      <c r="T55" s="1"/>
      <c r="U55" s="1"/>
      <c r="V55" s="1"/>
      <c r="W55" s="1"/>
      <c r="X55" s="1"/>
      <c r="Y55" s="1"/>
    </row>
    <row r="56" spans="1:25" s="52" customFormat="1" ht="15.6">
      <c r="A56" s="53">
        <f t="shared" si="1"/>
        <v>55</v>
      </c>
      <c r="B56" s="54" t="s">
        <v>1664</v>
      </c>
      <c r="C56" s="55" t="s">
        <v>281</v>
      </c>
      <c r="D56" s="56" t="s">
        <v>1665</v>
      </c>
      <c r="E56" s="21" t="s">
        <v>182</v>
      </c>
      <c r="F56" s="19" t="s">
        <v>2132</v>
      </c>
      <c r="G56" s="19" t="s">
        <v>2132</v>
      </c>
      <c r="H56" s="164" t="str">
        <f t="shared" si="0"/>
        <v>,sum(sms_fail_cnt) as sms_fail_cnt</v>
      </c>
      <c r="I56" s="57"/>
      <c r="J56" s="25" t="s">
        <v>284</v>
      </c>
      <c r="K56" s="25" t="s">
        <v>750</v>
      </c>
      <c r="L56" s="25" t="s">
        <v>285</v>
      </c>
      <c r="M56" s="1"/>
      <c r="N56" s="1"/>
      <c r="O56" s="1"/>
      <c r="P56" s="1"/>
      <c r="Q56" s="1"/>
      <c r="R56" s="1"/>
      <c r="S56" s="1"/>
      <c r="T56" s="1"/>
      <c r="U56" s="1"/>
      <c r="V56" s="1"/>
      <c r="W56" s="1"/>
      <c r="X56" s="1"/>
      <c r="Y56" s="1"/>
    </row>
    <row r="57" spans="1:25" s="52" customFormat="1" ht="15.6">
      <c r="A57" s="53">
        <f t="shared" si="1"/>
        <v>56</v>
      </c>
      <c r="B57" s="54" t="s">
        <v>1666</v>
      </c>
      <c r="C57" s="55" t="s">
        <v>281</v>
      </c>
      <c r="D57" s="56" t="s">
        <v>1667</v>
      </c>
      <c r="E57" s="21" t="s">
        <v>182</v>
      </c>
      <c r="F57" s="19" t="s">
        <v>2135</v>
      </c>
      <c r="G57" s="19" t="s">
        <v>2135</v>
      </c>
      <c r="H57" s="164" t="str">
        <f t="shared" si="0"/>
        <v>,sum(sms_timeout_cnt) as sms_timeout_cnt</v>
      </c>
      <c r="I57" s="57"/>
      <c r="J57" s="25" t="s">
        <v>284</v>
      </c>
      <c r="K57" s="25" t="s">
        <v>750</v>
      </c>
      <c r="L57" s="25" t="s">
        <v>285</v>
      </c>
      <c r="M57" s="1"/>
      <c r="N57" s="1"/>
      <c r="O57" s="1"/>
      <c r="P57" s="1"/>
      <c r="Q57" s="1"/>
      <c r="R57" s="1"/>
      <c r="S57" s="1"/>
      <c r="T57" s="1"/>
      <c r="U57" s="1"/>
      <c r="V57" s="1"/>
      <c r="W57" s="1"/>
      <c r="X57" s="1"/>
      <c r="Y57" s="1"/>
    </row>
    <row r="58" spans="1:25" s="52" customFormat="1" ht="15.6">
      <c r="A58" s="53">
        <f t="shared" si="1"/>
        <v>57</v>
      </c>
      <c r="B58" s="54" t="s">
        <v>1668</v>
      </c>
      <c r="C58" s="55" t="s">
        <v>281</v>
      </c>
      <c r="D58" s="56" t="s">
        <v>1669</v>
      </c>
      <c r="E58" s="21" t="s">
        <v>182</v>
      </c>
      <c r="F58" s="19" t="s">
        <v>2142</v>
      </c>
      <c r="G58" s="19" t="s">
        <v>2142</v>
      </c>
      <c r="H58" s="164" t="str">
        <f t="shared" si="0"/>
        <v>,sum(sms_succ_cnt*sms_delay) / sum(sms_succ_cnt) as sms_delay</v>
      </c>
      <c r="I58" s="57"/>
      <c r="J58" s="25" t="s">
        <v>284</v>
      </c>
      <c r="K58" s="25" t="s">
        <v>471</v>
      </c>
      <c r="L58" s="25" t="s">
        <v>285</v>
      </c>
      <c r="M58" s="1"/>
      <c r="N58" s="1"/>
      <c r="O58" s="1"/>
      <c r="P58" s="1"/>
      <c r="Q58" s="1"/>
      <c r="R58" s="1"/>
      <c r="S58" s="1"/>
      <c r="T58" s="1"/>
      <c r="U58" s="1"/>
      <c r="V58" s="1"/>
      <c r="W58" s="1"/>
      <c r="X58" s="1"/>
      <c r="Y58" s="1"/>
    </row>
    <row r="59" spans="1:25" s="1" customFormat="1">
      <c r="B59" s="13" t="s">
        <v>1670</v>
      </c>
      <c r="C59" s="26" t="s">
        <v>281</v>
      </c>
      <c r="D59" s="9" t="s">
        <v>1671</v>
      </c>
      <c r="E59" s="21" t="s">
        <v>182</v>
      </c>
      <c r="F59" s="19" t="s">
        <v>1966</v>
      </c>
      <c r="G59" s="19" t="s">
        <v>1966</v>
      </c>
      <c r="H59" s="164" t="str">
        <f t="shared" si="0"/>
        <v>,sum(sms_mo_request_cnt) as sms_mo_request_cnt</v>
      </c>
      <c r="I59" s="25"/>
      <c r="J59" s="25" t="s">
        <v>284</v>
      </c>
      <c r="K59" s="25" t="s">
        <v>750</v>
      </c>
      <c r="L59" s="25" t="s">
        <v>285</v>
      </c>
    </row>
    <row r="60" spans="1:25" s="1" customFormat="1">
      <c r="B60" s="13" t="s">
        <v>1673</v>
      </c>
      <c r="C60" s="26" t="s">
        <v>281</v>
      </c>
      <c r="D60" s="9" t="s">
        <v>1674</v>
      </c>
      <c r="E60" s="21" t="s">
        <v>182</v>
      </c>
      <c r="F60" s="19" t="s">
        <v>1968</v>
      </c>
      <c r="G60" s="19" t="s">
        <v>1968</v>
      </c>
      <c r="H60" s="164" t="str">
        <f t="shared" si="0"/>
        <v>,sum(sms_mo_succ_cnt) as sms_mo_succ_cnt</v>
      </c>
      <c r="I60" s="25"/>
      <c r="J60" s="25" t="s">
        <v>284</v>
      </c>
      <c r="K60" s="25" t="s">
        <v>750</v>
      </c>
      <c r="L60" s="25" t="s">
        <v>285</v>
      </c>
    </row>
    <row r="61" spans="1:25" s="1" customFormat="1">
      <c r="B61" s="13" t="s">
        <v>1676</v>
      </c>
      <c r="C61" s="26" t="s">
        <v>281</v>
      </c>
      <c r="D61" s="9" t="s">
        <v>1677</v>
      </c>
      <c r="E61" s="21" t="s">
        <v>182</v>
      </c>
      <c r="F61" s="19" t="s">
        <v>1970</v>
      </c>
      <c r="G61" s="19" t="s">
        <v>1970</v>
      </c>
      <c r="H61" s="164" t="str">
        <f t="shared" si="0"/>
        <v>,sum(sms_mo_fail_cnt) as sms_mo_fail_cnt</v>
      </c>
      <c r="I61" s="25"/>
      <c r="J61" s="25" t="s">
        <v>284</v>
      </c>
      <c r="K61" s="25" t="s">
        <v>750</v>
      </c>
      <c r="L61" s="25" t="s">
        <v>285</v>
      </c>
    </row>
    <row r="62" spans="1:25" s="1" customFormat="1">
      <c r="B62" s="13" t="s">
        <v>1679</v>
      </c>
      <c r="C62" s="26" t="s">
        <v>281</v>
      </c>
      <c r="D62" s="9" t="s">
        <v>1680</v>
      </c>
      <c r="E62" s="21" t="s">
        <v>182</v>
      </c>
      <c r="F62" s="19" t="s">
        <v>1972</v>
      </c>
      <c r="G62" s="19" t="s">
        <v>1972</v>
      </c>
      <c r="H62" s="164" t="str">
        <f t="shared" si="0"/>
        <v>,sum(sms_mo_timeout_cnt) as sms_mo_timeout_cnt</v>
      </c>
      <c r="I62" s="25"/>
      <c r="J62" s="25" t="s">
        <v>284</v>
      </c>
      <c r="K62" s="25" t="s">
        <v>750</v>
      </c>
      <c r="L62" s="25" t="s">
        <v>285</v>
      </c>
    </row>
    <row r="63" spans="1:25" s="1" customFormat="1">
      <c r="B63" s="13" t="s">
        <v>1682</v>
      </c>
      <c r="C63" s="13" t="s">
        <v>319</v>
      </c>
      <c r="D63" s="9" t="s">
        <v>1683</v>
      </c>
      <c r="E63" s="21" t="s">
        <v>182</v>
      </c>
      <c r="F63" s="19" t="s">
        <v>2143</v>
      </c>
      <c r="G63" s="19" t="s">
        <v>2143</v>
      </c>
      <c r="H63" s="164" t="str">
        <f t="shared" si="0"/>
        <v>,sum(sms_mo_succ_cnt*sms_mo_delay) / sum(sms_mo_succ_cnt) as sms_mo_delay</v>
      </c>
      <c r="I63" s="25"/>
      <c r="J63" s="25" t="s">
        <v>284</v>
      </c>
      <c r="K63" s="25" t="s">
        <v>471</v>
      </c>
      <c r="L63" s="25" t="s">
        <v>285</v>
      </c>
    </row>
    <row r="64" spans="1:25" s="1" customFormat="1">
      <c r="B64" s="13" t="s">
        <v>1685</v>
      </c>
      <c r="C64" s="26" t="s">
        <v>281</v>
      </c>
      <c r="D64" s="9" t="s">
        <v>1686</v>
      </c>
      <c r="E64" s="21" t="s">
        <v>182</v>
      </c>
      <c r="F64" s="19" t="s">
        <v>1978</v>
      </c>
      <c r="G64" s="19" t="s">
        <v>1978</v>
      </c>
      <c r="H64" s="164" t="str">
        <f t="shared" si="0"/>
        <v>,sum(sms_mt_request_cnt) as sms_mt_request_cnt</v>
      </c>
      <c r="I64" s="25"/>
      <c r="J64" s="25" t="s">
        <v>284</v>
      </c>
      <c r="K64" s="25" t="s">
        <v>750</v>
      </c>
      <c r="L64" s="25" t="s">
        <v>285</v>
      </c>
    </row>
    <row r="65" spans="2:12" s="1" customFormat="1">
      <c r="B65" s="13" t="s">
        <v>1688</v>
      </c>
      <c r="C65" s="26" t="s">
        <v>281</v>
      </c>
      <c r="D65" s="9" t="s">
        <v>1689</v>
      </c>
      <c r="E65" s="21" t="s">
        <v>182</v>
      </c>
      <c r="F65" s="19" t="s">
        <v>1980</v>
      </c>
      <c r="G65" s="19" t="s">
        <v>1980</v>
      </c>
      <c r="H65" s="164" t="str">
        <f t="shared" si="0"/>
        <v>,sum(sms_mt_succ_cnt) as sms_mt_succ_cnt</v>
      </c>
      <c r="I65" s="25"/>
      <c r="J65" s="25" t="s">
        <v>284</v>
      </c>
      <c r="K65" s="25" t="s">
        <v>750</v>
      </c>
      <c r="L65" s="25" t="s">
        <v>285</v>
      </c>
    </row>
    <row r="66" spans="2:12" s="1" customFormat="1">
      <c r="B66" s="13" t="s">
        <v>1691</v>
      </c>
      <c r="C66" s="26" t="s">
        <v>281</v>
      </c>
      <c r="D66" s="9" t="s">
        <v>1692</v>
      </c>
      <c r="E66" s="21" t="s">
        <v>182</v>
      </c>
      <c r="F66" s="19" t="s">
        <v>1982</v>
      </c>
      <c r="G66" s="19" t="s">
        <v>1982</v>
      </c>
      <c r="H66" s="164" t="str">
        <f t="shared" si="0"/>
        <v>,sum(sms_mt_fail_cnt) as sms_mt_fail_cnt</v>
      </c>
      <c r="I66" s="25"/>
      <c r="J66" s="25" t="s">
        <v>284</v>
      </c>
      <c r="K66" s="25" t="s">
        <v>750</v>
      </c>
      <c r="L66" s="25" t="s">
        <v>285</v>
      </c>
    </row>
    <row r="67" spans="2:12" s="1" customFormat="1">
      <c r="B67" s="13" t="s">
        <v>1694</v>
      </c>
      <c r="C67" s="26" t="s">
        <v>281</v>
      </c>
      <c r="D67" s="9" t="s">
        <v>1695</v>
      </c>
      <c r="E67" s="21" t="s">
        <v>182</v>
      </c>
      <c r="F67" s="19" t="s">
        <v>1984</v>
      </c>
      <c r="G67" s="19" t="s">
        <v>1984</v>
      </c>
      <c r="H67" s="164" t="str">
        <f t="shared" si="0"/>
        <v>,sum(sms_mt_timeout_cnt) as sms_mt_timeout_cnt</v>
      </c>
      <c r="I67" s="25"/>
      <c r="J67" s="25" t="s">
        <v>284</v>
      </c>
      <c r="K67" s="25" t="s">
        <v>750</v>
      </c>
      <c r="L67" s="25" t="s">
        <v>285</v>
      </c>
    </row>
    <row r="68" spans="2:12" s="1" customFormat="1">
      <c r="B68" s="13" t="s">
        <v>1697</v>
      </c>
      <c r="C68" s="13" t="s">
        <v>319</v>
      </c>
      <c r="D68" s="9" t="s">
        <v>1698</v>
      </c>
      <c r="E68" s="21" t="s">
        <v>182</v>
      </c>
      <c r="F68" s="19" t="s">
        <v>2144</v>
      </c>
      <c r="G68" s="19" t="s">
        <v>2144</v>
      </c>
      <c r="H68" s="164" t="str">
        <f t="shared" si="0"/>
        <v>,sum(sms_mt_succ_cnt*sms_mt_delay) / sum(sms_mt_succ_cnt) as sms_mt_delay</v>
      </c>
      <c r="I68" s="25"/>
      <c r="J68" s="25" t="s">
        <v>284</v>
      </c>
      <c r="K68" s="25" t="s">
        <v>471</v>
      </c>
      <c r="L68" s="25" t="s">
        <v>285</v>
      </c>
    </row>
    <row r="69" spans="2:12" s="1" customFormat="1">
      <c r="B69" s="13" t="s">
        <v>1700</v>
      </c>
      <c r="C69" s="26" t="s">
        <v>281</v>
      </c>
      <c r="D69" s="9" t="s">
        <v>1701</v>
      </c>
      <c r="E69" s="21" t="s">
        <v>182</v>
      </c>
      <c r="F69" s="19" t="s">
        <v>1990</v>
      </c>
      <c r="G69" s="19" t="s">
        <v>1990</v>
      </c>
      <c r="H69" s="164" t="str">
        <f t="shared" si="0"/>
        <v>,sum(pdusession_estab_request_cnt) as pdusession_estab_request_cnt</v>
      </c>
      <c r="I69" s="25"/>
      <c r="J69" s="25" t="s">
        <v>284</v>
      </c>
      <c r="K69" s="25" t="s">
        <v>750</v>
      </c>
      <c r="L69" s="25" t="s">
        <v>285</v>
      </c>
    </row>
    <row r="70" spans="2:12" s="1" customFormat="1">
      <c r="B70" s="13" t="s">
        <v>1703</v>
      </c>
      <c r="C70" s="26" t="s">
        <v>281</v>
      </c>
      <c r="D70" s="9" t="s">
        <v>1704</v>
      </c>
      <c r="E70" s="21" t="s">
        <v>182</v>
      </c>
      <c r="F70" s="19" t="s">
        <v>1992</v>
      </c>
      <c r="G70" s="19" t="s">
        <v>1992</v>
      </c>
      <c r="H70" s="164" t="str">
        <f t="shared" si="0"/>
        <v>,sum(pdusession_estab_succ_cnt) as pdusession_estab_succ_cnt</v>
      </c>
      <c r="I70" s="25"/>
      <c r="J70" s="25" t="s">
        <v>284</v>
      </c>
      <c r="K70" s="25" t="s">
        <v>750</v>
      </c>
      <c r="L70" s="25" t="s">
        <v>285</v>
      </c>
    </row>
    <row r="71" spans="2:12" s="1" customFormat="1">
      <c r="B71" s="13" t="s">
        <v>1706</v>
      </c>
      <c r="C71" s="26" t="s">
        <v>281</v>
      </c>
      <c r="D71" s="9" t="s">
        <v>1707</v>
      </c>
      <c r="E71" s="21" t="s">
        <v>182</v>
      </c>
      <c r="F71" s="19" t="s">
        <v>1994</v>
      </c>
      <c r="G71" s="19" t="s">
        <v>1994</v>
      </c>
      <c r="H71" s="164" t="str">
        <f t="shared" si="0"/>
        <v>,sum(pdusession_estab_fail_cnt) as pdusession_estab_fail_cnt</v>
      </c>
      <c r="I71" s="25"/>
      <c r="J71" s="25" t="s">
        <v>284</v>
      </c>
      <c r="K71" s="25" t="s">
        <v>750</v>
      </c>
      <c r="L71" s="25" t="s">
        <v>285</v>
      </c>
    </row>
    <row r="72" spans="2:12" s="1" customFormat="1">
      <c r="B72" s="13" t="s">
        <v>1709</v>
      </c>
      <c r="C72" s="26" t="s">
        <v>281</v>
      </c>
      <c r="D72" s="9" t="s">
        <v>1710</v>
      </c>
      <c r="E72" s="21" t="s">
        <v>182</v>
      </c>
      <c r="F72" s="19" t="s">
        <v>1996</v>
      </c>
      <c r="G72" s="19" t="s">
        <v>1996</v>
      </c>
      <c r="H72" s="164" t="str">
        <f t="shared" si="0"/>
        <v>,sum(pdusession_estab_timeout_cnt) as pdusession_estab_timeout_cnt</v>
      </c>
      <c r="I72" s="25"/>
      <c r="J72" s="25" t="s">
        <v>284</v>
      </c>
      <c r="K72" s="25" t="s">
        <v>750</v>
      </c>
      <c r="L72" s="25" t="s">
        <v>285</v>
      </c>
    </row>
    <row r="73" spans="2:12" s="1" customFormat="1">
      <c r="B73" s="13" t="s">
        <v>1712</v>
      </c>
      <c r="C73" s="13" t="s">
        <v>319</v>
      </c>
      <c r="D73" s="9" t="s">
        <v>1713</v>
      </c>
      <c r="E73" s="21" t="s">
        <v>182</v>
      </c>
      <c r="F73" s="19" t="s">
        <v>2145</v>
      </c>
      <c r="G73" s="19" t="s">
        <v>2145</v>
      </c>
      <c r="H73" s="164" t="str">
        <f t="shared" si="0"/>
        <v>,sum(pdusession_estab_succ_cnt*pdusession_estab_delay) / sum(pdusession_estab_succ_cnt) as pdusession_estab_delay</v>
      </c>
      <c r="I73" s="25"/>
      <c r="J73" s="25" t="s">
        <v>284</v>
      </c>
      <c r="K73" s="25" t="s">
        <v>471</v>
      </c>
      <c r="L73" s="25" t="s">
        <v>285</v>
      </c>
    </row>
    <row r="74" spans="2:12" s="1" customFormat="1">
      <c r="B74" s="13" t="s">
        <v>1715</v>
      </c>
      <c r="C74" s="26" t="s">
        <v>281</v>
      </c>
      <c r="D74" s="9" t="s">
        <v>1716</v>
      </c>
      <c r="E74" s="21" t="s">
        <v>182</v>
      </c>
      <c r="F74" s="19" t="s">
        <v>2002</v>
      </c>
      <c r="G74" s="19" t="s">
        <v>2002</v>
      </c>
      <c r="H74" s="164" t="str">
        <f t="shared" si="0"/>
        <v>,sum(pdusession_modify_request_cnt) as pdusession_modify_request_cnt</v>
      </c>
      <c r="I74" s="25"/>
      <c r="J74" s="25" t="s">
        <v>284</v>
      </c>
      <c r="K74" s="25" t="s">
        <v>750</v>
      </c>
      <c r="L74" s="25" t="s">
        <v>285</v>
      </c>
    </row>
    <row r="75" spans="2:12" s="1" customFormat="1">
      <c r="B75" s="13" t="s">
        <v>1718</v>
      </c>
      <c r="C75" s="26" t="s">
        <v>281</v>
      </c>
      <c r="D75" s="9" t="s">
        <v>1719</v>
      </c>
      <c r="E75" s="21" t="s">
        <v>182</v>
      </c>
      <c r="F75" s="19" t="s">
        <v>2004</v>
      </c>
      <c r="G75" s="19" t="s">
        <v>2004</v>
      </c>
      <c r="H75" s="164" t="str">
        <f t="shared" si="0"/>
        <v>,sum(pdusession_modify_succ_cnt) as pdusession_modify_succ_cnt</v>
      </c>
      <c r="I75" s="25"/>
      <c r="J75" s="25" t="s">
        <v>284</v>
      </c>
      <c r="K75" s="25" t="s">
        <v>750</v>
      </c>
      <c r="L75" s="25" t="s">
        <v>285</v>
      </c>
    </row>
    <row r="76" spans="2:12" s="1" customFormat="1">
      <c r="B76" s="13" t="s">
        <v>1721</v>
      </c>
      <c r="C76" s="26" t="s">
        <v>281</v>
      </c>
      <c r="D76" s="9" t="s">
        <v>1722</v>
      </c>
      <c r="E76" s="21" t="s">
        <v>182</v>
      </c>
      <c r="F76" s="19" t="s">
        <v>2006</v>
      </c>
      <c r="G76" s="19" t="s">
        <v>2006</v>
      </c>
      <c r="H76" s="164" t="str">
        <f t="shared" si="0"/>
        <v>,sum(pdusession_modify_fail_cnt) as pdusession_modify_fail_cnt</v>
      </c>
      <c r="I76" s="25"/>
      <c r="J76" s="25" t="s">
        <v>284</v>
      </c>
      <c r="K76" s="25" t="s">
        <v>750</v>
      </c>
      <c r="L76" s="25" t="s">
        <v>285</v>
      </c>
    </row>
    <row r="77" spans="2:12" s="1" customFormat="1">
      <c r="B77" s="13" t="s">
        <v>1724</v>
      </c>
      <c r="C77" s="26" t="s">
        <v>281</v>
      </c>
      <c r="D77" s="9" t="s">
        <v>1725</v>
      </c>
      <c r="E77" s="21" t="s">
        <v>182</v>
      </c>
      <c r="F77" s="19" t="s">
        <v>2008</v>
      </c>
      <c r="G77" s="19" t="s">
        <v>2008</v>
      </c>
      <c r="H77" s="164" t="str">
        <f t="shared" ref="H77:H137" si="2">_xlfn.CONCAT(",",F77," as ",B77)</f>
        <v>,sum(pdusession_modify_timeout_cnt) as pdusession_modify_timeout_cnt</v>
      </c>
      <c r="I77" s="25"/>
      <c r="J77" s="25" t="s">
        <v>284</v>
      </c>
      <c r="K77" s="25" t="s">
        <v>750</v>
      </c>
      <c r="L77" s="25" t="s">
        <v>285</v>
      </c>
    </row>
    <row r="78" spans="2:12" s="1" customFormat="1">
      <c r="B78" s="13" t="s">
        <v>1727</v>
      </c>
      <c r="C78" s="13" t="s">
        <v>319</v>
      </c>
      <c r="D78" s="9" t="s">
        <v>1728</v>
      </c>
      <c r="E78" s="21" t="s">
        <v>182</v>
      </c>
      <c r="F78" s="19" t="s">
        <v>2146</v>
      </c>
      <c r="G78" s="19" t="s">
        <v>2146</v>
      </c>
      <c r="H78" s="164" t="str">
        <f t="shared" si="2"/>
        <v>,sum(pdusession_modify_succ_cnt*pdusession_modify_delay) / sum(pdusession_modify_succ_cnt) as pdusession_modify_delay</v>
      </c>
      <c r="I78" s="25"/>
      <c r="J78" s="25" t="s">
        <v>284</v>
      </c>
      <c r="K78" s="25" t="s">
        <v>471</v>
      </c>
      <c r="L78" s="25" t="s">
        <v>285</v>
      </c>
    </row>
    <row r="79" spans="2:12" s="1" customFormat="1">
      <c r="B79" s="13" t="s">
        <v>1730</v>
      </c>
      <c r="C79" s="26" t="s">
        <v>281</v>
      </c>
      <c r="D79" s="9" t="s">
        <v>1731</v>
      </c>
      <c r="E79" s="21" t="s">
        <v>182</v>
      </c>
      <c r="F79" s="19" t="s">
        <v>2014</v>
      </c>
      <c r="G79" s="19" t="s">
        <v>2014</v>
      </c>
      <c r="H79" s="164" t="str">
        <f t="shared" si="2"/>
        <v>,sum(pdusession_release_request_cnt) as pdusession_release_request_cnt</v>
      </c>
      <c r="I79" s="25"/>
      <c r="J79" s="25" t="s">
        <v>284</v>
      </c>
      <c r="K79" s="25" t="s">
        <v>750</v>
      </c>
      <c r="L79" s="25" t="s">
        <v>285</v>
      </c>
    </row>
    <row r="80" spans="2:12" s="1" customFormat="1">
      <c r="B80" s="13" t="s">
        <v>1733</v>
      </c>
      <c r="C80" s="26" t="s">
        <v>281</v>
      </c>
      <c r="D80" s="9" t="s">
        <v>1734</v>
      </c>
      <c r="E80" s="21" t="s">
        <v>182</v>
      </c>
      <c r="F80" s="19" t="s">
        <v>2016</v>
      </c>
      <c r="G80" s="19" t="s">
        <v>2016</v>
      </c>
      <c r="H80" s="164" t="str">
        <f t="shared" si="2"/>
        <v>,sum(pdusession_release_succ_cnt) as pdusession_release_succ_cnt</v>
      </c>
      <c r="I80" s="25"/>
      <c r="J80" s="25" t="s">
        <v>284</v>
      </c>
      <c r="K80" s="25" t="s">
        <v>750</v>
      </c>
      <c r="L80" s="25" t="s">
        <v>285</v>
      </c>
    </row>
    <row r="81" spans="2:12" s="1" customFormat="1">
      <c r="B81" s="13" t="s">
        <v>1736</v>
      </c>
      <c r="C81" s="26" t="s">
        <v>281</v>
      </c>
      <c r="D81" s="9" t="s">
        <v>1737</v>
      </c>
      <c r="E81" s="21" t="s">
        <v>182</v>
      </c>
      <c r="F81" s="19" t="s">
        <v>2018</v>
      </c>
      <c r="G81" s="19" t="s">
        <v>2018</v>
      </c>
      <c r="H81" s="164" t="str">
        <f t="shared" si="2"/>
        <v>,sum(pdusession_release_fail_cnt) as pdusession_release_fail_cnt</v>
      </c>
      <c r="I81" s="25"/>
      <c r="J81" s="25" t="s">
        <v>284</v>
      </c>
      <c r="K81" s="25" t="s">
        <v>750</v>
      </c>
      <c r="L81" s="25" t="s">
        <v>285</v>
      </c>
    </row>
    <row r="82" spans="2:12" s="1" customFormat="1">
      <c r="B82" s="13" t="s">
        <v>1739</v>
      </c>
      <c r="C82" s="26" t="s">
        <v>281</v>
      </c>
      <c r="D82" s="9" t="s">
        <v>1740</v>
      </c>
      <c r="E82" s="21" t="s">
        <v>182</v>
      </c>
      <c r="F82" s="19" t="s">
        <v>2020</v>
      </c>
      <c r="G82" s="19" t="s">
        <v>2020</v>
      </c>
      <c r="H82" s="164" t="str">
        <f t="shared" si="2"/>
        <v>,sum(pdusession_release_timeout_cnt) as pdusession_release_timeout_cnt</v>
      </c>
      <c r="I82" s="25"/>
      <c r="J82" s="25" t="s">
        <v>284</v>
      </c>
      <c r="K82" s="25" t="s">
        <v>750</v>
      </c>
      <c r="L82" s="25" t="s">
        <v>285</v>
      </c>
    </row>
    <row r="83" spans="2:12" s="1" customFormat="1">
      <c r="B83" s="13" t="s">
        <v>1742</v>
      </c>
      <c r="C83" s="13" t="s">
        <v>319</v>
      </c>
      <c r="D83" s="9" t="s">
        <v>1743</v>
      </c>
      <c r="E83" s="21" t="s">
        <v>182</v>
      </c>
      <c r="F83" s="19" t="s">
        <v>2147</v>
      </c>
      <c r="G83" s="19" t="s">
        <v>2147</v>
      </c>
      <c r="H83" s="164" t="str">
        <f t="shared" si="2"/>
        <v>,sum(pdusession_release_succ_cnt*pdusession_release_delay) / sum(pdusession_release_succ_cnt) as pdusession_release_delay</v>
      </c>
      <c r="I83" s="25"/>
      <c r="J83" s="25" t="s">
        <v>284</v>
      </c>
      <c r="K83" s="25" t="s">
        <v>471</v>
      </c>
      <c r="L83" s="25" t="s">
        <v>285</v>
      </c>
    </row>
    <row r="84" spans="2:12" s="1" customFormat="1">
      <c r="B84" s="13" t="s">
        <v>1745</v>
      </c>
      <c r="C84" s="26" t="s">
        <v>281</v>
      </c>
      <c r="D84" s="9" t="s">
        <v>1746</v>
      </c>
      <c r="E84" s="21" t="s">
        <v>182</v>
      </c>
      <c r="F84" s="19" t="s">
        <v>2148</v>
      </c>
      <c r="G84" s="19" t="s">
        <v>2148</v>
      </c>
      <c r="H84" s="164" t="str">
        <f t="shared" si="2"/>
        <v>,sum(n2ho_out_request_cnt) as n2ho_out_request_cnt</v>
      </c>
      <c r="I84" s="25"/>
      <c r="J84" s="25" t="s">
        <v>284</v>
      </c>
      <c r="K84" s="25" t="s">
        <v>750</v>
      </c>
      <c r="L84" s="25" t="s">
        <v>285</v>
      </c>
    </row>
    <row r="85" spans="2:12" s="1" customFormat="1">
      <c r="B85" s="13" t="s">
        <v>1748</v>
      </c>
      <c r="C85" s="26" t="s">
        <v>281</v>
      </c>
      <c r="D85" s="9" t="s">
        <v>1749</v>
      </c>
      <c r="E85" s="21" t="s">
        <v>182</v>
      </c>
      <c r="F85" s="19" t="s">
        <v>2149</v>
      </c>
      <c r="G85" s="19" t="s">
        <v>2149</v>
      </c>
      <c r="H85" s="164" t="str">
        <f t="shared" si="2"/>
        <v>,sum(n2ho_out_succ_cnt) as n2ho_out_succ_cnt</v>
      </c>
      <c r="I85" s="25"/>
      <c r="J85" s="25" t="s">
        <v>284</v>
      </c>
      <c r="K85" s="25" t="s">
        <v>750</v>
      </c>
      <c r="L85" s="25" t="s">
        <v>285</v>
      </c>
    </row>
    <row r="86" spans="2:12" s="1" customFormat="1">
      <c r="B86" s="13" t="s">
        <v>1751</v>
      </c>
      <c r="C86" s="26" t="s">
        <v>281</v>
      </c>
      <c r="D86" s="9" t="s">
        <v>1752</v>
      </c>
      <c r="E86" s="21" t="s">
        <v>182</v>
      </c>
      <c r="F86" s="19" t="s">
        <v>2150</v>
      </c>
      <c r="G86" s="19" t="s">
        <v>2150</v>
      </c>
      <c r="H86" s="164" t="str">
        <f t="shared" si="2"/>
        <v>,sum(n2ho_out_fail_cnt) as n2ho_out_fail_cnt</v>
      </c>
      <c r="I86" s="25"/>
      <c r="J86" s="25" t="s">
        <v>284</v>
      </c>
      <c r="K86" s="25" t="s">
        <v>750</v>
      </c>
      <c r="L86" s="25" t="s">
        <v>285</v>
      </c>
    </row>
    <row r="87" spans="2:12" s="1" customFormat="1">
      <c r="B87" s="13" t="s">
        <v>1754</v>
      </c>
      <c r="C87" s="26" t="s">
        <v>281</v>
      </c>
      <c r="D87" s="9" t="s">
        <v>1755</v>
      </c>
      <c r="E87" s="21" t="s">
        <v>182</v>
      </c>
      <c r="F87" s="19" t="s">
        <v>2151</v>
      </c>
      <c r="G87" s="19" t="s">
        <v>2151</v>
      </c>
      <c r="H87" s="164" t="str">
        <f t="shared" si="2"/>
        <v>,sum(n2ho_out_timeout_cnt) as n2ho_out_timeout_cnt</v>
      </c>
      <c r="I87" s="25"/>
      <c r="J87" s="25" t="s">
        <v>284</v>
      </c>
      <c r="K87" s="25" t="s">
        <v>750</v>
      </c>
      <c r="L87" s="25" t="s">
        <v>285</v>
      </c>
    </row>
    <row r="88" spans="2:12" s="1" customFormat="1">
      <c r="B88" s="13" t="s">
        <v>1757</v>
      </c>
      <c r="C88" s="13" t="s">
        <v>319</v>
      </c>
      <c r="D88" s="9" t="s">
        <v>1758</v>
      </c>
      <c r="E88" s="21" t="s">
        <v>182</v>
      </c>
      <c r="F88" s="19" t="s">
        <v>2152</v>
      </c>
      <c r="G88" s="19" t="s">
        <v>2152</v>
      </c>
      <c r="H88" s="164" t="str">
        <f t="shared" si="2"/>
        <v>,sum(n2ho_out_succ_cnt*n2ho_out_delay) / sum(n2ho_out_succ_cnt) as n2ho_out_delay</v>
      </c>
      <c r="I88" s="25"/>
      <c r="J88" s="25" t="s">
        <v>284</v>
      </c>
      <c r="K88" s="25" t="s">
        <v>471</v>
      </c>
      <c r="L88" s="25" t="s">
        <v>285</v>
      </c>
    </row>
    <row r="89" spans="2:12" s="1" customFormat="1">
      <c r="B89" s="13" t="s">
        <v>1760</v>
      </c>
      <c r="C89" s="26" t="s">
        <v>281</v>
      </c>
      <c r="D89" s="9" t="s">
        <v>1761</v>
      </c>
      <c r="E89" s="21" t="s">
        <v>182</v>
      </c>
      <c r="F89" s="19" t="s">
        <v>2026</v>
      </c>
      <c r="G89" s="19" t="s">
        <v>2026</v>
      </c>
      <c r="H89" s="164" t="str">
        <f t="shared" si="2"/>
        <v>,sum(n2ho_out_intra5gs_request_cnt) as n2ho_out_intra5gs_request_cnt</v>
      </c>
      <c r="I89" s="25"/>
      <c r="J89" s="25" t="s">
        <v>284</v>
      </c>
      <c r="K89" s="25" t="s">
        <v>750</v>
      </c>
      <c r="L89" s="25" t="s">
        <v>285</v>
      </c>
    </row>
    <row r="90" spans="2:12" s="1" customFormat="1">
      <c r="B90" s="13" t="s">
        <v>1763</v>
      </c>
      <c r="C90" s="26" t="s">
        <v>281</v>
      </c>
      <c r="D90" s="9" t="s">
        <v>1764</v>
      </c>
      <c r="E90" s="21" t="s">
        <v>182</v>
      </c>
      <c r="F90" s="19" t="s">
        <v>2028</v>
      </c>
      <c r="G90" s="19" t="s">
        <v>2028</v>
      </c>
      <c r="H90" s="164" t="str">
        <f t="shared" si="2"/>
        <v>,sum(n2ho_out_intra5gs_succ_cnt) as n2ho_out_intra5gs_succ_cnt</v>
      </c>
      <c r="I90" s="25"/>
      <c r="J90" s="25" t="s">
        <v>284</v>
      </c>
      <c r="K90" s="25" t="s">
        <v>750</v>
      </c>
      <c r="L90" s="25" t="s">
        <v>285</v>
      </c>
    </row>
    <row r="91" spans="2:12" s="1" customFormat="1">
      <c r="B91" s="13" t="s">
        <v>1766</v>
      </c>
      <c r="C91" s="26" t="s">
        <v>281</v>
      </c>
      <c r="D91" s="9" t="s">
        <v>1767</v>
      </c>
      <c r="E91" s="21" t="s">
        <v>182</v>
      </c>
      <c r="F91" s="19" t="s">
        <v>2030</v>
      </c>
      <c r="G91" s="19" t="s">
        <v>2030</v>
      </c>
      <c r="H91" s="164" t="str">
        <f t="shared" si="2"/>
        <v>,sum(n2ho_out_intra5gs_fail_cnt) as n2ho_out_intra5gs_fail_cnt</v>
      </c>
      <c r="I91" s="25"/>
      <c r="J91" s="25" t="s">
        <v>284</v>
      </c>
      <c r="K91" s="25" t="s">
        <v>750</v>
      </c>
      <c r="L91" s="25" t="s">
        <v>285</v>
      </c>
    </row>
    <row r="92" spans="2:12" s="1" customFormat="1">
      <c r="B92" s="13" t="s">
        <v>1769</v>
      </c>
      <c r="C92" s="26" t="s">
        <v>281</v>
      </c>
      <c r="D92" s="9" t="s">
        <v>1770</v>
      </c>
      <c r="E92" s="21" t="s">
        <v>182</v>
      </c>
      <c r="F92" s="19" t="s">
        <v>2032</v>
      </c>
      <c r="G92" s="19" t="s">
        <v>2032</v>
      </c>
      <c r="H92" s="164" t="str">
        <f t="shared" si="2"/>
        <v>,sum(n2ho_out_intra5gs_timeout_cnt) as n2ho_out_intra5gs_timeout_cnt</v>
      </c>
      <c r="I92" s="25"/>
      <c r="J92" s="25" t="s">
        <v>284</v>
      </c>
      <c r="K92" s="25" t="s">
        <v>750</v>
      </c>
      <c r="L92" s="25" t="s">
        <v>285</v>
      </c>
    </row>
    <row r="93" spans="2:12" s="1" customFormat="1">
      <c r="B93" s="13" t="s">
        <v>1772</v>
      </c>
      <c r="C93" s="13" t="s">
        <v>319</v>
      </c>
      <c r="D93" s="9" t="s">
        <v>1773</v>
      </c>
      <c r="E93" s="21" t="s">
        <v>182</v>
      </c>
      <c r="F93" s="19" t="s">
        <v>2153</v>
      </c>
      <c r="G93" s="19" t="s">
        <v>2153</v>
      </c>
      <c r="H93" s="164" t="str">
        <f t="shared" si="2"/>
        <v>,sum(n2ho_out_intra5gs_succ_cnt*n2ho_out_intra5gs_delay) / sum(n2ho_out_intra5gs_succ_cnt) as n2ho_out_intra5gs_delay</v>
      </c>
      <c r="I93" s="25"/>
      <c r="J93" s="25" t="s">
        <v>284</v>
      </c>
      <c r="K93" s="25" t="s">
        <v>471</v>
      </c>
      <c r="L93" s="25" t="s">
        <v>285</v>
      </c>
    </row>
    <row r="94" spans="2:12" s="1" customFormat="1">
      <c r="B94" s="13" t="s">
        <v>1775</v>
      </c>
      <c r="C94" s="26" t="s">
        <v>281</v>
      </c>
      <c r="D94" s="9" t="s">
        <v>1776</v>
      </c>
      <c r="E94" s="21" t="s">
        <v>182</v>
      </c>
      <c r="F94" s="19" t="s">
        <v>2038</v>
      </c>
      <c r="G94" s="19" t="s">
        <v>2038</v>
      </c>
      <c r="H94" s="164" t="str">
        <f t="shared" si="2"/>
        <v>,sum(n2ho_out_5gstoeps_request_cnt) as n2ho_out_5gstoeps_request_cnt</v>
      </c>
      <c r="I94" s="25"/>
      <c r="J94" s="25" t="s">
        <v>284</v>
      </c>
      <c r="K94" s="25" t="s">
        <v>750</v>
      </c>
      <c r="L94" s="25" t="s">
        <v>285</v>
      </c>
    </row>
    <row r="95" spans="2:12" s="1" customFormat="1">
      <c r="B95" s="13" t="s">
        <v>1778</v>
      </c>
      <c r="C95" s="26" t="s">
        <v>281</v>
      </c>
      <c r="D95" s="9" t="s">
        <v>1779</v>
      </c>
      <c r="E95" s="21" t="s">
        <v>182</v>
      </c>
      <c r="F95" s="19" t="s">
        <v>2040</v>
      </c>
      <c r="G95" s="19" t="s">
        <v>2040</v>
      </c>
      <c r="H95" s="164" t="str">
        <f t="shared" si="2"/>
        <v>,sum(n2ho_out_5gstoeps_succ_cnt) as n2ho_out_5gstoeps_succ_cnt</v>
      </c>
      <c r="I95" s="25"/>
      <c r="J95" s="25" t="s">
        <v>284</v>
      </c>
      <c r="K95" s="25" t="s">
        <v>750</v>
      </c>
      <c r="L95" s="25" t="s">
        <v>285</v>
      </c>
    </row>
    <row r="96" spans="2:12" s="1" customFormat="1">
      <c r="B96" s="13" t="s">
        <v>1781</v>
      </c>
      <c r="C96" s="26" t="s">
        <v>281</v>
      </c>
      <c r="D96" s="9" t="s">
        <v>1782</v>
      </c>
      <c r="E96" s="21" t="s">
        <v>182</v>
      </c>
      <c r="F96" s="19" t="s">
        <v>2042</v>
      </c>
      <c r="G96" s="19" t="s">
        <v>2042</v>
      </c>
      <c r="H96" s="164" t="str">
        <f t="shared" si="2"/>
        <v>,sum(n2ho_out_5gstoeps_fail_cnt) as n2ho_out_5gstoeps_fail_cnt</v>
      </c>
      <c r="I96" s="25"/>
      <c r="J96" s="25" t="s">
        <v>284</v>
      </c>
      <c r="K96" s="25" t="s">
        <v>750</v>
      </c>
      <c r="L96" s="25" t="s">
        <v>285</v>
      </c>
    </row>
    <row r="97" spans="2:12" s="1" customFormat="1">
      <c r="B97" s="13" t="s">
        <v>1784</v>
      </c>
      <c r="C97" s="26" t="s">
        <v>281</v>
      </c>
      <c r="D97" s="9" t="s">
        <v>1785</v>
      </c>
      <c r="E97" s="21" t="s">
        <v>182</v>
      </c>
      <c r="F97" s="19" t="s">
        <v>2044</v>
      </c>
      <c r="G97" s="19" t="s">
        <v>2044</v>
      </c>
      <c r="H97" s="164" t="str">
        <f t="shared" si="2"/>
        <v>,sum(n2ho_out_5gstoeps_timeout_cnt) as n2ho_out_5gstoeps_timeout_cnt</v>
      </c>
      <c r="I97" s="25"/>
      <c r="J97" s="25" t="s">
        <v>284</v>
      </c>
      <c r="K97" s="25" t="s">
        <v>750</v>
      </c>
      <c r="L97" s="25" t="s">
        <v>285</v>
      </c>
    </row>
    <row r="98" spans="2:12" s="1" customFormat="1">
      <c r="B98" s="13" t="s">
        <v>1787</v>
      </c>
      <c r="C98" s="13" t="s">
        <v>319</v>
      </c>
      <c r="D98" s="9" t="s">
        <v>1788</v>
      </c>
      <c r="E98" s="21" t="s">
        <v>182</v>
      </c>
      <c r="F98" s="19" t="s">
        <v>2154</v>
      </c>
      <c r="G98" s="19" t="s">
        <v>2154</v>
      </c>
      <c r="H98" s="164" t="str">
        <f t="shared" si="2"/>
        <v>,sum(n2ho_out_5gstoeps_succ_cnt*n2ho_out_5gstoeps_delay)/sum(n2ho_out_5gstoeps_succ_cnt) as n2ho_out_5gstoeps_delay</v>
      </c>
      <c r="I98" s="25"/>
      <c r="J98" s="25" t="s">
        <v>284</v>
      </c>
      <c r="K98" s="25" t="s">
        <v>471</v>
      </c>
      <c r="L98" s="25" t="s">
        <v>285</v>
      </c>
    </row>
    <row r="99" spans="2:12" s="1" customFormat="1">
      <c r="B99" s="13" t="s">
        <v>1790</v>
      </c>
      <c r="C99" s="26" t="s">
        <v>281</v>
      </c>
      <c r="D99" s="9" t="s">
        <v>1791</v>
      </c>
      <c r="E99" s="21" t="s">
        <v>182</v>
      </c>
      <c r="F99" s="19" t="s">
        <v>2050</v>
      </c>
      <c r="G99" s="19" t="s">
        <v>2050</v>
      </c>
      <c r="H99" s="164" t="str">
        <f t="shared" si="2"/>
        <v>,sum(n2ho_in_intra5gs_request_cnt) as n2ho_in_intra5gs_request_cnt</v>
      </c>
      <c r="I99" s="25"/>
      <c r="J99" s="25" t="s">
        <v>284</v>
      </c>
      <c r="K99" s="25" t="s">
        <v>750</v>
      </c>
      <c r="L99" s="25" t="s">
        <v>285</v>
      </c>
    </row>
    <row r="100" spans="2:12" s="1" customFormat="1">
      <c r="B100" s="13" t="s">
        <v>1793</v>
      </c>
      <c r="C100" s="26" t="s">
        <v>281</v>
      </c>
      <c r="D100" s="9" t="s">
        <v>1794</v>
      </c>
      <c r="E100" s="21" t="s">
        <v>182</v>
      </c>
      <c r="F100" s="19" t="s">
        <v>2052</v>
      </c>
      <c r="G100" s="19" t="s">
        <v>2052</v>
      </c>
      <c r="H100" s="164" t="str">
        <f t="shared" si="2"/>
        <v>,sum(n2ho_in_intra5gs_succ_cnt) as n2ho_in_intra5gs_succ_cnt</v>
      </c>
      <c r="I100" s="25"/>
      <c r="J100" s="25" t="s">
        <v>284</v>
      </c>
      <c r="K100" s="25" t="s">
        <v>750</v>
      </c>
      <c r="L100" s="25" t="s">
        <v>285</v>
      </c>
    </row>
    <row r="101" spans="2:12" s="1" customFormat="1">
      <c r="B101" s="13" t="s">
        <v>1796</v>
      </c>
      <c r="C101" s="26" t="s">
        <v>281</v>
      </c>
      <c r="D101" s="9" t="s">
        <v>1797</v>
      </c>
      <c r="E101" s="21" t="s">
        <v>182</v>
      </c>
      <c r="F101" s="19" t="s">
        <v>2054</v>
      </c>
      <c r="G101" s="19" t="s">
        <v>2054</v>
      </c>
      <c r="H101" s="164" t="str">
        <f t="shared" si="2"/>
        <v>,sum(n2ho_in_intra5gs_fail_cnt) as n2ho_in_intra5gs_fail_cnt</v>
      </c>
      <c r="I101" s="25"/>
      <c r="J101" s="25" t="s">
        <v>284</v>
      </c>
      <c r="K101" s="25" t="s">
        <v>750</v>
      </c>
      <c r="L101" s="25" t="s">
        <v>285</v>
      </c>
    </row>
    <row r="102" spans="2:12" s="1" customFormat="1">
      <c r="B102" s="13" t="s">
        <v>1799</v>
      </c>
      <c r="C102" s="26" t="s">
        <v>281</v>
      </c>
      <c r="D102" s="9" t="s">
        <v>1800</v>
      </c>
      <c r="E102" s="21" t="s">
        <v>182</v>
      </c>
      <c r="F102" s="19" t="s">
        <v>2056</v>
      </c>
      <c r="G102" s="19" t="s">
        <v>2056</v>
      </c>
      <c r="H102" s="164" t="str">
        <f t="shared" si="2"/>
        <v>,sum(n2ho_in_intra5gs_timeout) as n2ho_in_intra5gs_timeout</v>
      </c>
      <c r="I102" s="25"/>
      <c r="J102" s="25" t="s">
        <v>284</v>
      </c>
      <c r="K102" s="25" t="s">
        <v>750</v>
      </c>
      <c r="L102" s="25" t="s">
        <v>285</v>
      </c>
    </row>
    <row r="103" spans="2:12" s="1" customFormat="1">
      <c r="B103" s="13" t="s">
        <v>1802</v>
      </c>
      <c r="C103" s="13" t="s">
        <v>319</v>
      </c>
      <c r="D103" s="9" t="s">
        <v>1803</v>
      </c>
      <c r="E103" s="21" t="s">
        <v>182</v>
      </c>
      <c r="F103" s="19" t="s">
        <v>2155</v>
      </c>
      <c r="G103" s="19" t="s">
        <v>2155</v>
      </c>
      <c r="H103" s="164" t="str">
        <f t="shared" si="2"/>
        <v>,sum(n2ho_in_intra5gs_succ_cnt*n2ho_in_intra5gs_delay) / sum(n2ho_in_intra5gs_succ_cnt) as n2ho_in_intra5gs_delay</v>
      </c>
      <c r="I103" s="25"/>
      <c r="J103" s="25" t="s">
        <v>284</v>
      </c>
      <c r="K103" s="25" t="s">
        <v>471</v>
      </c>
      <c r="L103" s="25" t="s">
        <v>285</v>
      </c>
    </row>
    <row r="104" spans="2:12" s="1" customFormat="1">
      <c r="B104" s="13" t="s">
        <v>1805</v>
      </c>
      <c r="C104" s="26" t="s">
        <v>281</v>
      </c>
      <c r="D104" s="9" t="s">
        <v>1806</v>
      </c>
      <c r="E104" s="21" t="s">
        <v>182</v>
      </c>
      <c r="F104" s="19" t="s">
        <v>2062</v>
      </c>
      <c r="G104" s="19" t="s">
        <v>2062</v>
      </c>
      <c r="H104" s="164" t="str">
        <f t="shared" si="2"/>
        <v>,sum(n2ho_in_epsto5gs_request_cnt) as n2ho_in_epsto5gs_request_cnt</v>
      </c>
      <c r="I104" s="25"/>
      <c r="J104" s="25" t="s">
        <v>284</v>
      </c>
      <c r="K104" s="25" t="s">
        <v>750</v>
      </c>
      <c r="L104" s="25" t="s">
        <v>285</v>
      </c>
    </row>
    <row r="105" spans="2:12" s="1" customFormat="1">
      <c r="B105" s="13" t="s">
        <v>1808</v>
      </c>
      <c r="C105" s="26" t="s">
        <v>281</v>
      </c>
      <c r="D105" s="9" t="s">
        <v>1809</v>
      </c>
      <c r="E105" s="21" t="s">
        <v>182</v>
      </c>
      <c r="F105" s="19" t="s">
        <v>2064</v>
      </c>
      <c r="G105" s="19" t="s">
        <v>2064</v>
      </c>
      <c r="H105" s="164" t="str">
        <f t="shared" si="2"/>
        <v>,sum(n2ho_in_epsto5gs_succ_cnt) as n2ho_in_epsto5gs_succ_cnt</v>
      </c>
      <c r="I105" s="25"/>
      <c r="J105" s="25" t="s">
        <v>284</v>
      </c>
      <c r="K105" s="25" t="s">
        <v>750</v>
      </c>
      <c r="L105" s="25" t="s">
        <v>285</v>
      </c>
    </row>
    <row r="106" spans="2:12" s="1" customFormat="1">
      <c r="B106" s="13" t="s">
        <v>1811</v>
      </c>
      <c r="C106" s="26" t="s">
        <v>281</v>
      </c>
      <c r="D106" s="9" t="s">
        <v>1812</v>
      </c>
      <c r="E106" s="21" t="s">
        <v>182</v>
      </c>
      <c r="F106" s="19" t="s">
        <v>2066</v>
      </c>
      <c r="G106" s="19" t="s">
        <v>2066</v>
      </c>
      <c r="H106" s="164" t="str">
        <f t="shared" si="2"/>
        <v>,sum(n2ho_in_epsto5gs_fail_cnt) as n2ho_in_epsto5gs_fail_cnt</v>
      </c>
      <c r="I106" s="25"/>
      <c r="J106" s="25" t="s">
        <v>284</v>
      </c>
      <c r="K106" s="25" t="s">
        <v>750</v>
      </c>
      <c r="L106" s="25" t="s">
        <v>285</v>
      </c>
    </row>
    <row r="107" spans="2:12" s="1" customFormat="1">
      <c r="B107" s="13" t="s">
        <v>1814</v>
      </c>
      <c r="C107" s="26" t="s">
        <v>281</v>
      </c>
      <c r="D107" s="9" t="s">
        <v>1815</v>
      </c>
      <c r="E107" s="21" t="s">
        <v>182</v>
      </c>
      <c r="F107" s="19" t="s">
        <v>2068</v>
      </c>
      <c r="G107" s="19" t="s">
        <v>2068</v>
      </c>
      <c r="H107" s="164" t="str">
        <f t="shared" si="2"/>
        <v>,sum(n2ho_in_epsto5gs_timeout) as n2ho_in_epsto5gs_timeout</v>
      </c>
      <c r="I107" s="25"/>
      <c r="J107" s="25" t="s">
        <v>284</v>
      </c>
      <c r="K107" s="25" t="s">
        <v>750</v>
      </c>
      <c r="L107" s="25" t="s">
        <v>285</v>
      </c>
    </row>
    <row r="108" spans="2:12" s="1" customFormat="1">
      <c r="B108" s="13" t="s">
        <v>1817</v>
      </c>
      <c r="C108" s="13" t="s">
        <v>319</v>
      </c>
      <c r="D108" s="9" t="s">
        <v>1818</v>
      </c>
      <c r="E108" s="21" t="s">
        <v>182</v>
      </c>
      <c r="F108" s="19" t="s">
        <v>2156</v>
      </c>
      <c r="G108" s="19" t="s">
        <v>2156</v>
      </c>
      <c r="H108" s="164" t="str">
        <f t="shared" si="2"/>
        <v>,sum(n2ho_in_epsto5gs_succ_cnt*n2ho_in_epsto5gs_delay) / sum(n2ho_in_epsto5gs_succ_cnt) as n2ho_in_epsto5gs_delay</v>
      </c>
      <c r="I108" s="25"/>
      <c r="J108" s="25" t="s">
        <v>284</v>
      </c>
      <c r="K108" s="25" t="s">
        <v>471</v>
      </c>
      <c r="L108" s="25" t="s">
        <v>285</v>
      </c>
    </row>
    <row r="109" spans="2:12" s="1" customFormat="1">
      <c r="B109" s="13" t="s">
        <v>1820</v>
      </c>
      <c r="C109" s="26" t="s">
        <v>281</v>
      </c>
      <c r="D109" s="9" t="s">
        <v>1821</v>
      </c>
      <c r="E109" s="21" t="s">
        <v>182</v>
      </c>
      <c r="F109" s="19" t="s">
        <v>2106</v>
      </c>
      <c r="G109" s="19" t="s">
        <v>2106</v>
      </c>
      <c r="H109" s="164" t="str">
        <f t="shared" si="2"/>
        <v>,sum(n2ho_cancel_request_cnt) as n2ho_cancel_request_cnt</v>
      </c>
      <c r="I109" s="25"/>
      <c r="J109" s="25" t="s">
        <v>284</v>
      </c>
      <c r="K109" s="25" t="s">
        <v>750</v>
      </c>
      <c r="L109" s="25" t="s">
        <v>285</v>
      </c>
    </row>
    <row r="110" spans="2:12" s="1" customFormat="1">
      <c r="B110" s="13" t="s">
        <v>1823</v>
      </c>
      <c r="C110" s="26" t="s">
        <v>281</v>
      </c>
      <c r="D110" s="9" t="s">
        <v>1824</v>
      </c>
      <c r="E110" s="21" t="s">
        <v>182</v>
      </c>
      <c r="F110" s="19" t="s">
        <v>2108</v>
      </c>
      <c r="G110" s="19" t="s">
        <v>2108</v>
      </c>
      <c r="H110" s="164" t="str">
        <f t="shared" si="2"/>
        <v>,sum(n2ho_cancel_succ_cnt) as n2ho_cancel_succ_cnt</v>
      </c>
      <c r="I110" s="25"/>
      <c r="J110" s="25" t="s">
        <v>284</v>
      </c>
      <c r="K110" s="25" t="s">
        <v>750</v>
      </c>
      <c r="L110" s="25" t="s">
        <v>285</v>
      </c>
    </row>
    <row r="111" spans="2:12" s="1" customFormat="1">
      <c r="B111" s="13" t="s">
        <v>1826</v>
      </c>
      <c r="C111" s="26" t="s">
        <v>281</v>
      </c>
      <c r="D111" s="9" t="s">
        <v>1827</v>
      </c>
      <c r="E111" s="21" t="s">
        <v>182</v>
      </c>
      <c r="F111" s="19" t="s">
        <v>2110</v>
      </c>
      <c r="G111" s="19" t="s">
        <v>2110</v>
      </c>
      <c r="H111" s="164" t="str">
        <f t="shared" si="2"/>
        <v>,sum(n2ho_cancel_fail_cnt) as n2ho_cancel_fail_cnt</v>
      </c>
      <c r="I111" s="25"/>
      <c r="J111" s="25" t="s">
        <v>284</v>
      </c>
      <c r="K111" s="25" t="s">
        <v>750</v>
      </c>
      <c r="L111" s="25" t="s">
        <v>285</v>
      </c>
    </row>
    <row r="112" spans="2:12" s="1" customFormat="1">
      <c r="B112" s="13" t="s">
        <v>1829</v>
      </c>
      <c r="C112" s="26" t="s">
        <v>281</v>
      </c>
      <c r="D112" s="9" t="s">
        <v>1830</v>
      </c>
      <c r="E112" s="21" t="s">
        <v>182</v>
      </c>
      <c r="F112" s="19" t="s">
        <v>2112</v>
      </c>
      <c r="G112" s="19" t="s">
        <v>2112</v>
      </c>
      <c r="H112" s="164" t="str">
        <f t="shared" si="2"/>
        <v>,sum(n2ho_cancel_timeout_cnt) as n2ho_cancel_timeout_cnt</v>
      </c>
      <c r="I112" s="25"/>
      <c r="J112" s="25" t="s">
        <v>284</v>
      </c>
      <c r="K112" s="25" t="s">
        <v>750</v>
      </c>
      <c r="L112" s="25" t="s">
        <v>285</v>
      </c>
    </row>
    <row r="113" spans="2:12" s="1" customFormat="1">
      <c r="B113" s="13" t="s">
        <v>1832</v>
      </c>
      <c r="C113" s="13" t="s">
        <v>319</v>
      </c>
      <c r="D113" s="9" t="s">
        <v>1833</v>
      </c>
      <c r="E113" s="21" t="s">
        <v>182</v>
      </c>
      <c r="F113" s="19" t="s">
        <v>2157</v>
      </c>
      <c r="G113" s="19" t="s">
        <v>2157</v>
      </c>
      <c r="H113" s="164" t="str">
        <f t="shared" si="2"/>
        <v>,sum(n2ho_cancel_succ_cnt*n2ho_cancel_delay) / sum(n2ho_cancel_succ_cnt) as n2ho_cancel_delay</v>
      </c>
      <c r="I113" s="25"/>
      <c r="J113" s="25" t="s">
        <v>284</v>
      </c>
      <c r="K113" s="25" t="s">
        <v>471</v>
      </c>
      <c r="L113" s="25" t="s">
        <v>285</v>
      </c>
    </row>
    <row r="114" spans="2:12" s="1" customFormat="1">
      <c r="B114" s="13" t="s">
        <v>1835</v>
      </c>
      <c r="C114" s="26" t="s">
        <v>281</v>
      </c>
      <c r="D114" s="9" t="s">
        <v>1836</v>
      </c>
      <c r="E114" s="21" t="s">
        <v>182</v>
      </c>
      <c r="F114" s="19" t="s">
        <v>2074</v>
      </c>
      <c r="G114" s="19" t="s">
        <v>2074</v>
      </c>
      <c r="H114" s="164" t="str">
        <f t="shared" si="2"/>
        <v>,sum(xnho_request_cnt) as xnho_request_cnt</v>
      </c>
      <c r="I114" s="25"/>
      <c r="J114" s="25" t="s">
        <v>284</v>
      </c>
      <c r="K114" s="25" t="s">
        <v>750</v>
      </c>
      <c r="L114" s="25" t="s">
        <v>285</v>
      </c>
    </row>
    <row r="115" spans="2:12" s="1" customFormat="1">
      <c r="B115" s="13" t="s">
        <v>1838</v>
      </c>
      <c r="C115" s="26" t="s">
        <v>281</v>
      </c>
      <c r="D115" s="9" t="s">
        <v>1839</v>
      </c>
      <c r="E115" s="21" t="s">
        <v>182</v>
      </c>
      <c r="F115" s="19" t="s">
        <v>2076</v>
      </c>
      <c r="G115" s="19" t="s">
        <v>2076</v>
      </c>
      <c r="H115" s="164" t="str">
        <f t="shared" si="2"/>
        <v>,sum(xnho_succ_cnt) as xnho_succ_cnt</v>
      </c>
      <c r="I115" s="25"/>
      <c r="J115" s="25" t="s">
        <v>284</v>
      </c>
      <c r="K115" s="25" t="s">
        <v>750</v>
      </c>
      <c r="L115" s="25" t="s">
        <v>285</v>
      </c>
    </row>
    <row r="116" spans="2:12" s="1" customFormat="1">
      <c r="B116" s="13" t="s">
        <v>1841</v>
      </c>
      <c r="C116" s="26" t="s">
        <v>281</v>
      </c>
      <c r="D116" s="9" t="s">
        <v>1842</v>
      </c>
      <c r="E116" s="21" t="s">
        <v>182</v>
      </c>
      <c r="F116" s="19" t="s">
        <v>2078</v>
      </c>
      <c r="G116" s="19" t="s">
        <v>2078</v>
      </c>
      <c r="H116" s="164" t="str">
        <f t="shared" si="2"/>
        <v>,sum(xnho_fail_cnt) as xnho_fail_cnt</v>
      </c>
      <c r="I116" s="25"/>
      <c r="J116" s="25" t="s">
        <v>284</v>
      </c>
      <c r="K116" s="25" t="s">
        <v>750</v>
      </c>
      <c r="L116" s="25" t="s">
        <v>285</v>
      </c>
    </row>
    <row r="117" spans="2:12" s="1" customFormat="1">
      <c r="B117" s="13" t="s">
        <v>1844</v>
      </c>
      <c r="C117" s="26" t="s">
        <v>281</v>
      </c>
      <c r="D117" s="9" t="s">
        <v>1845</v>
      </c>
      <c r="E117" s="21" t="s">
        <v>182</v>
      </c>
      <c r="F117" s="19" t="s">
        <v>2080</v>
      </c>
      <c r="G117" s="19" t="s">
        <v>2080</v>
      </c>
      <c r="H117" s="164" t="str">
        <f t="shared" si="2"/>
        <v>,sum(xnho_timeout_cnt) as xnho_timeout_cnt</v>
      </c>
      <c r="I117" s="25"/>
      <c r="J117" s="25" t="s">
        <v>284</v>
      </c>
      <c r="K117" s="25" t="s">
        <v>750</v>
      </c>
      <c r="L117" s="25" t="s">
        <v>285</v>
      </c>
    </row>
    <row r="118" spans="2:12" s="1" customFormat="1">
      <c r="B118" s="13" t="s">
        <v>1847</v>
      </c>
      <c r="C118" s="13" t="s">
        <v>319</v>
      </c>
      <c r="D118" s="9" t="s">
        <v>1848</v>
      </c>
      <c r="E118" s="21" t="s">
        <v>182</v>
      </c>
      <c r="F118" s="19" t="s">
        <v>2158</v>
      </c>
      <c r="G118" s="19" t="s">
        <v>2158</v>
      </c>
      <c r="H118" s="164" t="str">
        <f t="shared" si="2"/>
        <v>,sum(xnho_succ_cnt*xnho_delay) / sum(xnho_succ_cnt) as xnho_delay</v>
      </c>
      <c r="I118" s="25"/>
      <c r="J118" s="25" t="s">
        <v>284</v>
      </c>
      <c r="K118" s="25" t="s">
        <v>471</v>
      </c>
      <c r="L118" s="25" t="s">
        <v>285</v>
      </c>
    </row>
    <row r="119" spans="2:12" s="1" customFormat="1">
      <c r="B119" s="13" t="s">
        <v>1850</v>
      </c>
      <c r="C119" s="26" t="s">
        <v>281</v>
      </c>
      <c r="D119" s="9" t="s">
        <v>1851</v>
      </c>
      <c r="E119" s="21" t="s">
        <v>182</v>
      </c>
      <c r="F119" s="19" t="s">
        <v>2086</v>
      </c>
      <c r="G119" s="19" t="s">
        <v>2086</v>
      </c>
      <c r="H119" s="164" t="str">
        <f t="shared" si="2"/>
        <v>,sum(amf_ue_context_release_request_cnt) as amf_ue_context_release_request_cnt</v>
      </c>
      <c r="I119" s="25"/>
      <c r="J119" s="25" t="s">
        <v>284</v>
      </c>
      <c r="K119" s="25" t="s">
        <v>750</v>
      </c>
      <c r="L119" s="25" t="s">
        <v>285</v>
      </c>
    </row>
    <row r="120" spans="2:12" s="1" customFormat="1">
      <c r="B120" s="13" t="s">
        <v>1853</v>
      </c>
      <c r="C120" s="26" t="s">
        <v>281</v>
      </c>
      <c r="D120" s="9" t="s">
        <v>1854</v>
      </c>
      <c r="E120" s="21" t="s">
        <v>182</v>
      </c>
      <c r="F120" s="19" t="s">
        <v>2088</v>
      </c>
      <c r="G120" s="19" t="s">
        <v>2088</v>
      </c>
      <c r="H120" s="164" t="str">
        <f t="shared" si="2"/>
        <v>,sum(amf_ue_context_release_succ_cnt) as amf_ue_context_release_succ_cnt</v>
      </c>
      <c r="I120" s="25"/>
      <c r="J120" s="25" t="s">
        <v>284</v>
      </c>
      <c r="K120" s="25" t="s">
        <v>750</v>
      </c>
      <c r="L120" s="25" t="s">
        <v>285</v>
      </c>
    </row>
    <row r="121" spans="2:12" s="1" customFormat="1">
      <c r="B121" s="13" t="s">
        <v>1856</v>
      </c>
      <c r="C121" s="26" t="s">
        <v>281</v>
      </c>
      <c r="D121" s="9" t="s">
        <v>1857</v>
      </c>
      <c r="E121" s="21" t="s">
        <v>182</v>
      </c>
      <c r="F121" s="19" t="s">
        <v>2090</v>
      </c>
      <c r="G121" s="19" t="s">
        <v>2090</v>
      </c>
      <c r="H121" s="164" t="str">
        <f t="shared" si="2"/>
        <v>,sum(amf_ue_context_release_fail_cnt) as amf_ue_context_release_fail_cnt</v>
      </c>
      <c r="I121" s="25"/>
      <c r="J121" s="25" t="s">
        <v>284</v>
      </c>
      <c r="K121" s="25" t="s">
        <v>750</v>
      </c>
      <c r="L121" s="25" t="s">
        <v>285</v>
      </c>
    </row>
    <row r="122" spans="2:12" s="1" customFormat="1">
      <c r="B122" s="13" t="s">
        <v>1859</v>
      </c>
      <c r="C122" s="26" t="s">
        <v>281</v>
      </c>
      <c r="D122" s="9" t="s">
        <v>1860</v>
      </c>
      <c r="E122" s="21" t="s">
        <v>182</v>
      </c>
      <c r="F122" s="19" t="s">
        <v>2092</v>
      </c>
      <c r="G122" s="19" t="s">
        <v>2092</v>
      </c>
      <c r="H122" s="164" t="str">
        <f t="shared" si="2"/>
        <v>,sum(amf_ue_context_release_timeout) as amf_ue_context_release_timeout</v>
      </c>
      <c r="I122" s="25"/>
      <c r="J122" s="25" t="s">
        <v>284</v>
      </c>
      <c r="K122" s="25" t="s">
        <v>750</v>
      </c>
      <c r="L122" s="25" t="s">
        <v>285</v>
      </c>
    </row>
    <row r="123" spans="2:12" s="1" customFormat="1">
      <c r="B123" s="13" t="s">
        <v>1862</v>
      </c>
      <c r="C123" s="13" t="s">
        <v>319</v>
      </c>
      <c r="D123" s="9" t="s">
        <v>1863</v>
      </c>
      <c r="E123" s="21" t="s">
        <v>182</v>
      </c>
      <c r="F123" s="19" t="s">
        <v>2159</v>
      </c>
      <c r="G123" s="19" t="s">
        <v>2159</v>
      </c>
      <c r="H123" s="164" t="str">
        <f t="shared" si="2"/>
        <v>,sum(amf_ue_context_release_succ_cnt*amf_ue_context_release_delay) / sum(amf_ue_context_release_succ_cnt) as amf_ue_context_release_delay</v>
      </c>
      <c r="I123" s="25"/>
      <c r="J123" s="25" t="s">
        <v>284</v>
      </c>
      <c r="K123" s="25" t="s">
        <v>471</v>
      </c>
      <c r="L123" s="25" t="s">
        <v>285</v>
      </c>
    </row>
    <row r="124" spans="2:12" s="1" customFormat="1">
      <c r="B124" s="13" t="s">
        <v>1865</v>
      </c>
      <c r="C124" s="26" t="s">
        <v>281</v>
      </c>
      <c r="D124" s="9" t="s">
        <v>1866</v>
      </c>
      <c r="E124" s="21" t="s">
        <v>182</v>
      </c>
      <c r="F124" s="19" t="s">
        <v>2096</v>
      </c>
      <c r="G124" s="19" t="s">
        <v>2096</v>
      </c>
      <c r="H124" s="164" t="str">
        <f t="shared" si="2"/>
        <v>,sum(an_ue_context_release_request_cnt) as an_ue_context_release_request_cnt</v>
      </c>
      <c r="I124" s="25"/>
      <c r="J124" s="25" t="s">
        <v>284</v>
      </c>
      <c r="K124" s="25" t="s">
        <v>750</v>
      </c>
      <c r="L124" s="25" t="s">
        <v>285</v>
      </c>
    </row>
    <row r="125" spans="2:12" s="1" customFormat="1">
      <c r="B125" s="13" t="s">
        <v>1868</v>
      </c>
      <c r="C125" s="26" t="s">
        <v>281</v>
      </c>
      <c r="D125" s="9" t="s">
        <v>1869</v>
      </c>
      <c r="E125" s="21" t="s">
        <v>182</v>
      </c>
      <c r="F125" s="19" t="s">
        <v>2098</v>
      </c>
      <c r="G125" s="19" t="s">
        <v>2098</v>
      </c>
      <c r="H125" s="164" t="str">
        <f t="shared" si="2"/>
        <v>,sum(an_ue_context_release_succ_cnt) as an_ue_context_release_succ_cnt</v>
      </c>
      <c r="I125" s="25"/>
      <c r="J125" s="25" t="s">
        <v>284</v>
      </c>
      <c r="K125" s="25" t="s">
        <v>750</v>
      </c>
      <c r="L125" s="25" t="s">
        <v>285</v>
      </c>
    </row>
    <row r="126" spans="2:12" s="1" customFormat="1">
      <c r="B126" s="13" t="s">
        <v>1871</v>
      </c>
      <c r="C126" s="26" t="s">
        <v>281</v>
      </c>
      <c r="D126" s="9" t="s">
        <v>1872</v>
      </c>
      <c r="E126" s="21" t="s">
        <v>182</v>
      </c>
      <c r="F126" s="19" t="s">
        <v>2100</v>
      </c>
      <c r="G126" s="19" t="s">
        <v>2100</v>
      </c>
      <c r="H126" s="164" t="str">
        <f t="shared" si="2"/>
        <v>,sum(an_ue_context_release_fail_cnt) as an_ue_context_release_fail_cnt</v>
      </c>
      <c r="I126" s="25"/>
      <c r="J126" s="25" t="s">
        <v>284</v>
      </c>
      <c r="K126" s="25" t="s">
        <v>750</v>
      </c>
      <c r="L126" s="25" t="s">
        <v>285</v>
      </c>
    </row>
    <row r="127" spans="2:12" s="1" customFormat="1">
      <c r="B127" s="13" t="s">
        <v>1874</v>
      </c>
      <c r="C127" s="26" t="s">
        <v>281</v>
      </c>
      <c r="D127" s="9" t="s">
        <v>1875</v>
      </c>
      <c r="E127" s="21" t="s">
        <v>182</v>
      </c>
      <c r="F127" s="19" t="s">
        <v>2102</v>
      </c>
      <c r="G127" s="19" t="s">
        <v>2102</v>
      </c>
      <c r="H127" s="164" t="str">
        <f t="shared" si="2"/>
        <v>,sum(an_ue_context_release_timeout) as an_ue_context_release_timeout</v>
      </c>
      <c r="I127" s="25"/>
      <c r="J127" s="25" t="s">
        <v>284</v>
      </c>
      <c r="K127" s="25" t="s">
        <v>750</v>
      </c>
      <c r="L127" s="25" t="s">
        <v>285</v>
      </c>
    </row>
    <row r="128" spans="2:12" s="1" customFormat="1">
      <c r="B128" s="13" t="s">
        <v>1877</v>
      </c>
      <c r="C128" s="13" t="s">
        <v>319</v>
      </c>
      <c r="D128" s="9" t="s">
        <v>1878</v>
      </c>
      <c r="E128" s="21" t="s">
        <v>182</v>
      </c>
      <c r="F128" s="19" t="s">
        <v>2160</v>
      </c>
      <c r="G128" s="19" t="s">
        <v>2160</v>
      </c>
      <c r="H128" s="164" t="str">
        <f t="shared" si="2"/>
        <v>,sum(an_ue_context_release_succ_cnt*an_ue_context_release_delay) / sum(an_ue_context_release_succ_cnt) as an_ue_context_release_delay</v>
      </c>
      <c r="I128" s="25"/>
      <c r="J128" s="25" t="s">
        <v>284</v>
      </c>
      <c r="K128" s="25" t="s">
        <v>471</v>
      </c>
      <c r="L128" s="25" t="s">
        <v>285</v>
      </c>
    </row>
    <row r="129" spans="2:17" s="165" customFormat="1">
      <c r="B129" s="166" t="s">
        <v>2310</v>
      </c>
      <c r="C129" s="26" t="s">
        <v>281</v>
      </c>
      <c r="D129" s="158" t="s">
        <v>2311</v>
      </c>
      <c r="E129" s="21" t="s">
        <v>182</v>
      </c>
      <c r="F129" s="167"/>
      <c r="G129" s="167" t="s">
        <v>2312</v>
      </c>
      <c r="H129" s="168"/>
      <c r="I129" s="169"/>
      <c r="J129" s="25" t="s">
        <v>284</v>
      </c>
      <c r="K129" s="25" t="s">
        <v>750</v>
      </c>
      <c r="L129" s="25" t="s">
        <v>285</v>
      </c>
    </row>
    <row r="130" spans="2:17" s="1" customFormat="1">
      <c r="B130" s="13" t="s">
        <v>1880</v>
      </c>
      <c r="C130" s="26" t="s">
        <v>281</v>
      </c>
      <c r="D130" s="9" t="s">
        <v>1881</v>
      </c>
      <c r="E130" s="21" t="s">
        <v>182</v>
      </c>
      <c r="F130" s="19" t="s">
        <v>2161</v>
      </c>
      <c r="G130" s="19" t="s">
        <v>2161</v>
      </c>
      <c r="H130" s="164" t="str">
        <f t="shared" si="2"/>
        <v>,sum(procedure_record_cnt) as procedure_record_cnt</v>
      </c>
      <c r="I130" s="25"/>
      <c r="J130" s="25" t="s">
        <v>284</v>
      </c>
      <c r="K130" s="25" t="s">
        <v>750</v>
      </c>
      <c r="L130" s="25" t="s">
        <v>285</v>
      </c>
    </row>
    <row r="131" spans="2:17" s="1" customFormat="1">
      <c r="B131" s="13" t="s">
        <v>1882</v>
      </c>
      <c r="C131" s="26" t="s">
        <v>281</v>
      </c>
      <c r="D131" s="9" t="s">
        <v>1883</v>
      </c>
      <c r="E131" s="21" t="s">
        <v>182</v>
      </c>
      <c r="F131" s="19" t="s">
        <v>2119</v>
      </c>
      <c r="G131" s="19" t="s">
        <v>2119</v>
      </c>
      <c r="H131" s="164" t="str">
        <f t="shared" si="2"/>
        <v>,sum(procedure_succ_cnt) as procedure_succ_cnt</v>
      </c>
      <c r="I131" s="25"/>
      <c r="J131" s="25" t="s">
        <v>284</v>
      </c>
      <c r="K131" s="25" t="s">
        <v>750</v>
      </c>
      <c r="L131" s="25" t="s">
        <v>285</v>
      </c>
    </row>
    <row r="132" spans="2:17" s="1" customFormat="1">
      <c r="B132" s="13" t="s">
        <v>1885</v>
      </c>
      <c r="C132" s="26" t="s">
        <v>281</v>
      </c>
      <c r="D132" s="9" t="s">
        <v>1886</v>
      </c>
      <c r="E132" s="21" t="s">
        <v>182</v>
      </c>
      <c r="F132" s="19" t="s">
        <v>2121</v>
      </c>
      <c r="G132" s="19" t="s">
        <v>2121</v>
      </c>
      <c r="H132" s="164" t="str">
        <f t="shared" si="2"/>
        <v>,sum(procedure_fail_cnt) as procedure_fail_cnt</v>
      </c>
      <c r="I132" s="25"/>
      <c r="J132" s="25" t="s">
        <v>284</v>
      </c>
      <c r="K132" s="25" t="s">
        <v>750</v>
      </c>
      <c r="L132" s="25" t="s">
        <v>285</v>
      </c>
    </row>
    <row r="133" spans="2:17" s="1" customFormat="1">
      <c r="B133" s="13" t="s">
        <v>1888</v>
      </c>
      <c r="C133" s="26" t="s">
        <v>281</v>
      </c>
      <c r="D133" s="9" t="s">
        <v>1889</v>
      </c>
      <c r="E133" s="21" t="s">
        <v>182</v>
      </c>
      <c r="F133" s="19" t="s">
        <v>2123</v>
      </c>
      <c r="G133" s="19" t="s">
        <v>2123</v>
      </c>
      <c r="H133" s="164" t="str">
        <f t="shared" si="2"/>
        <v>,sum(procedure_timeout_cnt) as procedure_timeout_cnt</v>
      </c>
      <c r="I133" s="25"/>
      <c r="J133" s="25" t="s">
        <v>284</v>
      </c>
      <c r="K133" s="25" t="s">
        <v>750</v>
      </c>
      <c r="L133" s="25" t="s">
        <v>285</v>
      </c>
    </row>
    <row r="134" spans="2:17" s="1" customFormat="1">
      <c r="B134" s="13" t="s">
        <v>1443</v>
      </c>
      <c r="C134" s="26" t="s">
        <v>281</v>
      </c>
      <c r="D134" s="9" t="s">
        <v>1891</v>
      </c>
      <c r="E134" s="21" t="s">
        <v>182</v>
      </c>
      <c r="F134" s="19" t="s">
        <v>1548</v>
      </c>
      <c r="G134" s="19" t="s">
        <v>1548</v>
      </c>
      <c r="H134" s="164" t="str">
        <f t="shared" si="2"/>
        <v>,sum(abnor_release_cnt) as abnor_release_cnt</v>
      </c>
      <c r="I134" s="25"/>
      <c r="J134" s="25" t="s">
        <v>284</v>
      </c>
      <c r="K134" s="25" t="s">
        <v>750</v>
      </c>
      <c r="L134" s="25" t="s">
        <v>285</v>
      </c>
    </row>
    <row r="135" spans="2:17" s="1" customFormat="1">
      <c r="B135" s="13" t="s">
        <v>1446</v>
      </c>
      <c r="C135" s="26" t="s">
        <v>281</v>
      </c>
      <c r="D135" s="9" t="s">
        <v>1447</v>
      </c>
      <c r="E135" s="21" t="s">
        <v>182</v>
      </c>
      <c r="F135" s="19" t="s">
        <v>1549</v>
      </c>
      <c r="G135" s="19" t="s">
        <v>1549</v>
      </c>
      <c r="H135" s="164" t="str">
        <f t="shared" si="2"/>
        <v>,sum(normal_release_cnt) as normal_release_cnt</v>
      </c>
      <c r="I135" s="25"/>
      <c r="J135" s="25" t="s">
        <v>284</v>
      </c>
      <c r="K135" s="25" t="s">
        <v>750</v>
      </c>
      <c r="L135" s="25" t="s">
        <v>285</v>
      </c>
    </row>
    <row r="136" spans="2:17" s="1" customFormat="1" ht="26.4">
      <c r="B136" s="13" t="s">
        <v>648</v>
      </c>
      <c r="C136" s="26" t="s">
        <v>206</v>
      </c>
      <c r="D136" s="9" t="s">
        <v>1455</v>
      </c>
      <c r="E136" s="21" t="s">
        <v>182</v>
      </c>
      <c r="F136" s="22" t="s">
        <v>802</v>
      </c>
      <c r="G136" s="22" t="s">
        <v>802</v>
      </c>
      <c r="H136" s="164" t="str">
        <f t="shared" si="2"/>
        <v>,min(min_starttime) as min_starttime</v>
      </c>
      <c r="I136" s="25"/>
      <c r="J136" s="25" t="s">
        <v>284</v>
      </c>
      <c r="K136" s="25" t="s">
        <v>1457</v>
      </c>
      <c r="L136" s="25" t="s">
        <v>485</v>
      </c>
    </row>
    <row r="137" spans="2:17" s="1" customFormat="1" ht="26.4">
      <c r="B137" s="13" t="s">
        <v>652</v>
      </c>
      <c r="C137" s="26" t="s">
        <v>206</v>
      </c>
      <c r="D137" s="9" t="s">
        <v>1458</v>
      </c>
      <c r="E137" s="21" t="s">
        <v>182</v>
      </c>
      <c r="F137" s="22" t="s">
        <v>803</v>
      </c>
      <c r="G137" s="22" t="s">
        <v>803</v>
      </c>
      <c r="H137" s="164" t="str">
        <f t="shared" si="2"/>
        <v>,max(max_endtime) as max_endtime</v>
      </c>
      <c r="I137" s="25"/>
      <c r="J137" s="25" t="s">
        <v>284</v>
      </c>
      <c r="K137" s="25" t="s">
        <v>1457</v>
      </c>
      <c r="L137" s="25" t="s">
        <v>485</v>
      </c>
    </row>
    <row r="138" spans="2:17" s="2" customFormat="1">
      <c r="B138" s="14" t="s">
        <v>222</v>
      </c>
      <c r="C138" s="15" t="s">
        <v>211</v>
      </c>
      <c r="D138" s="16" t="s">
        <v>344</v>
      </c>
      <c r="E138" s="24"/>
      <c r="F138" s="24" t="s">
        <v>1892</v>
      </c>
      <c r="G138" s="24" t="s">
        <v>1892</v>
      </c>
      <c r="H138" s="24"/>
      <c r="I138" s="14"/>
      <c r="J138" s="14"/>
      <c r="K138" s="14"/>
      <c r="L138" s="14"/>
      <c r="M138" s="14"/>
      <c r="N138" s="14"/>
      <c r="O138" s="14"/>
      <c r="P138" s="14"/>
      <c r="Q138" s="14"/>
    </row>
    <row r="139" spans="2:17" s="2" customFormat="1">
      <c r="B139" s="14" t="s">
        <v>0</v>
      </c>
      <c r="C139" s="15" t="s">
        <v>206</v>
      </c>
      <c r="D139" s="16" t="s">
        <v>345</v>
      </c>
      <c r="E139" s="24"/>
      <c r="F139" s="24" t="s">
        <v>1892</v>
      </c>
      <c r="G139" s="24" t="s">
        <v>1892</v>
      </c>
      <c r="H139" s="24"/>
      <c r="I139" s="14"/>
      <c r="J139" s="14"/>
      <c r="K139" s="14"/>
      <c r="L139" s="14"/>
      <c r="M139" s="14"/>
      <c r="N139" s="14"/>
      <c r="O139" s="14"/>
      <c r="P139" s="14"/>
      <c r="Q139" s="14"/>
    </row>
    <row r="140" spans="2:17" s="2" customFormat="1">
      <c r="B140" s="14" t="s">
        <v>1</v>
      </c>
      <c r="C140" s="15" t="s">
        <v>211</v>
      </c>
      <c r="D140" s="16" t="s">
        <v>346</v>
      </c>
      <c r="E140" s="24"/>
      <c r="F140" s="24" t="s">
        <v>1892</v>
      </c>
      <c r="G140" s="24" t="s">
        <v>1892</v>
      </c>
      <c r="H140" s="24"/>
      <c r="I140" s="14"/>
      <c r="J140" s="14"/>
      <c r="K140" s="14"/>
      <c r="L140" s="14"/>
      <c r="M140" s="14"/>
      <c r="N140" s="14"/>
      <c r="O140" s="14"/>
      <c r="P140" s="14"/>
      <c r="Q140" s="14"/>
    </row>
  </sheetData>
  <mergeCells count="4">
    <mergeCell ref="B2:H2"/>
    <mergeCell ref="B3:H3"/>
    <mergeCell ref="B7:H7"/>
    <mergeCell ref="B12:L12"/>
  </mergeCells>
  <phoneticPr fontId="33" type="noConversion"/>
  <pageMargins left="0.7" right="0.7" top="0.75" bottom="0.75"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77"/>
  <sheetViews>
    <sheetView workbookViewId="0">
      <pane ySplit="5" topLeftCell="A6" activePane="bottomLeft" state="frozen"/>
      <selection pane="bottomLeft" activeCell="C10" sqref="C10"/>
    </sheetView>
  </sheetViews>
  <sheetFormatPr defaultColWidth="9" defaultRowHeight="13.8"/>
  <cols>
    <col min="1" max="1" width="1.33203125" style="32" customWidth="1"/>
    <col min="2" max="2" width="29.21875" style="32" customWidth="1"/>
    <col min="3" max="3" width="31" style="32" customWidth="1"/>
    <col min="4" max="4" width="30.44140625" style="32" customWidth="1"/>
    <col min="5" max="5" width="16.21875" style="32" customWidth="1"/>
    <col min="6" max="6" width="22.6640625" style="32" customWidth="1"/>
    <col min="7" max="7" width="45.77734375" style="32" customWidth="1"/>
    <col min="8" max="8" width="23.88671875" style="32" customWidth="1"/>
    <col min="9" max="9" width="9.21875" style="32" customWidth="1"/>
    <col min="10" max="10" width="10" style="32" customWidth="1"/>
    <col min="11" max="11" width="9.6640625" style="32" customWidth="1"/>
    <col min="12" max="12" width="10.77734375" style="28" customWidth="1"/>
    <col min="13" max="16384" width="9" style="28"/>
  </cols>
  <sheetData>
    <row r="1" spans="1:14" ht="15.6">
      <c r="B1" s="33" t="str">
        <f>HYPERLINK("#导航!a2","返回")</f>
        <v>返回</v>
      </c>
    </row>
    <row r="2" spans="1:14">
      <c r="B2" s="200"/>
      <c r="C2" s="200"/>
      <c r="D2" s="200"/>
      <c r="E2" s="200"/>
      <c r="F2" s="200"/>
      <c r="G2" s="200"/>
      <c r="H2" s="200"/>
    </row>
    <row r="3" spans="1:14" ht="15.6">
      <c r="B3" s="201" t="s">
        <v>168</v>
      </c>
      <c r="C3" s="201"/>
      <c r="D3" s="201"/>
      <c r="E3" s="201"/>
      <c r="F3" s="201"/>
      <c r="G3" s="201"/>
      <c r="H3" s="201"/>
    </row>
    <row r="4" spans="1:14" s="29" customFormat="1" ht="13.2">
      <c r="A4" s="35"/>
      <c r="B4" s="36" t="s">
        <v>40</v>
      </c>
      <c r="C4" s="36" t="s">
        <v>169</v>
      </c>
      <c r="D4" s="36" t="s">
        <v>170</v>
      </c>
      <c r="E4" s="36" t="s">
        <v>171</v>
      </c>
      <c r="F4" s="36" t="s">
        <v>172</v>
      </c>
      <c r="G4" s="36" t="s">
        <v>43</v>
      </c>
      <c r="H4" s="36" t="s">
        <v>173</v>
      </c>
      <c r="I4" s="35"/>
      <c r="J4" s="35"/>
      <c r="K4" s="35"/>
    </row>
    <row r="5" spans="1:14" s="29" customFormat="1" ht="13.2">
      <c r="A5" s="35"/>
      <c r="B5" s="37" t="s">
        <v>1205</v>
      </c>
      <c r="C5" s="38" t="s">
        <v>156</v>
      </c>
      <c r="D5" s="39" t="s">
        <v>2177</v>
      </c>
      <c r="E5" s="41" t="s">
        <v>20</v>
      </c>
      <c r="F5" s="39" t="s">
        <v>2178</v>
      </c>
      <c r="G5" s="41"/>
      <c r="H5" s="41"/>
      <c r="I5" s="35"/>
      <c r="J5" s="35"/>
      <c r="K5" s="35"/>
      <c r="N5" s="35"/>
    </row>
    <row r="6" spans="1:14">
      <c r="B6" s="34"/>
      <c r="C6" s="34"/>
      <c r="D6" s="34"/>
      <c r="E6" s="34"/>
      <c r="F6" s="34"/>
      <c r="G6" s="34"/>
      <c r="H6" s="34"/>
    </row>
    <row r="7" spans="1:14" ht="15.6">
      <c r="B7" s="201" t="s">
        <v>174</v>
      </c>
      <c r="C7" s="201"/>
      <c r="D7" s="201"/>
      <c r="E7" s="201"/>
      <c r="F7" s="201"/>
      <c r="G7" s="201"/>
      <c r="H7" s="201"/>
    </row>
    <row r="8" spans="1:14" s="29" customFormat="1" ht="13.2">
      <c r="A8" s="35"/>
      <c r="B8" s="40" t="s">
        <v>175</v>
      </c>
      <c r="C8" s="40" t="s">
        <v>176</v>
      </c>
      <c r="D8" s="40" t="s">
        <v>177</v>
      </c>
      <c r="E8" s="40" t="s">
        <v>178</v>
      </c>
      <c r="F8" s="40" t="s">
        <v>179</v>
      </c>
      <c r="G8" s="40" t="s">
        <v>53</v>
      </c>
      <c r="H8" s="40" t="s">
        <v>180</v>
      </c>
      <c r="I8" s="35"/>
      <c r="J8" s="35"/>
      <c r="K8" s="35"/>
    </row>
    <row r="9" spans="1:14" s="29" customFormat="1" ht="20.399999999999999" customHeight="1">
      <c r="A9" s="35"/>
      <c r="B9" s="41"/>
      <c r="C9" s="9" t="s">
        <v>143</v>
      </c>
      <c r="D9" s="41" t="s">
        <v>2179</v>
      </c>
      <c r="E9" s="41" t="s">
        <v>182</v>
      </c>
      <c r="F9" s="41"/>
      <c r="G9" s="203" t="s">
        <v>2180</v>
      </c>
      <c r="H9" s="47" t="s">
        <v>63</v>
      </c>
      <c r="I9" s="35"/>
      <c r="J9" s="35"/>
      <c r="K9" s="35"/>
    </row>
    <row r="10" spans="1:14" s="29" customFormat="1" ht="20.399999999999999" customHeight="1">
      <c r="A10" s="35"/>
      <c r="B10" s="41"/>
      <c r="C10" s="41" t="s">
        <v>2509</v>
      </c>
      <c r="D10" s="41" t="s">
        <v>2181</v>
      </c>
      <c r="E10" s="41" t="s">
        <v>418</v>
      </c>
      <c r="F10" s="41"/>
      <c r="G10" s="203"/>
      <c r="H10" s="41"/>
      <c r="I10" s="35"/>
      <c r="J10" s="35"/>
      <c r="K10" s="35"/>
    </row>
    <row r="11" spans="1:14" s="29" customFormat="1" ht="20.399999999999999" customHeight="1">
      <c r="A11" s="35"/>
      <c r="B11" s="35"/>
      <c r="C11" s="35"/>
      <c r="D11" s="35"/>
      <c r="E11" s="35"/>
      <c r="F11" s="35"/>
      <c r="G11" s="48"/>
      <c r="H11" s="35"/>
      <c r="I11" s="35"/>
      <c r="J11" s="35"/>
      <c r="K11" s="35"/>
    </row>
    <row r="12" spans="1:14">
      <c r="B12" s="32" t="s">
        <v>194</v>
      </c>
    </row>
    <row r="13" spans="1:14" s="29" customFormat="1" ht="15.6">
      <c r="A13" s="35"/>
      <c r="B13" s="202" t="s">
        <v>194</v>
      </c>
      <c r="C13" s="202"/>
      <c r="D13" s="202"/>
      <c r="E13" s="202"/>
      <c r="F13" s="202"/>
      <c r="G13" s="202"/>
      <c r="H13" s="202"/>
      <c r="I13" s="202"/>
      <c r="J13" s="202"/>
      <c r="K13" s="202"/>
      <c r="L13" s="202"/>
    </row>
    <row r="14" spans="1:14" s="29" customFormat="1" ht="13.2">
      <c r="A14" s="35"/>
      <c r="B14" s="36" t="s">
        <v>195</v>
      </c>
      <c r="C14" s="36" t="s">
        <v>196</v>
      </c>
      <c r="D14" s="36" t="s">
        <v>197</v>
      </c>
      <c r="E14" s="36" t="s">
        <v>198</v>
      </c>
      <c r="F14" s="36" t="s">
        <v>199</v>
      </c>
      <c r="G14" s="36" t="s">
        <v>200</v>
      </c>
      <c r="H14" s="36" t="s">
        <v>201</v>
      </c>
      <c r="I14" s="36" t="s">
        <v>53</v>
      </c>
      <c r="J14" s="36" t="s">
        <v>202</v>
      </c>
      <c r="K14" s="36" t="s">
        <v>203</v>
      </c>
      <c r="L14" s="36" t="s">
        <v>204</v>
      </c>
    </row>
    <row r="15" spans="1:14" s="30" customFormat="1" ht="13.2">
      <c r="A15" s="42"/>
      <c r="B15" s="43" t="s">
        <v>205</v>
      </c>
      <c r="C15" s="43" t="s">
        <v>206</v>
      </c>
      <c r="D15" s="43" t="s">
        <v>207</v>
      </c>
      <c r="E15" s="41" t="s">
        <v>182</v>
      </c>
      <c r="F15" s="49" t="s">
        <v>0</v>
      </c>
      <c r="G15" s="43" t="s">
        <v>208</v>
      </c>
      <c r="H15" s="23" t="str">
        <f t="shared" ref="H15:H20" si="0">_xlfn.CONCAT(",",F15," as ",B15)</f>
        <v>,p_date as day</v>
      </c>
      <c r="I15" s="44"/>
      <c r="J15" s="44"/>
      <c r="K15" s="44"/>
      <c r="L15" s="44"/>
    </row>
    <row r="16" spans="1:14" s="30" customFormat="1" ht="13.2">
      <c r="A16" s="42"/>
      <c r="B16" s="43" t="s">
        <v>20</v>
      </c>
      <c r="C16" s="43" t="s">
        <v>211</v>
      </c>
      <c r="D16" s="43" t="s">
        <v>73</v>
      </c>
      <c r="E16" s="41" t="s">
        <v>182</v>
      </c>
      <c r="F16" s="49" t="s">
        <v>1</v>
      </c>
      <c r="G16" s="43" t="s">
        <v>208</v>
      </c>
      <c r="H16" s="23" t="str">
        <f t="shared" si="0"/>
        <v>,p_hour as hour</v>
      </c>
      <c r="I16" s="44"/>
      <c r="J16" s="44"/>
      <c r="K16" s="44"/>
      <c r="L16" s="44"/>
    </row>
    <row r="17" spans="1:12" s="30" customFormat="1" ht="12" customHeight="1">
      <c r="A17" s="42"/>
      <c r="B17" s="43" t="s">
        <v>220</v>
      </c>
      <c r="C17" s="44" t="s">
        <v>211</v>
      </c>
      <c r="D17" s="43" t="s">
        <v>221</v>
      </c>
      <c r="E17" s="41" t="s">
        <v>182</v>
      </c>
      <c r="F17" s="49" t="s">
        <v>222</v>
      </c>
      <c r="G17" s="43" t="s">
        <v>208</v>
      </c>
      <c r="H17" s="23" t="str">
        <f t="shared" si="0"/>
        <v>,p_provincecode as provincecode</v>
      </c>
      <c r="I17" s="44"/>
      <c r="J17" s="44"/>
      <c r="K17" s="44"/>
      <c r="L17" s="44"/>
    </row>
    <row r="18" spans="1:12" s="30" customFormat="1" ht="26.4">
      <c r="A18" s="42"/>
      <c r="B18" s="43" t="s">
        <v>264</v>
      </c>
      <c r="C18" s="44" t="s">
        <v>281</v>
      </c>
      <c r="D18" s="43" t="s">
        <v>2182</v>
      </c>
      <c r="E18" s="41" t="s">
        <v>182</v>
      </c>
      <c r="F18" s="49" t="s">
        <v>264</v>
      </c>
      <c r="G18" s="43" t="s">
        <v>208</v>
      </c>
      <c r="H18" s="23" t="str">
        <f t="shared" si="0"/>
        <v>,home_province as home_province</v>
      </c>
      <c r="I18" s="44"/>
      <c r="J18" s="44"/>
      <c r="K18" s="44"/>
      <c r="L18" s="44"/>
    </row>
    <row r="19" spans="1:12" s="30" customFormat="1" ht="13.2">
      <c r="A19" s="42"/>
      <c r="B19" s="43" t="s">
        <v>450</v>
      </c>
      <c r="C19" s="44" t="s">
        <v>281</v>
      </c>
      <c r="D19" s="43" t="s">
        <v>2183</v>
      </c>
      <c r="E19" s="41" t="s">
        <v>182</v>
      </c>
      <c r="F19" s="43" t="s">
        <v>734</v>
      </c>
      <c r="G19" s="43" t="s">
        <v>734</v>
      </c>
      <c r="H19" s="23" t="str">
        <f t="shared" si="0"/>
        <v>,split(cellkey,"_")[0] as gnbid</v>
      </c>
      <c r="I19" s="44"/>
      <c r="J19" s="44"/>
      <c r="K19" s="44"/>
      <c r="L19" s="44"/>
    </row>
    <row r="20" spans="1:12" s="30" customFormat="1" ht="26.4">
      <c r="A20" s="42"/>
      <c r="B20" s="43" t="s">
        <v>251</v>
      </c>
      <c r="C20" s="44" t="s">
        <v>206</v>
      </c>
      <c r="D20" s="43" t="s">
        <v>252</v>
      </c>
      <c r="E20" s="41" t="s">
        <v>182</v>
      </c>
      <c r="F20" s="43" t="s">
        <v>253</v>
      </c>
      <c r="G20" s="43" t="s">
        <v>253</v>
      </c>
      <c r="H20" s="23" t="str">
        <f t="shared" si="0"/>
        <v>,regexp_replace(trim(msisdn),'^86','') as msisdn</v>
      </c>
      <c r="I20" s="44"/>
      <c r="J20" s="44"/>
      <c r="K20" s="44"/>
      <c r="L20" s="44"/>
    </row>
    <row r="21" spans="1:12" s="31" customFormat="1" ht="13.2">
      <c r="A21" s="45"/>
      <c r="B21" s="46" t="s">
        <v>222</v>
      </c>
      <c r="C21" s="46" t="s">
        <v>211</v>
      </c>
      <c r="D21" s="46" t="s">
        <v>344</v>
      </c>
      <c r="E21" s="46"/>
      <c r="F21" s="50"/>
      <c r="G21" s="50"/>
      <c r="H21" s="46"/>
      <c r="I21" s="51"/>
      <c r="J21" s="51"/>
      <c r="K21" s="51"/>
      <c r="L21" s="51"/>
    </row>
    <row r="22" spans="1:12" s="31" customFormat="1" ht="13.2">
      <c r="A22" s="45"/>
      <c r="B22" s="46" t="s">
        <v>0</v>
      </c>
      <c r="C22" s="46" t="s">
        <v>206</v>
      </c>
      <c r="D22" s="46" t="s">
        <v>2184</v>
      </c>
      <c r="E22" s="46"/>
      <c r="F22" s="50"/>
      <c r="G22" s="50"/>
      <c r="H22" s="46"/>
      <c r="I22" s="51"/>
      <c r="J22" s="51"/>
      <c r="K22" s="51"/>
      <c r="L22" s="51"/>
    </row>
    <row r="23" spans="1:12" s="31" customFormat="1" ht="13.2">
      <c r="A23" s="45"/>
      <c r="B23" s="46" t="s">
        <v>1</v>
      </c>
      <c r="C23" s="46" t="s">
        <v>211</v>
      </c>
      <c r="D23" s="46" t="s">
        <v>346</v>
      </c>
      <c r="E23" s="46"/>
      <c r="F23" s="50"/>
      <c r="G23" s="50"/>
      <c r="H23" s="46"/>
      <c r="I23" s="51"/>
      <c r="J23" s="51"/>
      <c r="K23" s="51"/>
      <c r="L23" s="51"/>
    </row>
    <row r="24" spans="1:12" s="30" customFormat="1" ht="13.2">
      <c r="A24" s="42"/>
      <c r="B24" s="43"/>
      <c r="C24" s="43"/>
      <c r="D24" s="43"/>
      <c r="E24" s="43"/>
      <c r="F24" s="49"/>
      <c r="G24" s="49"/>
      <c r="H24" s="43"/>
      <c r="I24" s="44"/>
      <c r="J24" s="44"/>
      <c r="K24" s="44"/>
      <c r="L24" s="44"/>
    </row>
    <row r="25" spans="1:12" s="30" customFormat="1" ht="13.2">
      <c r="A25" s="42"/>
      <c r="B25" s="43"/>
      <c r="C25" s="43"/>
      <c r="D25" s="43"/>
      <c r="E25" s="43"/>
      <c r="F25" s="49"/>
      <c r="G25" s="49"/>
      <c r="H25" s="43"/>
      <c r="I25" s="44"/>
      <c r="J25" s="44"/>
      <c r="K25" s="44"/>
      <c r="L25" s="44"/>
    </row>
    <row r="26" spans="1:12" s="30" customFormat="1" ht="13.2">
      <c r="A26" s="42"/>
      <c r="B26" s="43"/>
      <c r="C26" s="43"/>
      <c r="D26" s="43"/>
      <c r="E26" s="43"/>
      <c r="F26" s="49"/>
      <c r="G26" s="49"/>
      <c r="H26" s="43"/>
      <c r="I26" s="44"/>
      <c r="J26" s="44"/>
      <c r="K26" s="44"/>
      <c r="L26" s="44"/>
    </row>
    <row r="27" spans="1:12" s="30" customFormat="1" ht="13.2">
      <c r="A27" s="42"/>
      <c r="B27" s="43"/>
      <c r="C27" s="43"/>
      <c r="D27" s="43"/>
      <c r="E27" s="43"/>
      <c r="F27" s="49"/>
      <c r="G27" s="49"/>
      <c r="H27" s="43"/>
      <c r="I27" s="44"/>
      <c r="J27" s="44"/>
      <c r="K27" s="44"/>
      <c r="L27" s="44"/>
    </row>
    <row r="28" spans="1:12" s="30" customFormat="1" ht="13.2">
      <c r="A28" s="42"/>
      <c r="B28" s="43"/>
      <c r="C28" s="43"/>
      <c r="D28" s="43"/>
      <c r="E28" s="43"/>
      <c r="F28" s="49"/>
      <c r="G28" s="49"/>
      <c r="H28" s="43"/>
      <c r="I28" s="44"/>
      <c r="J28" s="44"/>
      <c r="K28" s="44"/>
      <c r="L28" s="44"/>
    </row>
    <row r="29" spans="1:12" s="30" customFormat="1" ht="13.2">
      <c r="A29" s="42"/>
      <c r="B29" s="43"/>
      <c r="C29" s="43"/>
      <c r="D29" s="43"/>
      <c r="E29" s="43"/>
      <c r="F29" s="49"/>
      <c r="G29" s="49"/>
      <c r="H29" s="43"/>
      <c r="I29" s="44"/>
      <c r="J29" s="44"/>
      <c r="K29" s="44"/>
      <c r="L29" s="44"/>
    </row>
    <row r="30" spans="1:12" s="30" customFormat="1" ht="13.2">
      <c r="A30" s="42"/>
      <c r="B30" s="43"/>
      <c r="C30" s="43"/>
      <c r="D30" s="43"/>
      <c r="E30" s="43"/>
      <c r="F30" s="49"/>
      <c r="G30" s="49"/>
      <c r="H30" s="43"/>
      <c r="I30" s="44"/>
      <c r="J30" s="44"/>
      <c r="K30" s="44"/>
      <c r="L30" s="44"/>
    </row>
    <row r="31" spans="1:12" s="30" customFormat="1" ht="13.2">
      <c r="A31" s="42"/>
      <c r="B31" s="43"/>
      <c r="C31" s="43"/>
      <c r="D31" s="43"/>
      <c r="E31" s="43"/>
      <c r="F31" s="49"/>
      <c r="G31" s="49"/>
      <c r="H31" s="43"/>
      <c r="I31" s="44"/>
      <c r="J31" s="44"/>
      <c r="K31" s="44"/>
      <c r="L31" s="44"/>
    </row>
    <row r="32" spans="1:12" s="30" customFormat="1" ht="13.2">
      <c r="A32" s="42"/>
      <c r="B32" s="43"/>
      <c r="C32" s="43"/>
      <c r="D32" s="43"/>
      <c r="E32" s="43"/>
      <c r="F32" s="49"/>
      <c r="G32" s="49"/>
      <c r="H32" s="43"/>
      <c r="I32" s="44"/>
      <c r="J32" s="44"/>
      <c r="K32" s="44"/>
      <c r="L32" s="44"/>
    </row>
    <row r="33" spans="1:12" s="30" customFormat="1" ht="13.2">
      <c r="A33" s="42"/>
      <c r="B33" s="43"/>
      <c r="C33" s="43"/>
      <c r="D33" s="43"/>
      <c r="E33" s="43"/>
      <c r="F33" s="49"/>
      <c r="G33" s="49"/>
      <c r="H33" s="43"/>
      <c r="I33" s="44"/>
      <c r="J33" s="44"/>
      <c r="K33" s="44"/>
      <c r="L33" s="44"/>
    </row>
    <row r="34" spans="1:12" s="30" customFormat="1" ht="13.2">
      <c r="A34" s="42"/>
      <c r="B34" s="43"/>
      <c r="C34" s="43"/>
      <c r="D34" s="43"/>
      <c r="E34" s="43"/>
      <c r="F34" s="49"/>
      <c r="G34" s="49"/>
      <c r="H34" s="43"/>
      <c r="I34" s="44"/>
      <c r="J34" s="44"/>
      <c r="K34" s="44"/>
      <c r="L34" s="44"/>
    </row>
    <row r="35" spans="1:12" s="30" customFormat="1" ht="13.2">
      <c r="A35" s="42"/>
      <c r="B35" s="43"/>
      <c r="C35" s="43"/>
      <c r="D35" s="43"/>
      <c r="E35" s="43"/>
      <c r="F35" s="49"/>
      <c r="G35" s="49"/>
      <c r="H35" s="43"/>
      <c r="I35" s="44"/>
      <c r="J35" s="44"/>
      <c r="K35" s="44"/>
      <c r="L35" s="44"/>
    </row>
    <row r="36" spans="1:12" s="30" customFormat="1" ht="13.2">
      <c r="A36" s="42"/>
      <c r="B36" s="43"/>
      <c r="C36" s="43"/>
      <c r="D36" s="43"/>
      <c r="E36" s="43"/>
      <c r="F36" s="49"/>
      <c r="G36" s="49"/>
      <c r="H36" s="43"/>
      <c r="I36" s="44"/>
      <c r="J36" s="44"/>
      <c r="K36" s="44"/>
      <c r="L36" s="44"/>
    </row>
    <row r="37" spans="1:12" s="30" customFormat="1" ht="13.2">
      <c r="A37" s="42"/>
      <c r="B37" s="43"/>
      <c r="C37" s="43"/>
      <c r="D37" s="43"/>
      <c r="E37" s="43"/>
      <c r="F37" s="49"/>
      <c r="G37" s="49"/>
      <c r="H37" s="43"/>
      <c r="I37" s="44"/>
      <c r="J37" s="44"/>
      <c r="K37" s="44"/>
      <c r="L37" s="44"/>
    </row>
    <row r="38" spans="1:12" s="30" customFormat="1" ht="13.2">
      <c r="A38" s="42"/>
      <c r="B38" s="43"/>
      <c r="C38" s="43"/>
      <c r="D38" s="43"/>
      <c r="E38" s="43"/>
      <c r="F38" s="49"/>
      <c r="G38" s="49"/>
      <c r="H38" s="43"/>
      <c r="I38" s="44"/>
      <c r="J38" s="44"/>
      <c r="K38" s="44"/>
      <c r="L38" s="44"/>
    </row>
    <row r="39" spans="1:12" s="30" customFormat="1" ht="13.2">
      <c r="A39" s="42"/>
      <c r="B39" s="43"/>
      <c r="C39" s="43"/>
      <c r="D39" s="43"/>
      <c r="E39" s="43"/>
      <c r="F39" s="49"/>
      <c r="G39" s="49"/>
      <c r="H39" s="43"/>
      <c r="I39" s="44"/>
      <c r="J39" s="44"/>
      <c r="K39" s="44"/>
      <c r="L39" s="44"/>
    </row>
    <row r="40" spans="1:12" s="30" customFormat="1" ht="13.2">
      <c r="A40" s="42"/>
      <c r="B40" s="43"/>
      <c r="C40" s="43"/>
      <c r="D40" s="43"/>
      <c r="E40" s="43"/>
      <c r="F40" s="49"/>
      <c r="G40" s="49"/>
      <c r="H40" s="43"/>
      <c r="I40" s="44"/>
      <c r="J40" s="44"/>
      <c r="K40" s="44"/>
      <c r="L40" s="44"/>
    </row>
    <row r="41" spans="1:12" s="30" customFormat="1" ht="13.2">
      <c r="A41" s="42"/>
      <c r="B41" s="43"/>
      <c r="C41" s="43"/>
      <c r="D41" s="43"/>
      <c r="E41" s="43"/>
      <c r="F41" s="49"/>
      <c r="G41" s="49"/>
      <c r="H41" s="43"/>
      <c r="I41" s="44"/>
      <c r="J41" s="44"/>
      <c r="K41" s="44"/>
      <c r="L41" s="44"/>
    </row>
    <row r="42" spans="1:12" s="30" customFormat="1" ht="13.2">
      <c r="A42" s="42"/>
      <c r="B42" s="43"/>
      <c r="C42" s="43"/>
      <c r="D42" s="43"/>
      <c r="E42" s="43"/>
      <c r="F42" s="49"/>
      <c r="G42" s="49"/>
      <c r="H42" s="43"/>
      <c r="I42" s="44"/>
      <c r="J42" s="44"/>
      <c r="K42" s="44"/>
      <c r="L42" s="44"/>
    </row>
    <row r="43" spans="1:12" s="30" customFormat="1" ht="13.2">
      <c r="A43" s="42"/>
      <c r="B43" s="43"/>
      <c r="C43" s="43"/>
      <c r="D43" s="43"/>
      <c r="E43" s="43"/>
      <c r="F43" s="49"/>
      <c r="G43" s="49"/>
      <c r="H43" s="43"/>
      <c r="I43" s="44"/>
      <c r="J43" s="44"/>
      <c r="K43" s="44"/>
      <c r="L43" s="44"/>
    </row>
    <row r="44" spans="1:12" s="30" customFormat="1" ht="13.2">
      <c r="A44" s="42"/>
      <c r="B44" s="43"/>
      <c r="C44" s="43"/>
      <c r="D44" s="43"/>
      <c r="E44" s="43"/>
      <c r="F44" s="49"/>
      <c r="G44" s="49"/>
      <c r="H44" s="43"/>
      <c r="I44" s="44"/>
      <c r="J44" s="44"/>
      <c r="K44" s="44"/>
      <c r="L44" s="44"/>
    </row>
    <row r="45" spans="1:12" s="30" customFormat="1" ht="13.2">
      <c r="A45" s="42"/>
      <c r="B45" s="43"/>
      <c r="C45" s="43"/>
      <c r="D45" s="43"/>
      <c r="E45" s="43"/>
      <c r="F45" s="49"/>
      <c r="G45" s="49"/>
      <c r="H45" s="43"/>
      <c r="I45" s="44"/>
      <c r="J45" s="44"/>
      <c r="K45" s="44"/>
      <c r="L45" s="44"/>
    </row>
    <row r="46" spans="1:12" s="30" customFormat="1" ht="13.2">
      <c r="A46" s="42"/>
      <c r="B46" s="43"/>
      <c r="C46" s="43"/>
      <c r="D46" s="43"/>
      <c r="E46" s="43"/>
      <c r="F46" s="49"/>
      <c r="G46" s="49"/>
      <c r="H46" s="43"/>
      <c r="I46" s="44"/>
      <c r="J46" s="44"/>
      <c r="K46" s="44"/>
      <c r="L46" s="44"/>
    </row>
    <row r="47" spans="1:12" s="30" customFormat="1" ht="13.2">
      <c r="A47" s="42"/>
      <c r="B47" s="43"/>
      <c r="C47" s="43"/>
      <c r="D47" s="43"/>
      <c r="E47" s="43"/>
      <c r="F47" s="49"/>
      <c r="G47" s="49"/>
      <c r="H47" s="43"/>
      <c r="I47" s="44"/>
      <c r="J47" s="44"/>
      <c r="K47" s="44"/>
      <c r="L47" s="44"/>
    </row>
    <row r="48" spans="1:12" s="30" customFormat="1" ht="13.2">
      <c r="A48" s="42"/>
      <c r="B48" s="43"/>
      <c r="C48" s="43"/>
      <c r="D48" s="43"/>
      <c r="E48" s="43"/>
      <c r="F48" s="49"/>
      <c r="G48" s="49"/>
      <c r="H48" s="43"/>
      <c r="I48" s="44"/>
      <c r="J48" s="44"/>
      <c r="K48" s="44"/>
      <c r="L48" s="44"/>
    </row>
    <row r="49" spans="1:12" s="30" customFormat="1" ht="13.2">
      <c r="A49" s="42"/>
      <c r="B49" s="43"/>
      <c r="C49" s="43"/>
      <c r="D49" s="43"/>
      <c r="E49" s="43"/>
      <c r="F49" s="49"/>
      <c r="G49" s="49"/>
      <c r="H49" s="43"/>
      <c r="I49" s="44"/>
      <c r="J49" s="44"/>
      <c r="K49" s="44"/>
      <c r="L49" s="44"/>
    </row>
    <row r="50" spans="1:12" s="30" customFormat="1" ht="13.2">
      <c r="A50" s="42"/>
      <c r="B50" s="43"/>
      <c r="C50" s="43"/>
      <c r="D50" s="43"/>
      <c r="E50" s="43"/>
      <c r="F50" s="49"/>
      <c r="G50" s="49"/>
      <c r="H50" s="43"/>
      <c r="I50" s="44"/>
      <c r="J50" s="44"/>
      <c r="K50" s="44"/>
      <c r="L50" s="44"/>
    </row>
    <row r="51" spans="1:12" s="30" customFormat="1" ht="13.2">
      <c r="A51" s="42"/>
      <c r="B51" s="43"/>
      <c r="C51" s="43"/>
      <c r="D51" s="43"/>
      <c r="E51" s="43"/>
      <c r="F51" s="49"/>
      <c r="G51" s="49"/>
      <c r="H51" s="43"/>
      <c r="I51" s="44"/>
      <c r="J51" s="44"/>
      <c r="K51" s="44"/>
      <c r="L51" s="44"/>
    </row>
    <row r="52" spans="1:12" s="30" customFormat="1" ht="13.2">
      <c r="A52" s="42"/>
      <c r="B52" s="43"/>
      <c r="C52" s="43"/>
      <c r="D52" s="43"/>
      <c r="E52" s="43"/>
      <c r="F52" s="49"/>
      <c r="G52" s="49"/>
      <c r="H52" s="43"/>
      <c r="I52" s="44"/>
      <c r="J52" s="44"/>
      <c r="K52" s="44"/>
      <c r="L52" s="44"/>
    </row>
    <row r="53" spans="1:12" s="30" customFormat="1" ht="13.2">
      <c r="A53" s="42"/>
      <c r="B53" s="43"/>
      <c r="C53" s="43"/>
      <c r="D53" s="43"/>
      <c r="E53" s="43"/>
      <c r="F53" s="49"/>
      <c r="G53" s="49"/>
      <c r="H53" s="43"/>
      <c r="I53" s="44"/>
      <c r="J53" s="44"/>
      <c r="K53" s="44"/>
      <c r="L53" s="44"/>
    </row>
    <row r="54" spans="1:12" s="30" customFormat="1" ht="13.2">
      <c r="A54" s="42"/>
      <c r="B54" s="43"/>
      <c r="C54" s="43"/>
      <c r="D54" s="43"/>
      <c r="E54" s="43"/>
      <c r="F54" s="49"/>
      <c r="G54" s="49"/>
      <c r="H54" s="43"/>
      <c r="I54" s="44"/>
      <c r="J54" s="44"/>
      <c r="K54" s="44"/>
      <c r="L54" s="44"/>
    </row>
    <row r="55" spans="1:12" s="30" customFormat="1" ht="13.2">
      <c r="A55" s="42"/>
      <c r="B55" s="43"/>
      <c r="C55" s="43"/>
      <c r="D55" s="43"/>
      <c r="E55" s="43"/>
      <c r="F55" s="49"/>
      <c r="G55" s="49"/>
      <c r="H55" s="43"/>
      <c r="I55" s="44"/>
      <c r="J55" s="44"/>
      <c r="K55" s="44"/>
      <c r="L55" s="44"/>
    </row>
    <row r="56" spans="1:12" s="30" customFormat="1" ht="13.2">
      <c r="A56" s="42"/>
      <c r="B56" s="43"/>
      <c r="C56" s="43"/>
      <c r="D56" s="43"/>
      <c r="E56" s="43"/>
      <c r="F56" s="49"/>
      <c r="G56" s="49"/>
      <c r="H56" s="43"/>
      <c r="I56" s="44"/>
      <c r="J56" s="44"/>
      <c r="K56" s="44"/>
      <c r="L56" s="44"/>
    </row>
    <row r="57" spans="1:12" s="30" customFormat="1" ht="13.2">
      <c r="A57" s="42"/>
      <c r="B57" s="43"/>
      <c r="C57" s="43"/>
      <c r="D57" s="43"/>
      <c r="E57" s="43"/>
      <c r="F57" s="49"/>
      <c r="G57" s="49"/>
      <c r="H57" s="43"/>
      <c r="I57" s="44"/>
      <c r="J57" s="44"/>
      <c r="K57" s="44"/>
      <c r="L57" s="44"/>
    </row>
    <row r="58" spans="1:12" s="30" customFormat="1" ht="13.2">
      <c r="A58" s="42"/>
      <c r="B58" s="43"/>
      <c r="C58" s="43"/>
      <c r="D58" s="43"/>
      <c r="E58" s="43"/>
      <c r="F58" s="49"/>
      <c r="G58" s="49"/>
      <c r="H58" s="43"/>
      <c r="I58" s="44"/>
      <c r="J58" s="44"/>
      <c r="K58" s="44"/>
      <c r="L58" s="44"/>
    </row>
    <row r="59" spans="1:12" s="30" customFormat="1" ht="13.2">
      <c r="A59" s="42"/>
      <c r="B59" s="43"/>
      <c r="C59" s="43"/>
      <c r="D59" s="43"/>
      <c r="E59" s="43"/>
      <c r="F59" s="49"/>
      <c r="G59" s="49"/>
      <c r="H59" s="43"/>
      <c r="I59" s="44"/>
      <c r="J59" s="44"/>
      <c r="K59" s="44"/>
      <c r="L59" s="44"/>
    </row>
    <row r="60" spans="1:12" s="30" customFormat="1" ht="13.2">
      <c r="A60" s="42"/>
      <c r="B60" s="43"/>
      <c r="C60" s="43"/>
      <c r="D60" s="43"/>
      <c r="E60" s="43"/>
      <c r="F60" s="49"/>
      <c r="G60" s="49"/>
      <c r="H60" s="43"/>
      <c r="I60" s="44"/>
      <c r="J60" s="44"/>
      <c r="K60" s="44"/>
      <c r="L60" s="44"/>
    </row>
    <row r="61" spans="1:12" s="30" customFormat="1" ht="13.2">
      <c r="A61" s="42"/>
      <c r="B61" s="43"/>
      <c r="C61" s="43"/>
      <c r="D61" s="41"/>
      <c r="E61" s="43"/>
      <c r="F61" s="49"/>
      <c r="G61" s="49"/>
      <c r="H61" s="43"/>
      <c r="I61" s="44"/>
      <c r="J61" s="44"/>
      <c r="K61" s="44"/>
      <c r="L61" s="44"/>
    </row>
    <row r="62" spans="1:12" s="30" customFormat="1" ht="13.2">
      <c r="A62" s="42"/>
      <c r="B62" s="43"/>
      <c r="C62" s="43"/>
      <c r="D62" s="41"/>
      <c r="E62" s="43"/>
      <c r="F62" s="49"/>
      <c r="G62" s="49"/>
      <c r="H62" s="43"/>
      <c r="I62" s="44"/>
      <c r="J62" s="44"/>
      <c r="K62" s="44"/>
      <c r="L62" s="44"/>
    </row>
    <row r="63" spans="1:12" s="30" customFormat="1" ht="13.2">
      <c r="A63" s="42"/>
      <c r="B63" s="43"/>
      <c r="C63" s="43"/>
      <c r="D63" s="41"/>
      <c r="E63" s="43"/>
      <c r="F63" s="49"/>
      <c r="G63" s="49"/>
      <c r="H63" s="43"/>
      <c r="I63" s="44"/>
      <c r="J63" s="44"/>
      <c r="K63" s="44"/>
      <c r="L63" s="44"/>
    </row>
    <row r="64" spans="1:12" s="30" customFormat="1" ht="13.2">
      <c r="A64" s="42"/>
      <c r="B64" s="43"/>
      <c r="C64" s="43"/>
      <c r="D64" s="41"/>
      <c r="E64" s="43"/>
      <c r="F64" s="49"/>
      <c r="G64" s="49"/>
      <c r="H64" s="43"/>
      <c r="I64" s="44"/>
      <c r="J64" s="44"/>
      <c r="K64" s="44"/>
      <c r="L64" s="44"/>
    </row>
    <row r="65" spans="1:12" s="30" customFormat="1" ht="13.2">
      <c r="A65" s="42"/>
      <c r="B65" s="43"/>
      <c r="C65" s="43"/>
      <c r="D65" s="41"/>
      <c r="E65" s="43"/>
      <c r="F65" s="49"/>
      <c r="G65" s="49"/>
      <c r="H65" s="43"/>
      <c r="I65" s="44"/>
      <c r="J65" s="44"/>
      <c r="K65" s="44"/>
      <c r="L65" s="44"/>
    </row>
    <row r="66" spans="1:12" s="30" customFormat="1" ht="13.2">
      <c r="A66" s="42"/>
      <c r="B66" s="43"/>
      <c r="C66" s="43"/>
      <c r="D66" s="43"/>
      <c r="E66" s="43"/>
      <c r="F66" s="49"/>
      <c r="G66" s="49"/>
      <c r="H66" s="43"/>
      <c r="I66" s="44"/>
      <c r="J66" s="44"/>
      <c r="K66" s="44"/>
      <c r="L66" s="44"/>
    </row>
    <row r="67" spans="1:12" s="30" customFormat="1" ht="13.2">
      <c r="A67" s="42"/>
      <c r="B67" s="43"/>
      <c r="C67" s="43"/>
      <c r="D67" s="43"/>
      <c r="E67" s="43"/>
      <c r="F67" s="49"/>
      <c r="G67" s="49"/>
      <c r="H67" s="43"/>
      <c r="I67" s="44"/>
      <c r="J67" s="44"/>
      <c r="K67" s="44"/>
      <c r="L67" s="44"/>
    </row>
    <row r="68" spans="1:12" s="30" customFormat="1" ht="13.2">
      <c r="A68" s="42"/>
      <c r="B68" s="43"/>
      <c r="C68" s="43"/>
      <c r="D68" s="43"/>
      <c r="E68" s="43"/>
      <c r="F68" s="49"/>
      <c r="G68" s="49"/>
      <c r="H68" s="43"/>
      <c r="I68" s="44"/>
      <c r="J68" s="44"/>
      <c r="K68" s="44"/>
      <c r="L68" s="44"/>
    </row>
    <row r="69" spans="1:12" s="30" customFormat="1" ht="13.2">
      <c r="A69" s="42"/>
      <c r="B69" s="43"/>
      <c r="C69" s="43"/>
      <c r="D69" s="43"/>
      <c r="E69" s="43"/>
      <c r="F69" s="49"/>
      <c r="G69" s="49"/>
      <c r="H69" s="43"/>
      <c r="I69" s="44"/>
      <c r="J69" s="44"/>
      <c r="K69" s="44"/>
      <c r="L69" s="44"/>
    </row>
    <row r="70" spans="1:12" s="30" customFormat="1" ht="13.2">
      <c r="A70" s="42"/>
      <c r="B70" s="43"/>
      <c r="C70" s="43"/>
      <c r="D70" s="43"/>
      <c r="E70" s="43"/>
      <c r="F70" s="49"/>
      <c r="G70" s="49"/>
      <c r="H70" s="43"/>
      <c r="I70" s="44"/>
      <c r="J70" s="44"/>
      <c r="K70" s="44"/>
      <c r="L70" s="44"/>
    </row>
    <row r="71" spans="1:12" s="30" customFormat="1" ht="13.2">
      <c r="A71" s="42"/>
      <c r="B71" s="43"/>
      <c r="C71" s="43"/>
      <c r="D71" s="43"/>
      <c r="E71" s="43"/>
      <c r="F71" s="49"/>
      <c r="G71" s="49"/>
      <c r="H71" s="43"/>
      <c r="I71" s="44"/>
      <c r="J71" s="44"/>
      <c r="K71" s="44"/>
      <c r="L71" s="44"/>
    </row>
    <row r="72" spans="1:12" s="30" customFormat="1" ht="13.2">
      <c r="A72" s="42"/>
      <c r="B72" s="43"/>
      <c r="C72" s="43"/>
      <c r="D72" s="43"/>
      <c r="E72" s="43"/>
      <c r="F72" s="49"/>
      <c r="G72" s="49"/>
      <c r="H72" s="43"/>
      <c r="I72" s="44"/>
      <c r="J72" s="44"/>
      <c r="K72" s="44"/>
      <c r="L72" s="44"/>
    </row>
    <row r="73" spans="1:12" s="30" customFormat="1" ht="13.2">
      <c r="A73" s="42"/>
      <c r="B73" s="43"/>
      <c r="C73" s="43"/>
      <c r="D73" s="43"/>
      <c r="E73" s="43"/>
      <c r="F73" s="49"/>
      <c r="G73" s="49"/>
      <c r="H73" s="43"/>
      <c r="I73" s="44"/>
      <c r="J73" s="44"/>
      <c r="K73" s="44"/>
      <c r="L73" s="44"/>
    </row>
    <row r="74" spans="1:12" s="30" customFormat="1" ht="13.2">
      <c r="A74" s="42"/>
      <c r="B74" s="43"/>
      <c r="C74" s="43"/>
      <c r="D74" s="43"/>
      <c r="E74" s="43"/>
      <c r="F74" s="49"/>
      <c r="G74" s="49"/>
      <c r="H74" s="43"/>
      <c r="I74" s="44"/>
      <c r="J74" s="44"/>
      <c r="K74" s="44"/>
      <c r="L74" s="44"/>
    </row>
    <row r="75" spans="1:12" s="30" customFormat="1" ht="13.2">
      <c r="A75" s="42"/>
      <c r="B75" s="43"/>
      <c r="C75" s="43"/>
      <c r="D75" s="43"/>
      <c r="E75" s="43"/>
      <c r="F75" s="49"/>
      <c r="G75" s="49"/>
      <c r="H75" s="43"/>
      <c r="I75" s="44"/>
      <c r="J75" s="44"/>
      <c r="K75" s="44"/>
      <c r="L75" s="44"/>
    </row>
    <row r="76" spans="1:12" s="30" customFormat="1" ht="13.2">
      <c r="A76" s="42"/>
      <c r="B76" s="43"/>
      <c r="C76" s="43"/>
      <c r="D76" s="43"/>
      <c r="E76" s="43"/>
      <c r="F76" s="49"/>
      <c r="G76" s="49"/>
      <c r="H76" s="43"/>
      <c r="I76" s="44"/>
      <c r="J76" s="44"/>
      <c r="K76" s="44"/>
      <c r="L76" s="44"/>
    </row>
    <row r="77" spans="1:12" s="30" customFormat="1" ht="13.2">
      <c r="A77" s="42"/>
      <c r="B77" s="43"/>
      <c r="C77" s="43"/>
      <c r="D77" s="43"/>
      <c r="E77" s="43"/>
      <c r="F77" s="49"/>
      <c r="G77" s="49"/>
      <c r="H77" s="43"/>
      <c r="I77" s="44"/>
      <c r="J77" s="44"/>
      <c r="K77" s="44"/>
      <c r="L77" s="44"/>
    </row>
  </sheetData>
  <autoFilter ref="A14:N23" xr:uid="{00000000-0009-0000-0000-00001F000000}"/>
  <mergeCells count="5">
    <mergeCell ref="B2:H2"/>
    <mergeCell ref="B3:H3"/>
    <mergeCell ref="B7:H7"/>
    <mergeCell ref="B13:L13"/>
    <mergeCell ref="G9:G10"/>
  </mergeCells>
  <phoneticPr fontId="33" type="noConversion"/>
  <pageMargins left="0.7" right="0.7" top="0.75" bottom="0.75"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Q42"/>
  <sheetViews>
    <sheetView zoomScale="85" zoomScaleNormal="85" workbookViewId="0">
      <pane ySplit="5" topLeftCell="A24" activePane="bottomLeft" state="frozen"/>
      <selection pane="bottomLeft" activeCell="B29" sqref="B29"/>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5">
      <c r="B1" s="5" t="str">
        <f>HYPERLINK("#导航!a2","返回")</f>
        <v>返回</v>
      </c>
    </row>
    <row r="2" spans="2:15">
      <c r="B2" s="180"/>
      <c r="C2" s="180"/>
      <c r="D2" s="180"/>
      <c r="E2" s="180"/>
      <c r="F2" s="180"/>
      <c r="G2" s="180"/>
      <c r="H2" s="180"/>
    </row>
    <row r="3" spans="2:15">
      <c r="B3" s="181" t="s">
        <v>168</v>
      </c>
      <c r="C3" s="181"/>
      <c r="D3" s="181"/>
      <c r="E3" s="181"/>
      <c r="F3" s="181"/>
      <c r="G3" s="181"/>
      <c r="H3" s="181"/>
    </row>
    <row r="4" spans="2:15">
      <c r="B4" s="7" t="s">
        <v>40</v>
      </c>
      <c r="C4" s="7" t="s">
        <v>169</v>
      </c>
      <c r="D4" s="7" t="s">
        <v>170</v>
      </c>
      <c r="E4" s="7" t="s">
        <v>171</v>
      </c>
      <c r="F4" s="11" t="s">
        <v>172</v>
      </c>
      <c r="G4" s="11" t="s">
        <v>43</v>
      </c>
      <c r="H4" s="7" t="s">
        <v>173</v>
      </c>
    </row>
    <row r="5" spans="2:15">
      <c r="B5" s="8" t="s">
        <v>105</v>
      </c>
      <c r="C5" s="9" t="s">
        <v>160</v>
      </c>
      <c r="D5" s="10" t="s">
        <v>161</v>
      </c>
      <c r="E5" s="12" t="s">
        <v>205</v>
      </c>
      <c r="F5" s="17"/>
      <c r="G5" s="12"/>
      <c r="H5" s="12"/>
      <c r="N5" s="3"/>
    </row>
    <row r="6" spans="2:15">
      <c r="B6" s="6"/>
      <c r="C6" s="6"/>
      <c r="D6" s="6"/>
      <c r="E6" s="6"/>
      <c r="F6" s="18"/>
      <c r="G6" s="18"/>
      <c r="H6" s="6"/>
    </row>
    <row r="7" spans="2:15">
      <c r="B7" s="181" t="s">
        <v>174</v>
      </c>
      <c r="C7" s="181"/>
      <c r="D7" s="181"/>
      <c r="E7" s="181"/>
      <c r="F7" s="181"/>
      <c r="G7" s="181"/>
      <c r="H7" s="181"/>
    </row>
    <row r="8" spans="2:15">
      <c r="B8" s="11" t="s">
        <v>175</v>
      </c>
      <c r="C8" s="11" t="s">
        <v>176</v>
      </c>
      <c r="D8" s="11" t="s">
        <v>177</v>
      </c>
      <c r="E8" s="11" t="s">
        <v>178</v>
      </c>
      <c r="F8" s="11" t="s">
        <v>179</v>
      </c>
      <c r="G8" s="11" t="s">
        <v>53</v>
      </c>
      <c r="H8" s="11" t="s">
        <v>180</v>
      </c>
    </row>
    <row r="9" spans="2:15">
      <c r="B9" s="12"/>
      <c r="C9" s="9" t="s">
        <v>143</v>
      </c>
      <c r="D9" s="10" t="s">
        <v>144</v>
      </c>
      <c r="E9" s="12" t="s">
        <v>182</v>
      </c>
      <c r="F9" s="19"/>
      <c r="G9" s="19"/>
      <c r="H9" s="20" t="s">
        <v>63</v>
      </c>
    </row>
    <row r="10" spans="2:15">
      <c r="B10" s="12"/>
      <c r="C10" s="9" t="s">
        <v>99</v>
      </c>
      <c r="D10" s="10" t="s">
        <v>100</v>
      </c>
      <c r="E10" s="12" t="s">
        <v>418</v>
      </c>
      <c r="F10" s="19"/>
      <c r="G10" s="19" t="s">
        <v>2185</v>
      </c>
      <c r="H10" s="20"/>
    </row>
    <row r="11" spans="2:15" ht="13.8">
      <c r="B11" s="12"/>
      <c r="C11" s="9" t="s">
        <v>84</v>
      </c>
      <c r="D11" s="10" t="s">
        <v>85</v>
      </c>
      <c r="E11" s="12" t="s">
        <v>789</v>
      </c>
      <c r="F11" s="19"/>
      <c r="G11" s="19" t="s">
        <v>2185</v>
      </c>
      <c r="H11" s="20"/>
      <c r="J11" s="4"/>
      <c r="K11" s="28"/>
      <c r="L11" s="28"/>
      <c r="M11" s="28"/>
      <c r="N11" s="28"/>
      <c r="O11" s="28"/>
    </row>
    <row r="12" spans="2:15">
      <c r="B12" s="12"/>
      <c r="C12" s="9" t="s">
        <v>2186</v>
      </c>
      <c r="D12" s="10" t="s">
        <v>2187</v>
      </c>
      <c r="E12" s="12" t="s">
        <v>1226</v>
      </c>
      <c r="F12" s="19"/>
      <c r="G12" s="19" t="s">
        <v>2188</v>
      </c>
      <c r="H12" s="20"/>
    </row>
    <row r="13" spans="2:15">
      <c r="B13" s="12"/>
      <c r="C13" s="9" t="s">
        <v>2189</v>
      </c>
      <c r="D13" s="10" t="s">
        <v>2190</v>
      </c>
      <c r="E13" s="12" t="s">
        <v>1229</v>
      </c>
      <c r="F13" s="19"/>
      <c r="G13" s="19" t="s">
        <v>2188</v>
      </c>
      <c r="H13" s="20"/>
    </row>
    <row r="14" spans="2:15">
      <c r="B14" s="12"/>
      <c r="C14" s="9" t="s">
        <v>2191</v>
      </c>
      <c r="D14" s="10" t="s">
        <v>2192</v>
      </c>
      <c r="E14" s="12" t="s">
        <v>2193</v>
      </c>
      <c r="F14" s="19"/>
      <c r="G14" s="19" t="s">
        <v>2188</v>
      </c>
      <c r="H14" s="20"/>
    </row>
    <row r="15" spans="2:15">
      <c r="B15" s="12"/>
      <c r="C15" s="9"/>
      <c r="D15" s="10"/>
      <c r="E15" s="12"/>
      <c r="F15" s="19"/>
      <c r="G15" s="19"/>
      <c r="H15" s="20"/>
    </row>
    <row r="16" spans="2:15">
      <c r="B16" s="12"/>
      <c r="C16" s="9"/>
      <c r="D16" s="10"/>
      <c r="E16" s="12"/>
      <c r="F16" s="19"/>
      <c r="G16" s="19"/>
      <c r="H16" s="20"/>
    </row>
    <row r="17" spans="2:12">
      <c r="B17" s="12"/>
      <c r="C17" s="9"/>
      <c r="D17" s="10"/>
      <c r="E17" s="12"/>
      <c r="F17" s="19"/>
      <c r="G17" s="19"/>
      <c r="H17" s="20"/>
    </row>
    <row r="18" spans="2:12">
      <c r="B18" s="3" t="s">
        <v>194</v>
      </c>
    </row>
    <row r="19" spans="2:12">
      <c r="B19" s="181" t="s">
        <v>194</v>
      </c>
      <c r="C19" s="181"/>
      <c r="D19" s="181"/>
      <c r="E19" s="181"/>
      <c r="F19" s="181"/>
      <c r="G19" s="181"/>
      <c r="H19" s="181"/>
      <c r="I19" s="181"/>
      <c r="J19" s="181"/>
      <c r="K19" s="181"/>
      <c r="L19" s="181"/>
    </row>
    <row r="20" spans="2:12">
      <c r="B20" s="7" t="s">
        <v>195</v>
      </c>
      <c r="C20" s="7" t="s">
        <v>196</v>
      </c>
      <c r="D20" s="7" t="s">
        <v>197</v>
      </c>
      <c r="E20" s="7" t="s">
        <v>198</v>
      </c>
      <c r="F20" s="11" t="s">
        <v>199</v>
      </c>
      <c r="G20" s="11" t="s">
        <v>200</v>
      </c>
      <c r="H20" s="7" t="s">
        <v>201</v>
      </c>
      <c r="I20" s="7" t="s">
        <v>53</v>
      </c>
      <c r="J20" s="7" t="s">
        <v>202</v>
      </c>
      <c r="K20" s="7" t="s">
        <v>203</v>
      </c>
      <c r="L20" s="7" t="s">
        <v>204</v>
      </c>
    </row>
    <row r="21" spans="2:12" s="1" customFormat="1" ht="52.8">
      <c r="B21" s="13" t="s">
        <v>2371</v>
      </c>
      <c r="C21" s="13" t="s">
        <v>206</v>
      </c>
      <c r="D21" s="9" t="s">
        <v>250</v>
      </c>
      <c r="E21" s="21" t="s">
        <v>2194</v>
      </c>
      <c r="F21" s="19"/>
      <c r="G21" s="22" t="s">
        <v>2448</v>
      </c>
      <c r="H21" s="23" t="str">
        <f>_xlfn.CONCAT(",",F21," as ",B21)</f>
        <v>, as supi</v>
      </c>
      <c r="I21" s="25"/>
      <c r="J21" s="25" t="s">
        <v>4</v>
      </c>
      <c r="K21" s="25" t="s">
        <v>209</v>
      </c>
      <c r="L21" s="25" t="s">
        <v>209</v>
      </c>
    </row>
    <row r="22" spans="2:12" s="1" customFormat="1" ht="52.8">
      <c r="B22" s="13" t="s">
        <v>251</v>
      </c>
      <c r="C22" s="13" t="s">
        <v>206</v>
      </c>
      <c r="D22" s="9" t="s">
        <v>252</v>
      </c>
      <c r="E22" s="21" t="s">
        <v>2194</v>
      </c>
      <c r="F22" s="19"/>
      <c r="G22" s="22" t="s">
        <v>2195</v>
      </c>
      <c r="H22" s="23" t="str">
        <f t="shared" ref="H22:H39" si="0">_xlfn.CONCAT(",",F22," as ",B22)</f>
        <v>, as msisdn</v>
      </c>
      <c r="I22" s="25"/>
      <c r="J22" s="25" t="s">
        <v>4</v>
      </c>
      <c r="K22" s="25" t="s">
        <v>209</v>
      </c>
      <c r="L22" s="25" t="s">
        <v>209</v>
      </c>
    </row>
    <row r="23" spans="2:12" s="1" customFormat="1" ht="52.8">
      <c r="B23" s="13" t="s">
        <v>254</v>
      </c>
      <c r="C23" s="13" t="s">
        <v>206</v>
      </c>
      <c r="D23" s="9" t="s">
        <v>2196</v>
      </c>
      <c r="E23" s="21" t="s">
        <v>2194</v>
      </c>
      <c r="F23" s="19"/>
      <c r="G23" s="22" t="s">
        <v>2197</v>
      </c>
      <c r="H23" s="23" t="str">
        <f t="shared" si="0"/>
        <v>, as pei</v>
      </c>
      <c r="I23" s="25"/>
      <c r="J23" s="25" t="s">
        <v>4</v>
      </c>
      <c r="K23" s="25" t="s">
        <v>209</v>
      </c>
      <c r="L23" s="25" t="s">
        <v>209</v>
      </c>
    </row>
    <row r="24" spans="2:12" s="1" customFormat="1" ht="52.8">
      <c r="B24" s="13" t="s">
        <v>2390</v>
      </c>
      <c r="C24" s="13" t="s">
        <v>281</v>
      </c>
      <c r="D24" s="9" t="s">
        <v>2198</v>
      </c>
      <c r="E24" s="21" t="s">
        <v>2194</v>
      </c>
      <c r="F24" s="19"/>
      <c r="G24" s="22" t="s">
        <v>2199</v>
      </c>
      <c r="H24" s="23" t="str">
        <f t="shared" si="0"/>
        <v>, as duration</v>
      </c>
      <c r="I24" s="25"/>
      <c r="J24" s="25" t="s">
        <v>284</v>
      </c>
      <c r="K24" s="25" t="s">
        <v>471</v>
      </c>
      <c r="L24" s="25" t="s">
        <v>2200</v>
      </c>
    </row>
    <row r="25" spans="2:12" s="1" customFormat="1" ht="52.8">
      <c r="B25" s="13" t="s">
        <v>539</v>
      </c>
      <c r="C25" s="13" t="s">
        <v>281</v>
      </c>
      <c r="D25" s="9" t="s">
        <v>2201</v>
      </c>
      <c r="E25" s="21" t="s">
        <v>2194</v>
      </c>
      <c r="F25" s="19"/>
      <c r="G25" s="22" t="s">
        <v>2202</v>
      </c>
      <c r="H25" s="23" t="str">
        <f t="shared" si="0"/>
        <v>, as inputoctets</v>
      </c>
      <c r="I25" s="25"/>
      <c r="J25" s="25" t="s">
        <v>284</v>
      </c>
      <c r="K25" s="25" t="s">
        <v>538</v>
      </c>
      <c r="L25" s="25" t="s">
        <v>2200</v>
      </c>
    </row>
    <row r="26" spans="2:12" s="1" customFormat="1" ht="52.8">
      <c r="B26" s="13" t="s">
        <v>535</v>
      </c>
      <c r="C26" s="13" t="s">
        <v>281</v>
      </c>
      <c r="D26" s="9" t="s">
        <v>2203</v>
      </c>
      <c r="E26" s="21" t="s">
        <v>2194</v>
      </c>
      <c r="F26" s="19"/>
      <c r="G26" s="22" t="s">
        <v>2204</v>
      </c>
      <c r="H26" s="23" t="str">
        <f t="shared" si="0"/>
        <v>, as outputoctets</v>
      </c>
      <c r="I26" s="25"/>
      <c r="J26" s="25" t="s">
        <v>284</v>
      </c>
      <c r="K26" s="25" t="s">
        <v>538</v>
      </c>
      <c r="L26" s="25" t="s">
        <v>2200</v>
      </c>
    </row>
    <row r="27" spans="2:12" s="1" customFormat="1" ht="52.8">
      <c r="B27" s="13" t="s">
        <v>264</v>
      </c>
      <c r="C27" s="13" t="s">
        <v>206</v>
      </c>
      <c r="D27" s="9" t="s">
        <v>2205</v>
      </c>
      <c r="E27" s="21" t="s">
        <v>2194</v>
      </c>
      <c r="F27" s="19"/>
      <c r="G27" s="22" t="s">
        <v>2206</v>
      </c>
      <c r="H27" s="23" t="str">
        <f t="shared" si="0"/>
        <v>, as home_province</v>
      </c>
      <c r="I27" s="25"/>
      <c r="J27" s="25" t="s">
        <v>4</v>
      </c>
      <c r="K27" s="25" t="s">
        <v>209</v>
      </c>
      <c r="L27" s="25" t="s">
        <v>2207</v>
      </c>
    </row>
    <row r="28" spans="2:12" s="1" customFormat="1" ht="52.8">
      <c r="B28" s="13" t="s">
        <v>447</v>
      </c>
      <c r="C28" s="13" t="s">
        <v>206</v>
      </c>
      <c r="D28" s="9" t="s">
        <v>2208</v>
      </c>
      <c r="E28" s="21" t="s">
        <v>2194</v>
      </c>
      <c r="F28" s="19"/>
      <c r="G28" s="22" t="s">
        <v>2209</v>
      </c>
      <c r="H28" s="23" t="str">
        <f t="shared" si="0"/>
        <v>, as ncgi</v>
      </c>
      <c r="I28" s="25"/>
      <c r="J28" s="25" t="s">
        <v>4</v>
      </c>
      <c r="K28" s="25" t="s">
        <v>209</v>
      </c>
      <c r="L28" s="25" t="s">
        <v>209</v>
      </c>
    </row>
    <row r="29" spans="2:12" s="1" customFormat="1" ht="52.8">
      <c r="B29" s="13" t="s">
        <v>2370</v>
      </c>
      <c r="C29" s="13" t="s">
        <v>206</v>
      </c>
      <c r="D29" s="9" t="s">
        <v>243</v>
      </c>
      <c r="E29" s="21" t="s">
        <v>2194</v>
      </c>
      <c r="F29" s="19"/>
      <c r="G29" s="22" t="s">
        <v>2210</v>
      </c>
      <c r="H29" s="23" t="str">
        <f t="shared" si="0"/>
        <v>, as cellkey</v>
      </c>
      <c r="I29" s="25"/>
      <c r="J29" s="25" t="s">
        <v>4</v>
      </c>
      <c r="K29" s="25" t="s">
        <v>209</v>
      </c>
      <c r="L29" s="25" t="s">
        <v>209</v>
      </c>
    </row>
    <row r="30" spans="2:12" s="1" customFormat="1" ht="52.8">
      <c r="B30" s="13" t="s">
        <v>2211</v>
      </c>
      <c r="C30" s="13" t="s">
        <v>281</v>
      </c>
      <c r="D30" s="9" t="s">
        <v>474</v>
      </c>
      <c r="E30" s="21" t="s">
        <v>2194</v>
      </c>
      <c r="F30" s="19"/>
      <c r="G30" s="22" t="s">
        <v>2212</v>
      </c>
      <c r="H30" s="23" t="str">
        <f t="shared" si="0"/>
        <v>, as records</v>
      </c>
      <c r="I30" s="25"/>
      <c r="J30" s="25" t="s">
        <v>284</v>
      </c>
      <c r="K30" s="25" t="s">
        <v>750</v>
      </c>
      <c r="L30" s="25" t="s">
        <v>285</v>
      </c>
    </row>
    <row r="31" spans="2:12" s="1" customFormat="1" ht="52.8">
      <c r="B31" s="13" t="s">
        <v>220</v>
      </c>
      <c r="C31" s="13" t="s">
        <v>211</v>
      </c>
      <c r="D31" s="27" t="s">
        <v>221</v>
      </c>
      <c r="E31" s="21" t="s">
        <v>2194</v>
      </c>
      <c r="F31" s="19"/>
      <c r="G31" s="22" t="s">
        <v>2213</v>
      </c>
      <c r="H31" s="23" t="str">
        <f t="shared" si="0"/>
        <v>, as provincecode</v>
      </c>
      <c r="I31" s="25"/>
      <c r="J31" s="25" t="s">
        <v>4</v>
      </c>
      <c r="K31" s="25" t="s">
        <v>209</v>
      </c>
      <c r="L31" s="25" t="s">
        <v>2207</v>
      </c>
    </row>
    <row r="32" spans="2:12" s="1" customFormat="1" ht="52.8">
      <c r="B32" s="13" t="s">
        <v>230</v>
      </c>
      <c r="C32" s="13" t="s">
        <v>206</v>
      </c>
      <c r="D32" s="9" t="s">
        <v>231</v>
      </c>
      <c r="E32" s="21" t="s">
        <v>2194</v>
      </c>
      <c r="F32" s="19"/>
      <c r="G32" s="22" t="s">
        <v>2214</v>
      </c>
      <c r="H32" s="23" t="str">
        <f t="shared" si="0"/>
        <v>, as province</v>
      </c>
      <c r="I32" s="25"/>
      <c r="J32" s="25" t="s">
        <v>4</v>
      </c>
      <c r="K32" s="25" t="s">
        <v>209</v>
      </c>
      <c r="L32" s="25" t="s">
        <v>209</v>
      </c>
    </row>
    <row r="33" spans="2:17" s="1" customFormat="1" ht="52.8">
      <c r="B33" s="13" t="s">
        <v>224</v>
      </c>
      <c r="C33" s="13" t="s">
        <v>211</v>
      </c>
      <c r="D33" s="9" t="s">
        <v>444</v>
      </c>
      <c r="E33" s="21" t="s">
        <v>2194</v>
      </c>
      <c r="F33" s="19"/>
      <c r="G33" s="22" t="s">
        <v>2215</v>
      </c>
      <c r="H33" s="23" t="str">
        <f t="shared" si="0"/>
        <v>, as citycode</v>
      </c>
      <c r="I33" s="25"/>
      <c r="J33" s="25" t="s">
        <v>4</v>
      </c>
      <c r="K33" s="25" t="s">
        <v>209</v>
      </c>
      <c r="L33" s="25" t="s">
        <v>2207</v>
      </c>
    </row>
    <row r="34" spans="2:17" s="1" customFormat="1" ht="52.8">
      <c r="B34" s="13" t="s">
        <v>233</v>
      </c>
      <c r="C34" s="13" t="s">
        <v>206</v>
      </c>
      <c r="D34" s="9" t="s">
        <v>446</v>
      </c>
      <c r="E34" s="21" t="s">
        <v>2194</v>
      </c>
      <c r="F34" s="19"/>
      <c r="G34" s="22" t="s">
        <v>2216</v>
      </c>
      <c r="H34" s="23" t="str">
        <f t="shared" si="0"/>
        <v>, as city</v>
      </c>
      <c r="I34" s="25"/>
      <c r="J34" s="25" t="s">
        <v>4</v>
      </c>
      <c r="K34" s="25" t="s">
        <v>209</v>
      </c>
      <c r="L34" s="25" t="s">
        <v>209</v>
      </c>
    </row>
    <row r="35" spans="2:17" s="1" customFormat="1" ht="52.8">
      <c r="B35" s="13" t="s">
        <v>228</v>
      </c>
      <c r="C35" s="26" t="s">
        <v>211</v>
      </c>
      <c r="D35" s="9" t="s">
        <v>445</v>
      </c>
      <c r="E35" s="21" t="s">
        <v>2194</v>
      </c>
      <c r="F35" s="19"/>
      <c r="G35" s="22" t="s">
        <v>2217</v>
      </c>
      <c r="H35" s="23" t="str">
        <f t="shared" si="0"/>
        <v>, as districtcode</v>
      </c>
      <c r="I35" s="25"/>
      <c r="J35" s="25" t="s">
        <v>4</v>
      </c>
      <c r="K35" s="25" t="s">
        <v>209</v>
      </c>
      <c r="L35" s="25" t="s">
        <v>2207</v>
      </c>
    </row>
    <row r="36" spans="2:17" s="1" customFormat="1" ht="52.8">
      <c r="B36" s="13" t="s">
        <v>236</v>
      </c>
      <c r="C36" s="26" t="s">
        <v>206</v>
      </c>
      <c r="D36" s="9" t="s">
        <v>237</v>
      </c>
      <c r="E36" s="21" t="s">
        <v>2194</v>
      </c>
      <c r="F36" s="19"/>
      <c r="G36" s="22" t="s">
        <v>2218</v>
      </c>
      <c r="H36" s="23" t="str">
        <f t="shared" si="0"/>
        <v>, as district</v>
      </c>
      <c r="I36" s="25"/>
      <c r="J36" s="25" t="s">
        <v>4</v>
      </c>
      <c r="K36" s="25" t="s">
        <v>209</v>
      </c>
      <c r="L36" s="25" t="s">
        <v>209</v>
      </c>
    </row>
    <row r="37" spans="2:17" s="1" customFormat="1" ht="52.8">
      <c r="B37" s="13" t="s">
        <v>2449</v>
      </c>
      <c r="C37" s="26" t="s">
        <v>206</v>
      </c>
      <c r="D37" s="9" t="s">
        <v>2220</v>
      </c>
      <c r="E37" s="21" t="s">
        <v>2194</v>
      </c>
      <c r="F37" s="19"/>
      <c r="G37" s="22" t="s">
        <v>2221</v>
      </c>
      <c r="H37" s="23" t="str">
        <f t="shared" si="0"/>
        <v>, as data_type</v>
      </c>
      <c r="I37" s="25"/>
      <c r="J37" s="25" t="s">
        <v>4</v>
      </c>
      <c r="K37" s="25" t="s">
        <v>209</v>
      </c>
      <c r="L37" s="25" t="s">
        <v>209</v>
      </c>
    </row>
    <row r="38" spans="2:17" s="1" customFormat="1" ht="52.8">
      <c r="B38" s="13" t="s">
        <v>1328</v>
      </c>
      <c r="C38" s="13" t="s">
        <v>281</v>
      </c>
      <c r="D38" s="9" t="s">
        <v>2222</v>
      </c>
      <c r="E38" s="21" t="s">
        <v>2194</v>
      </c>
      <c r="F38" s="19"/>
      <c r="G38" s="22" t="s">
        <v>2223</v>
      </c>
      <c r="H38" s="23" t="str">
        <f t="shared" si="0"/>
        <v>, as tac</v>
      </c>
      <c r="I38" s="25"/>
      <c r="J38" s="25" t="s">
        <v>4</v>
      </c>
      <c r="K38" s="25" t="s">
        <v>209</v>
      </c>
      <c r="L38" s="25" t="s">
        <v>485</v>
      </c>
    </row>
    <row r="39" spans="2:17" s="1" customFormat="1" ht="52.8">
      <c r="B39" s="13" t="s">
        <v>1267</v>
      </c>
      <c r="C39" s="26" t="s">
        <v>206</v>
      </c>
      <c r="D39" s="9" t="s">
        <v>2224</v>
      </c>
      <c r="E39" s="21" t="s">
        <v>2194</v>
      </c>
      <c r="F39" s="19"/>
      <c r="G39" s="22" t="s">
        <v>2225</v>
      </c>
      <c r="H39" s="23" t="str">
        <f t="shared" si="0"/>
        <v>, as gnb_ip_add</v>
      </c>
      <c r="I39" s="25"/>
      <c r="J39" s="25" t="s">
        <v>4</v>
      </c>
      <c r="K39" s="25" t="s">
        <v>209</v>
      </c>
      <c r="L39" s="25" t="s">
        <v>209</v>
      </c>
    </row>
    <row r="40" spans="2:17" s="2" customFormat="1">
      <c r="B40" s="14" t="s">
        <v>222</v>
      </c>
      <c r="C40" s="15" t="s">
        <v>211</v>
      </c>
      <c r="D40" s="16" t="s">
        <v>344</v>
      </c>
      <c r="E40" s="24"/>
      <c r="F40" s="24"/>
      <c r="G40" s="24" t="s">
        <v>1892</v>
      </c>
      <c r="H40" s="24"/>
      <c r="I40" s="14"/>
      <c r="J40" s="14"/>
      <c r="K40" s="14"/>
      <c r="L40" s="14"/>
      <c r="M40" s="14"/>
      <c r="N40" s="14"/>
      <c r="O40" s="14"/>
      <c r="P40" s="14"/>
      <c r="Q40" s="14"/>
    </row>
    <row r="41" spans="2:17" s="2" customFormat="1">
      <c r="B41" s="14" t="s">
        <v>0</v>
      </c>
      <c r="C41" s="15" t="s">
        <v>206</v>
      </c>
      <c r="D41" s="16" t="s">
        <v>345</v>
      </c>
      <c r="E41" s="24"/>
      <c r="F41" s="24"/>
      <c r="G41" s="24" t="s">
        <v>1892</v>
      </c>
      <c r="H41" s="24"/>
      <c r="I41" s="14"/>
      <c r="J41" s="14"/>
      <c r="K41" s="14"/>
      <c r="L41" s="14"/>
      <c r="M41" s="14"/>
      <c r="N41" s="14"/>
      <c r="O41" s="14"/>
      <c r="P41" s="14"/>
      <c r="Q41" s="14"/>
    </row>
    <row r="42" spans="2:17" s="2" customFormat="1">
      <c r="B42" s="14" t="s">
        <v>1</v>
      </c>
      <c r="C42" s="15" t="s">
        <v>211</v>
      </c>
      <c r="D42" s="16" t="s">
        <v>346</v>
      </c>
      <c r="E42" s="24"/>
      <c r="F42" s="24"/>
      <c r="G42" s="24" t="s">
        <v>1892</v>
      </c>
      <c r="H42" s="24"/>
      <c r="I42" s="14"/>
      <c r="J42" s="14"/>
      <c r="K42" s="14"/>
      <c r="L42" s="14"/>
      <c r="M42" s="14"/>
      <c r="N42" s="14"/>
      <c r="O42" s="14"/>
      <c r="P42" s="14"/>
      <c r="Q42" s="14"/>
    </row>
  </sheetData>
  <mergeCells count="4">
    <mergeCell ref="B2:H2"/>
    <mergeCell ref="B3:H3"/>
    <mergeCell ref="B7:H7"/>
    <mergeCell ref="B19:L19"/>
  </mergeCells>
  <phoneticPr fontId="33" type="noConversion"/>
  <pageMargins left="0.7" right="0.7" top="0.75" bottom="0.75"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25"/>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11" t="s">
        <v>172</v>
      </c>
      <c r="G4" s="11" t="s">
        <v>43</v>
      </c>
      <c r="H4" s="7" t="s">
        <v>173</v>
      </c>
    </row>
    <row r="5" spans="2:14">
      <c r="B5" s="8" t="s">
        <v>105</v>
      </c>
      <c r="C5" s="9" t="s">
        <v>162</v>
      </c>
      <c r="D5" s="10" t="s">
        <v>163</v>
      </c>
      <c r="E5" s="12" t="s">
        <v>205</v>
      </c>
      <c r="F5" s="17"/>
      <c r="G5" s="12"/>
      <c r="H5" s="12"/>
      <c r="N5" s="3"/>
    </row>
    <row r="6" spans="2:14">
      <c r="B6" s="6"/>
      <c r="C6" s="6"/>
      <c r="D6" s="6"/>
      <c r="E6" s="6"/>
      <c r="F6" s="18"/>
      <c r="G6" s="18"/>
      <c r="H6" s="6"/>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160</v>
      </c>
      <c r="D9" s="10" t="s">
        <v>161</v>
      </c>
      <c r="E9" s="12" t="s">
        <v>182</v>
      </c>
      <c r="F9" s="19"/>
      <c r="G9" s="19" t="s">
        <v>2226</v>
      </c>
      <c r="H9" s="20" t="s">
        <v>63</v>
      </c>
    </row>
    <row r="10" spans="2:14">
      <c r="B10" s="12"/>
      <c r="C10" s="9"/>
      <c r="D10" s="10"/>
      <c r="E10" s="12"/>
      <c r="F10" s="19"/>
      <c r="G10" s="19"/>
      <c r="H10" s="20"/>
    </row>
    <row r="11" spans="2:14">
      <c r="B11" s="12"/>
      <c r="C11" s="9"/>
      <c r="D11" s="10"/>
      <c r="E11" s="12"/>
      <c r="F11" s="19"/>
      <c r="G11" s="19"/>
      <c r="H11" s="20"/>
    </row>
    <row r="12" spans="2:14">
      <c r="B12" s="12"/>
      <c r="C12" s="9"/>
      <c r="D12" s="10"/>
      <c r="E12" s="12"/>
      <c r="F12" s="19"/>
      <c r="G12" s="19"/>
      <c r="H12" s="20"/>
    </row>
    <row r="13" spans="2:14">
      <c r="B13" s="3" t="s">
        <v>194</v>
      </c>
    </row>
    <row r="14" spans="2:14">
      <c r="B14" s="181" t="s">
        <v>194</v>
      </c>
      <c r="C14" s="181"/>
      <c r="D14" s="181"/>
      <c r="E14" s="181"/>
      <c r="F14" s="181"/>
      <c r="G14" s="181"/>
      <c r="H14" s="181"/>
      <c r="I14" s="181"/>
      <c r="J14" s="181"/>
      <c r="K14" s="181"/>
      <c r="L14" s="181"/>
    </row>
    <row r="15" spans="2:14">
      <c r="B15" s="7" t="s">
        <v>195</v>
      </c>
      <c r="C15" s="7" t="s">
        <v>196</v>
      </c>
      <c r="D15" s="7" t="s">
        <v>197</v>
      </c>
      <c r="E15" s="7" t="s">
        <v>198</v>
      </c>
      <c r="F15" s="11" t="s">
        <v>199</v>
      </c>
      <c r="G15" s="11" t="s">
        <v>200</v>
      </c>
      <c r="H15" s="7" t="s">
        <v>201</v>
      </c>
      <c r="I15" s="7" t="s">
        <v>53</v>
      </c>
      <c r="J15" s="7" t="s">
        <v>202</v>
      </c>
      <c r="K15" s="7" t="s">
        <v>203</v>
      </c>
      <c r="L15" s="7" t="s">
        <v>204</v>
      </c>
    </row>
    <row r="16" spans="2:14" s="1" customFormat="1" ht="39.6">
      <c r="B16" s="13" t="s">
        <v>251</v>
      </c>
      <c r="C16" s="13" t="s">
        <v>206</v>
      </c>
      <c r="D16" s="9" t="str">
        <f>VLOOKUP(B16,'27'!B:L,3,0)</f>
        <v>用户号码</v>
      </c>
      <c r="E16" s="21"/>
      <c r="F16" s="19" t="s">
        <v>251</v>
      </c>
      <c r="G16" s="22" t="s">
        <v>208</v>
      </c>
      <c r="H16" s="23" t="str">
        <f t="shared" ref="H16:H23" si="0">_xlfn.CONCAT(",",B16," ",C16," comment '",D16,"'")</f>
        <v>,msisdn string comment '用户号码'</v>
      </c>
      <c r="I16" s="25"/>
      <c r="J16" s="25" t="s">
        <v>4</v>
      </c>
      <c r="K16" s="25" t="s">
        <v>209</v>
      </c>
      <c r="L16" s="25" t="s">
        <v>209</v>
      </c>
    </row>
    <row r="17" spans="2:17" s="1" customFormat="1" ht="39.6">
      <c r="B17" s="13" t="s">
        <v>249</v>
      </c>
      <c r="C17" s="13" t="s">
        <v>206</v>
      </c>
      <c r="D17" s="9" t="str">
        <f>VLOOKUP(B17,'27'!B:L,3,0)</f>
        <v>用户imsi</v>
      </c>
      <c r="E17" s="21"/>
      <c r="F17" s="19" t="s">
        <v>249</v>
      </c>
      <c r="G17" s="22" t="s">
        <v>208</v>
      </c>
      <c r="H17" s="23" t="str">
        <f t="shared" si="0"/>
        <v>,supi string comment '用户imsi'</v>
      </c>
      <c r="I17" s="25"/>
      <c r="J17" s="25" t="s">
        <v>4</v>
      </c>
      <c r="K17" s="25" t="s">
        <v>209</v>
      </c>
      <c r="L17" s="25" t="s">
        <v>209</v>
      </c>
    </row>
    <row r="18" spans="2:17" s="1" customFormat="1" ht="39.6">
      <c r="B18" s="13" t="s">
        <v>254</v>
      </c>
      <c r="C18" s="13" t="s">
        <v>206</v>
      </c>
      <c r="D18" s="9" t="str">
        <f>VLOOKUP(B18,'27'!B:L,3,0)</f>
        <v>用户imei</v>
      </c>
      <c r="E18" s="21"/>
      <c r="F18" s="19" t="s">
        <v>254</v>
      </c>
      <c r="G18" s="22" t="s">
        <v>208</v>
      </c>
      <c r="H18" s="23" t="str">
        <f t="shared" si="0"/>
        <v>,pei string comment '用户imei'</v>
      </c>
      <c r="I18" s="25"/>
      <c r="J18" s="25" t="s">
        <v>4</v>
      </c>
      <c r="K18" s="25" t="s">
        <v>209</v>
      </c>
      <c r="L18" s="25" t="s">
        <v>209</v>
      </c>
    </row>
    <row r="19" spans="2:17" s="1" customFormat="1" ht="39.6">
      <c r="B19" s="13" t="s">
        <v>468</v>
      </c>
      <c r="C19" s="13" t="s">
        <v>281</v>
      </c>
      <c r="D19" s="9" t="str">
        <f>VLOOKUP(B19,'27'!B:L,3,0)</f>
        <v>业务时长</v>
      </c>
      <c r="E19" s="21"/>
      <c r="F19" s="19"/>
      <c r="G19" s="22" t="s">
        <v>747</v>
      </c>
      <c r="H19" s="23" t="str">
        <f t="shared" si="0"/>
        <v>,duration bigint comment '业务时长'</v>
      </c>
      <c r="I19" s="25"/>
      <c r="J19" s="25" t="s">
        <v>284</v>
      </c>
      <c r="K19" s="25" t="s">
        <v>471</v>
      </c>
      <c r="L19" s="25" t="s">
        <v>285</v>
      </c>
    </row>
    <row r="20" spans="2:17" s="1" customFormat="1" ht="39.6">
      <c r="B20" s="13" t="s">
        <v>811</v>
      </c>
      <c r="C20" s="13" t="s">
        <v>281</v>
      </c>
      <c r="D20" s="9" t="s">
        <v>2227</v>
      </c>
      <c r="E20" s="21"/>
      <c r="F20" s="19"/>
      <c r="G20" s="22" t="s">
        <v>2228</v>
      </c>
      <c r="H20" s="23" t="str">
        <f t="shared" si="0"/>
        <v>,flux bigint comment '业务流量'</v>
      </c>
      <c r="I20" s="25"/>
      <c r="J20" s="25" t="s">
        <v>284</v>
      </c>
      <c r="K20" s="25" t="s">
        <v>538</v>
      </c>
      <c r="L20" s="25" t="s">
        <v>285</v>
      </c>
    </row>
    <row r="21" spans="2:17" s="1" customFormat="1" ht="39.6">
      <c r="B21" s="13" t="s">
        <v>230</v>
      </c>
      <c r="C21" s="13" t="s">
        <v>206</v>
      </c>
      <c r="D21" s="9" t="s">
        <v>221</v>
      </c>
      <c r="E21" s="21"/>
      <c r="F21" s="19" t="s">
        <v>222</v>
      </c>
      <c r="G21" s="22" t="s">
        <v>208</v>
      </c>
      <c r="H21" s="23" t="str">
        <f t="shared" si="0"/>
        <v>,province string comment '省编码'</v>
      </c>
      <c r="I21" s="25"/>
      <c r="J21" s="25" t="s">
        <v>4</v>
      </c>
      <c r="K21" s="25" t="s">
        <v>209</v>
      </c>
      <c r="L21" s="25" t="s">
        <v>223</v>
      </c>
    </row>
    <row r="22" spans="2:17" s="1" customFormat="1" ht="39.6">
      <c r="B22" s="13" t="s">
        <v>233</v>
      </c>
      <c r="C22" s="13" t="s">
        <v>206</v>
      </c>
      <c r="D22" s="9" t="s">
        <v>444</v>
      </c>
      <c r="E22" s="21"/>
      <c r="F22" s="19" t="s">
        <v>224</v>
      </c>
      <c r="G22" s="22" t="s">
        <v>208</v>
      </c>
      <c r="H22" s="23" t="str">
        <f t="shared" si="0"/>
        <v>,city string comment '城市编码'</v>
      </c>
      <c r="I22" s="25"/>
      <c r="J22" s="25" t="s">
        <v>4</v>
      </c>
      <c r="K22" s="25" t="s">
        <v>209</v>
      </c>
      <c r="L22" s="25" t="s">
        <v>223</v>
      </c>
    </row>
    <row r="23" spans="2:17" s="1" customFormat="1" ht="52.8">
      <c r="B23" s="13" t="s">
        <v>2219</v>
      </c>
      <c r="C23" s="13" t="s">
        <v>206</v>
      </c>
      <c r="D23" s="9" t="s">
        <v>2229</v>
      </c>
      <c r="E23" s="21"/>
      <c r="F23" s="19" t="s">
        <v>2219</v>
      </c>
      <c r="G23" s="22" t="s">
        <v>2230</v>
      </c>
      <c r="H23" s="23" t="str">
        <f t="shared" si="0"/>
        <v>,data_type string comment '数据类型(N1N2:1；其他：3)'</v>
      </c>
      <c r="I23" s="25"/>
      <c r="J23" s="25" t="s">
        <v>4</v>
      </c>
      <c r="K23" s="25" t="s">
        <v>209</v>
      </c>
      <c r="L23" s="25" t="s">
        <v>2231</v>
      </c>
    </row>
    <row r="24" spans="2:17" s="2" customFormat="1">
      <c r="B24" s="14" t="s">
        <v>222</v>
      </c>
      <c r="C24" s="15" t="s">
        <v>211</v>
      </c>
      <c r="D24" s="16" t="s">
        <v>344</v>
      </c>
      <c r="E24" s="24"/>
      <c r="F24" s="24"/>
      <c r="G24" s="24" t="s">
        <v>1892</v>
      </c>
      <c r="H24" s="24"/>
      <c r="I24" s="14"/>
      <c r="J24" s="14"/>
      <c r="K24" s="14"/>
      <c r="L24" s="14"/>
      <c r="M24" s="14"/>
      <c r="N24" s="14"/>
      <c r="O24" s="14"/>
      <c r="P24" s="14"/>
      <c r="Q24" s="14"/>
    </row>
    <row r="25" spans="2:17" s="2" customFormat="1">
      <c r="B25" s="14" t="s">
        <v>0</v>
      </c>
      <c r="C25" s="15" t="s">
        <v>206</v>
      </c>
      <c r="D25" s="16" t="s">
        <v>345</v>
      </c>
      <c r="E25" s="24"/>
      <c r="F25" s="24"/>
      <c r="G25" s="24" t="s">
        <v>1892</v>
      </c>
      <c r="H25" s="24"/>
      <c r="I25" s="14"/>
      <c r="J25" s="14"/>
      <c r="K25" s="14"/>
      <c r="L25" s="14"/>
      <c r="M25" s="14"/>
      <c r="N25" s="14"/>
      <c r="O25" s="14"/>
      <c r="P25" s="14"/>
      <c r="Q25" s="14"/>
    </row>
  </sheetData>
  <mergeCells count="4">
    <mergeCell ref="B2:H2"/>
    <mergeCell ref="B3:H3"/>
    <mergeCell ref="B7:H7"/>
    <mergeCell ref="B14:L14"/>
  </mergeCells>
  <phoneticPr fontId="33" type="noConversion"/>
  <pageMargins left="0.7" right="0.7" top="0.75" bottom="0.75"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Q41"/>
  <sheetViews>
    <sheetView zoomScale="85" zoomScaleNormal="85" workbookViewId="0">
      <pane ySplit="5" topLeftCell="A6" activePane="bottomLeft" state="frozen"/>
      <selection pane="bottomLeft" activeCell="H23" sqref="H23"/>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11" t="s">
        <v>172</v>
      </c>
      <c r="G4" s="11" t="s">
        <v>43</v>
      </c>
      <c r="H4" s="7" t="s">
        <v>173</v>
      </c>
    </row>
    <row r="5" spans="2:14">
      <c r="B5" s="8" t="s">
        <v>105</v>
      </c>
      <c r="C5" s="9" t="s">
        <v>164</v>
      </c>
      <c r="D5" s="10" t="s">
        <v>165</v>
      </c>
      <c r="E5" s="12" t="s">
        <v>205</v>
      </c>
      <c r="F5" s="17"/>
      <c r="G5" s="12"/>
      <c r="H5" s="12"/>
      <c r="N5" s="3"/>
    </row>
    <row r="6" spans="2:14">
      <c r="B6" s="6"/>
      <c r="C6" s="6"/>
      <c r="D6" s="6"/>
      <c r="E6" s="6"/>
      <c r="F6" s="18"/>
      <c r="G6" s="18"/>
      <c r="H6" s="6"/>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160</v>
      </c>
      <c r="D9" s="10" t="s">
        <v>161</v>
      </c>
      <c r="E9" s="12" t="s">
        <v>182</v>
      </c>
      <c r="F9" s="19"/>
      <c r="G9" s="19" t="s">
        <v>2232</v>
      </c>
      <c r="H9" s="20" t="s">
        <v>63</v>
      </c>
    </row>
    <row r="10" spans="2:14">
      <c r="B10" s="12"/>
      <c r="C10" s="9" t="s">
        <v>183</v>
      </c>
      <c r="D10" s="10" t="s">
        <v>2233</v>
      </c>
      <c r="E10" s="12" t="s">
        <v>418</v>
      </c>
      <c r="F10" s="19"/>
      <c r="G10" s="19"/>
      <c r="H10" s="20"/>
    </row>
    <row r="11" spans="2:14">
      <c r="B11" s="12"/>
      <c r="C11" s="9" t="s">
        <v>2234</v>
      </c>
      <c r="D11" s="10" t="s">
        <v>2235</v>
      </c>
      <c r="E11" s="12" t="s">
        <v>789</v>
      </c>
      <c r="F11" s="19"/>
      <c r="G11" s="19"/>
      <c r="H11" s="20"/>
    </row>
    <row r="12" spans="2:14">
      <c r="B12" s="12"/>
      <c r="C12" s="9"/>
      <c r="D12" s="10"/>
      <c r="E12" s="12"/>
      <c r="F12" s="19"/>
      <c r="G12" s="19"/>
      <c r="H12" s="20"/>
    </row>
    <row r="13" spans="2:14">
      <c r="B13" s="3" t="s">
        <v>194</v>
      </c>
    </row>
    <row r="14" spans="2:14">
      <c r="B14" s="181" t="s">
        <v>194</v>
      </c>
      <c r="C14" s="181"/>
      <c r="D14" s="181"/>
      <c r="E14" s="181"/>
      <c r="F14" s="181"/>
      <c r="G14" s="181"/>
      <c r="H14" s="181"/>
      <c r="I14" s="181"/>
      <c r="J14" s="181"/>
      <c r="K14" s="181"/>
      <c r="L14" s="181"/>
    </row>
    <row r="15" spans="2:14">
      <c r="B15" s="7" t="s">
        <v>195</v>
      </c>
      <c r="C15" s="7" t="s">
        <v>196</v>
      </c>
      <c r="D15" s="7" t="s">
        <v>197</v>
      </c>
      <c r="E15" s="7" t="s">
        <v>198</v>
      </c>
      <c r="F15" s="11" t="s">
        <v>199</v>
      </c>
      <c r="G15" s="11" t="s">
        <v>200</v>
      </c>
      <c r="H15" s="7" t="s">
        <v>201</v>
      </c>
      <c r="I15" s="7" t="s">
        <v>53</v>
      </c>
      <c r="J15" s="7" t="s">
        <v>202</v>
      </c>
      <c r="K15" s="7" t="s">
        <v>203</v>
      </c>
      <c r="L15" s="7" t="s">
        <v>204</v>
      </c>
    </row>
    <row r="16" spans="2:14" s="1" customFormat="1" ht="26.4">
      <c r="B16" s="13" t="s">
        <v>205</v>
      </c>
      <c r="C16" s="13" t="s">
        <v>206</v>
      </c>
      <c r="D16" s="9" t="s">
        <v>2236</v>
      </c>
      <c r="E16" s="21"/>
      <c r="F16" s="19" t="s">
        <v>0</v>
      </c>
      <c r="G16" s="22" t="s">
        <v>208</v>
      </c>
      <c r="H16" s="23" t="str">
        <f t="shared" ref="H16:H39" si="0">_xlfn.CONCAT(",",B16," ",C16," comment '",D16,"'")</f>
        <v>,day string comment '账期'</v>
      </c>
      <c r="I16" s="25"/>
      <c r="J16" s="25" t="s">
        <v>4</v>
      </c>
      <c r="K16" s="25" t="s">
        <v>209</v>
      </c>
      <c r="L16" s="25" t="s">
        <v>209</v>
      </c>
    </row>
    <row r="17" spans="2:12" s="1" customFormat="1" ht="39.6">
      <c r="B17" s="13" t="s">
        <v>220</v>
      </c>
      <c r="C17" s="13" t="s">
        <v>211</v>
      </c>
      <c r="D17" s="9" t="s">
        <v>221</v>
      </c>
      <c r="E17" s="21"/>
      <c r="F17" s="19" t="s">
        <v>222</v>
      </c>
      <c r="G17" s="22" t="s">
        <v>208</v>
      </c>
      <c r="H17" s="23" t="str">
        <f t="shared" si="0"/>
        <v>,provincecode int comment '省编码'</v>
      </c>
      <c r="I17" s="25"/>
      <c r="J17" s="25" t="s">
        <v>4</v>
      </c>
      <c r="K17" s="25" t="s">
        <v>209</v>
      </c>
      <c r="L17" s="25" t="s">
        <v>209</v>
      </c>
    </row>
    <row r="18" spans="2:12" s="1" customFormat="1" ht="39.6">
      <c r="B18" s="13" t="s">
        <v>1464</v>
      </c>
      <c r="C18" s="13" t="s">
        <v>206</v>
      </c>
      <c r="D18" s="9" t="s">
        <v>231</v>
      </c>
      <c r="E18" s="21"/>
      <c r="F18" s="19" t="s">
        <v>230</v>
      </c>
      <c r="G18" s="22" t="s">
        <v>208</v>
      </c>
      <c r="H18" s="23" t="str">
        <f t="shared" si="0"/>
        <v>,province_name string comment '省名称'</v>
      </c>
      <c r="I18" s="25"/>
      <c r="J18" s="25" t="s">
        <v>4</v>
      </c>
      <c r="K18" s="25" t="s">
        <v>209</v>
      </c>
      <c r="L18" s="25" t="s">
        <v>209</v>
      </c>
    </row>
    <row r="19" spans="2:12" s="1" customFormat="1" ht="39.6">
      <c r="B19" s="13" t="s">
        <v>2237</v>
      </c>
      <c r="C19" s="13" t="s">
        <v>211</v>
      </c>
      <c r="D19" s="9" t="s">
        <v>2238</v>
      </c>
      <c r="E19" s="21" t="s">
        <v>418</v>
      </c>
      <c r="F19" s="19"/>
      <c r="G19" s="22" t="s">
        <v>2239</v>
      </c>
      <c r="H19" s="23" t="str">
        <f t="shared" si="0"/>
        <v>,ct_cell_cnt int comment '电信工参小区数'</v>
      </c>
      <c r="I19" s="25"/>
      <c r="J19" s="25" t="s">
        <v>284</v>
      </c>
      <c r="K19" s="25" t="s">
        <v>209</v>
      </c>
      <c r="L19" s="25" t="s">
        <v>285</v>
      </c>
    </row>
    <row r="20" spans="2:12" s="1" customFormat="1" ht="39.6">
      <c r="B20" s="13" t="s">
        <v>2240</v>
      </c>
      <c r="C20" s="13" t="s">
        <v>211</v>
      </c>
      <c r="D20" s="9" t="s">
        <v>2241</v>
      </c>
      <c r="E20" s="21" t="s">
        <v>418</v>
      </c>
      <c r="F20" s="19"/>
      <c r="G20" s="22" t="s">
        <v>2242</v>
      </c>
      <c r="H20" s="23" t="str">
        <f t="shared" si="0"/>
        <v>,cu_cell_cnt int comment '联通工参小区数'</v>
      </c>
      <c r="I20" s="25"/>
      <c r="J20" s="25" t="s">
        <v>284</v>
      </c>
      <c r="K20" s="25" t="s">
        <v>209</v>
      </c>
      <c r="L20" s="25" t="s">
        <v>285</v>
      </c>
    </row>
    <row r="21" spans="2:12" s="1" customFormat="1" ht="52.8">
      <c r="B21" s="13" t="s">
        <v>2243</v>
      </c>
      <c r="C21" s="13" t="s">
        <v>211</v>
      </c>
      <c r="D21" s="9" t="s">
        <v>2244</v>
      </c>
      <c r="E21" s="21" t="s">
        <v>789</v>
      </c>
      <c r="F21" s="19"/>
      <c r="G21" s="22" t="s">
        <v>2245</v>
      </c>
      <c r="H21" s="23" t="str">
        <f t="shared" si="0"/>
        <v>,ct_corrected_cell_cnt int comment '电信纠偏表小区数'</v>
      </c>
      <c r="I21" s="25"/>
      <c r="J21" s="25" t="s">
        <v>284</v>
      </c>
      <c r="K21" s="25" t="s">
        <v>209</v>
      </c>
      <c r="L21" s="25" t="s">
        <v>285</v>
      </c>
    </row>
    <row r="22" spans="2:12" s="1" customFormat="1" ht="39.6">
      <c r="B22" s="13" t="s">
        <v>2246</v>
      </c>
      <c r="C22" s="13" t="s">
        <v>211</v>
      </c>
      <c r="D22" s="9" t="s">
        <v>2247</v>
      </c>
      <c r="E22" s="21"/>
      <c r="F22" s="19"/>
      <c r="G22" s="22" t="s">
        <v>2248</v>
      </c>
      <c r="H22" s="23" t="str">
        <f t="shared" si="0"/>
        <v>,cell_cnt int comment '电联工参重复小区数'</v>
      </c>
      <c r="I22" s="25"/>
      <c r="J22" s="25" t="s">
        <v>284</v>
      </c>
      <c r="K22" s="25" t="s">
        <v>209</v>
      </c>
      <c r="L22" s="25">
        <v>0</v>
      </c>
    </row>
    <row r="23" spans="2:12" s="1" customFormat="1" ht="39.6">
      <c r="B23" s="13" t="s">
        <v>2249</v>
      </c>
      <c r="C23" s="13" t="s">
        <v>211</v>
      </c>
      <c r="D23" s="9" t="s">
        <v>2250</v>
      </c>
      <c r="E23" s="21" t="s">
        <v>182</v>
      </c>
      <c r="F23" s="19"/>
      <c r="G23" s="22" t="s">
        <v>2251</v>
      </c>
      <c r="H23" s="23" t="str">
        <f t="shared" si="0"/>
        <v>,n1n2_cell_cnt int comment 'n1n2小区数'</v>
      </c>
      <c r="I23" s="25"/>
      <c r="J23" s="25" t="s">
        <v>284</v>
      </c>
      <c r="K23" s="25" t="s">
        <v>209</v>
      </c>
      <c r="L23" s="25" t="s">
        <v>285</v>
      </c>
    </row>
    <row r="24" spans="2:12" s="1" customFormat="1" ht="39.6">
      <c r="B24" s="13" t="s">
        <v>2252</v>
      </c>
      <c r="C24" s="13" t="s">
        <v>211</v>
      </c>
      <c r="D24" s="9" t="s">
        <v>2253</v>
      </c>
      <c r="E24" s="21" t="s">
        <v>2254</v>
      </c>
      <c r="F24" s="19"/>
      <c r="G24" s="22" t="s">
        <v>2255</v>
      </c>
      <c r="H24" s="23" t="str">
        <f t="shared" si="0"/>
        <v>,n1n2_ct_cell_cnt int comment '关联电信小区数'</v>
      </c>
      <c r="I24" s="25"/>
      <c r="J24" s="25" t="s">
        <v>284</v>
      </c>
      <c r="K24" s="25" t="s">
        <v>209</v>
      </c>
      <c r="L24" s="25" t="s">
        <v>285</v>
      </c>
    </row>
    <row r="25" spans="2:12" s="1" customFormat="1" ht="39.6">
      <c r="B25" s="13" t="s">
        <v>2256</v>
      </c>
      <c r="C25" s="13" t="s">
        <v>211</v>
      </c>
      <c r="D25" s="9" t="s">
        <v>2257</v>
      </c>
      <c r="E25" s="21" t="s">
        <v>2254</v>
      </c>
      <c r="F25" s="19"/>
      <c r="G25" s="22" t="s">
        <v>2258</v>
      </c>
      <c r="H25" s="23" t="str">
        <f t="shared" si="0"/>
        <v>,n1n2_cu_cell_cnt int comment '关联联通小区数'</v>
      </c>
      <c r="I25" s="25"/>
      <c r="J25" s="25" t="s">
        <v>284</v>
      </c>
      <c r="K25" s="25" t="s">
        <v>209</v>
      </c>
      <c r="L25" s="25" t="s">
        <v>285</v>
      </c>
    </row>
    <row r="26" spans="2:12" s="1" customFormat="1" ht="52.8">
      <c r="B26" s="13" t="s">
        <v>2259</v>
      </c>
      <c r="C26" s="13" t="s">
        <v>211</v>
      </c>
      <c r="D26" s="9" t="s">
        <v>2260</v>
      </c>
      <c r="E26" s="21" t="s">
        <v>1430</v>
      </c>
      <c r="F26" s="19"/>
      <c r="G26" s="22" t="s">
        <v>2261</v>
      </c>
      <c r="H26" s="23" t="str">
        <f t="shared" si="0"/>
        <v>,n1n2_ct_corrected_cell_cnt int comment '关联电信纠偏表小区数'</v>
      </c>
      <c r="I26" s="25"/>
      <c r="J26" s="25" t="s">
        <v>284</v>
      </c>
      <c r="K26" s="25" t="s">
        <v>209</v>
      </c>
      <c r="L26" s="25" t="s">
        <v>285</v>
      </c>
    </row>
    <row r="27" spans="2:12" s="1" customFormat="1" ht="52.8">
      <c r="B27" s="13" t="s">
        <v>2262</v>
      </c>
      <c r="C27" s="13" t="s">
        <v>319</v>
      </c>
      <c r="D27" s="9" t="s">
        <v>2263</v>
      </c>
      <c r="E27" s="21" t="s">
        <v>2264</v>
      </c>
      <c r="F27" s="19"/>
      <c r="G27" s="22" t="s">
        <v>2265</v>
      </c>
      <c r="H27" s="23" t="str">
        <f t="shared" si="0"/>
        <v>,n1n2_ctcu_cell_rel_rate double comment '电联工参关联率'</v>
      </c>
      <c r="I27" s="25"/>
      <c r="J27" s="25" t="s">
        <v>284</v>
      </c>
      <c r="K27" s="25" t="s">
        <v>209</v>
      </c>
      <c r="L27" s="25" t="s">
        <v>322</v>
      </c>
    </row>
    <row r="28" spans="2:12" s="1" customFormat="1" ht="52.8">
      <c r="B28" s="13" t="s">
        <v>2266</v>
      </c>
      <c r="C28" s="13" t="s">
        <v>319</v>
      </c>
      <c r="D28" s="9" t="s">
        <v>2267</v>
      </c>
      <c r="E28" s="21" t="s">
        <v>2254</v>
      </c>
      <c r="F28" s="19"/>
      <c r="G28" s="22" t="s">
        <v>2268</v>
      </c>
      <c r="H28" s="23" t="str">
        <f t="shared" si="0"/>
        <v>,n1n2_cuct_cell_rate double comment 'n1n2小区数/电联工参'</v>
      </c>
      <c r="I28" s="25"/>
      <c r="J28" s="25" t="s">
        <v>284</v>
      </c>
      <c r="K28" s="25" t="s">
        <v>209</v>
      </c>
      <c r="L28" s="25" t="s">
        <v>322</v>
      </c>
    </row>
    <row r="29" spans="2:12" s="1" customFormat="1" ht="39.6">
      <c r="B29" s="13" t="s">
        <v>2269</v>
      </c>
      <c r="C29" s="13" t="s">
        <v>281</v>
      </c>
      <c r="D29" s="9" t="s">
        <v>2270</v>
      </c>
      <c r="E29" s="21" t="s">
        <v>182</v>
      </c>
      <c r="F29" s="19"/>
      <c r="G29" s="22" t="s">
        <v>2271</v>
      </c>
      <c r="H29" s="23" t="str">
        <f t="shared" si="0"/>
        <v>,total_records bigint comment '总信令记录数'</v>
      </c>
      <c r="I29" s="25"/>
      <c r="J29" s="25" t="s">
        <v>284</v>
      </c>
      <c r="K29" s="25" t="s">
        <v>209</v>
      </c>
      <c r="L29" s="25" t="s">
        <v>285</v>
      </c>
    </row>
    <row r="30" spans="2:12" s="1" customFormat="1" ht="52.8">
      <c r="B30" s="13" t="s">
        <v>2272</v>
      </c>
      <c r="C30" s="13" t="s">
        <v>281</v>
      </c>
      <c r="D30" s="9" t="s">
        <v>2273</v>
      </c>
      <c r="E30" s="21" t="s">
        <v>182</v>
      </c>
      <c r="F30" s="19"/>
      <c r="G30" s="22" t="s">
        <v>2274</v>
      </c>
      <c r="H30" s="23" t="str">
        <f t="shared" si="0"/>
        <v>,valid_cell_records bigint comment '小区非空信令记录数'</v>
      </c>
      <c r="I30" s="25"/>
      <c r="J30" s="25" t="s">
        <v>284</v>
      </c>
      <c r="K30" s="25" t="s">
        <v>209</v>
      </c>
      <c r="L30" s="25" t="s">
        <v>285</v>
      </c>
    </row>
    <row r="31" spans="2:12" s="1" customFormat="1" ht="52.8">
      <c r="B31" s="13" t="s">
        <v>2275</v>
      </c>
      <c r="C31" s="13" t="s">
        <v>281</v>
      </c>
      <c r="D31" s="9" t="s">
        <v>2276</v>
      </c>
      <c r="E31" s="21" t="s">
        <v>2254</v>
      </c>
      <c r="F31" s="19"/>
      <c r="G31" s="22" t="s">
        <v>2277</v>
      </c>
      <c r="H31" s="23" t="str">
        <f t="shared" si="0"/>
        <v>,ct_cell_records bigint comment '关联电信小区信令记录数'</v>
      </c>
      <c r="I31" s="25"/>
      <c r="J31" s="25" t="s">
        <v>284</v>
      </c>
      <c r="K31" s="25" t="s">
        <v>209</v>
      </c>
      <c r="L31" s="25" t="s">
        <v>285</v>
      </c>
    </row>
    <row r="32" spans="2:12" s="1" customFormat="1" ht="52.8">
      <c r="B32" s="13" t="s">
        <v>2278</v>
      </c>
      <c r="C32" s="13" t="s">
        <v>281</v>
      </c>
      <c r="D32" s="9" t="s">
        <v>2279</v>
      </c>
      <c r="E32" s="21" t="s">
        <v>2254</v>
      </c>
      <c r="F32" s="19"/>
      <c r="G32" s="22" t="s">
        <v>2277</v>
      </c>
      <c r="H32" s="23" t="str">
        <f t="shared" si="0"/>
        <v>,cu_cell_records bigint comment '关联联通小区信令记录数'</v>
      </c>
      <c r="I32" s="25"/>
      <c r="J32" s="25" t="s">
        <v>284</v>
      </c>
      <c r="K32" s="25" t="s">
        <v>209</v>
      </c>
      <c r="L32" s="25" t="s">
        <v>285</v>
      </c>
    </row>
    <row r="33" spans="2:17" s="1" customFormat="1" ht="66">
      <c r="B33" s="13" t="s">
        <v>2280</v>
      </c>
      <c r="C33" s="13" t="s">
        <v>281</v>
      </c>
      <c r="D33" s="9" t="s">
        <v>2281</v>
      </c>
      <c r="E33" s="21" t="s">
        <v>1430</v>
      </c>
      <c r="F33" s="19"/>
      <c r="G33" s="22" t="s">
        <v>2277</v>
      </c>
      <c r="H33" s="23" t="str">
        <f t="shared" si="0"/>
        <v>,ct_corrected_cell_records bigint comment '关联电信纠偏表小区信令记录数'</v>
      </c>
      <c r="I33" s="25"/>
      <c r="J33" s="25" t="s">
        <v>284</v>
      </c>
      <c r="K33" s="25" t="s">
        <v>209</v>
      </c>
      <c r="L33" s="25" t="s">
        <v>285</v>
      </c>
    </row>
    <row r="34" spans="2:17" s="1" customFormat="1" ht="39.6">
      <c r="B34" s="13" t="s">
        <v>2282</v>
      </c>
      <c r="C34" s="13" t="s">
        <v>211</v>
      </c>
      <c r="D34" s="9" t="s">
        <v>2283</v>
      </c>
      <c r="E34" s="21" t="s">
        <v>182</v>
      </c>
      <c r="F34" s="19"/>
      <c r="G34" s="22" t="s">
        <v>2284</v>
      </c>
      <c r="H34" s="23" t="str">
        <f t="shared" si="0"/>
        <v>,mdn_cnt int comment '用户数'</v>
      </c>
      <c r="I34" s="25"/>
      <c r="J34" s="25" t="s">
        <v>284</v>
      </c>
      <c r="K34" s="25" t="s">
        <v>209</v>
      </c>
      <c r="L34" s="25" t="s">
        <v>285</v>
      </c>
    </row>
    <row r="35" spans="2:17" s="1" customFormat="1" ht="52.8">
      <c r="B35" s="13" t="s">
        <v>2285</v>
      </c>
      <c r="C35" s="13" t="s">
        <v>211</v>
      </c>
      <c r="D35" s="9" t="s">
        <v>2286</v>
      </c>
      <c r="E35" s="21" t="s">
        <v>182</v>
      </c>
      <c r="F35" s="19"/>
      <c r="G35" s="22" t="s">
        <v>2287</v>
      </c>
      <c r="H35" s="23" t="str">
        <f t="shared" si="0"/>
        <v>,ctcu_cell_mdn_cnt int comment '关联电联小区用户数'</v>
      </c>
      <c r="I35" s="25"/>
      <c r="J35" s="25" t="s">
        <v>284</v>
      </c>
      <c r="K35" s="25" t="s">
        <v>209</v>
      </c>
      <c r="L35" s="25" t="s">
        <v>285</v>
      </c>
    </row>
    <row r="36" spans="2:17" s="1" customFormat="1" ht="52.8">
      <c r="B36" s="13" t="s">
        <v>2288</v>
      </c>
      <c r="C36" s="13" t="s">
        <v>319</v>
      </c>
      <c r="D36" s="9" t="s">
        <v>2289</v>
      </c>
      <c r="E36" s="21" t="s">
        <v>182</v>
      </c>
      <c r="F36" s="19"/>
      <c r="G36" s="22" t="s">
        <v>2290</v>
      </c>
      <c r="H36" s="23" t="str">
        <f t="shared" si="0"/>
        <v>,cell_fill_rate double comment '小区非空率'</v>
      </c>
      <c r="I36" s="25"/>
      <c r="J36" s="25" t="s">
        <v>284</v>
      </c>
      <c r="K36" s="25" t="s">
        <v>209</v>
      </c>
      <c r="L36" s="25" t="s">
        <v>322</v>
      </c>
    </row>
    <row r="37" spans="2:17" s="1" customFormat="1" ht="52.8">
      <c r="B37" s="13" t="s">
        <v>2291</v>
      </c>
      <c r="C37" s="13" t="s">
        <v>319</v>
      </c>
      <c r="D37" s="9" t="s">
        <v>2292</v>
      </c>
      <c r="E37" s="21" t="s">
        <v>2264</v>
      </c>
      <c r="F37" s="19"/>
      <c r="G37" s="22" t="s">
        <v>2293</v>
      </c>
      <c r="H37" s="23" t="str">
        <f t="shared" si="0"/>
        <v>,cell_rel_record_rate double comment '关联工参信令占比'</v>
      </c>
      <c r="I37" s="25"/>
      <c r="J37" s="25" t="s">
        <v>284</v>
      </c>
      <c r="K37" s="25" t="s">
        <v>209</v>
      </c>
      <c r="L37" s="25" t="s">
        <v>322</v>
      </c>
    </row>
    <row r="38" spans="2:17" s="1" customFormat="1" ht="66">
      <c r="B38" s="13" t="s">
        <v>2294</v>
      </c>
      <c r="C38" s="26" t="s">
        <v>319</v>
      </c>
      <c r="D38" s="9" t="s">
        <v>2295</v>
      </c>
      <c r="E38" s="21" t="s">
        <v>2264</v>
      </c>
      <c r="F38" s="19"/>
      <c r="G38" s="22" t="s">
        <v>2296</v>
      </c>
      <c r="H38" s="23" t="str">
        <f t="shared" si="0"/>
        <v>,norel_mdn_rate double comment '关联工参丢失用户数占比'</v>
      </c>
      <c r="I38" s="25"/>
      <c r="J38" s="25" t="s">
        <v>284</v>
      </c>
      <c r="K38" s="25" t="s">
        <v>209</v>
      </c>
      <c r="L38" s="25" t="s">
        <v>322</v>
      </c>
    </row>
    <row r="39" spans="2:17" s="1" customFormat="1" ht="52.8">
      <c r="B39" s="13" t="s">
        <v>2297</v>
      </c>
      <c r="C39" s="26" t="s">
        <v>211</v>
      </c>
      <c r="D39" s="9" t="s">
        <v>2298</v>
      </c>
      <c r="E39" s="21" t="s">
        <v>2264</v>
      </c>
      <c r="F39" s="19"/>
      <c r="G39" s="22" t="s">
        <v>2299</v>
      </c>
      <c r="H39" s="23" t="str">
        <f t="shared" si="0"/>
        <v>,norel_mdn_cnt int comment '关联工参丢失用户数'</v>
      </c>
      <c r="I39" s="25"/>
      <c r="J39" s="25" t="s">
        <v>284</v>
      </c>
      <c r="K39" s="25" t="s">
        <v>209</v>
      </c>
      <c r="L39" s="25" t="s">
        <v>285</v>
      </c>
    </row>
    <row r="40" spans="2:17" s="2" customFormat="1">
      <c r="B40" s="14" t="s">
        <v>222</v>
      </c>
      <c r="C40" s="15" t="s">
        <v>211</v>
      </c>
      <c r="D40" s="16" t="s">
        <v>344</v>
      </c>
      <c r="E40" s="24"/>
      <c r="F40" s="24"/>
      <c r="G40" s="24" t="s">
        <v>1892</v>
      </c>
      <c r="H40" s="24"/>
      <c r="I40" s="14"/>
      <c r="J40" s="14"/>
      <c r="K40" s="14"/>
      <c r="L40" s="14"/>
      <c r="M40" s="14"/>
      <c r="N40" s="14"/>
      <c r="O40" s="14"/>
      <c r="P40" s="14"/>
      <c r="Q40" s="14"/>
    </row>
    <row r="41" spans="2:17" s="2" customFormat="1">
      <c r="B41" s="14" t="s">
        <v>0</v>
      </c>
      <c r="C41" s="15" t="s">
        <v>206</v>
      </c>
      <c r="D41" s="16" t="s">
        <v>345</v>
      </c>
      <c r="E41" s="24"/>
      <c r="F41" s="24"/>
      <c r="G41" s="24" t="s">
        <v>1892</v>
      </c>
      <c r="H41" s="24"/>
      <c r="I41" s="14"/>
      <c r="J41" s="14"/>
      <c r="K41" s="14"/>
      <c r="L41" s="14"/>
      <c r="M41" s="14"/>
      <c r="N41" s="14"/>
      <c r="O41" s="14"/>
      <c r="P41" s="14"/>
      <c r="Q41" s="14"/>
    </row>
  </sheetData>
  <mergeCells count="4">
    <mergeCell ref="B2:H2"/>
    <mergeCell ref="B3:H3"/>
    <mergeCell ref="B7:H7"/>
    <mergeCell ref="B14:L14"/>
  </mergeCells>
  <phoneticPr fontId="33" type="noConversion"/>
  <pageMargins left="0.7" right="0.7" top="0.75" bottom="0.75"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Q25"/>
  <sheetViews>
    <sheetView zoomScale="85" zoomScaleNormal="85" workbookViewId="0">
      <pane ySplit="5" topLeftCell="A6" activePane="bottomLeft" state="frozen"/>
      <selection pane="bottomLeft"/>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11" t="s">
        <v>172</v>
      </c>
      <c r="G4" s="11" t="s">
        <v>43</v>
      </c>
      <c r="H4" s="7" t="s">
        <v>173</v>
      </c>
    </row>
    <row r="5" spans="2:14">
      <c r="B5" s="8" t="s">
        <v>105</v>
      </c>
      <c r="C5" s="9" t="s">
        <v>166</v>
      </c>
      <c r="D5" s="10" t="s">
        <v>167</v>
      </c>
      <c r="E5" s="12" t="s">
        <v>205</v>
      </c>
      <c r="F5" s="17"/>
      <c r="G5" s="12"/>
      <c r="H5" s="12"/>
      <c r="N5" s="3"/>
    </row>
    <row r="6" spans="2:14">
      <c r="B6" s="6"/>
      <c r="C6" s="6"/>
      <c r="D6" s="6"/>
      <c r="E6" s="6"/>
      <c r="F6" s="18"/>
      <c r="G6" s="18"/>
      <c r="H6" s="6"/>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c r="B9" s="12"/>
      <c r="C9" s="9" t="s">
        <v>160</v>
      </c>
      <c r="D9" s="10" t="s">
        <v>161</v>
      </c>
      <c r="E9" s="12" t="s">
        <v>182</v>
      </c>
      <c r="F9" s="204" t="s">
        <v>2300</v>
      </c>
      <c r="G9" s="19" t="s">
        <v>2232</v>
      </c>
      <c r="H9" s="20" t="s">
        <v>63</v>
      </c>
    </row>
    <row r="10" spans="2:14">
      <c r="B10" s="12"/>
      <c r="C10" s="9" t="s">
        <v>183</v>
      </c>
      <c r="D10" s="10" t="s">
        <v>2233</v>
      </c>
      <c r="E10" s="12" t="s">
        <v>418</v>
      </c>
      <c r="F10" s="205"/>
      <c r="G10" s="19"/>
      <c r="H10" s="20"/>
    </row>
    <row r="11" spans="2:14">
      <c r="B11" s="12"/>
      <c r="C11" s="9" t="s">
        <v>2234</v>
      </c>
      <c r="D11" s="10" t="s">
        <v>2235</v>
      </c>
      <c r="E11" s="12" t="s">
        <v>789</v>
      </c>
      <c r="F11" s="206"/>
      <c r="G11" s="19"/>
      <c r="H11" s="20"/>
    </row>
    <row r="12" spans="2:14">
      <c r="B12" s="12"/>
      <c r="C12" s="9"/>
      <c r="D12" s="10"/>
      <c r="E12" s="12"/>
      <c r="F12" s="19"/>
      <c r="G12" s="19"/>
      <c r="H12" s="20"/>
    </row>
    <row r="13" spans="2:14">
      <c r="B13" s="3" t="s">
        <v>194</v>
      </c>
    </row>
    <row r="14" spans="2:14">
      <c r="B14" s="181" t="s">
        <v>194</v>
      </c>
      <c r="C14" s="181"/>
      <c r="D14" s="181"/>
      <c r="E14" s="181"/>
      <c r="F14" s="181"/>
      <c r="G14" s="181"/>
      <c r="H14" s="181"/>
      <c r="I14" s="181"/>
      <c r="J14" s="181"/>
      <c r="K14" s="181"/>
      <c r="L14" s="181"/>
    </row>
    <row r="15" spans="2:14">
      <c r="B15" s="7" t="s">
        <v>195</v>
      </c>
      <c r="C15" s="7" t="s">
        <v>196</v>
      </c>
      <c r="D15" s="7" t="s">
        <v>197</v>
      </c>
      <c r="E15" s="7" t="s">
        <v>198</v>
      </c>
      <c r="F15" s="11" t="s">
        <v>199</v>
      </c>
      <c r="G15" s="11" t="s">
        <v>200</v>
      </c>
      <c r="H15" s="7" t="s">
        <v>201</v>
      </c>
      <c r="I15" s="7" t="s">
        <v>53</v>
      </c>
      <c r="J15" s="7" t="s">
        <v>202</v>
      </c>
      <c r="K15" s="7" t="s">
        <v>203</v>
      </c>
      <c r="L15" s="7" t="s">
        <v>204</v>
      </c>
    </row>
    <row r="16" spans="2:14" s="1" customFormat="1" ht="39.6">
      <c r="B16" s="13" t="s">
        <v>2301</v>
      </c>
      <c r="C16" s="13" t="s">
        <v>211</v>
      </c>
      <c r="D16" s="9" t="s">
        <v>2302</v>
      </c>
      <c r="E16" s="21" t="s">
        <v>182</v>
      </c>
      <c r="F16" s="19"/>
      <c r="G16" s="22" t="s">
        <v>734</v>
      </c>
      <c r="H16" s="23" t="str">
        <f t="shared" ref="H16:H23" si="0">_xlfn.CONCAT(",",B16," ",C16," comment '",D16,"'")</f>
        <v>,gnodebid int comment '基站编码'</v>
      </c>
      <c r="I16" s="25"/>
      <c r="J16" s="25" t="s">
        <v>4</v>
      </c>
      <c r="K16" s="25" t="s">
        <v>209</v>
      </c>
      <c r="L16" s="25" t="s">
        <v>209</v>
      </c>
    </row>
    <row r="17" spans="2:17" s="1" customFormat="1" ht="39.6">
      <c r="B17" s="13" t="s">
        <v>454</v>
      </c>
      <c r="C17" s="13" t="s">
        <v>211</v>
      </c>
      <c r="D17" s="9" t="s">
        <v>2303</v>
      </c>
      <c r="E17" s="21" t="s">
        <v>182</v>
      </c>
      <c r="F17" s="19"/>
      <c r="G17" s="22" t="s">
        <v>735</v>
      </c>
      <c r="H17" s="23" t="str">
        <f t="shared" si="0"/>
        <v>,cellid int comment '扇区编码'</v>
      </c>
      <c r="I17" s="25"/>
      <c r="J17" s="25" t="s">
        <v>4</v>
      </c>
      <c r="K17" s="25" t="s">
        <v>209</v>
      </c>
      <c r="L17" s="25" t="s">
        <v>209</v>
      </c>
    </row>
    <row r="18" spans="2:17" s="1" customFormat="1" ht="39.6">
      <c r="B18" s="13" t="s">
        <v>1330</v>
      </c>
      <c r="C18" s="13" t="s">
        <v>281</v>
      </c>
      <c r="D18" s="9" t="s">
        <v>2304</v>
      </c>
      <c r="E18" s="21" t="s">
        <v>182</v>
      </c>
      <c r="F18" s="19" t="s">
        <v>447</v>
      </c>
      <c r="G18" s="22" t="s">
        <v>208</v>
      </c>
      <c r="H18" s="23" t="str">
        <f t="shared" si="0"/>
        <v>,ci bigint comment '小区CI'</v>
      </c>
      <c r="I18" s="25"/>
      <c r="J18" s="25" t="s">
        <v>4</v>
      </c>
      <c r="K18" s="25" t="s">
        <v>209</v>
      </c>
      <c r="L18" s="25" t="s">
        <v>209</v>
      </c>
    </row>
    <row r="19" spans="2:17" s="1" customFormat="1" ht="39.6">
      <c r="B19" s="13" t="s">
        <v>1328</v>
      </c>
      <c r="C19" s="13" t="s">
        <v>281</v>
      </c>
      <c r="D19" s="9" t="s">
        <v>2305</v>
      </c>
      <c r="E19" s="21" t="s">
        <v>182</v>
      </c>
      <c r="F19" s="19" t="s">
        <v>1328</v>
      </c>
      <c r="G19" s="22" t="s">
        <v>208</v>
      </c>
      <c r="H19" s="23" t="str">
        <f t="shared" si="0"/>
        <v>,tac bigint comment '小区TAC'</v>
      </c>
      <c r="I19" s="25"/>
      <c r="J19" s="25" t="s">
        <v>4</v>
      </c>
      <c r="K19" s="25" t="s">
        <v>209</v>
      </c>
      <c r="L19" s="25" t="s">
        <v>209</v>
      </c>
    </row>
    <row r="20" spans="2:17" s="1" customFormat="1" ht="39.6">
      <c r="B20" s="13" t="s">
        <v>2306</v>
      </c>
      <c r="C20" s="13" t="s">
        <v>206</v>
      </c>
      <c r="D20" s="9" t="s">
        <v>1557</v>
      </c>
      <c r="E20" s="21" t="s">
        <v>182</v>
      </c>
      <c r="F20" s="19" t="s">
        <v>1267</v>
      </c>
      <c r="G20" s="22" t="s">
        <v>208</v>
      </c>
      <c r="H20" s="23" t="str">
        <f t="shared" si="0"/>
        <v>,enodebip string comment '基站IP地址'</v>
      </c>
      <c r="I20" s="25"/>
      <c r="J20" s="25" t="s">
        <v>4</v>
      </c>
      <c r="K20" s="25" t="s">
        <v>209</v>
      </c>
      <c r="L20" s="25" t="s">
        <v>209</v>
      </c>
    </row>
    <row r="21" spans="2:17" s="1" customFormat="1" ht="39.6">
      <c r="B21" s="13" t="s">
        <v>2211</v>
      </c>
      <c r="C21" s="13" t="s">
        <v>281</v>
      </c>
      <c r="D21" s="9" t="s">
        <v>2307</v>
      </c>
      <c r="E21" s="21" t="s">
        <v>182</v>
      </c>
      <c r="F21" s="19"/>
      <c r="G21" s="22" t="s">
        <v>2271</v>
      </c>
      <c r="H21" s="23" t="str">
        <f t="shared" si="0"/>
        <v>,records bigint comment 'MME记录数'</v>
      </c>
      <c r="I21" s="25"/>
      <c r="J21" s="25" t="s">
        <v>284</v>
      </c>
      <c r="K21" s="25" t="s">
        <v>209</v>
      </c>
      <c r="L21" s="25" t="s">
        <v>285</v>
      </c>
    </row>
    <row r="22" spans="2:17" s="1" customFormat="1" ht="39.6">
      <c r="B22" s="13" t="s">
        <v>220</v>
      </c>
      <c r="C22" s="13" t="s">
        <v>211</v>
      </c>
      <c r="D22" s="9" t="s">
        <v>221</v>
      </c>
      <c r="E22" s="21" t="s">
        <v>182</v>
      </c>
      <c r="F22" s="19" t="s">
        <v>222</v>
      </c>
      <c r="G22" s="22" t="s">
        <v>208</v>
      </c>
      <c r="H22" s="23" t="str">
        <f t="shared" si="0"/>
        <v>,provincecode int comment '省编码'</v>
      </c>
      <c r="I22" s="25"/>
      <c r="J22" s="25" t="s">
        <v>4</v>
      </c>
      <c r="K22" s="25" t="s">
        <v>209</v>
      </c>
      <c r="L22" s="25" t="s">
        <v>209</v>
      </c>
    </row>
    <row r="23" spans="2:17" s="1" customFormat="1" ht="26.4">
      <c r="B23" s="13" t="s">
        <v>205</v>
      </c>
      <c r="C23" s="13" t="s">
        <v>206</v>
      </c>
      <c r="D23" s="9" t="s">
        <v>207</v>
      </c>
      <c r="E23" s="21" t="s">
        <v>182</v>
      </c>
      <c r="F23" s="19" t="s">
        <v>0</v>
      </c>
      <c r="G23" s="22" t="s">
        <v>208</v>
      </c>
      <c r="H23" s="23" t="str">
        <f t="shared" si="0"/>
        <v>,day string comment '日期'</v>
      </c>
      <c r="I23" s="25"/>
      <c r="J23" s="25" t="s">
        <v>4</v>
      </c>
      <c r="K23" s="25" t="s">
        <v>209</v>
      </c>
      <c r="L23" s="25" t="s">
        <v>209</v>
      </c>
    </row>
    <row r="24" spans="2:17" s="2" customFormat="1">
      <c r="B24" s="14" t="s">
        <v>222</v>
      </c>
      <c r="C24" s="15" t="s">
        <v>211</v>
      </c>
      <c r="D24" s="16" t="s">
        <v>344</v>
      </c>
      <c r="E24" s="24"/>
      <c r="F24" s="24"/>
      <c r="G24" s="24" t="s">
        <v>1892</v>
      </c>
      <c r="H24" s="24"/>
      <c r="I24" s="14"/>
      <c r="J24" s="14"/>
      <c r="K24" s="14"/>
      <c r="L24" s="14"/>
      <c r="M24" s="14"/>
      <c r="N24" s="14"/>
      <c r="O24" s="14"/>
      <c r="P24" s="14"/>
      <c r="Q24" s="14"/>
    </row>
    <row r="25" spans="2:17" s="2" customFormat="1">
      <c r="B25" s="14" t="s">
        <v>0</v>
      </c>
      <c r="C25" s="15" t="s">
        <v>206</v>
      </c>
      <c r="D25" s="16" t="s">
        <v>345</v>
      </c>
      <c r="E25" s="24"/>
      <c r="F25" s="24"/>
      <c r="G25" s="24" t="s">
        <v>1892</v>
      </c>
      <c r="H25" s="24"/>
      <c r="I25" s="14"/>
      <c r="J25" s="14"/>
      <c r="K25" s="14"/>
      <c r="L25" s="14"/>
      <c r="M25" s="14"/>
      <c r="N25" s="14"/>
      <c r="O25" s="14"/>
      <c r="P25" s="14"/>
      <c r="Q25" s="14"/>
    </row>
  </sheetData>
  <mergeCells count="5">
    <mergeCell ref="B2:H2"/>
    <mergeCell ref="B3:H3"/>
    <mergeCell ref="B7:H7"/>
    <mergeCell ref="B14:L14"/>
    <mergeCell ref="F9:F11"/>
  </mergeCells>
  <phoneticPr fontId="33" type="noConversion"/>
  <pageMargins left="0.7" right="0.7" top="0.75" bottom="0.75"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B87B-A303-4EE4-8C22-DAF57098A0A4}">
  <dimension ref="A1:Q26"/>
  <sheetViews>
    <sheetView zoomScale="85" zoomScaleNormal="85" workbookViewId="0">
      <pane ySplit="5" topLeftCell="A6" activePane="bottomLeft" state="frozen"/>
      <selection pane="bottomLeft" activeCell="C15" sqref="C15"/>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11" t="s">
        <v>172</v>
      </c>
      <c r="G4" s="11" t="s">
        <v>43</v>
      </c>
      <c r="H4" s="11" t="s">
        <v>173</v>
      </c>
    </row>
    <row r="5" spans="2:14">
      <c r="B5" s="8" t="s">
        <v>105</v>
      </c>
      <c r="C5" s="9" t="s">
        <v>2313</v>
      </c>
      <c r="D5" s="10" t="s">
        <v>2315</v>
      </c>
      <c r="E5" s="12" t="s">
        <v>205</v>
      </c>
      <c r="F5" s="17"/>
      <c r="G5" s="12"/>
      <c r="H5" s="12"/>
      <c r="N5" s="3"/>
    </row>
    <row r="6" spans="2:14">
      <c r="B6" s="6"/>
      <c r="C6" s="6"/>
      <c r="D6" s="6"/>
      <c r="E6" s="6"/>
      <c r="F6" s="18"/>
      <c r="G6" s="18"/>
      <c r="H6" s="18"/>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ht="13.2" customHeight="1">
      <c r="B9" s="12"/>
      <c r="C9" s="9" t="s">
        <v>153</v>
      </c>
      <c r="D9" s="10" t="s">
        <v>154</v>
      </c>
      <c r="E9" s="12" t="s">
        <v>182</v>
      </c>
      <c r="F9" s="22"/>
      <c r="G9" s="19"/>
      <c r="H9" s="20" t="s">
        <v>63</v>
      </c>
    </row>
    <row r="10" spans="2:14">
      <c r="B10" s="12"/>
      <c r="C10" s="9" t="s">
        <v>2318</v>
      </c>
      <c r="D10" s="10" t="s">
        <v>2319</v>
      </c>
      <c r="E10" s="12" t="s">
        <v>418</v>
      </c>
      <c r="F10" s="22"/>
      <c r="G10" s="19"/>
      <c r="H10" s="20"/>
    </row>
    <row r="11" spans="2:14">
      <c r="B11" s="12"/>
      <c r="C11" s="9"/>
      <c r="D11" s="10"/>
      <c r="E11" s="12"/>
      <c r="F11" s="19"/>
      <c r="G11" s="19"/>
      <c r="H11" s="20"/>
    </row>
    <row r="12" spans="2:14">
      <c r="B12" s="3" t="s">
        <v>194</v>
      </c>
    </row>
    <row r="13" spans="2:14">
      <c r="B13" s="181" t="s">
        <v>194</v>
      </c>
      <c r="C13" s="181"/>
      <c r="D13" s="181"/>
      <c r="E13" s="181"/>
      <c r="F13" s="181"/>
      <c r="G13" s="181"/>
      <c r="H13" s="181"/>
      <c r="I13" s="181"/>
      <c r="J13" s="181"/>
      <c r="K13" s="181"/>
      <c r="L13" s="181"/>
    </row>
    <row r="14" spans="2:14">
      <c r="B14" s="7" t="s">
        <v>195</v>
      </c>
      <c r="C14" s="7" t="s">
        <v>196</v>
      </c>
      <c r="D14" s="7" t="s">
        <v>197</v>
      </c>
      <c r="E14" s="7" t="s">
        <v>198</v>
      </c>
      <c r="F14" s="11" t="s">
        <v>199</v>
      </c>
      <c r="G14" s="11" t="s">
        <v>200</v>
      </c>
      <c r="H14" s="11" t="s">
        <v>201</v>
      </c>
      <c r="I14" s="7" t="s">
        <v>53</v>
      </c>
      <c r="J14" s="7" t="s">
        <v>202</v>
      </c>
      <c r="K14" s="7" t="s">
        <v>203</v>
      </c>
      <c r="L14" s="7" t="s">
        <v>204</v>
      </c>
    </row>
    <row r="15" spans="2:14" s="1" customFormat="1">
      <c r="B15" s="13" t="s">
        <v>1150</v>
      </c>
      <c r="C15" s="13" t="s">
        <v>206</v>
      </c>
      <c r="D15" s="9" t="s">
        <v>2324</v>
      </c>
      <c r="E15" s="12" t="s">
        <v>2332</v>
      </c>
      <c r="F15" s="12"/>
      <c r="G15" s="22" t="s">
        <v>2333</v>
      </c>
      <c r="H15" s="164"/>
      <c r="I15" s="25"/>
      <c r="J15" s="25" t="s">
        <v>2340</v>
      </c>
      <c r="K15" s="25" t="s">
        <v>2341</v>
      </c>
      <c r="L15" s="25" t="s">
        <v>2342</v>
      </c>
    </row>
    <row r="16" spans="2:14" s="1" customFormat="1">
      <c r="B16" s="13" t="s">
        <v>220</v>
      </c>
      <c r="C16" s="13" t="s">
        <v>211</v>
      </c>
      <c r="D16" s="9" t="s">
        <v>221</v>
      </c>
      <c r="E16" s="12" t="s">
        <v>2332</v>
      </c>
      <c r="F16" s="9" t="s">
        <v>2334</v>
      </c>
      <c r="G16" s="22" t="s">
        <v>2335</v>
      </c>
      <c r="H16" s="164"/>
      <c r="I16" s="25"/>
      <c r="J16" s="25" t="s">
        <v>2340</v>
      </c>
      <c r="K16" s="25" t="s">
        <v>2341</v>
      </c>
      <c r="L16" s="25" t="s">
        <v>2341</v>
      </c>
    </row>
    <row r="17" spans="2:17" s="1" customFormat="1">
      <c r="B17" s="13" t="s">
        <v>205</v>
      </c>
      <c r="C17" s="13" t="s">
        <v>206</v>
      </c>
      <c r="D17" s="9" t="s">
        <v>2236</v>
      </c>
      <c r="E17" s="12" t="s">
        <v>2332</v>
      </c>
      <c r="F17" s="9" t="s">
        <v>2336</v>
      </c>
      <c r="G17" s="22" t="s">
        <v>2335</v>
      </c>
      <c r="H17" s="164"/>
      <c r="I17" s="25"/>
      <c r="J17" s="25" t="s">
        <v>2340</v>
      </c>
      <c r="K17" s="25" t="s">
        <v>2341</v>
      </c>
      <c r="L17" s="25" t="s">
        <v>2341</v>
      </c>
    </row>
    <row r="18" spans="2:17" s="1" customFormat="1">
      <c r="B18" s="13" t="s">
        <v>2337</v>
      </c>
      <c r="C18" s="13" t="s">
        <v>206</v>
      </c>
      <c r="D18" s="9" t="s">
        <v>2325</v>
      </c>
      <c r="E18" s="12" t="s">
        <v>2332</v>
      </c>
      <c r="F18" s="9" t="s">
        <v>2337</v>
      </c>
      <c r="G18" s="22" t="s">
        <v>2335</v>
      </c>
      <c r="H18" s="164"/>
      <c r="I18" s="25"/>
      <c r="J18" s="25" t="s">
        <v>2340</v>
      </c>
      <c r="K18" s="25" t="s">
        <v>2341</v>
      </c>
      <c r="L18" s="25" t="s">
        <v>2341</v>
      </c>
    </row>
    <row r="19" spans="2:17" s="1" customFormat="1" ht="26.4">
      <c r="B19" s="13" t="s">
        <v>2379</v>
      </c>
      <c r="C19" s="13" t="s">
        <v>206</v>
      </c>
      <c r="D19" s="9" t="s">
        <v>2326</v>
      </c>
      <c r="E19" s="12" t="s">
        <v>2332</v>
      </c>
      <c r="F19" s="27" t="s">
        <v>2338</v>
      </c>
      <c r="G19" s="22" t="s">
        <v>2335</v>
      </c>
      <c r="H19" s="164"/>
      <c r="I19" s="25"/>
      <c r="J19" s="25" t="s">
        <v>2340</v>
      </c>
      <c r="K19" s="25" t="s">
        <v>2341</v>
      </c>
      <c r="L19" s="25" t="s">
        <v>2341</v>
      </c>
    </row>
    <row r="20" spans="2:17" s="1" customFormat="1">
      <c r="B20" s="13" t="s">
        <v>2320</v>
      </c>
      <c r="C20" s="13" t="s">
        <v>211</v>
      </c>
      <c r="D20" s="9" t="s">
        <v>2328</v>
      </c>
      <c r="E20" s="12" t="s">
        <v>2332</v>
      </c>
      <c r="F20" s="12"/>
      <c r="G20" s="9" t="s">
        <v>2328</v>
      </c>
      <c r="H20" s="164"/>
      <c r="I20" s="25"/>
      <c r="J20" s="25" t="s">
        <v>2343</v>
      </c>
      <c r="K20" s="25" t="s">
        <v>2341</v>
      </c>
      <c r="L20" s="25" t="s">
        <v>2344</v>
      </c>
    </row>
    <row r="21" spans="2:17" s="1" customFormat="1">
      <c r="B21" s="13" t="s">
        <v>2321</v>
      </c>
      <c r="C21" s="13" t="s">
        <v>211</v>
      </c>
      <c r="D21" s="9" t="s">
        <v>2327</v>
      </c>
      <c r="E21" s="12" t="s">
        <v>2332</v>
      </c>
      <c r="F21" s="12"/>
      <c r="G21" s="9" t="s">
        <v>2327</v>
      </c>
      <c r="H21" s="164"/>
      <c r="I21" s="25"/>
      <c r="J21" s="25" t="s">
        <v>2343</v>
      </c>
      <c r="K21" s="25" t="s">
        <v>2341</v>
      </c>
      <c r="L21" s="25" t="s">
        <v>2344</v>
      </c>
    </row>
    <row r="22" spans="2:17" s="1" customFormat="1">
      <c r="B22" s="13" t="s">
        <v>2322</v>
      </c>
      <c r="C22" s="13" t="s">
        <v>206</v>
      </c>
      <c r="D22" s="9" t="s">
        <v>2329</v>
      </c>
      <c r="E22" s="12" t="s">
        <v>2332</v>
      </c>
      <c r="F22" s="12"/>
      <c r="G22" s="9" t="s">
        <v>2329</v>
      </c>
      <c r="H22" s="164"/>
      <c r="I22" s="25"/>
      <c r="J22" s="25" t="s">
        <v>2343</v>
      </c>
      <c r="K22" s="25" t="s">
        <v>2341</v>
      </c>
      <c r="L22" s="25" t="s">
        <v>2345</v>
      </c>
    </row>
    <row r="23" spans="2:17" s="1" customFormat="1">
      <c r="B23" s="13" t="s">
        <v>2323</v>
      </c>
      <c r="C23" s="26" t="s">
        <v>206</v>
      </c>
      <c r="D23" s="9" t="s">
        <v>2330</v>
      </c>
      <c r="E23" s="12" t="s">
        <v>2332</v>
      </c>
      <c r="F23" s="12"/>
      <c r="G23" s="9" t="s">
        <v>2330</v>
      </c>
      <c r="H23" s="164"/>
      <c r="I23" s="25"/>
      <c r="J23" s="25" t="s">
        <v>2343</v>
      </c>
      <c r="K23" s="25" t="s">
        <v>2341</v>
      </c>
      <c r="L23" s="25" t="s">
        <v>2346</v>
      </c>
    </row>
    <row r="24" spans="2:17" s="1" customFormat="1">
      <c r="B24" s="13" t="s">
        <v>2450</v>
      </c>
      <c r="C24" s="26" t="s">
        <v>206</v>
      </c>
      <c r="D24" s="9" t="s">
        <v>2331</v>
      </c>
      <c r="E24" s="12" t="s">
        <v>2332</v>
      </c>
      <c r="F24" s="12"/>
      <c r="G24" s="9" t="s">
        <v>2339</v>
      </c>
      <c r="H24" s="164"/>
      <c r="I24" s="25"/>
      <c r="J24" s="25" t="s">
        <v>2343</v>
      </c>
      <c r="K24" s="25" t="s">
        <v>2341</v>
      </c>
      <c r="L24" s="25" t="s">
        <v>2347</v>
      </c>
    </row>
    <row r="25" spans="2:17" s="2" customFormat="1">
      <c r="B25" s="14" t="s">
        <v>222</v>
      </c>
      <c r="C25" s="15" t="s">
        <v>211</v>
      </c>
      <c r="D25" s="16" t="s">
        <v>344</v>
      </c>
      <c r="E25" s="24"/>
      <c r="F25" s="24"/>
      <c r="G25" s="24" t="s">
        <v>1892</v>
      </c>
      <c r="H25" s="24"/>
      <c r="I25" s="14"/>
      <c r="J25" s="14"/>
      <c r="K25" s="14"/>
      <c r="L25" s="14"/>
      <c r="M25" s="14"/>
      <c r="N25" s="14"/>
      <c r="O25" s="14"/>
      <c r="P25" s="14"/>
      <c r="Q25" s="14"/>
    </row>
    <row r="26" spans="2:17" s="2" customFormat="1">
      <c r="B26" s="14" t="s">
        <v>0</v>
      </c>
      <c r="C26" s="15" t="s">
        <v>206</v>
      </c>
      <c r="D26" s="16" t="s">
        <v>345</v>
      </c>
      <c r="E26" s="24"/>
      <c r="F26" s="24"/>
      <c r="G26" s="24" t="s">
        <v>1892</v>
      </c>
      <c r="H26" s="24"/>
      <c r="I26" s="14"/>
      <c r="J26" s="14"/>
      <c r="K26" s="14"/>
      <c r="L26" s="14"/>
      <c r="M26" s="14"/>
      <c r="N26" s="14"/>
      <c r="O26" s="14"/>
      <c r="P26" s="14"/>
      <c r="Q26" s="14"/>
    </row>
  </sheetData>
  <mergeCells count="4">
    <mergeCell ref="B2:H2"/>
    <mergeCell ref="B3:H3"/>
    <mergeCell ref="B7:H7"/>
    <mergeCell ref="B13:L13"/>
  </mergeCells>
  <phoneticPr fontId="33" type="noConversion"/>
  <pageMargins left="0.7" right="0.7" top="0.75" bottom="0.75"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262A-96E3-47C4-B0FD-151702CB33F2}">
  <dimension ref="A1:Q25"/>
  <sheetViews>
    <sheetView zoomScale="85" zoomScaleNormal="85" workbookViewId="0">
      <pane ySplit="5" topLeftCell="A6" activePane="bottomLeft" state="frozen"/>
      <selection pane="bottomLeft" activeCell="D21" sqref="D21"/>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80"/>
      <c r="C2" s="180"/>
      <c r="D2" s="180"/>
      <c r="E2" s="180"/>
      <c r="F2" s="180"/>
      <c r="G2" s="180"/>
      <c r="H2" s="180"/>
    </row>
    <row r="3" spans="2:14">
      <c r="B3" s="181" t="s">
        <v>168</v>
      </c>
      <c r="C3" s="181"/>
      <c r="D3" s="181"/>
      <c r="E3" s="181"/>
      <c r="F3" s="181"/>
      <c r="G3" s="181"/>
      <c r="H3" s="181"/>
    </row>
    <row r="4" spans="2:14">
      <c r="B4" s="7" t="s">
        <v>40</v>
      </c>
      <c r="C4" s="7" t="s">
        <v>169</v>
      </c>
      <c r="D4" s="7" t="s">
        <v>170</v>
      </c>
      <c r="E4" s="7" t="s">
        <v>171</v>
      </c>
      <c r="F4" s="11" t="s">
        <v>172</v>
      </c>
      <c r="G4" s="11" t="s">
        <v>43</v>
      </c>
      <c r="H4" s="11" t="s">
        <v>173</v>
      </c>
    </row>
    <row r="5" spans="2:14">
      <c r="B5" s="8" t="s">
        <v>105</v>
      </c>
      <c r="C5" s="9" t="s">
        <v>2314</v>
      </c>
      <c r="D5" s="10" t="s">
        <v>2316</v>
      </c>
      <c r="E5" s="12" t="s">
        <v>205</v>
      </c>
      <c r="F5" s="17"/>
      <c r="G5" s="12"/>
      <c r="H5" s="12"/>
      <c r="N5" s="3"/>
    </row>
    <row r="6" spans="2:14">
      <c r="B6" s="6"/>
      <c r="C6" s="6"/>
      <c r="D6" s="6"/>
      <c r="E6" s="6"/>
      <c r="F6" s="18"/>
      <c r="G6" s="18"/>
      <c r="H6" s="18"/>
    </row>
    <row r="7" spans="2:14">
      <c r="B7" s="181" t="s">
        <v>174</v>
      </c>
      <c r="C7" s="181"/>
      <c r="D7" s="181"/>
      <c r="E7" s="181"/>
      <c r="F7" s="181"/>
      <c r="G7" s="181"/>
      <c r="H7" s="181"/>
    </row>
    <row r="8" spans="2:14">
      <c r="B8" s="11" t="s">
        <v>175</v>
      </c>
      <c r="C8" s="11" t="s">
        <v>176</v>
      </c>
      <c r="D8" s="11" t="s">
        <v>177</v>
      </c>
      <c r="E8" s="11" t="s">
        <v>178</v>
      </c>
      <c r="F8" s="11" t="s">
        <v>179</v>
      </c>
      <c r="G8" s="11" t="s">
        <v>53</v>
      </c>
      <c r="H8" s="11" t="s">
        <v>180</v>
      </c>
    </row>
    <row r="9" spans="2:14" ht="13.2" customHeight="1">
      <c r="B9" s="12"/>
      <c r="C9" s="9" t="s">
        <v>153</v>
      </c>
      <c r="D9" s="10" t="s">
        <v>154</v>
      </c>
      <c r="E9" s="12" t="s">
        <v>182</v>
      </c>
      <c r="F9" s="22"/>
      <c r="G9" s="19"/>
      <c r="H9" s="20" t="s">
        <v>63</v>
      </c>
    </row>
    <row r="10" spans="2:14">
      <c r="B10" s="12"/>
      <c r="C10" s="9" t="s">
        <v>2318</v>
      </c>
      <c r="D10" s="10" t="s">
        <v>2319</v>
      </c>
      <c r="E10" s="12" t="s">
        <v>418</v>
      </c>
      <c r="F10" s="22"/>
      <c r="G10" s="19"/>
      <c r="H10" s="20"/>
    </row>
    <row r="11" spans="2:14">
      <c r="B11" s="12"/>
      <c r="C11" s="9"/>
      <c r="D11" s="10"/>
      <c r="E11" s="12"/>
      <c r="F11" s="19"/>
      <c r="G11" s="19"/>
      <c r="H11" s="20"/>
    </row>
    <row r="12" spans="2:14">
      <c r="B12" s="3" t="s">
        <v>194</v>
      </c>
    </row>
    <row r="13" spans="2:14">
      <c r="B13" s="181" t="s">
        <v>194</v>
      </c>
      <c r="C13" s="181"/>
      <c r="D13" s="181"/>
      <c r="E13" s="181"/>
      <c r="F13" s="181"/>
      <c r="G13" s="181"/>
      <c r="H13" s="181"/>
      <c r="I13" s="181"/>
      <c r="J13" s="181"/>
      <c r="K13" s="181"/>
      <c r="L13" s="181"/>
    </row>
    <row r="14" spans="2:14">
      <c r="B14" s="7" t="s">
        <v>195</v>
      </c>
      <c r="C14" s="7" t="s">
        <v>196</v>
      </c>
      <c r="D14" s="7" t="s">
        <v>197</v>
      </c>
      <c r="E14" s="7" t="s">
        <v>198</v>
      </c>
      <c r="F14" s="11" t="s">
        <v>199</v>
      </c>
      <c r="G14" s="11" t="s">
        <v>200</v>
      </c>
      <c r="H14" s="11" t="s">
        <v>201</v>
      </c>
      <c r="I14" s="7" t="s">
        <v>53</v>
      </c>
      <c r="J14" s="7" t="s">
        <v>202</v>
      </c>
      <c r="K14" s="7" t="s">
        <v>203</v>
      </c>
      <c r="L14" s="7" t="s">
        <v>204</v>
      </c>
    </row>
    <row r="15" spans="2:14" s="1" customFormat="1">
      <c r="B15" s="13" t="s">
        <v>205</v>
      </c>
      <c r="C15" s="13" t="s">
        <v>206</v>
      </c>
      <c r="D15" s="9" t="s">
        <v>2236</v>
      </c>
      <c r="E15" s="12" t="s">
        <v>2332</v>
      </c>
      <c r="F15" s="9" t="s">
        <v>2336</v>
      </c>
      <c r="G15" s="22" t="s">
        <v>2335</v>
      </c>
      <c r="H15" s="164"/>
      <c r="I15" s="25"/>
      <c r="J15" s="25" t="s">
        <v>2340</v>
      </c>
      <c r="K15" s="25" t="s">
        <v>2341</v>
      </c>
      <c r="L15" s="25" t="s">
        <v>2341</v>
      </c>
    </row>
    <row r="16" spans="2:14" s="1" customFormat="1">
      <c r="B16" s="13" t="s">
        <v>220</v>
      </c>
      <c r="C16" s="13" t="s">
        <v>211</v>
      </c>
      <c r="D16" s="9" t="s">
        <v>221</v>
      </c>
      <c r="E16" s="12" t="s">
        <v>2332</v>
      </c>
      <c r="F16" s="9" t="s">
        <v>2334</v>
      </c>
      <c r="G16" s="22" t="s">
        <v>2335</v>
      </c>
      <c r="H16" s="164"/>
      <c r="I16" s="25"/>
      <c r="J16" s="25" t="s">
        <v>2340</v>
      </c>
      <c r="K16" s="25" t="s">
        <v>2341</v>
      </c>
      <c r="L16" s="25" t="s">
        <v>2341</v>
      </c>
    </row>
    <row r="17" spans="2:17" s="1" customFormat="1">
      <c r="B17" s="13" t="s">
        <v>1150</v>
      </c>
      <c r="C17" s="13" t="s">
        <v>206</v>
      </c>
      <c r="D17" s="9" t="s">
        <v>2324</v>
      </c>
      <c r="E17" s="12" t="s">
        <v>2332</v>
      </c>
      <c r="F17" s="9"/>
      <c r="G17" s="22" t="s">
        <v>2333</v>
      </c>
      <c r="H17" s="164"/>
      <c r="I17" s="25"/>
      <c r="J17" s="25" t="s">
        <v>2340</v>
      </c>
      <c r="K17" s="25" t="s">
        <v>2341</v>
      </c>
      <c r="L17" s="25" t="s">
        <v>2342</v>
      </c>
    </row>
    <row r="18" spans="2:17" s="1" customFormat="1" ht="39.6">
      <c r="B18" s="13" t="s">
        <v>804</v>
      </c>
      <c r="C18" s="13" t="s">
        <v>281</v>
      </c>
      <c r="D18" s="9" t="s">
        <v>2353</v>
      </c>
      <c r="E18" s="12" t="s">
        <v>2332</v>
      </c>
      <c r="F18" s="9"/>
      <c r="G18" s="22" t="s">
        <v>2359</v>
      </c>
      <c r="H18" s="164"/>
      <c r="I18" s="25"/>
      <c r="J18" s="25" t="s">
        <v>2340</v>
      </c>
      <c r="K18" s="25" t="s">
        <v>2341</v>
      </c>
      <c r="L18" s="25" t="s">
        <v>2365</v>
      </c>
    </row>
    <row r="19" spans="2:17" s="1" customFormat="1" ht="66">
      <c r="B19" s="13" t="s">
        <v>2348</v>
      </c>
      <c r="C19" s="13" t="s">
        <v>281</v>
      </c>
      <c r="D19" s="9" t="s">
        <v>2354</v>
      </c>
      <c r="E19" s="12" t="s">
        <v>2332</v>
      </c>
      <c r="F19" s="27"/>
      <c r="G19" s="22" t="s">
        <v>2360</v>
      </c>
      <c r="H19" s="164"/>
      <c r="I19" s="25"/>
      <c r="J19" s="25" t="s">
        <v>2340</v>
      </c>
      <c r="K19" s="25" t="s">
        <v>2341</v>
      </c>
      <c r="L19" s="25" t="s">
        <v>2365</v>
      </c>
    </row>
    <row r="20" spans="2:17" s="1" customFormat="1" ht="105.6">
      <c r="B20" s="13" t="s">
        <v>2349</v>
      </c>
      <c r="C20" s="13" t="s">
        <v>319</v>
      </c>
      <c r="D20" s="9" t="s">
        <v>2355</v>
      </c>
      <c r="E20" s="12" t="s">
        <v>2332</v>
      </c>
      <c r="F20" s="12"/>
      <c r="G20" s="22" t="s">
        <v>2361</v>
      </c>
      <c r="H20" s="164"/>
      <c r="I20" s="25"/>
      <c r="J20" s="25" t="s">
        <v>2343</v>
      </c>
      <c r="K20" s="25" t="s">
        <v>2341</v>
      </c>
      <c r="L20" s="25" t="s">
        <v>2364</v>
      </c>
    </row>
    <row r="21" spans="2:17" s="1" customFormat="1">
      <c r="B21" s="13" t="s">
        <v>2350</v>
      </c>
      <c r="C21" s="13" t="s">
        <v>281</v>
      </c>
      <c r="D21" s="9" t="s">
        <v>2356</v>
      </c>
      <c r="E21" s="12" t="s">
        <v>2332</v>
      </c>
      <c r="F21" s="12"/>
      <c r="G21" s="9" t="s">
        <v>2362</v>
      </c>
      <c r="H21" s="164"/>
      <c r="I21" s="25"/>
      <c r="J21" s="25" t="s">
        <v>2343</v>
      </c>
      <c r="K21" s="25" t="s">
        <v>2341</v>
      </c>
      <c r="L21" s="25" t="s">
        <v>2365</v>
      </c>
    </row>
    <row r="22" spans="2:17" s="1" customFormat="1">
      <c r="B22" s="13" t="s">
        <v>2351</v>
      </c>
      <c r="C22" s="13" t="s">
        <v>281</v>
      </c>
      <c r="D22" s="9" t="s">
        <v>2357</v>
      </c>
      <c r="E22" s="12" t="s">
        <v>2332</v>
      </c>
      <c r="F22" s="12"/>
      <c r="G22" s="9" t="s">
        <v>2357</v>
      </c>
      <c r="H22" s="164"/>
      <c r="I22" s="25"/>
      <c r="J22" s="25" t="s">
        <v>2343</v>
      </c>
      <c r="K22" s="25" t="s">
        <v>2341</v>
      </c>
      <c r="L22" s="25" t="s">
        <v>2365</v>
      </c>
    </row>
    <row r="23" spans="2:17" s="1" customFormat="1">
      <c r="B23" s="13" t="s">
        <v>2352</v>
      </c>
      <c r="C23" s="26" t="s">
        <v>319</v>
      </c>
      <c r="D23" s="9" t="s">
        <v>2358</v>
      </c>
      <c r="E23" s="12" t="s">
        <v>2332</v>
      </c>
      <c r="F23" s="12"/>
      <c r="G23" s="9" t="s">
        <v>2363</v>
      </c>
      <c r="H23" s="164"/>
      <c r="I23" s="25"/>
      <c r="J23" s="25" t="s">
        <v>2343</v>
      </c>
      <c r="K23" s="25" t="s">
        <v>2341</v>
      </c>
      <c r="L23" s="25" t="s">
        <v>2364</v>
      </c>
    </row>
    <row r="24" spans="2:17" s="2" customFormat="1">
      <c r="B24" s="14" t="s">
        <v>222</v>
      </c>
      <c r="C24" s="15" t="s">
        <v>211</v>
      </c>
      <c r="D24" s="16" t="s">
        <v>344</v>
      </c>
      <c r="E24" s="24"/>
      <c r="F24" s="24"/>
      <c r="G24" s="24" t="s">
        <v>1892</v>
      </c>
      <c r="H24" s="24"/>
      <c r="I24" s="14"/>
      <c r="J24" s="14"/>
      <c r="K24" s="14"/>
      <c r="L24" s="14"/>
      <c r="M24" s="14"/>
      <c r="N24" s="14"/>
      <c r="O24" s="14"/>
      <c r="P24" s="14"/>
      <c r="Q24" s="14"/>
    </row>
    <row r="25" spans="2:17" s="2" customFormat="1">
      <c r="B25" s="14" t="s">
        <v>0</v>
      </c>
      <c r="C25" s="15" t="s">
        <v>206</v>
      </c>
      <c r="D25" s="16" t="s">
        <v>345</v>
      </c>
      <c r="E25" s="24"/>
      <c r="F25" s="24"/>
      <c r="G25" s="24" t="s">
        <v>1892</v>
      </c>
      <c r="H25" s="24"/>
      <c r="I25" s="14"/>
      <c r="J25" s="14"/>
      <c r="K25" s="14"/>
      <c r="L25" s="14"/>
      <c r="M25" s="14"/>
      <c r="N25" s="14"/>
      <c r="O25" s="14"/>
      <c r="P25" s="14"/>
      <c r="Q25" s="14"/>
    </row>
  </sheetData>
  <mergeCells count="4">
    <mergeCell ref="B2:H2"/>
    <mergeCell ref="B3:H3"/>
    <mergeCell ref="B7:H7"/>
    <mergeCell ref="B13:L13"/>
  </mergeCells>
  <phoneticPr fontId="3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51</vt:i4>
      </vt:variant>
    </vt:vector>
  </HeadingPairs>
  <TitlesOfParts>
    <vt:vector size="51" baseType="lpstr">
      <vt:lpstr>0</vt:lpstr>
      <vt:lpstr>Sheet1</vt:lpstr>
      <vt:lpstr>导航</vt:lpstr>
      <vt:lpstr>1</vt:lpstr>
      <vt:lpstr>0.1</vt:lpstr>
      <vt:lpstr>0.2</vt:lpstr>
      <vt:lpstr>0.3</vt:lpstr>
      <vt:lpstr>0.4</vt:lpstr>
      <vt:lpstr>0.5</vt:lpstr>
      <vt:lpstr>0.6</vt:lpstr>
      <vt:lpstr>0.7</vt:lpstr>
      <vt:lpstr>0.8</vt:lpstr>
      <vt:lpstr>0.9</vt:lpstr>
      <vt:lpstr>1.2</vt:lpstr>
      <vt:lpstr>1.3</vt:lpstr>
      <vt:lpstr>1.4</vt:lpstr>
      <vt:lpstr>1.1</vt:lpstr>
      <vt:lpstr>2</vt:lpstr>
      <vt:lpstr>3</vt:lpstr>
      <vt:lpstr>4</vt:lpstr>
      <vt:lpstr>5</vt:lpstr>
      <vt:lpstr>6</vt:lpstr>
      <vt:lpstr>7</vt:lpstr>
      <vt:lpstr>8</vt:lpstr>
      <vt:lpstr>8.1</vt:lpstr>
      <vt:lpstr>9</vt:lpstr>
      <vt:lpstr>10</vt:lpstr>
      <vt:lpstr>11.1</vt:lpstr>
      <vt:lpstr>11.2</vt:lpstr>
      <vt:lpstr>11.3</vt:lpstr>
      <vt:lpstr>11</vt:lpstr>
      <vt:lpstr>12</vt:lpstr>
      <vt:lpstr>13</vt:lpstr>
      <vt:lpstr>14</vt:lpstr>
      <vt:lpstr>15</vt:lpstr>
      <vt:lpstr>16</vt:lpstr>
      <vt:lpstr>17</vt:lpstr>
      <vt:lpstr>18</vt:lpstr>
      <vt:lpstr>19</vt:lpstr>
      <vt:lpstr>20</vt:lpstr>
      <vt:lpstr>21</vt:lpstr>
      <vt:lpstr>22</vt:lpstr>
      <vt:lpstr>24</vt:lpstr>
      <vt:lpstr>25</vt:lpstr>
      <vt:lpstr>26</vt:lpstr>
      <vt:lpstr>27</vt:lpstr>
      <vt:lpstr>27.1</vt:lpstr>
      <vt:lpstr>27.2</vt:lpstr>
      <vt:lpstr>27.3</vt:lpstr>
      <vt:lpstr>28</vt:lpstr>
      <vt:lpstr>29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LRH</dc:creator>
  <cp:lastModifiedBy>ranhua li</cp:lastModifiedBy>
  <dcterms:created xsi:type="dcterms:W3CDTF">2015-06-05T18:19:00Z</dcterms:created>
  <dcterms:modified xsi:type="dcterms:W3CDTF">2025-09-14T12:27:03Z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819565F349EA4A4C9C259F3C5D9DBBE7_12</vt:lpwstr>
  </property>
  <property fmtid="{D5CDD505-2E9C-101B-9397-08002B2CF9AE}" pid="3" name="KSOProductBuildVer">
    <vt:lpwstr>2052-12.1.0.20783</vt:lpwstr>
  </property>
  <property fmtid="{D5CDD505-2E9C-101B-9397-08002B2CF9AE}" pid="4" name="KSOReadingLayout">
    <vt:bool>true</vt:bool>
  </property>
</Properties>
</file>